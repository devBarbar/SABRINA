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47ACCBD7-0653-4EC2-86C8-C016FA4F33F9}" xr6:coauthVersionLast="45" xr6:coauthVersionMax="45" xr10:uidLastSave="{00000000-0000-0000-0000-000000000000}"/>
  <bookViews>
    <workbookView xWindow="420" yWindow="1335" windowWidth="28380" windowHeight="14865" firstSheet="2" activeTab="7" xr2:uid="{00000000-000D-0000-FFFF-FFFF00000000}"/>
  </bookViews>
  <sheets>
    <sheet name="Aktien" sheetId="17" r:id="rId1"/>
    <sheet name="Gold" sheetId="18" r:id="rId2"/>
    <sheet name="Anleihen" sheetId="19" r:id="rId3"/>
    <sheet name="Immobilien" sheetId="20" r:id="rId4"/>
    <sheet name="Deka" sheetId="21" r:id="rId5"/>
    <sheet name="Equity Residential" sheetId="22" r:id="rId6"/>
    <sheet name="Berechnungen Quartal" sheetId="23" r:id="rId7"/>
    <sheet name="Calc" sheetId="13" r:id="rId8"/>
    <sheet name="Result" sheetId="16" r:id="rId9"/>
  </sheets>
  <functionGroups builtInGroupCount="19"/>
  <externalReferences>
    <externalReference r:id="rId10"/>
    <externalReference r:id="rId11"/>
  </externalReference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" i="13" l="1"/>
  <c r="E150" i="21"/>
  <c r="M53" i="21" s="1"/>
  <c r="E149" i="21"/>
  <c r="F149" i="21" s="1"/>
  <c r="E148" i="21"/>
  <c r="F148" i="21" s="1"/>
  <c r="E147" i="21"/>
  <c r="F147" i="21" s="1"/>
  <c r="E146" i="21"/>
  <c r="F146" i="21" s="1"/>
  <c r="E145" i="21"/>
  <c r="F145" i="21" s="1"/>
  <c r="E144" i="21"/>
  <c r="F144" i="21" s="1"/>
  <c r="E143" i="21"/>
  <c r="F143" i="21" s="1"/>
  <c r="E142" i="21"/>
  <c r="F142" i="21" s="1"/>
  <c r="E141" i="21"/>
  <c r="F141" i="21" s="1"/>
  <c r="E140" i="21"/>
  <c r="F140" i="21" s="1"/>
  <c r="E139" i="21"/>
  <c r="F139" i="21" s="1"/>
  <c r="E138" i="21"/>
  <c r="F138" i="21" s="1"/>
  <c r="E137" i="21"/>
  <c r="F137" i="21" s="1"/>
  <c r="E136" i="21"/>
  <c r="F136" i="21" s="1"/>
  <c r="E135" i="21"/>
  <c r="F135" i="21" s="1"/>
  <c r="E134" i="21"/>
  <c r="F134" i="21" s="1"/>
  <c r="E133" i="21"/>
  <c r="F133" i="21" s="1"/>
  <c r="E132" i="21"/>
  <c r="F132" i="21" s="1"/>
  <c r="E131" i="21"/>
  <c r="F131" i="21" s="1"/>
  <c r="E130" i="21"/>
  <c r="F130" i="21" s="1"/>
  <c r="E129" i="21"/>
  <c r="F129" i="21" s="1"/>
  <c r="E128" i="21"/>
  <c r="F128" i="21" s="1"/>
  <c r="E127" i="21"/>
  <c r="F127" i="21" s="1"/>
  <c r="E126" i="21"/>
  <c r="M45" i="21" s="1"/>
  <c r="E125" i="21"/>
  <c r="F125" i="21" s="1"/>
  <c r="E124" i="21"/>
  <c r="F124" i="21" s="1"/>
  <c r="E123" i="21"/>
  <c r="F123" i="21" s="1"/>
  <c r="E122" i="21"/>
  <c r="F122" i="21" s="1"/>
  <c r="E121" i="21"/>
  <c r="F121" i="21" s="1"/>
  <c r="E120" i="21"/>
  <c r="F120" i="21" s="1"/>
  <c r="E119" i="21"/>
  <c r="F119" i="21" s="1"/>
  <c r="E118" i="21"/>
  <c r="F118" i="21" s="1"/>
  <c r="E117" i="21"/>
  <c r="F117" i="21" s="1"/>
  <c r="E116" i="21"/>
  <c r="F116" i="21" s="1"/>
  <c r="E115" i="21"/>
  <c r="F115" i="21" s="1"/>
  <c r="E114" i="21"/>
  <c r="T14" i="21" s="1"/>
  <c r="E113" i="21"/>
  <c r="F113" i="21" s="1"/>
  <c r="E112" i="21"/>
  <c r="F112" i="21" s="1"/>
  <c r="E111" i="21"/>
  <c r="F111" i="21" s="1"/>
  <c r="E110" i="21"/>
  <c r="F110" i="21" s="1"/>
  <c r="E109" i="21"/>
  <c r="F109" i="21" s="1"/>
  <c r="E108" i="21"/>
  <c r="F108" i="21" s="1"/>
  <c r="E107" i="21"/>
  <c r="F107" i="21" s="1"/>
  <c r="E106" i="21"/>
  <c r="F106" i="21" s="1"/>
  <c r="E105" i="21"/>
  <c r="F105" i="21" s="1"/>
  <c r="E104" i="21"/>
  <c r="F104" i="21" s="1"/>
  <c r="E103" i="21"/>
  <c r="F103" i="21" s="1"/>
  <c r="E102" i="21"/>
  <c r="AA9" i="21" s="1"/>
  <c r="E101" i="21"/>
  <c r="F101" i="21" s="1"/>
  <c r="E100" i="21"/>
  <c r="F100" i="21" s="1"/>
  <c r="E99" i="21"/>
  <c r="F99" i="21" s="1"/>
  <c r="E98" i="21"/>
  <c r="F98" i="21" s="1"/>
  <c r="E97" i="21"/>
  <c r="F97" i="21" s="1"/>
  <c r="E96" i="21"/>
  <c r="F96" i="21" s="1"/>
  <c r="E95" i="21"/>
  <c r="F95" i="21" s="1"/>
  <c r="E94" i="21"/>
  <c r="F94" i="21" s="1"/>
  <c r="E93" i="21"/>
  <c r="M34" i="21" s="1"/>
  <c r="E92" i="21"/>
  <c r="F92" i="21" s="1"/>
  <c r="E91" i="21"/>
  <c r="F91" i="21" s="1"/>
  <c r="E90" i="21"/>
  <c r="T12" i="21" s="1"/>
  <c r="E89" i="21"/>
  <c r="F89" i="21" s="1"/>
  <c r="E88" i="21"/>
  <c r="F88" i="21" s="1"/>
  <c r="E87" i="21"/>
  <c r="F87" i="21" s="1"/>
  <c r="E86" i="21"/>
  <c r="F86" i="21" s="1"/>
  <c r="E85" i="21"/>
  <c r="F85" i="21" s="1"/>
  <c r="E84" i="21"/>
  <c r="F84" i="21" s="1"/>
  <c r="E83" i="21"/>
  <c r="F83" i="21" s="1"/>
  <c r="E82" i="21"/>
  <c r="F82" i="21" s="1"/>
  <c r="E81" i="21"/>
  <c r="F81" i="21" s="1"/>
  <c r="E80" i="21"/>
  <c r="F80" i="21" s="1"/>
  <c r="E79" i="21"/>
  <c r="F79" i="21" s="1"/>
  <c r="E78" i="21"/>
  <c r="M29" i="21" s="1"/>
  <c r="E77" i="21"/>
  <c r="F77" i="21" s="1"/>
  <c r="E76" i="21"/>
  <c r="F76" i="21" s="1"/>
  <c r="E75" i="21"/>
  <c r="F75" i="21" s="1"/>
  <c r="E74" i="21"/>
  <c r="F74" i="21" s="1"/>
  <c r="E73" i="21"/>
  <c r="F73" i="21" s="1"/>
  <c r="E72" i="21"/>
  <c r="F72" i="21" s="1"/>
  <c r="E71" i="21"/>
  <c r="F71" i="21" s="1"/>
  <c r="E70" i="21"/>
  <c r="F70" i="21" s="1"/>
  <c r="E69" i="21"/>
  <c r="M26" i="21" s="1"/>
  <c r="E68" i="21"/>
  <c r="F68" i="21" s="1"/>
  <c r="E67" i="21"/>
  <c r="F67" i="21" s="1"/>
  <c r="E66" i="21"/>
  <c r="F66" i="21" s="1"/>
  <c r="E65" i="21"/>
  <c r="F65" i="21" s="1"/>
  <c r="E64" i="21"/>
  <c r="F64" i="21" s="1"/>
  <c r="E63" i="21"/>
  <c r="F63" i="21" s="1"/>
  <c r="E62" i="21"/>
  <c r="F62" i="21" s="1"/>
  <c r="E61" i="21"/>
  <c r="F61" i="21" s="1"/>
  <c r="E60" i="21"/>
  <c r="F60" i="21" s="1"/>
  <c r="E59" i="21"/>
  <c r="F59" i="21" s="1"/>
  <c r="E58" i="21"/>
  <c r="F58" i="21" s="1"/>
  <c r="E57" i="21"/>
  <c r="F57" i="21" s="1"/>
  <c r="E56" i="21"/>
  <c r="F56" i="21" s="1"/>
  <c r="E55" i="21"/>
  <c r="F55" i="21" s="1"/>
  <c r="E54" i="21"/>
  <c r="F54" i="21" s="1"/>
  <c r="E53" i="21"/>
  <c r="M52" i="21"/>
  <c r="E52" i="21"/>
  <c r="F53" i="21" s="1"/>
  <c r="E51" i="21"/>
  <c r="M50" i="21"/>
  <c r="E50" i="21"/>
  <c r="F51" i="21" s="1"/>
  <c r="F49" i="21"/>
  <c r="E49" i="21"/>
  <c r="M48" i="21"/>
  <c r="E48" i="21"/>
  <c r="M20" i="21" s="1"/>
  <c r="E47" i="21"/>
  <c r="M46" i="21"/>
  <c r="E46" i="21"/>
  <c r="F46" i="21" s="1"/>
  <c r="E45" i="21"/>
  <c r="M44" i="21"/>
  <c r="E44" i="21"/>
  <c r="F45" i="21" s="1"/>
  <c r="E43" i="21"/>
  <c r="M42" i="21"/>
  <c r="E42" i="21"/>
  <c r="F43" i="21" s="1"/>
  <c r="F41" i="21"/>
  <c r="E41" i="21"/>
  <c r="M40" i="21"/>
  <c r="E40" i="21"/>
  <c r="F40" i="21" s="1"/>
  <c r="E39" i="21"/>
  <c r="M38" i="21"/>
  <c r="E38" i="21"/>
  <c r="F38" i="21" s="1"/>
  <c r="E37" i="21"/>
  <c r="M36" i="21"/>
  <c r="E36" i="21"/>
  <c r="F37" i="21" s="1"/>
  <c r="E35" i="21"/>
  <c r="E34" i="21"/>
  <c r="F35" i="21" s="1"/>
  <c r="F33" i="21"/>
  <c r="E33" i="21"/>
  <c r="M32" i="21"/>
  <c r="E32" i="21"/>
  <c r="F32" i="21" s="1"/>
  <c r="E31" i="21"/>
  <c r="M30" i="21"/>
  <c r="E30" i="21"/>
  <c r="F30" i="21" s="1"/>
  <c r="E29" i="21"/>
  <c r="M28" i="21"/>
  <c r="E28" i="21"/>
  <c r="F29" i="21" s="1"/>
  <c r="E27" i="21"/>
  <c r="E26" i="21"/>
  <c r="F27" i="21" s="1"/>
  <c r="F25" i="21"/>
  <c r="E25" i="21"/>
  <c r="M24" i="21"/>
  <c r="E24" i="21"/>
  <c r="M11" i="21" s="1"/>
  <c r="E23" i="21"/>
  <c r="M22" i="21"/>
  <c r="E22" i="21"/>
  <c r="F22" i="21" s="1"/>
  <c r="E21" i="21"/>
  <c r="E20" i="21"/>
  <c r="F20" i="21" s="1"/>
  <c r="E19" i="21"/>
  <c r="M18" i="21"/>
  <c r="E18" i="21"/>
  <c r="F18" i="21" s="1"/>
  <c r="T17" i="21"/>
  <c r="M17" i="21"/>
  <c r="E17" i="21"/>
  <c r="F17" i="21" s="1"/>
  <c r="T16" i="21"/>
  <c r="E16" i="21"/>
  <c r="F16" i="21" s="1"/>
  <c r="E15" i="21"/>
  <c r="M8" i="21" s="1"/>
  <c r="M14" i="21"/>
  <c r="E14" i="21"/>
  <c r="F14" i="21" s="1"/>
  <c r="M13" i="21"/>
  <c r="E13" i="21"/>
  <c r="F13" i="21" s="1"/>
  <c r="M12" i="21"/>
  <c r="E12" i="21"/>
  <c r="F12" i="21" s="1"/>
  <c r="AA11" i="21"/>
  <c r="T11" i="21"/>
  <c r="E11" i="21"/>
  <c r="AA10" i="21"/>
  <c r="M10" i="21"/>
  <c r="E10" i="21"/>
  <c r="F11" i="21" s="1"/>
  <c r="T9" i="21"/>
  <c r="E9" i="21"/>
  <c r="AA8" i="21"/>
  <c r="E8" i="21"/>
  <c r="F8" i="21" s="1"/>
  <c r="T7" i="21"/>
  <c r="F7" i="21"/>
  <c r="E7" i="21"/>
  <c r="AA6" i="21"/>
  <c r="M6" i="21"/>
  <c r="E6" i="21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M53" i="20"/>
  <c r="F53" i="20"/>
  <c r="M52" i="20"/>
  <c r="F52" i="20"/>
  <c r="M51" i="20"/>
  <c r="F51" i="20"/>
  <c r="M50" i="20"/>
  <c r="F50" i="20"/>
  <c r="M49" i="20"/>
  <c r="F49" i="20"/>
  <c r="M48" i="20"/>
  <c r="F48" i="20"/>
  <c r="M47" i="20"/>
  <c r="F47" i="20"/>
  <c r="M46" i="20"/>
  <c r="F46" i="20"/>
  <c r="M45" i="20"/>
  <c r="F45" i="20"/>
  <c r="M44" i="20"/>
  <c r="F44" i="20"/>
  <c r="M43" i="20"/>
  <c r="F43" i="20"/>
  <c r="M42" i="20"/>
  <c r="F42" i="20"/>
  <c r="M41" i="20"/>
  <c r="F41" i="20"/>
  <c r="M40" i="20"/>
  <c r="F40" i="20"/>
  <c r="M39" i="20"/>
  <c r="F39" i="20"/>
  <c r="M38" i="20"/>
  <c r="F38" i="20"/>
  <c r="M37" i="20"/>
  <c r="F37" i="20"/>
  <c r="M36" i="20"/>
  <c r="F36" i="20"/>
  <c r="M35" i="20"/>
  <c r="F35" i="20"/>
  <c r="M34" i="20"/>
  <c r="F34" i="20"/>
  <c r="M33" i="20"/>
  <c r="F33" i="20"/>
  <c r="M32" i="20"/>
  <c r="F32" i="20"/>
  <c r="M31" i="20"/>
  <c r="F31" i="20"/>
  <c r="M30" i="20"/>
  <c r="F30" i="20"/>
  <c r="M29" i="20"/>
  <c r="F29" i="20"/>
  <c r="M28" i="20"/>
  <c r="F28" i="20"/>
  <c r="M27" i="20"/>
  <c r="F27" i="20"/>
  <c r="M26" i="20"/>
  <c r="F26" i="20"/>
  <c r="M25" i="20"/>
  <c r="F25" i="20"/>
  <c r="M24" i="20"/>
  <c r="F24" i="20"/>
  <c r="M23" i="20"/>
  <c r="F23" i="20"/>
  <c r="M22" i="20"/>
  <c r="F22" i="20"/>
  <c r="M21" i="20"/>
  <c r="F21" i="20"/>
  <c r="M20" i="20"/>
  <c r="F20" i="20"/>
  <c r="M19" i="20"/>
  <c r="F19" i="20"/>
  <c r="M18" i="20"/>
  <c r="F18" i="20"/>
  <c r="T17" i="20"/>
  <c r="M17" i="20"/>
  <c r="F17" i="20"/>
  <c r="T16" i="20"/>
  <c r="M16" i="20"/>
  <c r="F16" i="20"/>
  <c r="T15" i="20"/>
  <c r="M15" i="20"/>
  <c r="F15" i="20"/>
  <c r="T14" i="20"/>
  <c r="M14" i="20"/>
  <c r="F14" i="20"/>
  <c r="T13" i="20"/>
  <c r="M13" i="20"/>
  <c r="F13" i="20"/>
  <c r="T12" i="20"/>
  <c r="M12" i="20"/>
  <c r="F12" i="20"/>
  <c r="AA11" i="20"/>
  <c r="T11" i="20"/>
  <c r="M11" i="20"/>
  <c r="F11" i="20"/>
  <c r="AA10" i="20"/>
  <c r="T10" i="20"/>
  <c r="M10" i="20"/>
  <c r="F10" i="20"/>
  <c r="AA9" i="20"/>
  <c r="T9" i="20"/>
  <c r="M9" i="20"/>
  <c r="F9" i="20"/>
  <c r="AA8" i="20"/>
  <c r="T8" i="20"/>
  <c r="M8" i="20"/>
  <c r="F8" i="20"/>
  <c r="AA7" i="20"/>
  <c r="T7" i="20"/>
  <c r="M7" i="20"/>
  <c r="F7" i="20"/>
  <c r="H6" i="20" s="1"/>
  <c r="AA6" i="20"/>
  <c r="AB6" i="20" s="1"/>
  <c r="T6" i="20"/>
  <c r="V6" i="20" s="1"/>
  <c r="N6" i="20"/>
  <c r="M6" i="20"/>
  <c r="O6" i="20" s="1"/>
  <c r="T8" i="21" l="1"/>
  <c r="F10" i="21"/>
  <c r="H154" i="21" s="1"/>
  <c r="T13" i="21"/>
  <c r="F15" i="21"/>
  <c r="M25" i="21"/>
  <c r="F28" i="21"/>
  <c r="M33" i="21"/>
  <c r="F36" i="21"/>
  <c r="M41" i="21"/>
  <c r="F44" i="21"/>
  <c r="M49" i="21"/>
  <c r="F52" i="21"/>
  <c r="F69" i="21"/>
  <c r="F93" i="21"/>
  <c r="M16" i="21"/>
  <c r="M15" i="21"/>
  <c r="F31" i="21"/>
  <c r="F47" i="21"/>
  <c r="F19" i="21"/>
  <c r="F21" i="21"/>
  <c r="F23" i="21"/>
  <c r="F39" i="21"/>
  <c r="T6" i="21"/>
  <c r="M7" i="21"/>
  <c r="O56" i="21" s="1"/>
  <c r="T10" i="21"/>
  <c r="T15" i="21"/>
  <c r="M19" i="21"/>
  <c r="M21" i="21"/>
  <c r="M23" i="21"/>
  <c r="F26" i="21"/>
  <c r="M31" i="21"/>
  <c r="F34" i="21"/>
  <c r="M39" i="21"/>
  <c r="F42" i="21"/>
  <c r="M47" i="21"/>
  <c r="F50" i="21"/>
  <c r="F78" i="21"/>
  <c r="F90" i="21"/>
  <c r="F102" i="21"/>
  <c r="F114" i="21"/>
  <c r="F126" i="21"/>
  <c r="F150" i="21"/>
  <c r="F9" i="21"/>
  <c r="Z15" i="21"/>
  <c r="AA7" i="21"/>
  <c r="AC6" i="21" s="1"/>
  <c r="M9" i="21"/>
  <c r="L56" i="21" s="1"/>
  <c r="F24" i="21"/>
  <c r="M37" i="21"/>
  <c r="F48" i="21"/>
  <c r="Z14" i="21"/>
  <c r="AB6" i="21"/>
  <c r="M27" i="21"/>
  <c r="M35" i="21"/>
  <c r="M43" i="21"/>
  <c r="M51" i="21"/>
  <c r="AC6" i="20"/>
  <c r="U6" i="20"/>
  <c r="G6" i="20"/>
  <c r="H6" i="21" l="1"/>
  <c r="AC15" i="21"/>
  <c r="E154" i="21"/>
  <c r="H153" i="21"/>
  <c r="S20" i="21"/>
  <c r="V21" i="21"/>
  <c r="V6" i="21"/>
  <c r="U6" i="21"/>
  <c r="S21" i="21"/>
  <c r="V20" i="21"/>
  <c r="N6" i="21"/>
  <c r="AC14" i="21"/>
  <c r="O6" i="21"/>
  <c r="L57" i="21"/>
  <c r="E153" i="21"/>
  <c r="O57" i="21"/>
  <c r="G6" i="21"/>
  <c r="C15" i="13" l="1"/>
  <c r="D15" i="13"/>
  <c r="E15" i="13"/>
  <c r="F15" i="13"/>
  <c r="G15" i="13"/>
  <c r="H15" i="13"/>
  <c r="S29" i="23" l="1"/>
  <c r="R29" i="23"/>
  <c r="Q29" i="23"/>
  <c r="P29" i="23"/>
  <c r="O29" i="23"/>
  <c r="N29" i="23"/>
  <c r="S28" i="23"/>
  <c r="R28" i="23"/>
  <c r="Q28" i="23"/>
  <c r="P28" i="23"/>
  <c r="O28" i="23"/>
  <c r="N28" i="23"/>
  <c r="S27" i="23"/>
  <c r="R27" i="23"/>
  <c r="Q27" i="23"/>
  <c r="P27" i="23"/>
  <c r="O27" i="23"/>
  <c r="N27" i="23"/>
  <c r="S26" i="23"/>
  <c r="R26" i="23"/>
  <c r="Q26" i="23"/>
  <c r="P26" i="23"/>
  <c r="O26" i="23"/>
  <c r="N26" i="23"/>
  <c r="S25" i="23"/>
  <c r="R25" i="23"/>
  <c r="Q25" i="23"/>
  <c r="P25" i="23"/>
  <c r="O25" i="23"/>
  <c r="N25" i="23"/>
  <c r="S24" i="23"/>
  <c r="R24" i="23"/>
  <c r="Q24" i="23"/>
  <c r="P24" i="23"/>
  <c r="O24" i="23"/>
  <c r="N24" i="23"/>
  <c r="I18" i="23"/>
  <c r="H18" i="23"/>
  <c r="G18" i="23"/>
  <c r="F18" i="23"/>
  <c r="E18" i="23"/>
  <c r="D18" i="23"/>
  <c r="I17" i="23"/>
  <c r="H17" i="23"/>
  <c r="G17" i="23"/>
  <c r="F17" i="23"/>
  <c r="E17" i="23"/>
  <c r="D17" i="23"/>
  <c r="I16" i="23"/>
  <c r="H16" i="23"/>
  <c r="G16" i="23"/>
  <c r="F16" i="23"/>
  <c r="E16" i="23"/>
  <c r="D16" i="23"/>
  <c r="I15" i="23"/>
  <c r="H15" i="23"/>
  <c r="G15" i="23"/>
  <c r="F15" i="23"/>
  <c r="E15" i="23"/>
  <c r="D15" i="23"/>
  <c r="I14" i="23"/>
  <c r="H14" i="23"/>
  <c r="G14" i="23"/>
  <c r="F14" i="23"/>
  <c r="E14" i="23"/>
  <c r="D14" i="23"/>
  <c r="I13" i="23"/>
  <c r="H13" i="23"/>
  <c r="G13" i="23"/>
  <c r="F13" i="23"/>
  <c r="E13" i="23"/>
  <c r="D13" i="23"/>
  <c r="I6" i="23"/>
  <c r="H6" i="23"/>
  <c r="G6" i="23"/>
  <c r="F6" i="23"/>
  <c r="E6" i="23"/>
  <c r="D6" i="23"/>
  <c r="I5" i="23"/>
  <c r="H5" i="23"/>
  <c r="G5" i="23"/>
  <c r="F5" i="23"/>
  <c r="E5" i="23"/>
  <c r="D5" i="23"/>
  <c r="I35" i="23"/>
  <c r="H33" i="23"/>
  <c r="G33" i="23"/>
  <c r="F33" i="23"/>
  <c r="E33" i="23"/>
  <c r="D33" i="23"/>
  <c r="L29" i="23"/>
  <c r="B29" i="23"/>
  <c r="L28" i="23"/>
  <c r="B28" i="23"/>
  <c r="L27" i="23"/>
  <c r="B27" i="23"/>
  <c r="L26" i="23"/>
  <c r="B26" i="23"/>
  <c r="L25" i="23"/>
  <c r="B25" i="23"/>
  <c r="L24" i="23"/>
  <c r="B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E150" i="22"/>
  <c r="F150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M51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F127" i="22" s="1"/>
  <c r="E126" i="22"/>
  <c r="F126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M43" i="22" s="1"/>
  <c r="E119" i="22"/>
  <c r="F119" i="22" s="1"/>
  <c r="E118" i="22"/>
  <c r="F118" i="22" s="1"/>
  <c r="E117" i="22"/>
  <c r="F117" i="22" s="1"/>
  <c r="E116" i="22"/>
  <c r="F116" i="22" s="1"/>
  <c r="E115" i="22"/>
  <c r="F115" i="22" s="1"/>
  <c r="E114" i="22"/>
  <c r="F114" i="22" s="1"/>
  <c r="E113" i="22"/>
  <c r="F113" i="22" s="1"/>
  <c r="E112" i="22"/>
  <c r="F112" i="22" s="1"/>
  <c r="E111" i="22"/>
  <c r="F111" i="22" s="1"/>
  <c r="E110" i="22"/>
  <c r="F110" i="22" s="1"/>
  <c r="E109" i="22"/>
  <c r="F109" i="22" s="1"/>
  <c r="E108" i="22"/>
  <c r="F108" i="22" s="1"/>
  <c r="E107" i="22"/>
  <c r="F107" i="22" s="1"/>
  <c r="E106" i="22"/>
  <c r="F106" i="22" s="1"/>
  <c r="E105" i="22"/>
  <c r="F105" i="22" s="1"/>
  <c r="E104" i="22"/>
  <c r="F104" i="22" s="1"/>
  <c r="E103" i="22"/>
  <c r="F103" i="22" s="1"/>
  <c r="E102" i="22"/>
  <c r="F102" i="22" s="1"/>
  <c r="E101" i="22"/>
  <c r="F101" i="22" s="1"/>
  <c r="E100" i="22"/>
  <c r="F100" i="22" s="1"/>
  <c r="E99" i="22"/>
  <c r="F99" i="22" s="1"/>
  <c r="E98" i="22"/>
  <c r="F98" i="22" s="1"/>
  <c r="E97" i="22"/>
  <c r="F97" i="22" s="1"/>
  <c r="E96" i="22"/>
  <c r="M35" i="22" s="1"/>
  <c r="E95" i="22"/>
  <c r="F95" i="22" s="1"/>
  <c r="E94" i="22"/>
  <c r="F94" i="22" s="1"/>
  <c r="E93" i="22"/>
  <c r="F93" i="22" s="1"/>
  <c r="E92" i="22"/>
  <c r="F92" i="22" s="1"/>
  <c r="E91" i="22"/>
  <c r="F91" i="22" s="1"/>
  <c r="E90" i="22"/>
  <c r="F90" i="22" s="1"/>
  <c r="E89" i="22"/>
  <c r="F89" i="22" s="1"/>
  <c r="E88" i="22"/>
  <c r="F88" i="22" s="1"/>
  <c r="E87" i="22"/>
  <c r="F87" i="22" s="1"/>
  <c r="E86" i="22"/>
  <c r="F86" i="22" s="1"/>
  <c r="E85" i="22"/>
  <c r="F85" i="22" s="1"/>
  <c r="E84" i="22"/>
  <c r="F84" i="22" s="1"/>
  <c r="E83" i="22"/>
  <c r="F83" i="22" s="1"/>
  <c r="E82" i="22"/>
  <c r="F82" i="22" s="1"/>
  <c r="E81" i="22"/>
  <c r="F81" i="22" s="1"/>
  <c r="E80" i="22"/>
  <c r="F80" i="22" s="1"/>
  <c r="E79" i="22"/>
  <c r="F79" i="22" s="1"/>
  <c r="E78" i="22"/>
  <c r="F78" i="22" s="1"/>
  <c r="E77" i="22"/>
  <c r="F77" i="22" s="1"/>
  <c r="E76" i="22"/>
  <c r="F76" i="22" s="1"/>
  <c r="E75" i="22"/>
  <c r="F75" i="22" s="1"/>
  <c r="E74" i="22"/>
  <c r="F74" i="22" s="1"/>
  <c r="E73" i="22"/>
  <c r="F73" i="22" s="1"/>
  <c r="E72" i="22"/>
  <c r="M27" i="22" s="1"/>
  <c r="E71" i="22"/>
  <c r="F71" i="22" s="1"/>
  <c r="E70" i="22"/>
  <c r="F70" i="22" s="1"/>
  <c r="E69" i="22"/>
  <c r="F69" i="22" s="1"/>
  <c r="E68" i="22"/>
  <c r="F68" i="22" s="1"/>
  <c r="E67" i="22"/>
  <c r="F67" i="22" s="1"/>
  <c r="E66" i="22"/>
  <c r="F66" i="22" s="1"/>
  <c r="E65" i="22"/>
  <c r="F65" i="22" s="1"/>
  <c r="E64" i="22"/>
  <c r="F64" i="22" s="1"/>
  <c r="E63" i="22"/>
  <c r="M24" i="22" s="1"/>
  <c r="E62" i="22"/>
  <c r="F62" i="22" s="1"/>
  <c r="E61" i="22"/>
  <c r="F61" i="22" s="1"/>
  <c r="E60" i="22"/>
  <c r="F60" i="22" s="1"/>
  <c r="E59" i="22"/>
  <c r="F59" i="22" s="1"/>
  <c r="E58" i="22"/>
  <c r="F58" i="22" s="1"/>
  <c r="E57" i="22"/>
  <c r="F57" i="22" s="1"/>
  <c r="E56" i="22"/>
  <c r="F56" i="22" s="1"/>
  <c r="E55" i="22"/>
  <c r="F55" i="22" s="1"/>
  <c r="E54" i="22"/>
  <c r="F54" i="22" s="1"/>
  <c r="E53" i="22"/>
  <c r="M52" i="22"/>
  <c r="E52" i="22"/>
  <c r="F53" i="22" s="1"/>
  <c r="E51" i="22"/>
  <c r="M50" i="22"/>
  <c r="E50" i="22"/>
  <c r="F51" i="22" s="1"/>
  <c r="F49" i="22"/>
  <c r="E49" i="22"/>
  <c r="M48" i="22"/>
  <c r="E48" i="22"/>
  <c r="M19" i="22" s="1"/>
  <c r="F47" i="22"/>
  <c r="E47" i="22"/>
  <c r="M46" i="22"/>
  <c r="E46" i="22"/>
  <c r="F46" i="22" s="1"/>
  <c r="E45" i="22"/>
  <c r="M44" i="22"/>
  <c r="E44" i="22"/>
  <c r="E43" i="22"/>
  <c r="M42" i="22"/>
  <c r="E42" i="22"/>
  <c r="F43" i="22" s="1"/>
  <c r="F41" i="22"/>
  <c r="E41" i="22"/>
  <c r="M40" i="22"/>
  <c r="E40" i="22"/>
  <c r="F40" i="22" s="1"/>
  <c r="F39" i="22"/>
  <c r="E39" i="22"/>
  <c r="M38" i="22"/>
  <c r="E38" i="22"/>
  <c r="F38" i="22" s="1"/>
  <c r="E37" i="22"/>
  <c r="M36" i="22"/>
  <c r="E36" i="22"/>
  <c r="M15" i="22" s="1"/>
  <c r="E35" i="22"/>
  <c r="M34" i="22"/>
  <c r="E34" i="22"/>
  <c r="F35" i="22" s="1"/>
  <c r="F33" i="22"/>
  <c r="E33" i="22"/>
  <c r="M32" i="22"/>
  <c r="E32" i="22"/>
  <c r="F32" i="22" s="1"/>
  <c r="F31" i="22"/>
  <c r="E31" i="22"/>
  <c r="M30" i="22"/>
  <c r="E30" i="22"/>
  <c r="F30" i="22" s="1"/>
  <c r="E29" i="22"/>
  <c r="M28" i="22"/>
  <c r="E28" i="22"/>
  <c r="E27" i="22"/>
  <c r="M26" i="22"/>
  <c r="E26" i="22"/>
  <c r="F27" i="22" s="1"/>
  <c r="F25" i="22"/>
  <c r="E25" i="22"/>
  <c r="E24" i="22"/>
  <c r="M11" i="22" s="1"/>
  <c r="F23" i="22"/>
  <c r="E23" i="22"/>
  <c r="M22" i="22"/>
  <c r="E22" i="22"/>
  <c r="F22" i="22" s="1"/>
  <c r="E21" i="22"/>
  <c r="M20" i="22"/>
  <c r="E20" i="22"/>
  <c r="E19" i="22"/>
  <c r="E18" i="22"/>
  <c r="F19" i="22" s="1"/>
  <c r="T17" i="22"/>
  <c r="M17" i="22"/>
  <c r="E17" i="22"/>
  <c r="F17" i="22" s="1"/>
  <c r="T16" i="22"/>
  <c r="E16" i="22"/>
  <c r="F16" i="22" s="1"/>
  <c r="E15" i="22"/>
  <c r="F15" i="22" s="1"/>
  <c r="E14" i="22"/>
  <c r="F14" i="22" s="1"/>
  <c r="M13" i="22"/>
  <c r="E13" i="22"/>
  <c r="M12" i="22"/>
  <c r="E12" i="22"/>
  <c r="T11" i="22"/>
  <c r="E11" i="22"/>
  <c r="AA10" i="22"/>
  <c r="M10" i="22"/>
  <c r="E10" i="22"/>
  <c r="T9" i="22"/>
  <c r="E9" i="22"/>
  <c r="AA8" i="22"/>
  <c r="M8" i="22"/>
  <c r="E8" i="22"/>
  <c r="F8" i="22" s="1"/>
  <c r="F7" i="22"/>
  <c r="E7" i="22"/>
  <c r="AA6" i="22"/>
  <c r="M6" i="22"/>
  <c r="E6" i="22"/>
  <c r="E150" i="19"/>
  <c r="F150" i="19" s="1"/>
  <c r="F149" i="19"/>
  <c r="E149" i="19"/>
  <c r="F148" i="19"/>
  <c r="E148" i="19"/>
  <c r="E147" i="19"/>
  <c r="F147" i="19" s="1"/>
  <c r="E146" i="19"/>
  <c r="E145" i="19"/>
  <c r="F145" i="19" s="1"/>
  <c r="E144" i="19"/>
  <c r="M51" i="19" s="1"/>
  <c r="E143" i="19"/>
  <c r="F143" i="19" s="1"/>
  <c r="E142" i="19"/>
  <c r="F142" i="19" s="1"/>
  <c r="E141" i="19"/>
  <c r="F141" i="19" s="1"/>
  <c r="F140" i="19"/>
  <c r="E140" i="19"/>
  <c r="F139" i="19"/>
  <c r="E139" i="19"/>
  <c r="E138" i="19"/>
  <c r="F138" i="19" s="1"/>
  <c r="E137" i="19"/>
  <c r="E136" i="19"/>
  <c r="F137" i="19" s="1"/>
  <c r="E135" i="19"/>
  <c r="M49" i="19" s="1"/>
  <c r="E134" i="19"/>
  <c r="E133" i="19"/>
  <c r="F133" i="19" s="1"/>
  <c r="E132" i="19"/>
  <c r="F132" i="19" s="1"/>
  <c r="E131" i="19"/>
  <c r="E130" i="19"/>
  <c r="F130" i="19" s="1"/>
  <c r="E129" i="19"/>
  <c r="F129" i="19" s="1"/>
  <c r="E128" i="19"/>
  <c r="E127" i="19"/>
  <c r="F128" i="19" s="1"/>
  <c r="E126" i="19"/>
  <c r="F126" i="19" s="1"/>
  <c r="F125" i="19"/>
  <c r="E125" i="19"/>
  <c r="E124" i="19"/>
  <c r="F124" i="19" s="1"/>
  <c r="E123" i="19"/>
  <c r="F123" i="19" s="1"/>
  <c r="E122" i="19"/>
  <c r="E121" i="19"/>
  <c r="F121" i="19" s="1"/>
  <c r="E120" i="19"/>
  <c r="F120" i="19" s="1"/>
  <c r="F119" i="19"/>
  <c r="E119" i="19"/>
  <c r="E118" i="19"/>
  <c r="F118" i="19" s="1"/>
  <c r="F117" i="19"/>
  <c r="E117" i="19"/>
  <c r="F116" i="19"/>
  <c r="E116" i="19"/>
  <c r="E115" i="19"/>
  <c r="F115" i="19" s="1"/>
  <c r="E114" i="19"/>
  <c r="E113" i="19"/>
  <c r="F113" i="19" s="1"/>
  <c r="E112" i="19"/>
  <c r="F112" i="19" s="1"/>
  <c r="E111" i="19"/>
  <c r="F111" i="19" s="1"/>
  <c r="E110" i="19"/>
  <c r="F110" i="19" s="1"/>
  <c r="E109" i="19"/>
  <c r="F109" i="19" s="1"/>
  <c r="F108" i="19"/>
  <c r="E108" i="19"/>
  <c r="F107" i="19"/>
  <c r="E107" i="19"/>
  <c r="E106" i="19"/>
  <c r="F106" i="19" s="1"/>
  <c r="E105" i="19"/>
  <c r="E104" i="19"/>
  <c r="F105" i="19" s="1"/>
  <c r="E103" i="19"/>
  <c r="F103" i="19" s="1"/>
  <c r="E102" i="19"/>
  <c r="E101" i="19"/>
  <c r="F101" i="19" s="1"/>
  <c r="E100" i="19"/>
  <c r="F100" i="19" s="1"/>
  <c r="E99" i="19"/>
  <c r="E98" i="19"/>
  <c r="F98" i="19" s="1"/>
  <c r="E97" i="19"/>
  <c r="F97" i="19" s="1"/>
  <c r="E96" i="19"/>
  <c r="E95" i="19"/>
  <c r="F96" i="19" s="1"/>
  <c r="E94" i="19"/>
  <c r="F93" i="19"/>
  <c r="E93" i="19"/>
  <c r="E92" i="19"/>
  <c r="F92" i="19" s="1"/>
  <c r="E91" i="19"/>
  <c r="F91" i="19" s="1"/>
  <c r="E90" i="19"/>
  <c r="T12" i="19" s="1"/>
  <c r="E89" i="19"/>
  <c r="F89" i="19" s="1"/>
  <c r="E88" i="19"/>
  <c r="F88" i="19" s="1"/>
  <c r="E87" i="19"/>
  <c r="E86" i="19"/>
  <c r="F87" i="19" s="1"/>
  <c r="E85" i="19"/>
  <c r="F85" i="19" s="1"/>
  <c r="E84" i="19"/>
  <c r="F84" i="19" s="1"/>
  <c r="E83" i="19"/>
  <c r="E82" i="19"/>
  <c r="F83" i="19" s="1"/>
  <c r="E81" i="19"/>
  <c r="M30" i="19" s="1"/>
  <c r="E80" i="19"/>
  <c r="F80" i="19" s="1"/>
  <c r="E79" i="19"/>
  <c r="F79" i="19" s="1"/>
  <c r="E78" i="19"/>
  <c r="F78" i="19" s="1"/>
  <c r="E77" i="19"/>
  <c r="F77" i="19" s="1"/>
  <c r="E76" i="19"/>
  <c r="F76" i="19" s="1"/>
  <c r="E75" i="19"/>
  <c r="F75" i="19" s="1"/>
  <c r="E74" i="19"/>
  <c r="F74" i="19" s="1"/>
  <c r="E73" i="19"/>
  <c r="F73" i="19" s="1"/>
  <c r="E72" i="19"/>
  <c r="F72" i="19" s="1"/>
  <c r="E71" i="19"/>
  <c r="F71" i="19" s="1"/>
  <c r="E70" i="19"/>
  <c r="F70" i="19" s="1"/>
  <c r="E69" i="19"/>
  <c r="F69" i="19" s="1"/>
  <c r="E68" i="19"/>
  <c r="F68" i="19" s="1"/>
  <c r="E67" i="19"/>
  <c r="F67" i="19" s="1"/>
  <c r="E66" i="19"/>
  <c r="T10" i="19" s="1"/>
  <c r="E65" i="19"/>
  <c r="F65" i="19" s="1"/>
  <c r="E64" i="19"/>
  <c r="F64" i="19" s="1"/>
  <c r="E63" i="19"/>
  <c r="F63" i="19" s="1"/>
  <c r="E62" i="19"/>
  <c r="F62" i="19" s="1"/>
  <c r="E61" i="19"/>
  <c r="F61" i="19" s="1"/>
  <c r="E60" i="19"/>
  <c r="F60" i="19" s="1"/>
  <c r="E59" i="19"/>
  <c r="F59" i="19" s="1"/>
  <c r="E58" i="19"/>
  <c r="F58" i="19" s="1"/>
  <c r="E57" i="19"/>
  <c r="M22" i="19" s="1"/>
  <c r="E56" i="19"/>
  <c r="F56" i="19" s="1"/>
  <c r="E55" i="19"/>
  <c r="F55" i="19" s="1"/>
  <c r="E54" i="19"/>
  <c r="F54" i="19" s="1"/>
  <c r="M53" i="19"/>
  <c r="F53" i="19"/>
  <c r="E53" i="19"/>
  <c r="M52" i="19"/>
  <c r="E52" i="19"/>
  <c r="F52" i="19" s="1"/>
  <c r="F51" i="19"/>
  <c r="E51" i="19"/>
  <c r="M50" i="19"/>
  <c r="E50" i="19"/>
  <c r="F50" i="19" s="1"/>
  <c r="E49" i="19"/>
  <c r="M48" i="19"/>
  <c r="E48" i="19"/>
  <c r="M20" i="19" s="1"/>
  <c r="M47" i="19"/>
  <c r="E47" i="19"/>
  <c r="M46" i="19"/>
  <c r="E46" i="19"/>
  <c r="F47" i="19" s="1"/>
  <c r="M45" i="19"/>
  <c r="F45" i="19"/>
  <c r="E45" i="19"/>
  <c r="M44" i="19"/>
  <c r="E44" i="19"/>
  <c r="F44" i="19" s="1"/>
  <c r="M43" i="19"/>
  <c r="F43" i="19"/>
  <c r="E43" i="19"/>
  <c r="M42" i="19"/>
  <c r="E42" i="19"/>
  <c r="F42" i="19" s="1"/>
  <c r="M41" i="19"/>
  <c r="E41" i="19"/>
  <c r="M40" i="19"/>
  <c r="E40" i="19"/>
  <c r="F41" i="19" s="1"/>
  <c r="M39" i="19"/>
  <c r="E39" i="19"/>
  <c r="M38" i="19"/>
  <c r="E38" i="19"/>
  <c r="F39" i="19" s="1"/>
  <c r="M37" i="19"/>
  <c r="F37" i="19"/>
  <c r="E37" i="19"/>
  <c r="M36" i="19"/>
  <c r="E36" i="19"/>
  <c r="F36" i="19" s="1"/>
  <c r="M35" i="19"/>
  <c r="F35" i="19"/>
  <c r="E35" i="19"/>
  <c r="M34" i="19"/>
  <c r="E34" i="19"/>
  <c r="F34" i="19" s="1"/>
  <c r="E33" i="19"/>
  <c r="M32" i="19"/>
  <c r="E32" i="19"/>
  <c r="F33" i="19" s="1"/>
  <c r="E31" i="19"/>
  <c r="E30" i="19"/>
  <c r="F31" i="19" s="1"/>
  <c r="F29" i="19"/>
  <c r="E29" i="19"/>
  <c r="M28" i="19"/>
  <c r="E28" i="19"/>
  <c r="F28" i="19" s="1"/>
  <c r="F27" i="19"/>
  <c r="E27" i="19"/>
  <c r="M26" i="19"/>
  <c r="E26" i="19"/>
  <c r="F26" i="19" s="1"/>
  <c r="E25" i="19"/>
  <c r="M24" i="19"/>
  <c r="E24" i="19"/>
  <c r="F25" i="19" s="1"/>
  <c r="E23" i="19"/>
  <c r="E22" i="19"/>
  <c r="F23" i="19" s="1"/>
  <c r="F21" i="19"/>
  <c r="E21" i="19"/>
  <c r="E20" i="19"/>
  <c r="F20" i="19" s="1"/>
  <c r="F19" i="19"/>
  <c r="E19" i="19"/>
  <c r="M18" i="19"/>
  <c r="E18" i="19"/>
  <c r="F18" i="19" s="1"/>
  <c r="T17" i="19"/>
  <c r="M17" i="19"/>
  <c r="E17" i="19"/>
  <c r="F17" i="19" s="1"/>
  <c r="T16" i="19"/>
  <c r="M16" i="19"/>
  <c r="E16" i="19"/>
  <c r="F16" i="19" s="1"/>
  <c r="T15" i="19"/>
  <c r="M15" i="19"/>
  <c r="E15" i="19"/>
  <c r="M8" i="19" s="1"/>
  <c r="T14" i="19"/>
  <c r="M14" i="19"/>
  <c r="E14" i="19"/>
  <c r="F14" i="19" s="1"/>
  <c r="T13" i="19"/>
  <c r="E13" i="19"/>
  <c r="F13" i="19" s="1"/>
  <c r="M12" i="19"/>
  <c r="E12" i="19"/>
  <c r="F12" i="19" s="1"/>
  <c r="AA11" i="19"/>
  <c r="T11" i="19"/>
  <c r="F11" i="19"/>
  <c r="E11" i="19"/>
  <c r="AA10" i="19"/>
  <c r="M10" i="19"/>
  <c r="E10" i="19"/>
  <c r="F10" i="19" s="1"/>
  <c r="T9" i="19"/>
  <c r="E9" i="19"/>
  <c r="AA8" i="19"/>
  <c r="E8" i="19"/>
  <c r="F8" i="19" s="1"/>
  <c r="T7" i="19"/>
  <c r="F7" i="19"/>
  <c r="E7" i="19"/>
  <c r="AA6" i="19"/>
  <c r="M6" i="19"/>
  <c r="E6" i="19"/>
  <c r="F150" i="18"/>
  <c r="E150" i="18"/>
  <c r="F149" i="18"/>
  <c r="E149" i="18"/>
  <c r="F148" i="18"/>
  <c r="E148" i="18"/>
  <c r="F147" i="18"/>
  <c r="E147" i="18"/>
  <c r="F146" i="18"/>
  <c r="E146" i="18"/>
  <c r="F145" i="18"/>
  <c r="E145" i="18"/>
  <c r="F144" i="18"/>
  <c r="E144" i="18"/>
  <c r="F143" i="18"/>
  <c r="E143" i="18"/>
  <c r="F142" i="18"/>
  <c r="E142" i="18"/>
  <c r="F141" i="18"/>
  <c r="E141" i="18"/>
  <c r="F140" i="18"/>
  <c r="E140" i="18"/>
  <c r="F139" i="18"/>
  <c r="E139" i="18"/>
  <c r="F138" i="18"/>
  <c r="E138" i="18"/>
  <c r="F137" i="18"/>
  <c r="E137" i="18"/>
  <c r="F136" i="18"/>
  <c r="E136" i="18"/>
  <c r="F135" i="18"/>
  <c r="E135" i="18"/>
  <c r="F134" i="18"/>
  <c r="E134" i="18"/>
  <c r="F133" i="18"/>
  <c r="E133" i="18"/>
  <c r="F132" i="18"/>
  <c r="E132" i="18"/>
  <c r="F131" i="18"/>
  <c r="E131" i="18"/>
  <c r="F130" i="18"/>
  <c r="E130" i="18"/>
  <c r="F129" i="18"/>
  <c r="E129" i="18"/>
  <c r="F128" i="18"/>
  <c r="E128" i="18"/>
  <c r="F127" i="18"/>
  <c r="E127" i="18"/>
  <c r="F126" i="18"/>
  <c r="E126" i="18"/>
  <c r="F125" i="18"/>
  <c r="E125" i="18"/>
  <c r="F124" i="18"/>
  <c r="E124" i="18"/>
  <c r="F123" i="18"/>
  <c r="E123" i="18"/>
  <c r="F122" i="18"/>
  <c r="E122" i="18"/>
  <c r="F121" i="18"/>
  <c r="E121" i="18"/>
  <c r="F120" i="18"/>
  <c r="E120" i="18"/>
  <c r="F119" i="18"/>
  <c r="E119" i="18"/>
  <c r="F118" i="18"/>
  <c r="E118" i="18"/>
  <c r="F117" i="18"/>
  <c r="E117" i="18"/>
  <c r="F116" i="18"/>
  <c r="E116" i="18"/>
  <c r="F115" i="18"/>
  <c r="E115" i="18"/>
  <c r="F114" i="18"/>
  <c r="E114" i="18"/>
  <c r="F113" i="18"/>
  <c r="E113" i="18"/>
  <c r="F112" i="18"/>
  <c r="E112" i="18"/>
  <c r="F111" i="18"/>
  <c r="E111" i="18"/>
  <c r="F110" i="18"/>
  <c r="E110" i="18"/>
  <c r="F109" i="18"/>
  <c r="E109" i="18"/>
  <c r="F108" i="18"/>
  <c r="E108" i="18"/>
  <c r="F107" i="18"/>
  <c r="E107" i="18"/>
  <c r="F106" i="18"/>
  <c r="E106" i="18"/>
  <c r="F105" i="18"/>
  <c r="E105" i="18"/>
  <c r="F104" i="18"/>
  <c r="E104" i="18"/>
  <c r="F103" i="18"/>
  <c r="E103" i="18"/>
  <c r="F102" i="18"/>
  <c r="E102" i="18"/>
  <c r="F101" i="18"/>
  <c r="E101" i="18"/>
  <c r="E100" i="18"/>
  <c r="F100" i="18" s="1"/>
  <c r="F99" i="18"/>
  <c r="E99" i="18"/>
  <c r="F98" i="18"/>
  <c r="E98" i="18"/>
  <c r="E97" i="18"/>
  <c r="F97" i="18" s="1"/>
  <c r="E96" i="18"/>
  <c r="F96" i="18" s="1"/>
  <c r="F95" i="18"/>
  <c r="E95" i="18"/>
  <c r="F94" i="18"/>
  <c r="E94" i="18"/>
  <c r="E93" i="18"/>
  <c r="F93" i="18" s="1"/>
  <c r="E92" i="18"/>
  <c r="F92" i="18" s="1"/>
  <c r="F91" i="18"/>
  <c r="E91" i="18"/>
  <c r="F90" i="18"/>
  <c r="E90" i="18"/>
  <c r="E89" i="18"/>
  <c r="F89" i="18" s="1"/>
  <c r="E88" i="18"/>
  <c r="F88" i="18" s="1"/>
  <c r="F87" i="18"/>
  <c r="E87" i="18"/>
  <c r="F86" i="18"/>
  <c r="E86" i="18"/>
  <c r="E85" i="18"/>
  <c r="F85" i="18" s="1"/>
  <c r="E84" i="18"/>
  <c r="F84" i="18" s="1"/>
  <c r="F83" i="18"/>
  <c r="E83" i="18"/>
  <c r="E82" i="18"/>
  <c r="E81" i="18"/>
  <c r="F81" i="18" s="1"/>
  <c r="E80" i="18"/>
  <c r="F80" i="18" s="1"/>
  <c r="F79" i="18"/>
  <c r="E79" i="18"/>
  <c r="E78" i="18"/>
  <c r="E77" i="18"/>
  <c r="F77" i="18" s="1"/>
  <c r="E76" i="18"/>
  <c r="F76" i="18" s="1"/>
  <c r="F75" i="18"/>
  <c r="E75" i="18"/>
  <c r="E74" i="18"/>
  <c r="E73" i="18"/>
  <c r="F73" i="18" s="1"/>
  <c r="E72" i="18"/>
  <c r="F72" i="18" s="1"/>
  <c r="F71" i="18"/>
  <c r="E71" i="18"/>
  <c r="E70" i="18"/>
  <c r="E69" i="18"/>
  <c r="F69" i="18" s="1"/>
  <c r="E68" i="18"/>
  <c r="F68" i="18" s="1"/>
  <c r="E67" i="18"/>
  <c r="F67" i="18" s="1"/>
  <c r="E66" i="18"/>
  <c r="T10" i="18" s="1"/>
  <c r="E65" i="18"/>
  <c r="F65" i="18" s="1"/>
  <c r="E64" i="18"/>
  <c r="F64" i="18" s="1"/>
  <c r="E63" i="18"/>
  <c r="F63" i="18" s="1"/>
  <c r="E62" i="18"/>
  <c r="F62" i="18" s="1"/>
  <c r="E61" i="18"/>
  <c r="F61" i="18" s="1"/>
  <c r="E60" i="18"/>
  <c r="F60" i="18" s="1"/>
  <c r="E59" i="18"/>
  <c r="F59" i="18" s="1"/>
  <c r="E58" i="18"/>
  <c r="F58" i="18" s="1"/>
  <c r="E57" i="18"/>
  <c r="F57" i="18" s="1"/>
  <c r="E56" i="18"/>
  <c r="F56" i="18" s="1"/>
  <c r="E55" i="18"/>
  <c r="F55" i="18" s="1"/>
  <c r="E54" i="18"/>
  <c r="M21" i="18" s="1"/>
  <c r="M53" i="18"/>
  <c r="F53" i="18"/>
  <c r="E53" i="18"/>
  <c r="M52" i="18"/>
  <c r="E52" i="18"/>
  <c r="F52" i="18" s="1"/>
  <c r="M51" i="18"/>
  <c r="E51" i="18"/>
  <c r="M50" i="18"/>
  <c r="E50" i="18"/>
  <c r="F51" i="18" s="1"/>
  <c r="M49" i="18"/>
  <c r="E49" i="18"/>
  <c r="M48" i="18"/>
  <c r="E48" i="18"/>
  <c r="F48" i="18" s="1"/>
  <c r="M47" i="18"/>
  <c r="E47" i="18"/>
  <c r="M46" i="18"/>
  <c r="E46" i="18"/>
  <c r="F47" i="18" s="1"/>
  <c r="M45" i="18"/>
  <c r="F45" i="18"/>
  <c r="E45" i="18"/>
  <c r="M44" i="18"/>
  <c r="E44" i="18"/>
  <c r="F44" i="18" s="1"/>
  <c r="M43" i="18"/>
  <c r="E43" i="18"/>
  <c r="M42" i="18"/>
  <c r="E42" i="18"/>
  <c r="F43" i="18" s="1"/>
  <c r="M41" i="18"/>
  <c r="E41" i="18"/>
  <c r="M40" i="18"/>
  <c r="E40" i="18"/>
  <c r="F40" i="18" s="1"/>
  <c r="M39" i="18"/>
  <c r="E39" i="18"/>
  <c r="M38" i="18"/>
  <c r="E38" i="18"/>
  <c r="F39" i="18" s="1"/>
  <c r="M37" i="18"/>
  <c r="F37" i="18"/>
  <c r="E37" i="18"/>
  <c r="M36" i="18"/>
  <c r="E36" i="18"/>
  <c r="F36" i="18" s="1"/>
  <c r="M35" i="18"/>
  <c r="E35" i="18"/>
  <c r="M34" i="18"/>
  <c r="E34" i="18"/>
  <c r="F35" i="18" s="1"/>
  <c r="M33" i="18"/>
  <c r="E33" i="18"/>
  <c r="M32" i="18"/>
  <c r="E32" i="18"/>
  <c r="F32" i="18" s="1"/>
  <c r="E31" i="18"/>
  <c r="M30" i="18"/>
  <c r="E30" i="18"/>
  <c r="F31" i="18" s="1"/>
  <c r="M29" i="18"/>
  <c r="F29" i="18"/>
  <c r="E29" i="18"/>
  <c r="M28" i="18"/>
  <c r="E28" i="18"/>
  <c r="F28" i="18" s="1"/>
  <c r="M27" i="18"/>
  <c r="E27" i="18"/>
  <c r="M26" i="18"/>
  <c r="E26" i="18"/>
  <c r="F27" i="18" s="1"/>
  <c r="M25" i="18"/>
  <c r="E25" i="18"/>
  <c r="M24" i="18"/>
  <c r="E24" i="18"/>
  <c r="F24" i="18" s="1"/>
  <c r="E23" i="18"/>
  <c r="M22" i="18"/>
  <c r="E22" i="18"/>
  <c r="F23" i="18" s="1"/>
  <c r="F21" i="18"/>
  <c r="E21" i="18"/>
  <c r="M20" i="18"/>
  <c r="E20" i="18"/>
  <c r="F20" i="18" s="1"/>
  <c r="E19" i="18"/>
  <c r="M18" i="18"/>
  <c r="E18" i="18"/>
  <c r="F19" i="18" s="1"/>
  <c r="T17" i="18"/>
  <c r="M17" i="18"/>
  <c r="E17" i="18"/>
  <c r="F17" i="18" s="1"/>
  <c r="T16" i="18"/>
  <c r="M16" i="18"/>
  <c r="E16" i="18"/>
  <c r="F16" i="18" s="1"/>
  <c r="T15" i="18"/>
  <c r="M15" i="18"/>
  <c r="E15" i="18"/>
  <c r="M8" i="18" s="1"/>
  <c r="T14" i="18"/>
  <c r="M14" i="18"/>
  <c r="E14" i="18"/>
  <c r="F14" i="18" s="1"/>
  <c r="T13" i="18"/>
  <c r="M13" i="18"/>
  <c r="E13" i="18"/>
  <c r="F13" i="18" s="1"/>
  <c r="T12" i="18"/>
  <c r="M12" i="18"/>
  <c r="E12" i="18"/>
  <c r="F12" i="18" s="1"/>
  <c r="AA11" i="18"/>
  <c r="T11" i="18"/>
  <c r="F11" i="18"/>
  <c r="E11" i="18"/>
  <c r="AA10" i="18"/>
  <c r="M10" i="18"/>
  <c r="E10" i="18"/>
  <c r="F10" i="18" s="1"/>
  <c r="AA9" i="18"/>
  <c r="T9" i="18"/>
  <c r="E9" i="18"/>
  <c r="AA8" i="18"/>
  <c r="E8" i="18"/>
  <c r="F9" i="18" s="1"/>
  <c r="T7" i="18"/>
  <c r="F7" i="18"/>
  <c r="E7" i="18"/>
  <c r="AA6" i="18"/>
  <c r="M6" i="18"/>
  <c r="E6" i="18"/>
  <c r="F150" i="17"/>
  <c r="E150" i="17"/>
  <c r="F149" i="17"/>
  <c r="E149" i="17"/>
  <c r="F148" i="17"/>
  <c r="E148" i="17"/>
  <c r="F147" i="17"/>
  <c r="E147" i="17"/>
  <c r="F146" i="17"/>
  <c r="E146" i="17"/>
  <c r="F145" i="17"/>
  <c r="E145" i="17"/>
  <c r="F144" i="17"/>
  <c r="E144" i="17"/>
  <c r="F143" i="17"/>
  <c r="E143" i="17"/>
  <c r="F142" i="17"/>
  <c r="E142" i="17"/>
  <c r="F141" i="17"/>
  <c r="E141" i="17"/>
  <c r="F140" i="17"/>
  <c r="E140" i="17"/>
  <c r="F139" i="17"/>
  <c r="E139" i="17"/>
  <c r="F138" i="17"/>
  <c r="E138" i="17"/>
  <c r="F137" i="17"/>
  <c r="E137" i="17"/>
  <c r="F136" i="17"/>
  <c r="E136" i="17"/>
  <c r="F135" i="17"/>
  <c r="E135" i="17"/>
  <c r="F134" i="17"/>
  <c r="E134" i="17"/>
  <c r="F133" i="17"/>
  <c r="E133" i="17"/>
  <c r="F132" i="17"/>
  <c r="E132" i="17"/>
  <c r="F131" i="17"/>
  <c r="E131" i="17"/>
  <c r="F130" i="17"/>
  <c r="E130" i="17"/>
  <c r="F129" i="17"/>
  <c r="E129" i="17"/>
  <c r="F128" i="17"/>
  <c r="E128" i="17"/>
  <c r="F127" i="17"/>
  <c r="E127" i="17"/>
  <c r="F126" i="17"/>
  <c r="E126" i="17"/>
  <c r="F125" i="17"/>
  <c r="E125" i="17"/>
  <c r="F124" i="17"/>
  <c r="E124" i="17"/>
  <c r="F123" i="17"/>
  <c r="E123" i="17"/>
  <c r="E122" i="17"/>
  <c r="F121" i="17"/>
  <c r="E121" i="17"/>
  <c r="F122" i="17" s="1"/>
  <c r="F120" i="17"/>
  <c r="E120" i="17"/>
  <c r="F119" i="17"/>
  <c r="E119" i="17"/>
  <c r="E118" i="17"/>
  <c r="F117" i="17"/>
  <c r="E117" i="17"/>
  <c r="F118" i="17" s="1"/>
  <c r="E116" i="17"/>
  <c r="F116" i="17" s="1"/>
  <c r="F115" i="17"/>
  <c r="E115" i="17"/>
  <c r="E114" i="17"/>
  <c r="E113" i="17"/>
  <c r="F114" i="17" s="1"/>
  <c r="E112" i="17"/>
  <c r="F112" i="17" s="1"/>
  <c r="F111" i="17"/>
  <c r="E111" i="17"/>
  <c r="E110" i="17"/>
  <c r="E109" i="17"/>
  <c r="F110" i="17" s="1"/>
  <c r="E108" i="17"/>
  <c r="F108" i="17" s="1"/>
  <c r="F107" i="17"/>
  <c r="E107" i="17"/>
  <c r="E106" i="17"/>
  <c r="E105" i="17"/>
  <c r="F106" i="17" s="1"/>
  <c r="E104" i="17"/>
  <c r="F104" i="17" s="1"/>
  <c r="F103" i="17"/>
  <c r="E103" i="17"/>
  <c r="E102" i="17"/>
  <c r="E101" i="17"/>
  <c r="F102" i="17" s="1"/>
  <c r="E100" i="17"/>
  <c r="F100" i="17" s="1"/>
  <c r="E99" i="17"/>
  <c r="F99" i="17" s="1"/>
  <c r="E98" i="17"/>
  <c r="E97" i="17"/>
  <c r="F98" i="17" s="1"/>
  <c r="E96" i="17"/>
  <c r="M35" i="17" s="1"/>
  <c r="E95" i="17"/>
  <c r="F95" i="17" s="1"/>
  <c r="E94" i="17"/>
  <c r="E93" i="17"/>
  <c r="F94" i="17" s="1"/>
  <c r="E92" i="17"/>
  <c r="F92" i="17" s="1"/>
  <c r="E91" i="17"/>
  <c r="F91" i="17" s="1"/>
  <c r="E90" i="17"/>
  <c r="F90" i="17" s="1"/>
  <c r="E89" i="17"/>
  <c r="F89" i="17" s="1"/>
  <c r="E88" i="17"/>
  <c r="F88" i="17" s="1"/>
  <c r="E87" i="17"/>
  <c r="F87" i="17" s="1"/>
  <c r="E86" i="17"/>
  <c r="F86" i="17" s="1"/>
  <c r="E85" i="17"/>
  <c r="F85" i="17" s="1"/>
  <c r="E84" i="17"/>
  <c r="F84" i="17" s="1"/>
  <c r="E83" i="17"/>
  <c r="F83" i="17" s="1"/>
  <c r="E82" i="17"/>
  <c r="F82" i="17" s="1"/>
  <c r="E81" i="17"/>
  <c r="F81" i="17" s="1"/>
  <c r="E80" i="17"/>
  <c r="F80" i="17" s="1"/>
  <c r="E79" i="17"/>
  <c r="F79" i="17" s="1"/>
  <c r="E78" i="17"/>
  <c r="F78" i="17" s="1"/>
  <c r="E77" i="17"/>
  <c r="F77" i="17" s="1"/>
  <c r="E76" i="17"/>
  <c r="F76" i="17" s="1"/>
  <c r="E75" i="17"/>
  <c r="F75" i="17" s="1"/>
  <c r="E74" i="17"/>
  <c r="F74" i="17" s="1"/>
  <c r="E73" i="17"/>
  <c r="F73" i="17" s="1"/>
  <c r="E72" i="17"/>
  <c r="M27" i="17" s="1"/>
  <c r="E71" i="17"/>
  <c r="F71" i="17" s="1"/>
  <c r="E70" i="17"/>
  <c r="F70" i="17" s="1"/>
  <c r="E69" i="17"/>
  <c r="F69" i="17" s="1"/>
  <c r="E68" i="17"/>
  <c r="F68" i="17" s="1"/>
  <c r="E67" i="17"/>
  <c r="F67" i="17" s="1"/>
  <c r="E66" i="17"/>
  <c r="F66" i="17" s="1"/>
  <c r="E65" i="17"/>
  <c r="F65" i="17" s="1"/>
  <c r="E64" i="17"/>
  <c r="F64" i="17" s="1"/>
  <c r="E63" i="17"/>
  <c r="F63" i="17" s="1"/>
  <c r="E62" i="17"/>
  <c r="F62" i="17" s="1"/>
  <c r="E61" i="17"/>
  <c r="F61" i="17" s="1"/>
  <c r="E60" i="17"/>
  <c r="F60" i="17" s="1"/>
  <c r="E59" i="17"/>
  <c r="F59" i="17" s="1"/>
  <c r="E58" i="17"/>
  <c r="F58" i="17" s="1"/>
  <c r="E57" i="17"/>
  <c r="M22" i="17" s="1"/>
  <c r="E56" i="17"/>
  <c r="F56" i="17" s="1"/>
  <c r="E55" i="17"/>
  <c r="F55" i="17" s="1"/>
  <c r="E54" i="17"/>
  <c r="F54" i="17" s="1"/>
  <c r="M53" i="17"/>
  <c r="F53" i="17"/>
  <c r="E53" i="17"/>
  <c r="M52" i="17"/>
  <c r="E52" i="17"/>
  <c r="F52" i="17" s="1"/>
  <c r="M51" i="17"/>
  <c r="E51" i="17"/>
  <c r="M50" i="17"/>
  <c r="E50" i="17"/>
  <c r="F51" i="17" s="1"/>
  <c r="M49" i="17"/>
  <c r="E49" i="17"/>
  <c r="M48" i="17"/>
  <c r="E48" i="17"/>
  <c r="F49" i="17" s="1"/>
  <c r="M47" i="17"/>
  <c r="F47" i="17"/>
  <c r="E47" i="17"/>
  <c r="M46" i="17"/>
  <c r="E46" i="17"/>
  <c r="F46" i="17" s="1"/>
  <c r="M45" i="17"/>
  <c r="E45" i="17"/>
  <c r="M44" i="17"/>
  <c r="E44" i="17"/>
  <c r="F44" i="17" s="1"/>
  <c r="E43" i="17"/>
  <c r="M42" i="17"/>
  <c r="E42" i="17"/>
  <c r="T8" i="17" s="1"/>
  <c r="M41" i="17"/>
  <c r="E41" i="17"/>
  <c r="M40" i="17"/>
  <c r="E40" i="17"/>
  <c r="F41" i="17" s="1"/>
  <c r="F39" i="17"/>
  <c r="E39" i="17"/>
  <c r="M38" i="17"/>
  <c r="E38" i="17"/>
  <c r="F38" i="17" s="1"/>
  <c r="M37" i="17"/>
  <c r="E37" i="17"/>
  <c r="M36" i="17"/>
  <c r="E36" i="17"/>
  <c r="F36" i="17" s="1"/>
  <c r="E35" i="17"/>
  <c r="M34" i="17"/>
  <c r="E34" i="17"/>
  <c r="F35" i="17" s="1"/>
  <c r="E33" i="17"/>
  <c r="M32" i="17"/>
  <c r="E32" i="17"/>
  <c r="F33" i="17" s="1"/>
  <c r="F31" i="17"/>
  <c r="E31" i="17"/>
  <c r="M30" i="17"/>
  <c r="E30" i="17"/>
  <c r="F30" i="17" s="1"/>
  <c r="E29" i="17"/>
  <c r="M28" i="17"/>
  <c r="E28" i="17"/>
  <c r="F28" i="17" s="1"/>
  <c r="E27" i="17"/>
  <c r="M26" i="17"/>
  <c r="E26" i="17"/>
  <c r="F27" i="17" s="1"/>
  <c r="E25" i="17"/>
  <c r="E24" i="17"/>
  <c r="F25" i="17" s="1"/>
  <c r="F23" i="17"/>
  <c r="E23" i="17"/>
  <c r="E22" i="17"/>
  <c r="F22" i="17" s="1"/>
  <c r="E21" i="17"/>
  <c r="E20" i="17"/>
  <c r="F20" i="17" s="1"/>
  <c r="E19" i="17"/>
  <c r="M18" i="17"/>
  <c r="E18" i="17"/>
  <c r="F19" i="17" s="1"/>
  <c r="T17" i="17"/>
  <c r="M17" i="17"/>
  <c r="E17" i="17"/>
  <c r="F17" i="17" s="1"/>
  <c r="T16" i="17"/>
  <c r="M16" i="17"/>
  <c r="E16" i="17"/>
  <c r="F16" i="17" s="1"/>
  <c r="T15" i="17"/>
  <c r="M15" i="17"/>
  <c r="E15" i="17"/>
  <c r="F15" i="17" s="1"/>
  <c r="T14" i="17"/>
  <c r="M14" i="17"/>
  <c r="E14" i="17"/>
  <c r="F14" i="17" s="1"/>
  <c r="T13" i="17"/>
  <c r="M13" i="17"/>
  <c r="E13" i="17"/>
  <c r="F13" i="17" s="1"/>
  <c r="T12" i="17"/>
  <c r="E12" i="17"/>
  <c r="M8" i="17" s="1"/>
  <c r="AA11" i="17"/>
  <c r="T11" i="17"/>
  <c r="E11" i="17"/>
  <c r="AA10" i="17"/>
  <c r="M10" i="17"/>
  <c r="E10" i="17"/>
  <c r="F10" i="17" s="1"/>
  <c r="AA9" i="17"/>
  <c r="F9" i="17"/>
  <c r="E9" i="17"/>
  <c r="AA8" i="17"/>
  <c r="E8" i="17"/>
  <c r="F8" i="17" s="1"/>
  <c r="AA7" i="17"/>
  <c r="F7" i="17"/>
  <c r="E7" i="17"/>
  <c r="AC6" i="17"/>
  <c r="AA6" i="17"/>
  <c r="AB6" i="17" s="1"/>
  <c r="M6" i="17"/>
  <c r="E6" i="17"/>
  <c r="M20" i="17" l="1"/>
  <c r="F8" i="18"/>
  <c r="M11" i="18"/>
  <c r="F15" i="18"/>
  <c r="M19" i="18"/>
  <c r="F22" i="18"/>
  <c r="F30" i="18"/>
  <c r="F38" i="18"/>
  <c r="F46" i="18"/>
  <c r="F54" i="18"/>
  <c r="F66" i="18"/>
  <c r="F70" i="18"/>
  <c r="F74" i="18"/>
  <c r="F78" i="18"/>
  <c r="F82" i="18"/>
  <c r="F9" i="19"/>
  <c r="H6" i="19" s="1"/>
  <c r="T6" i="17"/>
  <c r="M7" i="17"/>
  <c r="N6" i="17" s="1"/>
  <c r="T10" i="17"/>
  <c r="F12" i="17"/>
  <c r="F18" i="17"/>
  <c r="M23" i="17"/>
  <c r="F26" i="17"/>
  <c r="M31" i="17"/>
  <c r="F34" i="17"/>
  <c r="M39" i="17"/>
  <c r="F42" i="17"/>
  <c r="F50" i="17"/>
  <c r="F72" i="17"/>
  <c r="F96" i="17"/>
  <c r="F25" i="18"/>
  <c r="F33" i="18"/>
  <c r="F41" i="18"/>
  <c r="F49" i="18"/>
  <c r="AA7" i="19"/>
  <c r="AC6" i="19" s="1"/>
  <c r="M9" i="19"/>
  <c r="M21" i="19"/>
  <c r="F24" i="19"/>
  <c r="M29" i="19"/>
  <c r="F32" i="19"/>
  <c r="F40" i="19"/>
  <c r="F48" i="19"/>
  <c r="F57" i="19"/>
  <c r="F81" i="19"/>
  <c r="F94" i="19"/>
  <c r="F135" i="19"/>
  <c r="F144" i="19"/>
  <c r="F21" i="22"/>
  <c r="F20" i="22"/>
  <c r="F29" i="17"/>
  <c r="T8" i="18"/>
  <c r="F90" i="19"/>
  <c r="F99" i="19"/>
  <c r="F122" i="19"/>
  <c r="F131" i="19"/>
  <c r="F45" i="22"/>
  <c r="F44" i="22"/>
  <c r="F37" i="17"/>
  <c r="M9" i="17"/>
  <c r="M21" i="17"/>
  <c r="F24" i="17"/>
  <c r="M29" i="17"/>
  <c r="F32" i="17"/>
  <c r="F40" i="17"/>
  <c r="F48" i="17"/>
  <c r="F57" i="17"/>
  <c r="F93" i="17"/>
  <c r="F97" i="17"/>
  <c r="F101" i="17"/>
  <c r="F105" i="17"/>
  <c r="F109" i="17"/>
  <c r="F113" i="17"/>
  <c r="AA9" i="19"/>
  <c r="M11" i="19"/>
  <c r="F15" i="19"/>
  <c r="M19" i="19"/>
  <c r="F22" i="19"/>
  <c r="M27" i="19"/>
  <c r="F30" i="19"/>
  <c r="F38" i="19"/>
  <c r="F46" i="19"/>
  <c r="F66" i="19"/>
  <c r="F82" i="19"/>
  <c r="F86" i="19"/>
  <c r="F95" i="19"/>
  <c r="F104" i="19"/>
  <c r="F127" i="19"/>
  <c r="F136" i="19"/>
  <c r="F12" i="22"/>
  <c r="M7" i="22"/>
  <c r="N6" i="22" s="1"/>
  <c r="T7" i="17"/>
  <c r="M12" i="17"/>
  <c r="F21" i="17"/>
  <c r="T9" i="17"/>
  <c r="F11" i="17"/>
  <c r="M24" i="17"/>
  <c r="F43" i="17"/>
  <c r="T6" i="18"/>
  <c r="M7" i="18"/>
  <c r="F18" i="18"/>
  <c r="M23" i="18"/>
  <c r="F26" i="18"/>
  <c r="M31" i="18"/>
  <c r="F34" i="18"/>
  <c r="F42" i="18"/>
  <c r="F50" i="18"/>
  <c r="M13" i="19"/>
  <c r="F49" i="19"/>
  <c r="F114" i="19"/>
  <c r="F146" i="19"/>
  <c r="F37" i="22"/>
  <c r="M16" i="22"/>
  <c r="F36" i="22"/>
  <c r="F45" i="17"/>
  <c r="M11" i="17"/>
  <c r="O6" i="17" s="1"/>
  <c r="M19" i="17"/>
  <c r="M43" i="17"/>
  <c r="T8" i="19"/>
  <c r="M25" i="19"/>
  <c r="M33" i="19"/>
  <c r="F13" i="22"/>
  <c r="AA7" i="18"/>
  <c r="AC6" i="18" s="1"/>
  <c r="M9" i="18"/>
  <c r="F11" i="22"/>
  <c r="F10" i="22"/>
  <c r="F29" i="22"/>
  <c r="F28" i="22"/>
  <c r="M25" i="17"/>
  <c r="M33" i="17"/>
  <c r="T6" i="19"/>
  <c r="M7" i="19"/>
  <c r="M23" i="19"/>
  <c r="M31" i="19"/>
  <c r="F102" i="19"/>
  <c r="F134" i="19"/>
  <c r="T8" i="22"/>
  <c r="AA11" i="22"/>
  <c r="T13" i="22"/>
  <c r="T15" i="22"/>
  <c r="M25" i="22"/>
  <c r="M33" i="22"/>
  <c r="M41" i="22"/>
  <c r="M49" i="22"/>
  <c r="F52" i="22"/>
  <c r="F63" i="22"/>
  <c r="T6" i="22"/>
  <c r="T10" i="22"/>
  <c r="F18" i="22"/>
  <c r="M23" i="22"/>
  <c r="F26" i="22"/>
  <c r="M31" i="22"/>
  <c r="F34" i="22"/>
  <c r="M39" i="22"/>
  <c r="F42" i="22"/>
  <c r="M47" i="22"/>
  <c r="F50" i="22"/>
  <c r="F72" i="22"/>
  <c r="F96" i="22"/>
  <c r="F120" i="22"/>
  <c r="F144" i="22"/>
  <c r="T7" i="22"/>
  <c r="F9" i="22"/>
  <c r="M14" i="22"/>
  <c r="M18" i="22"/>
  <c r="AA7" i="22"/>
  <c r="M9" i="22"/>
  <c r="T12" i="22"/>
  <c r="T14" i="22"/>
  <c r="M21" i="22"/>
  <c r="F24" i="22"/>
  <c r="M29" i="22"/>
  <c r="M37" i="22"/>
  <c r="M45" i="22"/>
  <c r="F48" i="22"/>
  <c r="M53" i="22"/>
  <c r="AA9" i="22"/>
  <c r="AB6" i="22" s="1"/>
  <c r="H32" i="13"/>
  <c r="G32" i="13"/>
  <c r="F32" i="13"/>
  <c r="E32" i="13"/>
  <c r="D32" i="13"/>
  <c r="C32" i="13"/>
  <c r="AC6" i="22" l="1"/>
  <c r="O6" i="19"/>
  <c r="O6" i="18"/>
  <c r="G6" i="19"/>
  <c r="F24" i="23"/>
  <c r="H24" i="23"/>
  <c r="D42" i="23"/>
  <c r="O6" i="22"/>
  <c r="H25" i="23"/>
  <c r="H28" i="23"/>
  <c r="U6" i="17"/>
  <c r="V6" i="17"/>
  <c r="G6" i="18"/>
  <c r="G25" i="23"/>
  <c r="V6" i="18"/>
  <c r="U6" i="18"/>
  <c r="V6" i="22"/>
  <c r="U6" i="22"/>
  <c r="H26" i="23"/>
  <c r="F26" i="23"/>
  <c r="E26" i="23"/>
  <c r="AB6" i="18"/>
  <c r="N6" i="18"/>
  <c r="V6" i="19"/>
  <c r="U6" i="19"/>
  <c r="E24" i="23"/>
  <c r="F25" i="23"/>
  <c r="H6" i="17"/>
  <c r="D24" i="23"/>
  <c r="E28" i="23"/>
  <c r="I24" i="23"/>
  <c r="H6" i="22"/>
  <c r="N6" i="19"/>
  <c r="F29" i="23"/>
  <c r="G6" i="17"/>
  <c r="D28" i="23"/>
  <c r="AB6" i="19"/>
  <c r="G6" i="22"/>
  <c r="H6" i="18"/>
  <c r="G24" i="23"/>
  <c r="H2" i="16"/>
  <c r="G2" i="16"/>
  <c r="F2" i="16"/>
  <c r="E2" i="16"/>
  <c r="D2" i="16"/>
  <c r="C2" i="16"/>
  <c r="H37" i="13"/>
  <c r="G37" i="13"/>
  <c r="F37" i="13"/>
  <c r="E37" i="13"/>
  <c r="D37" i="13"/>
  <c r="C37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A22" i="13"/>
  <c r="A21" i="13"/>
  <c r="A20" i="13"/>
  <c r="A19" i="13"/>
  <c r="A18" i="13"/>
  <c r="A17" i="13"/>
  <c r="H9" i="13"/>
  <c r="G9" i="13"/>
  <c r="F9" i="13"/>
  <c r="E9" i="13"/>
  <c r="D9" i="13"/>
  <c r="C9" i="13"/>
  <c r="C45" i="13"/>
  <c r="H33" i="13"/>
  <c r="G33" i="13"/>
  <c r="F33" i="13"/>
  <c r="E33" i="13"/>
  <c r="D33" i="13"/>
  <c r="C33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7" i="23" l="1"/>
  <c r="I27" i="23"/>
  <c r="G27" i="23"/>
  <c r="D25" i="23"/>
  <c r="D26" i="23"/>
  <c r="E27" i="23"/>
  <c r="I25" i="23"/>
  <c r="E25" i="23"/>
  <c r="G29" i="23"/>
  <c r="I29" i="23"/>
  <c r="D29" i="23"/>
  <c r="G28" i="23"/>
  <c r="F28" i="23"/>
  <c r="G26" i="23"/>
  <c r="I26" i="23"/>
  <c r="H29" i="23"/>
  <c r="E29" i="23"/>
  <c r="F27" i="23"/>
  <c r="D27" i="23"/>
  <c r="I28" i="23"/>
  <c r="C46" i="13" a="1"/>
  <c r="C46" i="13" s="1"/>
  <c r="C47" i="13" s="1"/>
  <c r="D43" i="23" l="1" a="1"/>
  <c r="D43" i="23" s="1"/>
  <c r="D44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<sst xmlns="http://schemas.openxmlformats.org/spreadsheetml/2006/main" count="636" uniqueCount="74">
  <si>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</si>
  <si>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</si>
  <si>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</si>
  <si>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</si>
  <si>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</si>
  <si>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</si>
  <si>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</si>
  <si>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</si>
  <si>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</si>
  <si>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</si>
  <si>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</si>
  <si>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</si>
  <si>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</si>
  <si>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</si>
  <si>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&lt;- Selbst benennen</t>
  </si>
  <si>
    <t>&lt;- so lassen</t>
  </si>
  <si>
    <t>&lt;- eigene Mittelwerte</t>
  </si>
  <si>
    <t>&lt;- …und hier Daten erfassen</t>
  </si>
  <si>
    <r>
      <t xml:space="preserve">&lt;- </t>
    </r>
    <r>
      <rPr>
        <b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hier eigene Covarianzen, und damit die Formeln einfach überschreiben</t>
    </r>
  </si>
  <si>
    <r>
      <t xml:space="preserve">&lt;- </t>
    </r>
    <r>
      <rPr>
        <b/>
        <sz val="11"/>
        <color theme="1"/>
        <rFont val="Calibri"/>
        <family val="2"/>
        <scheme val="minor"/>
      </rPr>
      <t>Entweder</t>
    </r>
    <r>
      <rPr>
        <sz val="11"/>
        <color theme="1"/>
        <rFont val="Calibri"/>
        <family val="2"/>
        <scheme val="minor"/>
      </rPr>
      <t>: hier …</t>
    </r>
  </si>
  <si>
    <t>&lt;- hier mit Gewichten spielen, oder den Solver Gewichte finden lassen …</t>
  </si>
  <si>
    <t>&lt;- …und zwar für diese Risiko-Vorgabe</t>
  </si>
  <si>
    <t>&lt;- WAHR = alle Gewichte &gt;= 0, FALSCH = können auch negativ sein</t>
  </si>
  <si>
    <t>&lt;- für Gewichte wie oben gesetzt</t>
  </si>
  <si>
    <t>Portfoliogewichte</t>
  </si>
  <si>
    <t>Optimale Portfoliostruktur</t>
  </si>
  <si>
    <t>&lt;- Check: symmetrisch!</t>
  </si>
  <si>
    <t>!!! Es wird auch etwas eingetragen, wenn es keine Lösung gibt !!!</t>
  </si>
  <si>
    <t>!!! Grafik ist dann nach links konstant; bitte Portfoliogewichte</t>
  </si>
  <si>
    <t>!!! In Calc-Blatt kopieren und schauen, ob das passt</t>
  </si>
  <si>
    <t>Deutscher Aktien Index (DAX)</t>
  </si>
  <si>
    <t>Quelle: https://www.finanzen.net/index/dax-kursindex/historisch</t>
  </si>
  <si>
    <t>Tagesdaten</t>
  </si>
  <si>
    <t>Monatsdaten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</si>
  <si>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</si>
  <si>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</si>
  <si>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</si>
  <si>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</si>
  <si>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</si>
  <si>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</si>
  <si>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</si>
  <si>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</si>
  <si>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</si>
  <si>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</si>
  <si>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</si>
  <si>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</si>
  <si>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</si>
  <si>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</si>
  <si>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</si>
  <si>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</si>
  <si>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</si>
  <si>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Häuserpreisindex Europace</t>
  </si>
  <si>
    <t xml:space="preserve">Quelle: https://report.europace.de/epx-hedonic/				</t>
  </si>
  <si>
    <t>Gesamtindex</t>
  </si>
  <si>
    <t>Equity Residential</t>
  </si>
  <si>
    <t>Quelle: https://www.finanzen.net/historische-kurse/equity_residential</t>
  </si>
  <si>
    <t>Aktien</t>
  </si>
  <si>
    <t>Gold</t>
  </si>
  <si>
    <t>Anleihen</t>
  </si>
  <si>
    <t>Immobilien</t>
  </si>
  <si>
    <t>Standardabweichung</t>
  </si>
  <si>
    <t>Korrelation</t>
  </si>
  <si>
    <t>Kovarianz</t>
  </si>
  <si>
    <t xml:space="preserve">Kovarianz </t>
  </si>
  <si>
    <t>Portfolio Caracteristiks</t>
  </si>
  <si>
    <t>Ziel Stabw.</t>
  </si>
  <si>
    <t>Deka-ImmobilienEuropa</t>
  </si>
  <si>
    <t>https://www.finanzen.net/fonds/deka-immobilieneuropa-de0009809566</t>
  </si>
  <si>
    <t>&lt;0</t>
  </si>
  <si>
    <t>&gt;0</t>
  </si>
  <si>
    <t>Deka</t>
  </si>
  <si>
    <t>Rohstoffe</t>
  </si>
  <si>
    <t>DekaImmobilienfonds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</si>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</sst>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0.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i/>
      <sz val="24"/>
      <color theme="1"/>
      <name val="Arial"/>
      <family val="2"/>
    </font>
    <font>
      <i/>
      <sz val="10"/>
      <color theme="1"/>
      <name val="Arial"/>
      <family val="2"/>
    </font>
    <font>
      <b/>
      <i/>
      <sz val="16"/>
      <color theme="1"/>
      <name val="Arial"/>
      <family val="2"/>
    </font>
    <font>
      <b/>
      <sz val="14"/>
      <color theme="1"/>
      <name val="Arial"/>
      <family val="2"/>
    </font>
    <font>
      <u/>
      <sz val="14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3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7"/>
      <color rgb="FF575756"/>
      <name val="Inherit"/>
    </font>
    <font>
      <b/>
      <sz val="10"/>
      <color rgb="FF575756"/>
      <name val="Arial"/>
      <family val="2"/>
    </font>
    <font>
      <sz val="10"/>
      <color rgb="FF575756"/>
      <name val="Arial"/>
      <family val="2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26">
    <xf numFmtId="0" fontId="0" fillId="0" borderId="0" xfId="0"/>
    <xf numFmtId="0" fontId="0" fillId="0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0" fontId="0" fillId="0" borderId="0" xfId="0" applyNumberFormat="1" applyFill="1" applyBorder="1"/>
    <xf numFmtId="0" fontId="0" fillId="0" borderId="0" xfId="0" applyFill="1"/>
    <xf numFmtId="0" fontId="0" fillId="0" borderId="0" xfId="0" quotePrefix="1" applyAlignment="1">
      <alignment horizontal="center"/>
    </xf>
    <xf numFmtId="0" fontId="3" fillId="0" borderId="0" xfId="0" applyFont="1"/>
    <xf numFmtId="164" fontId="0" fillId="0" borderId="1" xfId="1" applyNumberFormat="1" applyFont="1" applyFill="1" applyBorder="1" applyAlignment="1">
      <alignment horizontal="center"/>
    </xf>
    <xf numFmtId="0" fontId="2" fillId="0" borderId="0" xfId="0" applyFont="1" applyFill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0" fontId="0" fillId="0" borderId="1" xfId="0" applyFont="1" applyBorder="1" applyAlignment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0" fontId="0" fillId="0" borderId="0" xfId="0" quotePrefix="1"/>
    <xf numFmtId="165" fontId="0" fillId="2" borderId="1" xfId="1" applyNumberFormat="1" applyFont="1" applyFill="1" applyBorder="1" applyAlignment="1">
      <alignment horizontal="center"/>
    </xf>
    <xf numFmtId="10" fontId="0" fillId="2" borderId="1" xfId="1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2" borderId="1" xfId="0" applyFill="1" applyBorder="1"/>
    <xf numFmtId="0" fontId="0" fillId="3" borderId="0" xfId="0" quotePrefix="1" applyFill="1"/>
    <xf numFmtId="0" fontId="0" fillId="3" borderId="0" xfId="0" applyFill="1"/>
    <xf numFmtId="164" fontId="0" fillId="2" borderId="1" xfId="0" applyNumberFormat="1" applyFont="1" applyFill="1" applyBorder="1" applyAlignment="1">
      <alignment horizontal="center"/>
    </xf>
    <xf numFmtId="0" fontId="5" fillId="0" borderId="0" xfId="2"/>
    <xf numFmtId="0" fontId="8" fillId="0" borderId="0" xfId="2" applyFont="1"/>
    <xf numFmtId="10" fontId="8" fillId="0" borderId="0" xfId="1" applyNumberFormat="1" applyFont="1" applyFill="1"/>
    <xf numFmtId="10" fontId="8" fillId="0" borderId="0" xfId="1" applyNumberFormat="1" applyFont="1"/>
    <xf numFmtId="10" fontId="8" fillId="0" borderId="0" xfId="1" applyNumberFormat="1" applyFont="1" applyFill="1" applyAlignment="1"/>
    <xf numFmtId="0" fontId="10" fillId="4" borderId="0" xfId="2" applyFont="1" applyFill="1"/>
    <xf numFmtId="0" fontId="10" fillId="0" borderId="0" xfId="2" applyFont="1"/>
    <xf numFmtId="0" fontId="10" fillId="5" borderId="0" xfId="2" applyFont="1" applyFill="1"/>
    <xf numFmtId="0" fontId="10" fillId="6" borderId="0" xfId="2" applyFont="1" applyFill="1"/>
    <xf numFmtId="0" fontId="10" fillId="6" borderId="0" xfId="2" applyFont="1" applyFill="1" applyAlignment="1">
      <alignment horizontal="left"/>
    </xf>
    <xf numFmtId="0" fontId="10" fillId="7" borderId="0" xfId="2" applyFont="1" applyFill="1"/>
    <xf numFmtId="0" fontId="10" fillId="8" borderId="0" xfId="2" applyFont="1" applyFill="1"/>
    <xf numFmtId="10" fontId="10" fillId="0" borderId="0" xfId="1" applyNumberFormat="1" applyFont="1" applyFill="1"/>
    <xf numFmtId="10" fontId="10" fillId="0" borderId="0" xfId="1" applyNumberFormat="1" applyFont="1"/>
    <xf numFmtId="0" fontId="9" fillId="0" borderId="0" xfId="2" applyFont="1"/>
    <xf numFmtId="0" fontId="11" fillId="5" borderId="0" xfId="2" applyFont="1" applyFill="1"/>
    <xf numFmtId="0" fontId="12" fillId="5" borderId="0" xfId="2" applyFont="1" applyFill="1"/>
    <xf numFmtId="0" fontId="14" fillId="6" borderId="0" xfId="2" applyFont="1" applyFill="1"/>
    <xf numFmtId="0" fontId="5" fillId="7" borderId="0" xfId="2" applyFill="1"/>
    <xf numFmtId="0" fontId="14" fillId="8" borderId="0" xfId="0" applyFont="1" applyFill="1"/>
    <xf numFmtId="10" fontId="5" fillId="0" borderId="0" xfId="1" applyNumberFormat="1" applyFont="1" applyFill="1"/>
    <xf numFmtId="10" fontId="5" fillId="0" borderId="0" xfId="1" applyNumberFormat="1" applyFont="1" applyFill="1" applyAlignment="1">
      <alignment horizontal="left"/>
    </xf>
    <xf numFmtId="10" fontId="5" fillId="0" borderId="0" xfId="1" applyNumberFormat="1" applyFont="1"/>
    <xf numFmtId="14" fontId="14" fillId="4" borderId="0" xfId="4" applyNumberFormat="1" applyFont="1" applyFill="1"/>
    <xf numFmtId="4" fontId="14" fillId="4" borderId="0" xfId="4" applyNumberFormat="1" applyFont="1" applyFill="1"/>
    <xf numFmtId="0" fontId="14" fillId="0" borderId="0" xfId="2" applyFont="1"/>
    <xf numFmtId="17" fontId="14" fillId="5" borderId="0" xfId="2" applyNumberFormat="1" applyFont="1" applyFill="1"/>
    <xf numFmtId="43" fontId="14" fillId="5" borderId="0" xfId="7" applyFont="1" applyFill="1"/>
    <xf numFmtId="10" fontId="13" fillId="5" borderId="0" xfId="3" applyNumberFormat="1" applyFont="1" applyFill="1"/>
    <xf numFmtId="10" fontId="14" fillId="5" borderId="0" xfId="1" applyNumberFormat="1" applyFont="1" applyFill="1"/>
    <xf numFmtId="17" fontId="14" fillId="6" borderId="0" xfId="0" applyNumberFormat="1" applyFont="1" applyFill="1"/>
    <xf numFmtId="0" fontId="14" fillId="6" borderId="0" xfId="0" applyFont="1" applyFill="1"/>
    <xf numFmtId="17" fontId="14" fillId="6" borderId="0" xfId="0" applyNumberFormat="1" applyFont="1" applyFill="1" applyAlignment="1">
      <alignment horizontal="left"/>
    </xf>
    <xf numFmtId="10" fontId="13" fillId="6" borderId="0" xfId="3" applyNumberFormat="1" applyFont="1" applyFill="1"/>
    <xf numFmtId="10" fontId="14" fillId="6" borderId="0" xfId="2" applyNumberFormat="1" applyFont="1" applyFill="1"/>
    <xf numFmtId="10" fontId="14" fillId="6" borderId="0" xfId="1" applyNumberFormat="1" applyFont="1" applyFill="1"/>
    <xf numFmtId="17" fontId="14" fillId="7" borderId="0" xfId="2" applyNumberFormat="1" applyFont="1" applyFill="1"/>
    <xf numFmtId="0" fontId="14" fillId="7" borderId="0" xfId="2" applyFont="1" applyFill="1"/>
    <xf numFmtId="17" fontId="14" fillId="7" borderId="0" xfId="2" applyNumberFormat="1" applyFont="1" applyFill="1" applyAlignment="1">
      <alignment horizontal="left"/>
    </xf>
    <xf numFmtId="10" fontId="14" fillId="7" borderId="0" xfId="1" applyNumberFormat="1" applyFont="1" applyFill="1"/>
    <xf numFmtId="10" fontId="14" fillId="7" borderId="0" xfId="2" applyNumberFormat="1" applyFont="1" applyFill="1"/>
    <xf numFmtId="17" fontId="14" fillId="8" borderId="0" xfId="0" applyNumberFormat="1" applyFont="1" applyFill="1"/>
    <xf numFmtId="17" fontId="14" fillId="8" borderId="0" xfId="0" applyNumberFormat="1" applyFont="1" applyFill="1" applyAlignment="1">
      <alignment horizontal="left"/>
    </xf>
    <xf numFmtId="10" fontId="14" fillId="8" borderId="0" xfId="1" applyNumberFormat="1" applyFont="1" applyFill="1"/>
    <xf numFmtId="10" fontId="14" fillId="8" borderId="0" xfId="0" applyNumberFormat="1" applyFont="1" applyFill="1"/>
    <xf numFmtId="17" fontId="14" fillId="0" borderId="0" xfId="1" applyNumberFormat="1" applyFont="1" applyFill="1"/>
    <xf numFmtId="10" fontId="14" fillId="0" borderId="0" xfId="1" applyNumberFormat="1" applyFont="1" applyFill="1"/>
    <xf numFmtId="17" fontId="14" fillId="0" borderId="0" xfId="1" applyNumberFormat="1" applyFont="1" applyFill="1" applyAlignment="1">
      <alignment horizontal="left"/>
    </xf>
    <xf numFmtId="10" fontId="14" fillId="0" borderId="0" xfId="1" applyNumberFormat="1" applyFont="1"/>
    <xf numFmtId="10" fontId="14" fillId="5" borderId="0" xfId="3" applyNumberFormat="1" applyFont="1" applyFill="1"/>
    <xf numFmtId="0" fontId="14" fillId="5" borderId="0" xfId="2" applyFont="1" applyFill="1"/>
    <xf numFmtId="0" fontId="0" fillId="6" borderId="0" xfId="0" applyFill="1"/>
    <xf numFmtId="17" fontId="14" fillId="6" borderId="0" xfId="2" applyNumberFormat="1" applyFont="1" applyFill="1"/>
    <xf numFmtId="17" fontId="14" fillId="6" borderId="0" xfId="2" applyNumberFormat="1" applyFont="1" applyFill="1" applyAlignment="1">
      <alignment horizontal="left"/>
    </xf>
    <xf numFmtId="14" fontId="14" fillId="5" borderId="0" xfId="3" applyNumberFormat="1" applyFont="1" applyFill="1"/>
    <xf numFmtId="10" fontId="0" fillId="6" borderId="0" xfId="0" applyNumberFormat="1" applyFill="1"/>
    <xf numFmtId="0" fontId="14" fillId="8" borderId="0" xfId="0" applyFont="1" applyFill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10" fontId="0" fillId="6" borderId="0" xfId="1" applyNumberFormat="1" applyFont="1" applyFill="1"/>
    <xf numFmtId="17" fontId="14" fillId="0" borderId="0" xfId="0" applyNumberFormat="1" applyFont="1"/>
    <xf numFmtId="0" fontId="14" fillId="0" borderId="0" xfId="0" applyFont="1"/>
    <xf numFmtId="17" fontId="14" fillId="0" borderId="0" xfId="0" applyNumberFormat="1" applyFont="1" applyAlignment="1">
      <alignment horizontal="left"/>
    </xf>
    <xf numFmtId="0" fontId="13" fillId="0" borderId="0" xfId="2" applyFont="1" applyAlignment="1">
      <alignment horizontal="center"/>
    </xf>
    <xf numFmtId="0" fontId="10" fillId="0" borderId="0" xfId="2" applyFont="1" applyAlignment="1">
      <alignment horizontal="left"/>
    </xf>
    <xf numFmtId="10" fontId="13" fillId="0" borderId="0" xfId="3" applyNumberFormat="1" applyFont="1" applyFill="1"/>
    <xf numFmtId="10" fontId="0" fillId="0" borderId="0" xfId="0" applyNumberFormat="1"/>
    <xf numFmtId="10" fontId="0" fillId="0" borderId="0" xfId="1" applyNumberFormat="1" applyFont="1" applyFill="1"/>
    <xf numFmtId="17" fontId="14" fillId="0" borderId="0" xfId="2" applyNumberFormat="1" applyFont="1"/>
    <xf numFmtId="17" fontId="14" fillId="0" borderId="0" xfId="2" applyNumberFormat="1" applyFont="1" applyAlignment="1">
      <alignment horizontal="left"/>
    </xf>
    <xf numFmtId="10" fontId="14" fillId="0" borderId="0" xfId="3" applyNumberFormat="1" applyFont="1" applyFill="1"/>
    <xf numFmtId="14" fontId="14" fillId="0" borderId="0" xfId="3" applyNumberFormat="1" applyFont="1" applyFill="1"/>
    <xf numFmtId="14" fontId="14" fillId="0" borderId="0" xfId="4" applyNumberFormat="1" applyFont="1"/>
    <xf numFmtId="4" fontId="14" fillId="0" borderId="0" xfId="4" applyNumberFormat="1" applyFont="1"/>
    <xf numFmtId="0" fontId="6" fillId="0" borderId="0" xfId="2" applyFont="1"/>
    <xf numFmtId="0" fontId="14" fillId="4" borderId="0" xfId="4" applyFont="1" applyFill="1"/>
    <xf numFmtId="0" fontId="15" fillId="4" borderId="0" xfId="4" applyFont="1" applyFill="1"/>
    <xf numFmtId="0" fontId="5" fillId="4" borderId="0" xfId="4" applyFill="1"/>
    <xf numFmtId="0" fontId="7" fillId="0" borderId="0" xfId="2" applyFont="1"/>
    <xf numFmtId="14" fontId="14" fillId="4" borderId="0" xfId="2" applyNumberFormat="1" applyFont="1" applyFill="1"/>
    <xf numFmtId="4" fontId="14" fillId="4" borderId="0" xfId="2" applyNumberFormat="1" applyFont="1" applyFill="1"/>
    <xf numFmtId="14" fontId="14" fillId="4" borderId="4" xfId="0" applyNumberFormat="1" applyFont="1" applyFill="1" applyBorder="1" applyAlignment="1">
      <alignment horizontal="left" vertical="top" wrapText="1"/>
    </xf>
    <xf numFmtId="0" fontId="14" fillId="4" borderId="4" xfId="0" applyFont="1" applyFill="1" applyBorder="1" applyAlignment="1">
      <alignment horizontal="right" vertical="top" wrapText="1"/>
    </xf>
    <xf numFmtId="0" fontId="14" fillId="4" borderId="0" xfId="2" applyFont="1" applyFill="1"/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14" fontId="17" fillId="0" borderId="0" xfId="0" applyNumberFormat="1" applyFont="1" applyAlignment="1">
      <alignment horizontal="left" vertical="top" wrapText="1"/>
    </xf>
    <xf numFmtId="0" fontId="17" fillId="0" borderId="0" xfId="0" applyFont="1" applyAlignment="1">
      <alignment horizontal="right" vertical="top" wrapText="1"/>
    </xf>
    <xf numFmtId="14" fontId="14" fillId="0" borderId="0" xfId="0" applyNumberFormat="1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5" fillId="0" borderId="0" xfId="4"/>
    <xf numFmtId="0" fontId="0" fillId="4" borderId="0" xfId="0" applyFill="1"/>
    <xf numFmtId="14" fontId="14" fillId="0" borderId="0" xfId="0" applyNumberFormat="1" applyFont="1"/>
    <xf numFmtId="17" fontId="14" fillId="5" borderId="0" xfId="4" applyNumberFormat="1" applyFont="1" applyFill="1"/>
    <xf numFmtId="0" fontId="14" fillId="5" borderId="0" xfId="4" applyFont="1" applyFill="1"/>
    <xf numFmtId="17" fontId="14" fillId="0" borderId="0" xfId="4" applyNumberFormat="1" applyFont="1"/>
    <xf numFmtId="0" fontId="14" fillId="0" borderId="0" xfId="4" applyFont="1"/>
    <xf numFmtId="14" fontId="14" fillId="4" borderId="0" xfId="0" applyNumberFormat="1" applyFont="1" applyFill="1"/>
    <xf numFmtId="0" fontId="14" fillId="4" borderId="0" xfId="0" applyFont="1" applyFill="1"/>
    <xf numFmtId="0" fontId="14" fillId="0" borderId="5" xfId="4" applyFont="1" applyBorder="1"/>
    <xf numFmtId="0" fontId="14" fillId="0" borderId="6" xfId="4" applyFont="1" applyBorder="1"/>
    <xf numFmtId="164" fontId="14" fillId="0" borderId="7" xfId="4" applyNumberFormat="1" applyFont="1" applyBorder="1"/>
    <xf numFmtId="164" fontId="14" fillId="0" borderId="8" xfId="4" applyNumberFormat="1" applyFont="1" applyBorder="1"/>
    <xf numFmtId="164" fontId="14" fillId="0" borderId="9" xfId="4" applyNumberFormat="1" applyFont="1" applyBorder="1"/>
    <xf numFmtId="164" fontId="14" fillId="0" borderId="10" xfId="4" applyNumberFormat="1" applyFont="1" applyBorder="1"/>
    <xf numFmtId="164" fontId="14" fillId="0" borderId="11" xfId="4" applyNumberFormat="1" applyFont="1" applyBorder="1"/>
    <xf numFmtId="10" fontId="14" fillId="0" borderId="0" xfId="6" applyNumberFormat="1" applyFont="1" applyBorder="1"/>
    <xf numFmtId="0" fontId="14" fillId="0" borderId="12" xfId="4" applyFont="1" applyBorder="1"/>
    <xf numFmtId="0" fontId="14" fillId="0" borderId="13" xfId="4" applyFont="1" applyBorder="1"/>
    <xf numFmtId="164" fontId="14" fillId="0" borderId="14" xfId="4" applyNumberFormat="1" applyFont="1" applyBorder="1"/>
    <xf numFmtId="164" fontId="14" fillId="0" borderId="15" xfId="4" applyNumberFormat="1" applyFont="1" applyBorder="1"/>
    <xf numFmtId="164" fontId="14" fillId="0" borderId="16" xfId="4" applyNumberFormat="1" applyFont="1" applyBorder="1"/>
    <xf numFmtId="164" fontId="14" fillId="0" borderId="17" xfId="4" applyNumberFormat="1" applyFont="1" applyBorder="1"/>
    <xf numFmtId="164" fontId="14" fillId="0" borderId="18" xfId="4" applyNumberFormat="1" applyFont="1" applyBorder="1"/>
    <xf numFmtId="164" fontId="14" fillId="0" borderId="0" xfId="4" applyNumberFormat="1" applyFont="1"/>
    <xf numFmtId="0" fontId="20" fillId="0" borderId="0" xfId="4" applyFont="1"/>
    <xf numFmtId="0" fontId="14" fillId="0" borderId="19" xfId="4" applyFont="1" applyBorder="1"/>
    <xf numFmtId="0" fontId="14" fillId="0" borderId="20" xfId="4" applyFont="1" applyBorder="1"/>
    <xf numFmtId="0" fontId="14" fillId="0" borderId="21" xfId="4" applyFont="1" applyBorder="1"/>
    <xf numFmtId="0" fontId="14" fillId="0" borderId="22" xfId="4" applyFont="1" applyBorder="1"/>
    <xf numFmtId="165" fontId="14" fillId="0" borderId="1" xfId="4" applyNumberFormat="1" applyFont="1" applyBorder="1"/>
    <xf numFmtId="165" fontId="14" fillId="0" borderId="23" xfId="4" applyNumberFormat="1" applyFont="1" applyBorder="1"/>
    <xf numFmtId="0" fontId="14" fillId="0" borderId="24" xfId="4" applyFont="1" applyBorder="1"/>
    <xf numFmtId="165" fontId="14" fillId="0" borderId="1" xfId="6" applyNumberFormat="1" applyFont="1" applyBorder="1"/>
    <xf numFmtId="0" fontId="14" fillId="0" borderId="25" xfId="4" applyFont="1" applyBorder="1"/>
    <xf numFmtId="0" fontId="14" fillId="0" borderId="26" xfId="4" applyFont="1" applyBorder="1"/>
    <xf numFmtId="165" fontId="14" fillId="0" borderId="17" xfId="6" applyNumberFormat="1" applyFont="1" applyBorder="1"/>
    <xf numFmtId="165" fontId="14" fillId="0" borderId="17" xfId="4" applyNumberFormat="1" applyFont="1" applyBorder="1"/>
    <xf numFmtId="165" fontId="14" fillId="0" borderId="18" xfId="4" applyNumberFormat="1" applyFont="1" applyBorder="1"/>
    <xf numFmtId="164" fontId="14" fillId="0" borderId="0" xfId="6" applyNumberFormat="1" applyFont="1"/>
    <xf numFmtId="165" fontId="14" fillId="0" borderId="0" xfId="4" applyNumberFormat="1" applyFont="1"/>
    <xf numFmtId="0" fontId="14" fillId="0" borderId="27" xfId="4" applyFont="1" applyBorder="1"/>
    <xf numFmtId="0" fontId="14" fillId="0" borderId="28" xfId="4" applyFont="1" applyBorder="1"/>
    <xf numFmtId="0" fontId="14" fillId="0" borderId="29" xfId="4" applyFont="1" applyBorder="1"/>
    <xf numFmtId="0" fontId="14" fillId="0" borderId="30" xfId="4" applyFont="1" applyBorder="1"/>
    <xf numFmtId="0" fontId="14" fillId="0" borderId="31" xfId="4" applyFont="1" applyBorder="1"/>
    <xf numFmtId="0" fontId="14" fillId="0" borderId="32" xfId="4" applyFont="1" applyBorder="1"/>
    <xf numFmtId="0" fontId="14" fillId="0" borderId="33" xfId="4" applyFont="1" applyBorder="1"/>
    <xf numFmtId="0" fontId="14" fillId="0" borderId="34" xfId="4" applyFont="1" applyBorder="1"/>
    <xf numFmtId="0" fontId="14" fillId="0" borderId="35" xfId="4" applyFont="1" applyBorder="1"/>
    <xf numFmtId="0" fontId="14" fillId="0" borderId="36" xfId="4" applyFont="1" applyBorder="1"/>
    <xf numFmtId="0" fontId="14" fillId="0" borderId="37" xfId="4" applyFont="1" applyBorder="1"/>
    <xf numFmtId="0" fontId="14" fillId="0" borderId="38" xfId="4" applyFont="1" applyBorder="1"/>
    <xf numFmtId="0" fontId="14" fillId="0" borderId="39" xfId="4" applyFont="1" applyBorder="1"/>
    <xf numFmtId="0" fontId="14" fillId="0" borderId="40" xfId="4" applyFont="1" applyBorder="1"/>
    <xf numFmtId="0" fontId="14" fillId="0" borderId="41" xfId="4" applyFont="1" applyBorder="1"/>
    <xf numFmtId="0" fontId="14" fillId="0" borderId="42" xfId="4" applyFont="1" applyBorder="1"/>
    <xf numFmtId="0" fontId="14" fillId="0" borderId="43" xfId="4" applyFont="1" applyBorder="1"/>
    <xf numFmtId="0" fontId="14" fillId="0" borderId="44" xfId="4" applyFont="1" applyBorder="1"/>
    <xf numFmtId="0" fontId="14" fillId="0" borderId="45" xfId="4" applyFont="1" applyBorder="1"/>
    <xf numFmtId="164" fontId="14" fillId="0" borderId="46" xfId="4" applyNumberFormat="1" applyFont="1" applyBorder="1"/>
    <xf numFmtId="164" fontId="14" fillId="0" borderId="47" xfId="4" applyNumberFormat="1" applyFont="1" applyBorder="1"/>
    <xf numFmtId="164" fontId="14" fillId="0" borderId="48" xfId="4" applyNumberFormat="1" applyFont="1" applyBorder="1"/>
    <xf numFmtId="164" fontId="14" fillId="0" borderId="49" xfId="4" applyNumberFormat="1" applyFont="1" applyBorder="1"/>
    <xf numFmtId="164" fontId="14" fillId="0" borderId="50" xfId="4" applyNumberFormat="1" applyFont="1" applyBorder="1"/>
    <xf numFmtId="164" fontId="14" fillId="0" borderId="23" xfId="4" applyNumberFormat="1" applyFont="1" applyBorder="1"/>
    <xf numFmtId="0" fontId="14" fillId="0" borderId="51" xfId="4" applyFont="1" applyBorder="1"/>
    <xf numFmtId="0" fontId="14" fillId="0" borderId="52" xfId="4" applyFont="1" applyBorder="1"/>
    <xf numFmtId="0" fontId="14" fillId="0" borderId="47" xfId="4" applyFont="1" applyBorder="1"/>
    <xf numFmtId="164" fontId="14" fillId="0" borderId="1" xfId="4" applyNumberFormat="1" applyFont="1" applyBorder="1"/>
    <xf numFmtId="164" fontId="14" fillId="0" borderId="1" xfId="1" applyNumberFormat="1" applyFont="1" applyBorder="1"/>
    <xf numFmtId="164" fontId="14" fillId="0" borderId="23" xfId="1" applyNumberFormat="1" applyFont="1" applyBorder="1"/>
    <xf numFmtId="0" fontId="14" fillId="0" borderId="53" xfId="4" applyFont="1" applyBorder="1"/>
    <xf numFmtId="0" fontId="14" fillId="0" borderId="54" xfId="4" applyFont="1" applyBorder="1"/>
    <xf numFmtId="164" fontId="14" fillId="0" borderId="55" xfId="4" applyNumberFormat="1" applyFont="1" applyBorder="1"/>
    <xf numFmtId="164" fontId="14" fillId="0" borderId="56" xfId="4" applyNumberFormat="1" applyFont="1" applyBorder="1"/>
    <xf numFmtId="164" fontId="14" fillId="0" borderId="57" xfId="4" applyNumberFormat="1" applyFont="1" applyBorder="1"/>
    <xf numFmtId="164" fontId="14" fillId="0" borderId="58" xfId="4" applyNumberFormat="1" applyFont="1" applyBorder="1"/>
    <xf numFmtId="164" fontId="14" fillId="0" borderId="59" xfId="4" applyNumberFormat="1" applyFont="1" applyBorder="1"/>
    <xf numFmtId="0" fontId="14" fillId="0" borderId="60" xfId="4" applyFont="1" applyBorder="1"/>
    <xf numFmtId="164" fontId="14" fillId="0" borderId="17" xfId="1" applyNumberFormat="1" applyFont="1" applyBorder="1"/>
    <xf numFmtId="164" fontId="14" fillId="0" borderId="18" xfId="1" applyNumberFormat="1" applyFont="1" applyBorder="1"/>
    <xf numFmtId="164" fontId="14" fillId="0" borderId="61" xfId="4" applyNumberFormat="1" applyFont="1" applyBorder="1"/>
    <xf numFmtId="164" fontId="14" fillId="0" borderId="62" xfId="4" applyNumberFormat="1" applyFont="1" applyBorder="1"/>
    <xf numFmtId="164" fontId="14" fillId="0" borderId="63" xfId="4" applyNumberFormat="1" applyFont="1" applyBorder="1"/>
    <xf numFmtId="0" fontId="14" fillId="0" borderId="0" xfId="4" applyFont="1" applyAlignment="1">
      <alignment horizontal="center"/>
    </xf>
    <xf numFmtId="9" fontId="14" fillId="0" borderId="0" xfId="6" applyFont="1" applyBorder="1"/>
    <xf numFmtId="10" fontId="13" fillId="0" borderId="0" xfId="6" applyNumberFormat="1" applyFont="1" applyBorder="1"/>
    <xf numFmtId="9" fontId="13" fillId="0" borderId="0" xfId="6" applyFont="1" applyBorder="1"/>
    <xf numFmtId="10" fontId="0" fillId="0" borderId="0" xfId="6" applyNumberFormat="1" applyFont="1" applyBorder="1"/>
    <xf numFmtId="9" fontId="0" fillId="0" borderId="0" xfId="6" applyFont="1" applyBorder="1"/>
    <xf numFmtId="10" fontId="0" fillId="2" borderId="1" xfId="0" applyNumberFormat="1" applyFill="1" applyBorder="1"/>
    <xf numFmtId="0" fontId="14" fillId="0" borderId="0" xfId="1" applyNumberFormat="1" applyFont="1" applyAlignment="1">
      <alignment horizontal="left"/>
    </xf>
    <xf numFmtId="10" fontId="14" fillId="0" borderId="0" xfId="0" applyNumberFormat="1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/>
    </xf>
    <xf numFmtId="17" fontId="14" fillId="0" borderId="0" xfId="0" applyNumberFormat="1" applyFont="1" applyAlignment="1">
      <alignment horizontal="right"/>
    </xf>
    <xf numFmtId="0" fontId="14" fillId="0" borderId="0" xfId="2" applyFont="1" applyAlignment="1">
      <alignment horizontal="right"/>
    </xf>
    <xf numFmtId="0" fontId="14" fillId="0" borderId="0" xfId="2" applyFont="1" applyAlignment="1">
      <alignment horizontal="left"/>
    </xf>
    <xf numFmtId="10" fontId="14" fillId="0" borderId="0" xfId="2" applyNumberFormat="1" applyFont="1"/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8" fillId="0" borderId="0" xfId="1" applyNumberFormat="1" applyFont="1" applyFill="1" applyAlignment="1">
      <alignment horizontal="center"/>
    </xf>
    <xf numFmtId="0" fontId="13" fillId="6" borderId="0" xfId="2" applyFont="1" applyFill="1" applyAlignment="1">
      <alignment horizontal="center"/>
    </xf>
    <xf numFmtId="0" fontId="6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8" fillId="0" borderId="0" xfId="2" applyFont="1" applyAlignment="1">
      <alignment horizontal="center"/>
    </xf>
    <xf numFmtId="0" fontId="18" fillId="0" borderId="0" xfId="4" applyFont="1" applyAlignment="1">
      <alignment horizontal="center"/>
    </xf>
    <xf numFmtId="0" fontId="19" fillId="0" borderId="0" xfId="8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7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Aktien Monatskurse</a:t>
            </a:r>
            <a:r>
              <a:rPr lang="de-DE" baseline="0"/>
              <a:t>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Aktien!$D$6:$D$150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Aktien!$E$6:$E$150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45-4B0F-BC92-F477FE06F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Gold</a:t>
            </a:r>
            <a:r>
              <a:rPr lang="de-DE" baseline="0"/>
              <a:t> Monatskurs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Gold!$D$6:$D$150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Gold!$E$6:$E$150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8D-4DE3-A632-89F850256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Anleihen Monatskurs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Anleihen!$D$6:$D$150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Anleihen!$E$6:$E$150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5-44E6-BDBC-ABAB02871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Immobilien!$D$6:$D$150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Immobilien!$E$6:$E$150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9E-4EC8-A8B9-166A31E6C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dateAx>
        <c:axId val="4470867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Offset val="100"/>
        <c:baseTimeUnit val="months"/>
      </c:date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[1]Immobilien!$D$6:$D$150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[1]Immobilien!$E$6:$E$150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8-4AAE-B20F-775B29F4F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catAx>
        <c:axId val="44708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Algn val="ctr"/>
        <c:lblOffset val="100"/>
        <c:noMultiLvlLbl val="1"/>
      </c:cat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'[2]Deka Fond'!$D$6:$D$150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'[2]Deka Fond'!$E$6:$E$150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3-4F27-BE0E-57EE603DA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[1]Deka!$D$6:$D$150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[1]Deka!$E$6:$E$150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09-492A-8919-332C1BAF0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68A-4A7E-A309-62FF89257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Deka!$D$6:$D$150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Deka!$E$6:$E$150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41A-8E94-2D2421140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74D-4260-817B-3DC3143EB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[1]Deka!$D$6:$D$150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[1]Deka!$E$6:$E$150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A-4E3D-94DB-13CA8E2D1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0F4-493B-B499-989E72EE6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'[2]Deka Fond'!$D$6:$D$150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'[2]Deka Fond'!$E$6:$E$150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0-4232-9F85-85ACC1CE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Equity</a:t>
            </a:r>
            <a:r>
              <a:rPr lang="de-DE" baseline="0"/>
              <a:t> Residential Monatsdaten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'Equity Residential'!$D$6:$D$150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Residential'!$E$6:$E$150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4-48F4-B9C2-21EDC0DFD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Calc!$C$11:$H$11</c:f>
              <c:numCache>
                <c:formatCode>0.000%</c:formatCode>
                <c:ptCount val="6"/>
                <c:pt idx="0">
                  <c:v>7.9995953130190547E-2</c:v>
                </c:pt>
                <c:pt idx="1">
                  <c:v>5.8990659032795441E-2</c:v>
                </c:pt>
                <c:pt idx="2">
                  <c:v>1.4862522690441761E-2</c:v>
                </c:pt>
                <c:pt idx="3">
                  <c:v>1.2926389383944933E-2</c:v>
                </c:pt>
                <c:pt idx="4">
                  <c:v>1.1631443798312113E-2</c:v>
                </c:pt>
                <c:pt idx="5">
                  <c:v>0.11846504265296892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7.8801192222852645E-3</c:v>
                </c:pt>
                <c:pt idx="1">
                  <c:v>1.9525534969617207E-2</c:v>
                </c:pt>
                <c:pt idx="2">
                  <c:v>4.5004674887935761E-3</c:v>
                </c:pt>
                <c:pt idx="3">
                  <c:v>1.2169372667847282E-2</c:v>
                </c:pt>
                <c:pt idx="4">
                  <c:v>8.8685807999122396E-4</c:v>
                </c:pt>
                <c:pt idx="5">
                  <c:v>3.0817676397078872E-2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5.5105284696959625E-3</c:v>
                </c:pt>
                <c:pt idx="1">
                  <c:v>1.2888748285752363E-2</c:v>
                </c:pt>
                <c:pt idx="2">
                  <c:v>1.4773145520830764E-2</c:v>
                </c:pt>
                <c:pt idx="3">
                  <c:v>1.6044543101367461E-2</c:v>
                </c:pt>
                <c:pt idx="4">
                  <c:v>1.7192966475308526E-2</c:v>
                </c:pt>
                <c:pt idx="5">
                  <c:v>1.8290068774845576E-2</c:v>
                </c:pt>
                <c:pt idx="6">
                  <c:v>1.93601620585175E-2</c:v>
                </c:pt>
                <c:pt idx="7">
                  <c:v>2.0413907490264262E-2</c:v>
                </c:pt>
                <c:pt idx="8">
                  <c:v>2.1457040662372074E-2</c:v>
                </c:pt>
                <c:pt idx="9">
                  <c:v>2.2492876544089102E-2</c:v>
                </c:pt>
                <c:pt idx="10">
                  <c:v>2.3523412149563588E-2</c:v>
                </c:pt>
                <c:pt idx="11">
                  <c:v>2.453789175301492E-2</c:v>
                </c:pt>
                <c:pt idx="12">
                  <c:v>2.5424837732211478E-2</c:v>
                </c:pt>
                <c:pt idx="13">
                  <c:v>2.6216484229079025E-2</c:v>
                </c:pt>
                <c:pt idx="14">
                  <c:v>2.695061346075793E-2</c:v>
                </c:pt>
                <c:pt idx="15">
                  <c:v>2.7646150258233658E-2</c:v>
                </c:pt>
                <c:pt idx="16">
                  <c:v>2.8314016916408394E-2</c:v>
                </c:pt>
                <c:pt idx="17">
                  <c:v>2.8961139190316586E-2</c:v>
                </c:pt>
                <c:pt idx="18">
                  <c:v>2.9592175710884353E-2</c:v>
                </c:pt>
                <c:pt idx="19">
                  <c:v>3.0210479440018662E-2</c:v>
                </c:pt>
                <c:pt idx="20">
                  <c:v>3.0817676397078872E-2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9520"/>
        <c:crosses val="autoZero"/>
        <c:crossBetween val="midCat"/>
        <c:majorUnit val="1.0000000000000002E-2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Rendite</a:t>
                </a:r>
                <a:r>
                  <a:rPr lang="de-DE" baseline="0"/>
                  <a:t> (Mittelwert)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3.792505040836016E-2</c:v>
                </c:pt>
                <c:pt idx="1">
                  <c:v>2.6649107099684988E-2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5.5835957442851867E-8</c:v>
                </c:pt>
                <c:pt idx="1">
                  <c:v>6.8031766293902951E-2</c:v>
                </c:pt>
                <c:pt idx="2">
                  <c:v>0.14523098252665179</c:v>
                </c:pt>
                <c:pt idx="3">
                  <c:v>0.2042715711854603</c:v>
                </c:pt>
                <c:pt idx="4">
                  <c:v>0.25730727521974234</c:v>
                </c:pt>
                <c:pt idx="5">
                  <c:v>0.31023359311678633</c:v>
                </c:pt>
                <c:pt idx="6">
                  <c:v>0.36018790841637949</c:v>
                </c:pt>
                <c:pt idx="7">
                  <c:v>0.40981555179763018</c:v>
                </c:pt>
                <c:pt idx="8">
                  <c:v>0.45796488380357941</c:v>
                </c:pt>
                <c:pt idx="9">
                  <c:v>0.50460103190262307</c:v>
                </c:pt>
                <c:pt idx="10">
                  <c:v>0.55343766512807369</c:v>
                </c:pt>
                <c:pt idx="11">
                  <c:v>0.5561199073181966</c:v>
                </c:pt>
                <c:pt idx="12">
                  <c:v>0.4775744883740477</c:v>
                </c:pt>
                <c:pt idx="13">
                  <c:v>0.40746852114427889</c:v>
                </c:pt>
                <c:pt idx="14">
                  <c:v>0.34245611969723699</c:v>
                </c:pt>
                <c:pt idx="15">
                  <c:v>0.28086135470569751</c:v>
                </c:pt>
                <c:pt idx="16">
                  <c:v>0.22171697872838891</c:v>
                </c:pt>
                <c:pt idx="17">
                  <c:v>0.16440966655335376</c:v>
                </c:pt>
                <c:pt idx="18">
                  <c:v>0.10852686304602872</c:v>
                </c:pt>
                <c:pt idx="19">
                  <c:v>5.3771639414960853E-2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0.3085048157016459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0.28749208677886623</c:v>
                </c:pt>
                <c:pt idx="1">
                  <c:v>0.88745006555625405</c:v>
                </c:pt>
                <c:pt idx="2">
                  <c:v>0.77243283309079225</c:v>
                </c:pt>
                <c:pt idx="3">
                  <c:v>0.66850422458177527</c:v>
                </c:pt>
                <c:pt idx="4">
                  <c:v>0.57480615584739314</c:v>
                </c:pt>
                <c:pt idx="5">
                  <c:v>0.48392637444353781</c:v>
                </c:pt>
                <c:pt idx="6">
                  <c:v>0.39629457153669617</c:v>
                </c:pt>
                <c:pt idx="7">
                  <c:v>0.30973721903126344</c:v>
                </c:pt>
                <c:pt idx="8">
                  <c:v>0.22464410483721514</c:v>
                </c:pt>
                <c:pt idx="9">
                  <c:v>0.14085858287393357</c:v>
                </c:pt>
                <c:pt idx="10">
                  <c:v>5.6024820100243913E-2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DekaImmobilienfonds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0.36607799127517016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1.7869061050157953E-2</c:v>
                </c:pt>
                <c:pt idx="2">
                  <c:v>8.2336184382555966E-2</c:v>
                </c:pt>
                <c:pt idx="3">
                  <c:v>0.12722420423276448</c:v>
                </c:pt>
                <c:pt idx="4">
                  <c:v>0.16788656893286458</c:v>
                </c:pt>
                <c:pt idx="5">
                  <c:v>0.20584003243967586</c:v>
                </c:pt>
                <c:pt idx="6">
                  <c:v>0.2435175200469244</c:v>
                </c:pt>
                <c:pt idx="7">
                  <c:v>0.28044722917110643</c:v>
                </c:pt>
                <c:pt idx="8">
                  <c:v>0.31739101135920544</c:v>
                </c:pt>
                <c:pt idx="9">
                  <c:v>0.35454038522344333</c:v>
                </c:pt>
                <c:pt idx="10">
                  <c:v>0.39053751477168241</c:v>
                </c:pt>
                <c:pt idx="11">
                  <c:v>0.4438800926818034</c:v>
                </c:pt>
                <c:pt idx="12">
                  <c:v>0.5224255116259523</c:v>
                </c:pt>
                <c:pt idx="13">
                  <c:v>0.59253147885572111</c:v>
                </c:pt>
                <c:pt idx="14">
                  <c:v>0.65754388030276301</c:v>
                </c:pt>
                <c:pt idx="15">
                  <c:v>0.71913864529430249</c:v>
                </c:pt>
                <c:pt idx="16">
                  <c:v>0.77828302127161109</c:v>
                </c:pt>
                <c:pt idx="17">
                  <c:v>0.83559033344664624</c:v>
                </c:pt>
                <c:pt idx="18">
                  <c:v>0.89147313695397123</c:v>
                </c:pt>
                <c:pt idx="19">
                  <c:v>0.94622836058503912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728383</xdr:colOff>
      <xdr:row>54</xdr:row>
      <xdr:rowOff>141194</xdr:rowOff>
    </xdr:from>
    <xdr:to>
      <xdr:col>19</xdr:col>
      <xdr:colOff>481853</xdr:colOff>
      <xdr:row>72</xdr:row>
      <xdr:rowOff>11207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55</xdr:row>
      <xdr:rowOff>40341</xdr:rowOff>
    </xdr:from>
    <xdr:to>
      <xdr:col>19</xdr:col>
      <xdr:colOff>627529</xdr:colOff>
      <xdr:row>74</xdr:row>
      <xdr:rowOff>78441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11205</xdr:colOff>
      <xdr:row>55</xdr:row>
      <xdr:rowOff>6724</xdr:rowOff>
    </xdr:from>
    <xdr:to>
      <xdr:col>19</xdr:col>
      <xdr:colOff>627530</xdr:colOff>
      <xdr:row>73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44822</xdr:colOff>
      <xdr:row>55</xdr:row>
      <xdr:rowOff>40339</xdr:rowOff>
    </xdr:from>
    <xdr:to>
      <xdr:col>19</xdr:col>
      <xdr:colOff>560294</xdr:colOff>
      <xdr:row>74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2</xdr:col>
          <xdr:colOff>123825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rtfolioOptimierung_6%20Immo%20statt%20ER%20Mon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rba/Desktop/Sabrina%20Thesis/Wenn%20der%20nicht%20stimmt%20drehe%20ich%20durch/Indirekte%20Anlagen/PortfolioOptimierung_6%20Indirekte%20Anlagen%20Mon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ktien"/>
      <sheetName val="Gold"/>
      <sheetName val="Anleihen"/>
      <sheetName val="Immobilien"/>
      <sheetName val="Deka"/>
      <sheetName val="Equity Residential"/>
      <sheetName val="Berechnungen Monat"/>
      <sheetName val="Calc"/>
      <sheetName val="Result"/>
    </sheetNames>
    <sheetDataSet>
      <sheetData sheetId="0"/>
      <sheetData sheetId="1"/>
      <sheetData sheetId="2"/>
      <sheetData sheetId="3">
        <row r="6">
          <cell r="D6">
            <v>39448</v>
          </cell>
          <cell r="E6">
            <v>96.55</v>
          </cell>
        </row>
        <row r="7">
          <cell r="D7">
            <v>39479</v>
          </cell>
          <cell r="E7">
            <v>96.46</v>
          </cell>
        </row>
        <row r="8">
          <cell r="D8">
            <v>39508</v>
          </cell>
          <cell r="E8">
            <v>97.02</v>
          </cell>
        </row>
        <row r="9">
          <cell r="D9">
            <v>39539</v>
          </cell>
          <cell r="E9">
            <v>97.5</v>
          </cell>
        </row>
        <row r="10">
          <cell r="D10">
            <v>39569</v>
          </cell>
          <cell r="E10">
            <v>97.9</v>
          </cell>
        </row>
        <row r="11">
          <cell r="D11">
            <v>39600</v>
          </cell>
          <cell r="E11">
            <v>98.28</v>
          </cell>
        </row>
        <row r="12">
          <cell r="D12">
            <v>39630</v>
          </cell>
          <cell r="E12">
            <v>98.75</v>
          </cell>
        </row>
        <row r="13">
          <cell r="D13">
            <v>39661</v>
          </cell>
          <cell r="E13">
            <v>99.28</v>
          </cell>
        </row>
        <row r="14">
          <cell r="D14">
            <v>39692</v>
          </cell>
          <cell r="E14">
            <v>99.06</v>
          </cell>
        </row>
        <row r="15">
          <cell r="D15">
            <v>39722</v>
          </cell>
          <cell r="E15">
            <v>98.94</v>
          </cell>
        </row>
        <row r="16">
          <cell r="D16">
            <v>39753</v>
          </cell>
          <cell r="E16">
            <v>98.76</v>
          </cell>
        </row>
        <row r="17">
          <cell r="D17">
            <v>39783</v>
          </cell>
          <cell r="E17">
            <v>98.43</v>
          </cell>
        </row>
        <row r="18">
          <cell r="D18">
            <v>39814</v>
          </cell>
          <cell r="E18">
            <v>97.64</v>
          </cell>
        </row>
        <row r="19">
          <cell r="D19">
            <v>39845</v>
          </cell>
          <cell r="E19">
            <v>97.06</v>
          </cell>
        </row>
        <row r="20">
          <cell r="D20">
            <v>39873</v>
          </cell>
          <cell r="E20">
            <v>96.33</v>
          </cell>
        </row>
        <row r="21">
          <cell r="D21">
            <v>39904</v>
          </cell>
          <cell r="E21">
            <v>95.64</v>
          </cell>
        </row>
        <row r="22">
          <cell r="D22">
            <v>39934</v>
          </cell>
          <cell r="E22">
            <v>95.5</v>
          </cell>
        </row>
        <row r="23">
          <cell r="D23">
            <v>39965</v>
          </cell>
          <cell r="E23">
            <v>95.56</v>
          </cell>
        </row>
        <row r="24">
          <cell r="D24">
            <v>39995</v>
          </cell>
          <cell r="E24">
            <v>95.91</v>
          </cell>
        </row>
        <row r="25">
          <cell r="D25">
            <v>40026</v>
          </cell>
          <cell r="E25">
            <v>96.11</v>
          </cell>
        </row>
        <row r="26">
          <cell r="D26">
            <v>40057</v>
          </cell>
          <cell r="E26">
            <v>96.36</v>
          </cell>
        </row>
        <row r="27">
          <cell r="D27">
            <v>40087</v>
          </cell>
          <cell r="E27">
            <v>96.52</v>
          </cell>
        </row>
        <row r="28">
          <cell r="D28">
            <v>40118</v>
          </cell>
          <cell r="E28">
            <v>96.63</v>
          </cell>
        </row>
        <row r="29">
          <cell r="D29">
            <v>40148</v>
          </cell>
          <cell r="E29">
            <v>96.57</v>
          </cell>
        </row>
        <row r="30">
          <cell r="D30">
            <v>40179</v>
          </cell>
          <cell r="E30">
            <v>96.84</v>
          </cell>
        </row>
        <row r="31">
          <cell r="D31">
            <v>40210</v>
          </cell>
          <cell r="E31">
            <v>96.24</v>
          </cell>
        </row>
        <row r="32">
          <cell r="D32">
            <v>40238</v>
          </cell>
          <cell r="E32">
            <v>96.54</v>
          </cell>
        </row>
        <row r="33">
          <cell r="D33">
            <v>40269</v>
          </cell>
          <cell r="E33">
            <v>96.59</v>
          </cell>
        </row>
        <row r="34">
          <cell r="D34">
            <v>40299</v>
          </cell>
          <cell r="E34">
            <v>96.88</v>
          </cell>
        </row>
        <row r="35">
          <cell r="D35">
            <v>40330</v>
          </cell>
          <cell r="E35">
            <v>98.24</v>
          </cell>
        </row>
        <row r="36">
          <cell r="D36">
            <v>40360</v>
          </cell>
          <cell r="E36">
            <v>98.96</v>
          </cell>
        </row>
        <row r="37">
          <cell r="D37">
            <v>40391</v>
          </cell>
          <cell r="E37">
            <v>99.98</v>
          </cell>
        </row>
        <row r="38">
          <cell r="D38">
            <v>40422</v>
          </cell>
          <cell r="E38">
            <v>100</v>
          </cell>
        </row>
        <row r="39">
          <cell r="D39">
            <v>40452</v>
          </cell>
          <cell r="E39">
            <v>100.26</v>
          </cell>
        </row>
        <row r="40">
          <cell r="D40">
            <v>40483</v>
          </cell>
          <cell r="E40">
            <v>100.15</v>
          </cell>
        </row>
        <row r="41">
          <cell r="D41">
            <v>40513</v>
          </cell>
          <cell r="E41">
            <v>100.01</v>
          </cell>
        </row>
        <row r="42">
          <cell r="D42">
            <v>40544</v>
          </cell>
          <cell r="E42">
            <v>100.03</v>
          </cell>
        </row>
        <row r="43">
          <cell r="D43">
            <v>40575</v>
          </cell>
          <cell r="E43">
            <v>100.53</v>
          </cell>
        </row>
        <row r="44">
          <cell r="D44">
            <v>40603</v>
          </cell>
          <cell r="E44">
            <v>100.14</v>
          </cell>
        </row>
        <row r="45">
          <cell r="D45">
            <v>40634</v>
          </cell>
          <cell r="E45">
            <v>99.86</v>
          </cell>
        </row>
        <row r="46">
          <cell r="D46">
            <v>40664</v>
          </cell>
          <cell r="E46">
            <v>99.82</v>
          </cell>
        </row>
        <row r="47">
          <cell r="D47">
            <v>40695</v>
          </cell>
          <cell r="E47">
            <v>100.25</v>
          </cell>
        </row>
        <row r="48">
          <cell r="D48">
            <v>40725</v>
          </cell>
          <cell r="E48">
            <v>100.77</v>
          </cell>
        </row>
        <row r="49">
          <cell r="D49">
            <v>40756</v>
          </cell>
          <cell r="E49">
            <v>101.95</v>
          </cell>
        </row>
        <row r="50">
          <cell r="D50">
            <v>40787</v>
          </cell>
          <cell r="E50">
            <v>103.14</v>
          </cell>
        </row>
        <row r="51">
          <cell r="D51">
            <v>40817</v>
          </cell>
          <cell r="E51">
            <v>104.48</v>
          </cell>
        </row>
        <row r="52">
          <cell r="D52">
            <v>40848</v>
          </cell>
          <cell r="E52">
            <v>104.91</v>
          </cell>
        </row>
        <row r="53">
          <cell r="D53">
            <v>40878</v>
          </cell>
          <cell r="E53">
            <v>104.72</v>
          </cell>
        </row>
        <row r="54">
          <cell r="D54">
            <v>40909</v>
          </cell>
          <cell r="E54">
            <v>105.1</v>
          </cell>
        </row>
        <row r="55">
          <cell r="D55">
            <v>40940</v>
          </cell>
          <cell r="E55">
            <v>105.62</v>
          </cell>
        </row>
        <row r="56">
          <cell r="D56">
            <v>40969</v>
          </cell>
          <cell r="E56">
            <v>106.34</v>
          </cell>
        </row>
        <row r="57">
          <cell r="D57">
            <v>41000</v>
          </cell>
          <cell r="E57">
            <v>105.31</v>
          </cell>
        </row>
        <row r="58">
          <cell r="D58">
            <v>41030</v>
          </cell>
          <cell r="E58">
            <v>105.44</v>
          </cell>
        </row>
        <row r="59">
          <cell r="D59">
            <v>41061</v>
          </cell>
          <cell r="E59">
            <v>106.22</v>
          </cell>
        </row>
        <row r="60">
          <cell r="D60">
            <v>41091</v>
          </cell>
          <cell r="E60">
            <v>107.02</v>
          </cell>
        </row>
        <row r="61">
          <cell r="D61">
            <v>41122</v>
          </cell>
          <cell r="E61">
            <v>107.14</v>
          </cell>
        </row>
        <row r="62">
          <cell r="D62">
            <v>41153</v>
          </cell>
          <cell r="E62">
            <v>106.71</v>
          </cell>
        </row>
        <row r="63">
          <cell r="D63">
            <v>41183</v>
          </cell>
          <cell r="E63">
            <v>107.81</v>
          </cell>
        </row>
        <row r="64">
          <cell r="D64">
            <v>41214</v>
          </cell>
          <cell r="E64">
            <v>108.31</v>
          </cell>
        </row>
        <row r="65">
          <cell r="D65">
            <v>41244</v>
          </cell>
          <cell r="E65">
            <v>109.51</v>
          </cell>
        </row>
        <row r="66">
          <cell r="D66">
            <v>41275</v>
          </cell>
          <cell r="E66">
            <v>108.65</v>
          </cell>
        </row>
        <row r="67">
          <cell r="D67">
            <v>41306</v>
          </cell>
          <cell r="E67">
            <v>108.45</v>
          </cell>
        </row>
        <row r="68">
          <cell r="D68">
            <v>41334</v>
          </cell>
          <cell r="E68">
            <v>109.19</v>
          </cell>
        </row>
        <row r="69">
          <cell r="D69">
            <v>41365</v>
          </cell>
          <cell r="E69">
            <v>111.17</v>
          </cell>
        </row>
        <row r="70">
          <cell r="D70">
            <v>41395</v>
          </cell>
          <cell r="E70">
            <v>112.85</v>
          </cell>
        </row>
        <row r="71">
          <cell r="D71">
            <v>41426</v>
          </cell>
          <cell r="E71">
            <v>112.43</v>
          </cell>
        </row>
        <row r="72">
          <cell r="D72">
            <v>41456</v>
          </cell>
          <cell r="E72">
            <v>113.21</v>
          </cell>
        </row>
        <row r="73">
          <cell r="D73">
            <v>41487</v>
          </cell>
          <cell r="E73">
            <v>113.79</v>
          </cell>
        </row>
        <row r="74">
          <cell r="D74">
            <v>41518</v>
          </cell>
          <cell r="E74">
            <v>115.17</v>
          </cell>
        </row>
        <row r="75">
          <cell r="D75">
            <v>41548</v>
          </cell>
          <cell r="E75">
            <v>114.81</v>
          </cell>
        </row>
        <row r="76">
          <cell r="D76">
            <v>41579</v>
          </cell>
          <cell r="E76">
            <v>114.12</v>
          </cell>
        </row>
        <row r="77">
          <cell r="D77">
            <v>41609</v>
          </cell>
          <cell r="E77">
            <v>113.02</v>
          </cell>
        </row>
        <row r="78">
          <cell r="D78">
            <v>41640</v>
          </cell>
          <cell r="E78">
            <v>112.27</v>
          </cell>
        </row>
        <row r="79">
          <cell r="D79">
            <v>41671</v>
          </cell>
          <cell r="E79">
            <v>112.22</v>
          </cell>
        </row>
        <row r="80">
          <cell r="D80">
            <v>41699</v>
          </cell>
          <cell r="E80">
            <v>112.73</v>
          </cell>
        </row>
        <row r="81">
          <cell r="D81">
            <v>41730</v>
          </cell>
          <cell r="E81">
            <v>113.51</v>
          </cell>
        </row>
        <row r="82">
          <cell r="D82">
            <v>41760</v>
          </cell>
          <cell r="E82">
            <v>114.56</v>
          </cell>
        </row>
        <row r="83">
          <cell r="D83">
            <v>41791</v>
          </cell>
          <cell r="E83">
            <v>115.1</v>
          </cell>
        </row>
        <row r="84">
          <cell r="D84">
            <v>41821</v>
          </cell>
          <cell r="E84">
            <v>116.11</v>
          </cell>
        </row>
        <row r="85">
          <cell r="D85">
            <v>41852</v>
          </cell>
          <cell r="E85">
            <v>116.09</v>
          </cell>
        </row>
        <row r="86">
          <cell r="D86">
            <v>41883</v>
          </cell>
          <cell r="E86">
            <v>117.01</v>
          </cell>
        </row>
        <row r="87">
          <cell r="D87">
            <v>41913</v>
          </cell>
          <cell r="E87">
            <v>117.09</v>
          </cell>
        </row>
        <row r="88">
          <cell r="D88">
            <v>41944</v>
          </cell>
          <cell r="E88">
            <v>117.24</v>
          </cell>
        </row>
        <row r="89">
          <cell r="D89">
            <v>41974</v>
          </cell>
          <cell r="E89">
            <v>117.21</v>
          </cell>
        </row>
        <row r="90">
          <cell r="D90">
            <v>42005</v>
          </cell>
          <cell r="E90">
            <v>118.36</v>
          </cell>
        </row>
        <row r="91">
          <cell r="D91">
            <v>42036</v>
          </cell>
          <cell r="E91">
            <v>119.33</v>
          </cell>
        </row>
        <row r="92">
          <cell r="D92">
            <v>42064</v>
          </cell>
          <cell r="E92">
            <v>120.03</v>
          </cell>
        </row>
        <row r="93">
          <cell r="D93">
            <v>42095</v>
          </cell>
          <cell r="E93">
            <v>120.3</v>
          </cell>
        </row>
        <row r="94">
          <cell r="D94">
            <v>42125</v>
          </cell>
          <cell r="E94">
            <v>120.68</v>
          </cell>
        </row>
        <row r="95">
          <cell r="D95">
            <v>42156</v>
          </cell>
          <cell r="E95">
            <v>121.37</v>
          </cell>
        </row>
        <row r="96">
          <cell r="D96">
            <v>42186</v>
          </cell>
          <cell r="E96">
            <v>122.26</v>
          </cell>
        </row>
        <row r="97">
          <cell r="D97">
            <v>42217</v>
          </cell>
          <cell r="E97">
            <v>122.82</v>
          </cell>
        </row>
        <row r="98">
          <cell r="D98">
            <v>42248</v>
          </cell>
          <cell r="E98">
            <v>122.53</v>
          </cell>
        </row>
        <row r="99">
          <cell r="D99">
            <v>42278</v>
          </cell>
          <cell r="E99">
            <v>122.07</v>
          </cell>
        </row>
        <row r="100">
          <cell r="D100">
            <v>42309</v>
          </cell>
          <cell r="E100">
            <v>122.49</v>
          </cell>
        </row>
        <row r="101">
          <cell r="D101">
            <v>42339</v>
          </cell>
          <cell r="E101">
            <v>123.74</v>
          </cell>
        </row>
        <row r="102">
          <cell r="D102">
            <v>42370</v>
          </cell>
          <cell r="E102">
            <v>125.45</v>
          </cell>
        </row>
        <row r="103">
          <cell r="D103">
            <v>42401</v>
          </cell>
          <cell r="E103">
            <v>126.53</v>
          </cell>
        </row>
        <row r="104">
          <cell r="D104">
            <v>42430</v>
          </cell>
          <cell r="E104">
            <v>126.5</v>
          </cell>
        </row>
        <row r="105">
          <cell r="D105">
            <v>42461</v>
          </cell>
          <cell r="E105">
            <v>127.19</v>
          </cell>
        </row>
        <row r="106">
          <cell r="D106">
            <v>42491</v>
          </cell>
          <cell r="E106">
            <v>128.46</v>
          </cell>
        </row>
        <row r="107">
          <cell r="D107">
            <v>42522</v>
          </cell>
          <cell r="E107">
            <v>131.01</v>
          </cell>
        </row>
        <row r="108">
          <cell r="D108">
            <v>42552</v>
          </cell>
          <cell r="E108">
            <v>132.38999999999999</v>
          </cell>
        </row>
        <row r="109">
          <cell r="D109">
            <v>42583</v>
          </cell>
          <cell r="E109">
            <v>132.66</v>
          </cell>
        </row>
        <row r="110">
          <cell r="D110">
            <v>42614</v>
          </cell>
          <cell r="E110">
            <v>132.56</v>
          </cell>
        </row>
        <row r="111">
          <cell r="D111">
            <v>42644</v>
          </cell>
          <cell r="E111">
            <v>133.08000000000001</v>
          </cell>
        </row>
        <row r="112">
          <cell r="D112">
            <v>42675</v>
          </cell>
          <cell r="E112">
            <v>134.35</v>
          </cell>
        </row>
        <row r="113">
          <cell r="D113">
            <v>42705</v>
          </cell>
          <cell r="E113">
            <v>136.38999999999999</v>
          </cell>
        </row>
        <row r="114">
          <cell r="D114">
            <v>42736</v>
          </cell>
          <cell r="E114">
            <v>135.91</v>
          </cell>
        </row>
        <row r="115">
          <cell r="D115">
            <v>42767</v>
          </cell>
          <cell r="E115">
            <v>136.49</v>
          </cell>
        </row>
        <row r="116">
          <cell r="D116">
            <v>42795</v>
          </cell>
          <cell r="E116">
            <v>136.07</v>
          </cell>
        </row>
        <row r="117">
          <cell r="D117">
            <v>42826</v>
          </cell>
          <cell r="E117">
            <v>137.53</v>
          </cell>
        </row>
        <row r="118">
          <cell r="D118">
            <v>42856</v>
          </cell>
          <cell r="E118">
            <v>138.1</v>
          </cell>
        </row>
        <row r="119">
          <cell r="D119">
            <v>42887</v>
          </cell>
          <cell r="E119">
            <v>139.53</v>
          </cell>
        </row>
        <row r="120">
          <cell r="D120">
            <v>42917</v>
          </cell>
          <cell r="E120">
            <v>140</v>
          </cell>
        </row>
        <row r="121">
          <cell r="D121">
            <v>42948</v>
          </cell>
          <cell r="E121">
            <v>140.22</v>
          </cell>
        </row>
        <row r="122">
          <cell r="D122">
            <v>42979</v>
          </cell>
          <cell r="E122">
            <v>140.83000000000001</v>
          </cell>
        </row>
        <row r="123">
          <cell r="D123">
            <v>43009</v>
          </cell>
          <cell r="E123">
            <v>141.29</v>
          </cell>
        </row>
        <row r="124">
          <cell r="D124">
            <v>43040</v>
          </cell>
          <cell r="E124">
            <v>142.22</v>
          </cell>
        </row>
        <row r="125">
          <cell r="D125">
            <v>43070</v>
          </cell>
          <cell r="E125">
            <v>142.81</v>
          </cell>
        </row>
        <row r="126">
          <cell r="D126">
            <v>43101</v>
          </cell>
          <cell r="E126">
            <v>142.49</v>
          </cell>
        </row>
        <row r="127">
          <cell r="D127">
            <v>43132</v>
          </cell>
          <cell r="E127">
            <v>143.18</v>
          </cell>
        </row>
        <row r="128">
          <cell r="D128">
            <v>43160</v>
          </cell>
          <cell r="E128">
            <v>144.13999999999999</v>
          </cell>
        </row>
        <row r="129">
          <cell r="D129">
            <v>43191</v>
          </cell>
          <cell r="E129">
            <v>146.27000000000001</v>
          </cell>
        </row>
        <row r="130">
          <cell r="D130">
            <v>43221</v>
          </cell>
          <cell r="E130">
            <v>146.79</v>
          </cell>
        </row>
        <row r="131">
          <cell r="D131">
            <v>43252</v>
          </cell>
          <cell r="E131">
            <v>147.74</v>
          </cell>
        </row>
        <row r="132">
          <cell r="D132">
            <v>43282</v>
          </cell>
          <cell r="E132">
            <v>149.63</v>
          </cell>
        </row>
        <row r="133">
          <cell r="D133">
            <v>43313</v>
          </cell>
          <cell r="E133">
            <v>150.41</v>
          </cell>
        </row>
        <row r="134">
          <cell r="D134">
            <v>43344</v>
          </cell>
          <cell r="E134">
            <v>151.09</v>
          </cell>
        </row>
        <row r="135">
          <cell r="D135">
            <v>43374</v>
          </cell>
          <cell r="E135">
            <v>152.86000000000001</v>
          </cell>
        </row>
        <row r="136">
          <cell r="D136">
            <v>43405</v>
          </cell>
          <cell r="E136">
            <v>154.19999999999999</v>
          </cell>
        </row>
        <row r="137">
          <cell r="D137">
            <v>43435</v>
          </cell>
          <cell r="E137">
            <v>154.18</v>
          </cell>
        </row>
        <row r="138">
          <cell r="D138">
            <v>43466</v>
          </cell>
          <cell r="E138">
            <v>154.15</v>
          </cell>
        </row>
        <row r="139">
          <cell r="D139">
            <v>43497</v>
          </cell>
          <cell r="E139">
            <v>154.13999999999999</v>
          </cell>
        </row>
        <row r="140">
          <cell r="D140">
            <v>43525</v>
          </cell>
          <cell r="E140">
            <v>155.74</v>
          </cell>
        </row>
        <row r="141">
          <cell r="D141">
            <v>43556</v>
          </cell>
          <cell r="E141">
            <v>157.72</v>
          </cell>
        </row>
        <row r="142">
          <cell r="D142">
            <v>43586</v>
          </cell>
          <cell r="E142">
            <v>160.02000000000001</v>
          </cell>
        </row>
        <row r="143">
          <cell r="D143">
            <v>43617</v>
          </cell>
          <cell r="E143">
            <v>161.72</v>
          </cell>
        </row>
        <row r="144">
          <cell r="D144">
            <v>43647</v>
          </cell>
          <cell r="E144">
            <v>163.30000000000001</v>
          </cell>
        </row>
        <row r="145">
          <cell r="D145">
            <v>43678</v>
          </cell>
          <cell r="E145">
            <v>164.78</v>
          </cell>
        </row>
        <row r="146">
          <cell r="D146">
            <v>43709</v>
          </cell>
          <cell r="E146">
            <v>166.07</v>
          </cell>
        </row>
        <row r="147">
          <cell r="D147">
            <v>43739</v>
          </cell>
          <cell r="E147">
            <v>167.49</v>
          </cell>
        </row>
        <row r="148">
          <cell r="D148">
            <v>43770</v>
          </cell>
          <cell r="E148">
            <v>169.52</v>
          </cell>
        </row>
        <row r="149">
          <cell r="D149">
            <v>43800</v>
          </cell>
          <cell r="E149">
            <v>169.97</v>
          </cell>
        </row>
        <row r="150">
          <cell r="D150">
            <v>43831</v>
          </cell>
          <cell r="E150">
            <v>171.87</v>
          </cell>
        </row>
      </sheetData>
      <sheetData sheetId="4">
        <row r="6">
          <cell r="D6">
            <v>39448</v>
          </cell>
          <cell r="E6">
            <v>47.50090909090909</v>
          </cell>
        </row>
        <row r="7">
          <cell r="D7">
            <v>39479</v>
          </cell>
          <cell r="E7">
            <v>47.845714285714294</v>
          </cell>
        </row>
        <row r="8">
          <cell r="D8">
            <v>39508</v>
          </cell>
          <cell r="E8">
            <v>47.165263157894728</v>
          </cell>
        </row>
        <row r="9">
          <cell r="D9">
            <v>39539</v>
          </cell>
          <cell r="E9">
            <v>47.333181818181814</v>
          </cell>
        </row>
        <row r="10">
          <cell r="D10">
            <v>39569</v>
          </cell>
          <cell r="E10">
            <v>47.755238095238099</v>
          </cell>
        </row>
        <row r="11">
          <cell r="D11">
            <v>39600</v>
          </cell>
          <cell r="E11">
            <v>47.837619047619043</v>
          </cell>
        </row>
        <row r="12">
          <cell r="D12">
            <v>39630</v>
          </cell>
          <cell r="E12">
            <v>47.722173913043477</v>
          </cell>
        </row>
        <row r="13">
          <cell r="D13">
            <v>39661</v>
          </cell>
          <cell r="E13">
            <v>48.092380952380964</v>
          </cell>
        </row>
        <row r="14">
          <cell r="D14">
            <v>39692</v>
          </cell>
          <cell r="E14">
            <v>48.354090909090907</v>
          </cell>
        </row>
        <row r="15">
          <cell r="D15">
            <v>39722</v>
          </cell>
          <cell r="E15">
            <v>48.011304347826076</v>
          </cell>
        </row>
        <row r="16">
          <cell r="D16">
            <v>39753</v>
          </cell>
          <cell r="E16">
            <v>47.748947368421057</v>
          </cell>
        </row>
        <row r="17">
          <cell r="D17">
            <v>39783</v>
          </cell>
          <cell r="E17">
            <v>48.501052631578958</v>
          </cell>
        </row>
        <row r="18">
          <cell r="D18">
            <v>39814</v>
          </cell>
          <cell r="E18">
            <v>47.136666666666677</v>
          </cell>
        </row>
        <row r="19">
          <cell r="D19">
            <v>39845</v>
          </cell>
          <cell r="E19">
            <v>47.046999999999983</v>
          </cell>
        </row>
        <row r="20">
          <cell r="D20">
            <v>39873</v>
          </cell>
          <cell r="E20">
            <v>46.905909090909084</v>
          </cell>
        </row>
        <row r="21">
          <cell r="D21">
            <v>39904</v>
          </cell>
          <cell r="E21">
            <v>46.999000000000002</v>
          </cell>
        </row>
        <row r="22">
          <cell r="D22">
            <v>39934</v>
          </cell>
          <cell r="E22">
            <v>47.132500000000007</v>
          </cell>
        </row>
        <row r="23">
          <cell r="D23">
            <v>39965</v>
          </cell>
          <cell r="E23">
            <v>47.282272727272705</v>
          </cell>
        </row>
        <row r="24">
          <cell r="D24">
            <v>39995</v>
          </cell>
          <cell r="E24">
            <v>47.459565217391301</v>
          </cell>
        </row>
        <row r="25">
          <cell r="D25">
            <v>40026</v>
          </cell>
          <cell r="E25">
            <v>48.271904761904764</v>
          </cell>
        </row>
        <row r="26">
          <cell r="D26">
            <v>40057</v>
          </cell>
          <cell r="E26">
            <v>47.749090909090917</v>
          </cell>
        </row>
        <row r="27">
          <cell r="D27">
            <v>40087</v>
          </cell>
          <cell r="E27">
            <v>47.597727272727269</v>
          </cell>
        </row>
        <row r="28">
          <cell r="D28">
            <v>40118</v>
          </cell>
          <cell r="E28">
            <v>48.073809523809523</v>
          </cell>
        </row>
        <row r="29">
          <cell r="D29">
            <v>40148</v>
          </cell>
          <cell r="E29">
            <v>48.419499999999992</v>
          </cell>
        </row>
        <row r="30">
          <cell r="D30">
            <v>40179</v>
          </cell>
          <cell r="E30">
            <v>47.9895</v>
          </cell>
        </row>
        <row r="31">
          <cell r="D31">
            <v>40210</v>
          </cell>
          <cell r="E31">
            <v>47.728000000000009</v>
          </cell>
        </row>
        <row r="32">
          <cell r="D32">
            <v>40238</v>
          </cell>
          <cell r="E32">
            <v>46.981739130434782</v>
          </cell>
        </row>
        <row r="33">
          <cell r="D33">
            <v>40269</v>
          </cell>
          <cell r="E33">
            <v>47.026500000000006</v>
          </cell>
        </row>
        <row r="34">
          <cell r="D34">
            <v>40299</v>
          </cell>
          <cell r="E34">
            <v>47.01380952380952</v>
          </cell>
        </row>
        <row r="35">
          <cell r="D35">
            <v>40330</v>
          </cell>
          <cell r="E35">
            <v>47.324090909090913</v>
          </cell>
        </row>
        <row r="36">
          <cell r="D36">
            <v>40360</v>
          </cell>
          <cell r="E36">
            <v>47.607272727272722</v>
          </cell>
        </row>
        <row r="37">
          <cell r="D37">
            <v>40391</v>
          </cell>
          <cell r="E37">
            <v>47.761363636363633</v>
          </cell>
        </row>
        <row r="38">
          <cell r="D38">
            <v>40422</v>
          </cell>
          <cell r="E38">
            <v>47.844545454545461</v>
          </cell>
        </row>
        <row r="39">
          <cell r="D39">
            <v>40452</v>
          </cell>
          <cell r="E39">
            <v>47.982380952380957</v>
          </cell>
        </row>
        <row r="40">
          <cell r="D40">
            <v>40483</v>
          </cell>
          <cell r="E40">
            <v>47.695909090909097</v>
          </cell>
        </row>
        <row r="41">
          <cell r="D41">
            <v>40513</v>
          </cell>
          <cell r="E41">
            <v>47.980476190476189</v>
          </cell>
        </row>
        <row r="42">
          <cell r="D42">
            <v>40544</v>
          </cell>
          <cell r="E42">
            <v>46.951904761904778</v>
          </cell>
        </row>
        <row r="43">
          <cell r="D43">
            <v>40575</v>
          </cell>
          <cell r="E43">
            <v>46.834500000000006</v>
          </cell>
        </row>
        <row r="44">
          <cell r="D44">
            <v>40603</v>
          </cell>
          <cell r="E44">
            <v>46.772608695652181</v>
          </cell>
        </row>
        <row r="45">
          <cell r="D45">
            <v>40634</v>
          </cell>
          <cell r="E45">
            <v>47.242631578947375</v>
          </cell>
        </row>
        <row r="46">
          <cell r="D46">
            <v>40664</v>
          </cell>
          <cell r="E46">
            <v>47.377272727272725</v>
          </cell>
        </row>
        <row r="47">
          <cell r="D47">
            <v>40695</v>
          </cell>
          <cell r="E47">
            <v>47.410454545454542</v>
          </cell>
        </row>
        <row r="48">
          <cell r="D48">
            <v>40725</v>
          </cell>
          <cell r="E48">
            <v>47.624285714285712</v>
          </cell>
        </row>
        <row r="49">
          <cell r="D49">
            <v>40756</v>
          </cell>
          <cell r="E49">
            <v>47.207391304347823</v>
          </cell>
        </row>
        <row r="50">
          <cell r="D50">
            <v>40787</v>
          </cell>
          <cell r="E50">
            <v>47.434999999999995</v>
          </cell>
        </row>
        <row r="51">
          <cell r="D51">
            <v>40817</v>
          </cell>
          <cell r="E51">
            <v>47.519523809523818</v>
          </cell>
        </row>
        <row r="52">
          <cell r="D52">
            <v>40848</v>
          </cell>
          <cell r="E52">
            <v>47.748636363636358</v>
          </cell>
        </row>
        <row r="53">
          <cell r="D53">
            <v>40878</v>
          </cell>
          <cell r="E53">
            <v>47.939523809523813</v>
          </cell>
        </row>
        <row r="54">
          <cell r="D54">
            <v>40909</v>
          </cell>
          <cell r="E54">
            <v>47.225454545454546</v>
          </cell>
        </row>
        <row r="55">
          <cell r="D55">
            <v>40940</v>
          </cell>
          <cell r="E55">
            <v>46.885714285714279</v>
          </cell>
        </row>
        <row r="56">
          <cell r="D56">
            <v>40969</v>
          </cell>
          <cell r="E56">
            <v>47.297272727272727</v>
          </cell>
        </row>
        <row r="57">
          <cell r="D57">
            <v>41000</v>
          </cell>
          <cell r="E57">
            <v>47.438421052631583</v>
          </cell>
        </row>
        <row r="58">
          <cell r="D58">
            <v>41030</v>
          </cell>
          <cell r="E58">
            <v>47.112272727272732</v>
          </cell>
        </row>
        <row r="59">
          <cell r="D59">
            <v>41061</v>
          </cell>
          <cell r="E59">
            <v>46.77809523809524</v>
          </cell>
        </row>
        <row r="60">
          <cell r="D60">
            <v>41091</v>
          </cell>
          <cell r="E60">
            <v>46.794545454545457</v>
          </cell>
        </row>
        <row r="61">
          <cell r="D61">
            <v>41122</v>
          </cell>
          <cell r="E61">
            <v>47.633478260869573</v>
          </cell>
        </row>
        <row r="62">
          <cell r="D62">
            <v>41153</v>
          </cell>
          <cell r="E62">
            <v>47.924500000000002</v>
          </cell>
        </row>
        <row r="63">
          <cell r="D63">
            <v>41183</v>
          </cell>
          <cell r="E63">
            <v>48.08608695652174</v>
          </cell>
        </row>
        <row r="64">
          <cell r="D64">
            <v>41214</v>
          </cell>
          <cell r="E64">
            <v>47.778181818181814</v>
          </cell>
        </row>
        <row r="65">
          <cell r="D65">
            <v>41244</v>
          </cell>
          <cell r="E65">
            <v>47.269411764705886</v>
          </cell>
        </row>
        <row r="66">
          <cell r="D66">
            <v>41275</v>
          </cell>
          <cell r="E66">
            <v>46.634999999999998</v>
          </cell>
        </row>
        <row r="67">
          <cell r="D67">
            <v>41306</v>
          </cell>
          <cell r="E67">
            <v>46.88000000000001</v>
          </cell>
        </row>
        <row r="68">
          <cell r="D68">
            <v>41334</v>
          </cell>
          <cell r="E68">
            <v>46.630499999999998</v>
          </cell>
        </row>
        <row r="69">
          <cell r="D69">
            <v>41365</v>
          </cell>
          <cell r="E69">
            <v>46.215714285714292</v>
          </cell>
        </row>
        <row r="70">
          <cell r="D70">
            <v>41395</v>
          </cell>
          <cell r="E70">
            <v>46.174545454545459</v>
          </cell>
        </row>
        <row r="71">
          <cell r="D71">
            <v>41426</v>
          </cell>
          <cell r="E71">
            <v>46.771500000000003</v>
          </cell>
        </row>
        <row r="72">
          <cell r="D72">
            <v>41456</v>
          </cell>
          <cell r="E72">
            <v>46.794347826086955</v>
          </cell>
        </row>
        <row r="73">
          <cell r="D73">
            <v>41487</v>
          </cell>
          <cell r="E73">
            <v>44.855454545454542</v>
          </cell>
        </row>
        <row r="74">
          <cell r="D74">
            <v>41518</v>
          </cell>
          <cell r="E74">
            <v>45.916666666666664</v>
          </cell>
        </row>
        <row r="75">
          <cell r="D75">
            <v>41548</v>
          </cell>
          <cell r="E75">
            <v>45.569130434782615</v>
          </cell>
        </row>
        <row r="76">
          <cell r="D76">
            <v>41579</v>
          </cell>
          <cell r="E76">
            <v>45.728571428571428</v>
          </cell>
        </row>
        <row r="77">
          <cell r="D77">
            <v>41609</v>
          </cell>
          <cell r="E77">
            <v>45.967222222222219</v>
          </cell>
        </row>
        <row r="78">
          <cell r="D78">
            <v>41640</v>
          </cell>
          <cell r="E78">
            <v>45.725454545454546</v>
          </cell>
        </row>
        <row r="79">
          <cell r="D79">
            <v>41671</v>
          </cell>
          <cell r="E79">
            <v>45.469499999999996</v>
          </cell>
        </row>
        <row r="80">
          <cell r="D80">
            <v>41699</v>
          </cell>
          <cell r="E80">
            <v>45.497142857142862</v>
          </cell>
        </row>
        <row r="81">
          <cell r="D81">
            <v>41730</v>
          </cell>
          <cell r="E81">
            <v>45.463999999999999</v>
          </cell>
        </row>
        <row r="82">
          <cell r="D82">
            <v>41760</v>
          </cell>
          <cell r="E82">
            <v>45.227142857142859</v>
          </cell>
        </row>
        <row r="83">
          <cell r="D83">
            <v>41791</v>
          </cell>
          <cell r="E83">
            <v>45.239999999999995</v>
          </cell>
        </row>
        <row r="84">
          <cell r="D84">
            <v>41821</v>
          </cell>
          <cell r="E84">
            <v>44.970869565217392</v>
          </cell>
        </row>
        <row r="85">
          <cell r="D85">
            <v>41852</v>
          </cell>
          <cell r="E85">
            <v>45.070476190476192</v>
          </cell>
        </row>
        <row r="86">
          <cell r="D86">
            <v>41883</v>
          </cell>
          <cell r="E86">
            <v>44.950909090909086</v>
          </cell>
        </row>
        <row r="87">
          <cell r="D87">
            <v>41913</v>
          </cell>
          <cell r="E87">
            <v>45.08</v>
          </cell>
        </row>
        <row r="88">
          <cell r="D88">
            <v>41944</v>
          </cell>
          <cell r="E88">
            <v>45.140000000000008</v>
          </cell>
        </row>
        <row r="89">
          <cell r="D89">
            <v>41974</v>
          </cell>
          <cell r="E89">
            <v>45.543684210526315</v>
          </cell>
        </row>
        <row r="90">
          <cell r="D90">
            <v>42005</v>
          </cell>
          <cell r="E90">
            <v>45.188095238095251</v>
          </cell>
        </row>
        <row r="91">
          <cell r="D91">
            <v>42036</v>
          </cell>
          <cell r="E91">
            <v>45.226500000000001</v>
          </cell>
        </row>
        <row r="92">
          <cell r="D92">
            <v>42064</v>
          </cell>
          <cell r="E92">
            <v>45.37590909090909</v>
          </cell>
        </row>
        <row r="93">
          <cell r="D93">
            <v>42095</v>
          </cell>
          <cell r="E93">
            <v>45.245999999999995</v>
          </cell>
        </row>
        <row r="94">
          <cell r="D94">
            <v>42125</v>
          </cell>
          <cell r="E94">
            <v>45.472105263157907</v>
          </cell>
        </row>
        <row r="95">
          <cell r="D95">
            <v>42156</v>
          </cell>
          <cell r="E95">
            <v>45.328181818181811</v>
          </cell>
        </row>
        <row r="96">
          <cell r="D96">
            <v>42186</v>
          </cell>
          <cell r="E96">
            <v>45.456086956521737</v>
          </cell>
        </row>
        <row r="97">
          <cell r="D97">
            <v>42217</v>
          </cell>
          <cell r="E97">
            <v>45.732857142857135</v>
          </cell>
        </row>
        <row r="98">
          <cell r="D98">
            <v>42248</v>
          </cell>
          <cell r="E98">
            <v>45.390909090909084</v>
          </cell>
        </row>
        <row r="99">
          <cell r="D99">
            <v>42278</v>
          </cell>
          <cell r="E99">
            <v>45.652272727272724</v>
          </cell>
        </row>
        <row r="100">
          <cell r="D100">
            <v>42309</v>
          </cell>
          <cell r="E100">
            <v>45.946666666666658</v>
          </cell>
        </row>
        <row r="101">
          <cell r="D101">
            <v>42339</v>
          </cell>
          <cell r="E101">
            <v>46.052999999999997</v>
          </cell>
        </row>
        <row r="102">
          <cell r="D102">
            <v>42370</v>
          </cell>
          <cell r="E102">
            <v>45.565000000000005</v>
          </cell>
        </row>
        <row r="103">
          <cell r="D103">
            <v>42401</v>
          </cell>
          <cell r="E103">
            <v>45.826190476190469</v>
          </cell>
        </row>
        <row r="104">
          <cell r="D104">
            <v>42430</v>
          </cell>
          <cell r="E104">
            <v>46.355714285714285</v>
          </cell>
        </row>
        <row r="105">
          <cell r="D105">
            <v>42461</v>
          </cell>
          <cell r="E105">
            <v>46.441904761904773</v>
          </cell>
        </row>
        <row r="106">
          <cell r="D106">
            <v>42491</v>
          </cell>
          <cell r="E106">
            <v>46.226666666666659</v>
          </cell>
        </row>
        <row r="107">
          <cell r="D107">
            <v>42522</v>
          </cell>
          <cell r="E107">
            <v>46.36090909090909</v>
          </cell>
        </row>
        <row r="108">
          <cell r="D108">
            <v>42552</v>
          </cell>
          <cell r="E108">
            <v>46.353333333333325</v>
          </cell>
        </row>
        <row r="109">
          <cell r="D109">
            <v>42583</v>
          </cell>
          <cell r="E109">
            <v>46.603043478260872</v>
          </cell>
        </row>
        <row r="110">
          <cell r="D110">
            <v>42614</v>
          </cell>
          <cell r="E110">
            <v>46.948181818181823</v>
          </cell>
        </row>
        <row r="111">
          <cell r="D111">
            <v>42644</v>
          </cell>
          <cell r="E111">
            <v>47.050000000000004</v>
          </cell>
        </row>
        <row r="112">
          <cell r="D112">
            <v>42675</v>
          </cell>
          <cell r="E112">
            <v>47.18681818181819</v>
          </cell>
        </row>
        <row r="113">
          <cell r="D113">
            <v>42705</v>
          </cell>
          <cell r="E113">
            <v>47.214761904761907</v>
          </cell>
        </row>
        <row r="114">
          <cell r="D114">
            <v>42736</v>
          </cell>
          <cell r="E114">
            <v>46.983636363636379</v>
          </cell>
        </row>
        <row r="115">
          <cell r="D115">
            <v>42767</v>
          </cell>
          <cell r="E115">
            <v>47.238</v>
          </cell>
        </row>
        <row r="116">
          <cell r="D116">
            <v>42795</v>
          </cell>
          <cell r="E116">
            <v>47.309999999999995</v>
          </cell>
        </row>
        <row r="117">
          <cell r="D117">
            <v>42826</v>
          </cell>
          <cell r="E117">
            <v>47.330555555555542</v>
          </cell>
        </row>
        <row r="118">
          <cell r="D118">
            <v>42856</v>
          </cell>
          <cell r="E118">
            <v>47.413636363636357</v>
          </cell>
        </row>
        <row r="119">
          <cell r="D119">
            <v>42887</v>
          </cell>
          <cell r="E119">
            <v>47.213333333333338</v>
          </cell>
        </row>
        <row r="120">
          <cell r="D120">
            <v>42917</v>
          </cell>
          <cell r="E120">
            <v>47.369047619047628</v>
          </cell>
        </row>
        <row r="121">
          <cell r="D121">
            <v>42948</v>
          </cell>
          <cell r="E121">
            <v>47.463043478260865</v>
          </cell>
        </row>
        <row r="122">
          <cell r="D122">
            <v>42979</v>
          </cell>
          <cell r="E122">
            <v>47.500952380952391</v>
          </cell>
        </row>
        <row r="123">
          <cell r="D123">
            <v>43009</v>
          </cell>
          <cell r="E123">
            <v>47.200499999999998</v>
          </cell>
        </row>
        <row r="124">
          <cell r="D124">
            <v>43040</v>
          </cell>
          <cell r="E124">
            <v>47.605454545454556</v>
          </cell>
        </row>
        <row r="125">
          <cell r="D125">
            <v>43070</v>
          </cell>
          <cell r="E125">
            <v>47.211052631578944</v>
          </cell>
        </row>
        <row r="126">
          <cell r="D126">
            <v>43101</v>
          </cell>
          <cell r="E126">
            <v>46.68181818181818</v>
          </cell>
        </row>
        <row r="127">
          <cell r="D127">
            <v>43132</v>
          </cell>
          <cell r="E127">
            <v>46.872000000000007</v>
          </cell>
        </row>
        <row r="128">
          <cell r="D128">
            <v>43160</v>
          </cell>
          <cell r="E128">
            <v>47.124285714285712</v>
          </cell>
        </row>
        <row r="129">
          <cell r="D129">
            <v>43191</v>
          </cell>
          <cell r="E129">
            <v>47.259500000000003</v>
          </cell>
        </row>
        <row r="130">
          <cell r="D130">
            <v>43221</v>
          </cell>
          <cell r="E130">
            <v>47.219047619047615</v>
          </cell>
        </row>
        <row r="131">
          <cell r="D131">
            <v>43252</v>
          </cell>
          <cell r="E131">
            <v>47.524761904761895</v>
          </cell>
        </row>
        <row r="132">
          <cell r="D132">
            <v>43282</v>
          </cell>
          <cell r="E132">
            <v>47.883181818181811</v>
          </cell>
        </row>
        <row r="133">
          <cell r="D133">
            <v>43313</v>
          </cell>
          <cell r="E133">
            <v>48.076086956521742</v>
          </cell>
        </row>
        <row r="134">
          <cell r="D134">
            <v>43344</v>
          </cell>
          <cell r="E134">
            <v>47.576000000000008</v>
          </cell>
        </row>
        <row r="135">
          <cell r="D135">
            <v>43374</v>
          </cell>
          <cell r="E135">
            <v>47.432272727272739</v>
          </cell>
        </row>
        <row r="136">
          <cell r="D136">
            <v>43405</v>
          </cell>
          <cell r="E136">
            <v>47.695454545454545</v>
          </cell>
        </row>
        <row r="137">
          <cell r="D137">
            <v>43435</v>
          </cell>
          <cell r="E137">
            <v>47.608235294117648</v>
          </cell>
        </row>
        <row r="138">
          <cell r="D138">
            <v>43466</v>
          </cell>
          <cell r="E138">
            <v>47.888181818181813</v>
          </cell>
        </row>
        <row r="139">
          <cell r="D139">
            <v>43497</v>
          </cell>
          <cell r="E139">
            <v>48.140500000000003</v>
          </cell>
        </row>
        <row r="140">
          <cell r="D140">
            <v>43525</v>
          </cell>
          <cell r="E140">
            <v>48.311904761904756</v>
          </cell>
        </row>
        <row r="141">
          <cell r="D141">
            <v>43556</v>
          </cell>
          <cell r="E141">
            <v>48.173000000000002</v>
          </cell>
        </row>
        <row r="142">
          <cell r="D142">
            <v>43586</v>
          </cell>
          <cell r="E142">
            <v>48.151363636363641</v>
          </cell>
        </row>
        <row r="143">
          <cell r="D143">
            <v>43617</v>
          </cell>
          <cell r="E143">
            <v>48.085263157894722</v>
          </cell>
        </row>
        <row r="144">
          <cell r="D144">
            <v>43647</v>
          </cell>
          <cell r="E144">
            <v>48.228260869565219</v>
          </cell>
        </row>
        <row r="145">
          <cell r="D145">
            <v>43678</v>
          </cell>
          <cell r="E145">
            <v>48.887272727272723</v>
          </cell>
        </row>
        <row r="146">
          <cell r="D146">
            <v>43709</v>
          </cell>
          <cell r="E146">
            <v>48.995714285714293</v>
          </cell>
        </row>
        <row r="147">
          <cell r="D147">
            <v>43739</v>
          </cell>
          <cell r="E147">
            <v>48.993636363636362</v>
          </cell>
        </row>
        <row r="148">
          <cell r="D148">
            <v>43770</v>
          </cell>
          <cell r="E148">
            <v>49.55952380952381</v>
          </cell>
        </row>
        <row r="149">
          <cell r="D149">
            <v>43800</v>
          </cell>
          <cell r="E149">
            <v>49.451111111111111</v>
          </cell>
        </row>
        <row r="150">
          <cell r="D150">
            <v>43831</v>
          </cell>
          <cell r="E150">
            <v>49.404545454545449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ktien"/>
      <sheetName val="Gold"/>
      <sheetName val="Anleihen"/>
      <sheetName val="Real Estate Index"/>
      <sheetName val="Deka Fond"/>
      <sheetName val="Equity Residential"/>
      <sheetName val="Berechnungen Monat"/>
      <sheetName val="Calc"/>
      <sheetName val="Result"/>
    </sheetNames>
    <sheetDataSet>
      <sheetData sheetId="0"/>
      <sheetData sheetId="1"/>
      <sheetData sheetId="2"/>
      <sheetData sheetId="3"/>
      <sheetData sheetId="4">
        <row r="6">
          <cell r="D6">
            <v>39448</v>
          </cell>
          <cell r="E6">
            <v>47.50090909090909</v>
          </cell>
        </row>
        <row r="7">
          <cell r="D7">
            <v>39479</v>
          </cell>
          <cell r="E7">
            <v>47.845714285714294</v>
          </cell>
        </row>
        <row r="8">
          <cell r="D8">
            <v>39508</v>
          </cell>
          <cell r="E8">
            <v>47.165263157894728</v>
          </cell>
        </row>
        <row r="9">
          <cell r="D9">
            <v>39539</v>
          </cell>
          <cell r="E9">
            <v>47.333181818181814</v>
          </cell>
        </row>
        <row r="10">
          <cell r="D10">
            <v>39569</v>
          </cell>
          <cell r="E10">
            <v>47.755238095238099</v>
          </cell>
        </row>
        <row r="11">
          <cell r="D11">
            <v>39600</v>
          </cell>
          <cell r="E11">
            <v>47.837619047619043</v>
          </cell>
        </row>
        <row r="12">
          <cell r="D12">
            <v>39630</v>
          </cell>
          <cell r="E12">
            <v>47.722173913043477</v>
          </cell>
        </row>
        <row r="13">
          <cell r="D13">
            <v>39661</v>
          </cell>
          <cell r="E13">
            <v>48.092380952380964</v>
          </cell>
        </row>
        <row r="14">
          <cell r="D14">
            <v>39692</v>
          </cell>
          <cell r="E14">
            <v>48.354090909090907</v>
          </cell>
        </row>
        <row r="15">
          <cell r="D15">
            <v>39722</v>
          </cell>
          <cell r="E15">
            <v>48.011304347826076</v>
          </cell>
        </row>
        <row r="16">
          <cell r="D16">
            <v>39753</v>
          </cell>
          <cell r="E16">
            <v>47.748947368421057</v>
          </cell>
        </row>
        <row r="17">
          <cell r="D17">
            <v>39783</v>
          </cell>
          <cell r="E17">
            <v>48.501052631578958</v>
          </cell>
        </row>
        <row r="18">
          <cell r="D18">
            <v>39814</v>
          </cell>
          <cell r="E18">
            <v>47.136666666666677</v>
          </cell>
        </row>
        <row r="19">
          <cell r="D19">
            <v>39845</v>
          </cell>
          <cell r="E19">
            <v>47.046999999999983</v>
          </cell>
        </row>
        <row r="20">
          <cell r="D20">
            <v>39873</v>
          </cell>
          <cell r="E20">
            <v>46.905909090909084</v>
          </cell>
        </row>
        <row r="21">
          <cell r="D21">
            <v>39904</v>
          </cell>
          <cell r="E21">
            <v>46.999000000000002</v>
          </cell>
        </row>
        <row r="22">
          <cell r="D22">
            <v>39934</v>
          </cell>
          <cell r="E22">
            <v>47.132500000000007</v>
          </cell>
        </row>
        <row r="23">
          <cell r="D23">
            <v>39965</v>
          </cell>
          <cell r="E23">
            <v>47.282272727272705</v>
          </cell>
        </row>
        <row r="24">
          <cell r="D24">
            <v>39995</v>
          </cell>
          <cell r="E24">
            <v>47.459565217391301</v>
          </cell>
        </row>
        <row r="25">
          <cell r="D25">
            <v>40026</v>
          </cell>
          <cell r="E25">
            <v>48.271904761904764</v>
          </cell>
        </row>
        <row r="26">
          <cell r="D26">
            <v>40057</v>
          </cell>
          <cell r="E26">
            <v>47.749090909090917</v>
          </cell>
        </row>
        <row r="27">
          <cell r="D27">
            <v>40087</v>
          </cell>
          <cell r="E27">
            <v>47.597727272727269</v>
          </cell>
        </row>
        <row r="28">
          <cell r="D28">
            <v>40118</v>
          </cell>
          <cell r="E28">
            <v>48.073809523809523</v>
          </cell>
        </row>
        <row r="29">
          <cell r="D29">
            <v>40148</v>
          </cell>
          <cell r="E29">
            <v>48.419499999999992</v>
          </cell>
        </row>
        <row r="30">
          <cell r="D30">
            <v>40179</v>
          </cell>
          <cell r="E30">
            <v>47.9895</v>
          </cell>
        </row>
        <row r="31">
          <cell r="D31">
            <v>40210</v>
          </cell>
          <cell r="E31">
            <v>47.728000000000009</v>
          </cell>
        </row>
        <row r="32">
          <cell r="D32">
            <v>40238</v>
          </cell>
          <cell r="E32">
            <v>46.981739130434782</v>
          </cell>
        </row>
        <row r="33">
          <cell r="D33">
            <v>40269</v>
          </cell>
          <cell r="E33">
            <v>47.026500000000006</v>
          </cell>
        </row>
        <row r="34">
          <cell r="D34">
            <v>40299</v>
          </cell>
          <cell r="E34">
            <v>47.01380952380952</v>
          </cell>
        </row>
        <row r="35">
          <cell r="D35">
            <v>40330</v>
          </cell>
          <cell r="E35">
            <v>47.324090909090913</v>
          </cell>
        </row>
        <row r="36">
          <cell r="D36">
            <v>40360</v>
          </cell>
          <cell r="E36">
            <v>47.607272727272722</v>
          </cell>
        </row>
        <row r="37">
          <cell r="D37">
            <v>40391</v>
          </cell>
          <cell r="E37">
            <v>47.761363636363633</v>
          </cell>
        </row>
        <row r="38">
          <cell r="D38">
            <v>40422</v>
          </cell>
          <cell r="E38">
            <v>47.844545454545461</v>
          </cell>
        </row>
        <row r="39">
          <cell r="D39">
            <v>40452</v>
          </cell>
          <cell r="E39">
            <v>47.982380952380957</v>
          </cell>
        </row>
        <row r="40">
          <cell r="D40">
            <v>40483</v>
          </cell>
          <cell r="E40">
            <v>47.695909090909097</v>
          </cell>
        </row>
        <row r="41">
          <cell r="D41">
            <v>40513</v>
          </cell>
          <cell r="E41">
            <v>47.980476190476189</v>
          </cell>
        </row>
        <row r="42">
          <cell r="D42">
            <v>40544</v>
          </cell>
          <cell r="E42">
            <v>46.951904761904778</v>
          </cell>
        </row>
        <row r="43">
          <cell r="D43">
            <v>40575</v>
          </cell>
          <cell r="E43">
            <v>46.834500000000006</v>
          </cell>
        </row>
        <row r="44">
          <cell r="D44">
            <v>40603</v>
          </cell>
          <cell r="E44">
            <v>46.772608695652181</v>
          </cell>
        </row>
        <row r="45">
          <cell r="D45">
            <v>40634</v>
          </cell>
          <cell r="E45">
            <v>47.242631578947375</v>
          </cell>
        </row>
        <row r="46">
          <cell r="D46">
            <v>40664</v>
          </cell>
          <cell r="E46">
            <v>47.377272727272725</v>
          </cell>
        </row>
        <row r="47">
          <cell r="D47">
            <v>40695</v>
          </cell>
          <cell r="E47">
            <v>47.410454545454542</v>
          </cell>
        </row>
        <row r="48">
          <cell r="D48">
            <v>40725</v>
          </cell>
          <cell r="E48">
            <v>47.624285714285712</v>
          </cell>
        </row>
        <row r="49">
          <cell r="D49">
            <v>40756</v>
          </cell>
          <cell r="E49">
            <v>47.207391304347823</v>
          </cell>
        </row>
        <row r="50">
          <cell r="D50">
            <v>40787</v>
          </cell>
          <cell r="E50">
            <v>47.434999999999995</v>
          </cell>
        </row>
        <row r="51">
          <cell r="D51">
            <v>40817</v>
          </cell>
          <cell r="E51">
            <v>47.519523809523818</v>
          </cell>
        </row>
        <row r="52">
          <cell r="D52">
            <v>40848</v>
          </cell>
          <cell r="E52">
            <v>47.748636363636358</v>
          </cell>
        </row>
        <row r="53">
          <cell r="D53">
            <v>40878</v>
          </cell>
          <cell r="E53">
            <v>47.939523809523813</v>
          </cell>
        </row>
        <row r="54">
          <cell r="D54">
            <v>40909</v>
          </cell>
          <cell r="E54">
            <v>47.225454545454546</v>
          </cell>
        </row>
        <row r="55">
          <cell r="D55">
            <v>40940</v>
          </cell>
          <cell r="E55">
            <v>46.885714285714279</v>
          </cell>
        </row>
        <row r="56">
          <cell r="D56">
            <v>40969</v>
          </cell>
          <cell r="E56">
            <v>47.297272727272727</v>
          </cell>
        </row>
        <row r="57">
          <cell r="D57">
            <v>41000</v>
          </cell>
          <cell r="E57">
            <v>47.438421052631583</v>
          </cell>
        </row>
        <row r="58">
          <cell r="D58">
            <v>41030</v>
          </cell>
          <cell r="E58">
            <v>47.112272727272732</v>
          </cell>
        </row>
        <row r="59">
          <cell r="D59">
            <v>41061</v>
          </cell>
          <cell r="E59">
            <v>46.77809523809524</v>
          </cell>
        </row>
        <row r="60">
          <cell r="D60">
            <v>41091</v>
          </cell>
          <cell r="E60">
            <v>46.794545454545457</v>
          </cell>
        </row>
        <row r="61">
          <cell r="D61">
            <v>41122</v>
          </cell>
          <cell r="E61">
            <v>47.633478260869573</v>
          </cell>
        </row>
        <row r="62">
          <cell r="D62">
            <v>41153</v>
          </cell>
          <cell r="E62">
            <v>47.924500000000002</v>
          </cell>
        </row>
        <row r="63">
          <cell r="D63">
            <v>41183</v>
          </cell>
          <cell r="E63">
            <v>48.08608695652174</v>
          </cell>
        </row>
        <row r="64">
          <cell r="D64">
            <v>41214</v>
          </cell>
          <cell r="E64">
            <v>47.778181818181814</v>
          </cell>
        </row>
        <row r="65">
          <cell r="D65">
            <v>41244</v>
          </cell>
          <cell r="E65">
            <v>47.269411764705886</v>
          </cell>
        </row>
        <row r="66">
          <cell r="D66">
            <v>41275</v>
          </cell>
          <cell r="E66">
            <v>46.634999999999998</v>
          </cell>
        </row>
        <row r="67">
          <cell r="D67">
            <v>41306</v>
          </cell>
          <cell r="E67">
            <v>46.88000000000001</v>
          </cell>
        </row>
        <row r="68">
          <cell r="D68">
            <v>41334</v>
          </cell>
          <cell r="E68">
            <v>46.630499999999998</v>
          </cell>
        </row>
        <row r="69">
          <cell r="D69">
            <v>41365</v>
          </cell>
          <cell r="E69">
            <v>46.215714285714292</v>
          </cell>
        </row>
        <row r="70">
          <cell r="D70">
            <v>41395</v>
          </cell>
          <cell r="E70">
            <v>46.174545454545459</v>
          </cell>
        </row>
        <row r="71">
          <cell r="D71">
            <v>41426</v>
          </cell>
          <cell r="E71">
            <v>46.771500000000003</v>
          </cell>
        </row>
        <row r="72">
          <cell r="D72">
            <v>41456</v>
          </cell>
          <cell r="E72">
            <v>46.794347826086955</v>
          </cell>
        </row>
        <row r="73">
          <cell r="D73">
            <v>41487</v>
          </cell>
          <cell r="E73">
            <v>44.855454545454542</v>
          </cell>
        </row>
        <row r="74">
          <cell r="D74">
            <v>41518</v>
          </cell>
          <cell r="E74">
            <v>45.916666666666664</v>
          </cell>
        </row>
        <row r="75">
          <cell r="D75">
            <v>41548</v>
          </cell>
          <cell r="E75">
            <v>45.569130434782615</v>
          </cell>
        </row>
        <row r="76">
          <cell r="D76">
            <v>41579</v>
          </cell>
          <cell r="E76">
            <v>45.728571428571428</v>
          </cell>
        </row>
        <row r="77">
          <cell r="D77">
            <v>41609</v>
          </cell>
          <cell r="E77">
            <v>45.967222222222219</v>
          </cell>
        </row>
        <row r="78">
          <cell r="D78">
            <v>41640</v>
          </cell>
          <cell r="E78">
            <v>45.725454545454546</v>
          </cell>
        </row>
        <row r="79">
          <cell r="D79">
            <v>41671</v>
          </cell>
          <cell r="E79">
            <v>45.469499999999996</v>
          </cell>
        </row>
        <row r="80">
          <cell r="D80">
            <v>41699</v>
          </cell>
          <cell r="E80">
            <v>45.497142857142862</v>
          </cell>
        </row>
        <row r="81">
          <cell r="D81">
            <v>41730</v>
          </cell>
          <cell r="E81">
            <v>45.463999999999999</v>
          </cell>
        </row>
        <row r="82">
          <cell r="D82">
            <v>41760</v>
          </cell>
          <cell r="E82">
            <v>45.227142857142859</v>
          </cell>
        </row>
        <row r="83">
          <cell r="D83">
            <v>41791</v>
          </cell>
          <cell r="E83">
            <v>45.239999999999995</v>
          </cell>
        </row>
        <row r="84">
          <cell r="D84">
            <v>41821</v>
          </cell>
          <cell r="E84">
            <v>44.970869565217392</v>
          </cell>
        </row>
        <row r="85">
          <cell r="D85">
            <v>41852</v>
          </cell>
          <cell r="E85">
            <v>45.070476190476192</v>
          </cell>
        </row>
        <row r="86">
          <cell r="D86">
            <v>41883</v>
          </cell>
          <cell r="E86">
            <v>44.950909090909086</v>
          </cell>
        </row>
        <row r="87">
          <cell r="D87">
            <v>41913</v>
          </cell>
          <cell r="E87">
            <v>45.08</v>
          </cell>
        </row>
        <row r="88">
          <cell r="D88">
            <v>41944</v>
          </cell>
          <cell r="E88">
            <v>45.140000000000008</v>
          </cell>
        </row>
        <row r="89">
          <cell r="D89">
            <v>41974</v>
          </cell>
          <cell r="E89">
            <v>45.543684210526315</v>
          </cell>
        </row>
        <row r="90">
          <cell r="D90">
            <v>42005</v>
          </cell>
          <cell r="E90">
            <v>45.188095238095251</v>
          </cell>
        </row>
        <row r="91">
          <cell r="D91">
            <v>42036</v>
          </cell>
          <cell r="E91">
            <v>45.226500000000001</v>
          </cell>
        </row>
        <row r="92">
          <cell r="D92">
            <v>42064</v>
          </cell>
          <cell r="E92">
            <v>45.37590909090909</v>
          </cell>
        </row>
        <row r="93">
          <cell r="D93">
            <v>42095</v>
          </cell>
          <cell r="E93">
            <v>45.245999999999995</v>
          </cell>
        </row>
        <row r="94">
          <cell r="D94">
            <v>42125</v>
          </cell>
          <cell r="E94">
            <v>45.472105263157907</v>
          </cell>
        </row>
        <row r="95">
          <cell r="D95">
            <v>42156</v>
          </cell>
          <cell r="E95">
            <v>45.328181818181811</v>
          </cell>
        </row>
        <row r="96">
          <cell r="D96">
            <v>42186</v>
          </cell>
          <cell r="E96">
            <v>45.456086956521737</v>
          </cell>
        </row>
        <row r="97">
          <cell r="D97">
            <v>42217</v>
          </cell>
          <cell r="E97">
            <v>45.732857142857135</v>
          </cell>
        </row>
        <row r="98">
          <cell r="D98">
            <v>42248</v>
          </cell>
          <cell r="E98">
            <v>45.390909090909084</v>
          </cell>
        </row>
        <row r="99">
          <cell r="D99">
            <v>42278</v>
          </cell>
          <cell r="E99">
            <v>45.652272727272724</v>
          </cell>
        </row>
        <row r="100">
          <cell r="D100">
            <v>42309</v>
          </cell>
          <cell r="E100">
            <v>45.946666666666658</v>
          </cell>
        </row>
        <row r="101">
          <cell r="D101">
            <v>42339</v>
          </cell>
          <cell r="E101">
            <v>46.052999999999997</v>
          </cell>
        </row>
        <row r="102">
          <cell r="D102">
            <v>42370</v>
          </cell>
          <cell r="E102">
            <v>45.565000000000005</v>
          </cell>
        </row>
        <row r="103">
          <cell r="D103">
            <v>42401</v>
          </cell>
          <cell r="E103">
            <v>45.826190476190469</v>
          </cell>
        </row>
        <row r="104">
          <cell r="D104">
            <v>42430</v>
          </cell>
          <cell r="E104">
            <v>46.355714285714285</v>
          </cell>
        </row>
        <row r="105">
          <cell r="D105">
            <v>42461</v>
          </cell>
          <cell r="E105">
            <v>46.441904761904773</v>
          </cell>
        </row>
        <row r="106">
          <cell r="D106">
            <v>42491</v>
          </cell>
          <cell r="E106">
            <v>46.226666666666659</v>
          </cell>
        </row>
        <row r="107">
          <cell r="D107">
            <v>42522</v>
          </cell>
          <cell r="E107">
            <v>46.36090909090909</v>
          </cell>
        </row>
        <row r="108">
          <cell r="D108">
            <v>42552</v>
          </cell>
          <cell r="E108">
            <v>46.353333333333325</v>
          </cell>
        </row>
        <row r="109">
          <cell r="D109">
            <v>42583</v>
          </cell>
          <cell r="E109">
            <v>46.603043478260872</v>
          </cell>
        </row>
        <row r="110">
          <cell r="D110">
            <v>42614</v>
          </cell>
          <cell r="E110">
            <v>46.948181818181823</v>
          </cell>
        </row>
        <row r="111">
          <cell r="D111">
            <v>42644</v>
          </cell>
          <cell r="E111">
            <v>47.050000000000004</v>
          </cell>
        </row>
        <row r="112">
          <cell r="D112">
            <v>42675</v>
          </cell>
          <cell r="E112">
            <v>47.18681818181819</v>
          </cell>
        </row>
        <row r="113">
          <cell r="D113">
            <v>42705</v>
          </cell>
          <cell r="E113">
            <v>47.214761904761907</v>
          </cell>
        </row>
        <row r="114">
          <cell r="D114">
            <v>42736</v>
          </cell>
          <cell r="E114">
            <v>46.983636363636379</v>
          </cell>
        </row>
        <row r="115">
          <cell r="D115">
            <v>42767</v>
          </cell>
          <cell r="E115">
            <v>47.238</v>
          </cell>
        </row>
        <row r="116">
          <cell r="D116">
            <v>42795</v>
          </cell>
          <cell r="E116">
            <v>47.309999999999995</v>
          </cell>
        </row>
        <row r="117">
          <cell r="D117">
            <v>42826</v>
          </cell>
          <cell r="E117">
            <v>47.330555555555542</v>
          </cell>
        </row>
        <row r="118">
          <cell r="D118">
            <v>42856</v>
          </cell>
          <cell r="E118">
            <v>47.413636363636357</v>
          </cell>
        </row>
        <row r="119">
          <cell r="D119">
            <v>42887</v>
          </cell>
          <cell r="E119">
            <v>47.213333333333338</v>
          </cell>
        </row>
        <row r="120">
          <cell r="D120">
            <v>42917</v>
          </cell>
          <cell r="E120">
            <v>47.369047619047628</v>
          </cell>
        </row>
        <row r="121">
          <cell r="D121">
            <v>42948</v>
          </cell>
          <cell r="E121">
            <v>47.463043478260865</v>
          </cell>
        </row>
        <row r="122">
          <cell r="D122">
            <v>42979</v>
          </cell>
          <cell r="E122">
            <v>47.500952380952391</v>
          </cell>
        </row>
        <row r="123">
          <cell r="D123">
            <v>43009</v>
          </cell>
          <cell r="E123">
            <v>47.200499999999998</v>
          </cell>
        </row>
        <row r="124">
          <cell r="D124">
            <v>43040</v>
          </cell>
          <cell r="E124">
            <v>47.605454545454556</v>
          </cell>
        </row>
        <row r="125">
          <cell r="D125">
            <v>43070</v>
          </cell>
          <cell r="E125">
            <v>47.211052631578944</v>
          </cell>
        </row>
        <row r="126">
          <cell r="D126">
            <v>43101</v>
          </cell>
          <cell r="E126">
            <v>46.68181818181818</v>
          </cell>
        </row>
        <row r="127">
          <cell r="D127">
            <v>43132</v>
          </cell>
          <cell r="E127">
            <v>46.872000000000007</v>
          </cell>
        </row>
        <row r="128">
          <cell r="D128">
            <v>43160</v>
          </cell>
          <cell r="E128">
            <v>47.124285714285712</v>
          </cell>
        </row>
        <row r="129">
          <cell r="D129">
            <v>43191</v>
          </cell>
          <cell r="E129">
            <v>47.259500000000003</v>
          </cell>
        </row>
        <row r="130">
          <cell r="D130">
            <v>43221</v>
          </cell>
          <cell r="E130">
            <v>47.219047619047615</v>
          </cell>
        </row>
        <row r="131">
          <cell r="D131">
            <v>43252</v>
          </cell>
          <cell r="E131">
            <v>47.524761904761895</v>
          </cell>
        </row>
        <row r="132">
          <cell r="D132">
            <v>43282</v>
          </cell>
          <cell r="E132">
            <v>47.883181818181811</v>
          </cell>
        </row>
        <row r="133">
          <cell r="D133">
            <v>43313</v>
          </cell>
          <cell r="E133">
            <v>48.076086956521742</v>
          </cell>
        </row>
        <row r="134">
          <cell r="D134">
            <v>43344</v>
          </cell>
          <cell r="E134">
            <v>47.576000000000008</v>
          </cell>
        </row>
        <row r="135">
          <cell r="D135">
            <v>43374</v>
          </cell>
          <cell r="E135">
            <v>47.432272727272739</v>
          </cell>
        </row>
        <row r="136">
          <cell r="D136">
            <v>43405</v>
          </cell>
          <cell r="E136">
            <v>47.695454545454545</v>
          </cell>
        </row>
        <row r="137">
          <cell r="D137">
            <v>43435</v>
          </cell>
          <cell r="E137">
            <v>47.608235294117648</v>
          </cell>
        </row>
        <row r="138">
          <cell r="D138">
            <v>43466</v>
          </cell>
          <cell r="E138">
            <v>47.888181818181813</v>
          </cell>
        </row>
        <row r="139">
          <cell r="D139">
            <v>43497</v>
          </cell>
          <cell r="E139">
            <v>48.140500000000003</v>
          </cell>
        </row>
        <row r="140">
          <cell r="D140">
            <v>43525</v>
          </cell>
          <cell r="E140">
            <v>48.311904761904756</v>
          </cell>
        </row>
        <row r="141">
          <cell r="D141">
            <v>43556</v>
          </cell>
          <cell r="E141">
            <v>48.173000000000002</v>
          </cell>
        </row>
        <row r="142">
          <cell r="D142">
            <v>43586</v>
          </cell>
          <cell r="E142">
            <v>48.151363636363641</v>
          </cell>
        </row>
        <row r="143">
          <cell r="D143">
            <v>43617</v>
          </cell>
          <cell r="E143">
            <v>48.085263157894722</v>
          </cell>
        </row>
        <row r="144">
          <cell r="D144">
            <v>43647</v>
          </cell>
          <cell r="E144">
            <v>48.228260869565219</v>
          </cell>
        </row>
        <row r="145">
          <cell r="D145">
            <v>43678</v>
          </cell>
          <cell r="E145">
            <v>48.887272727272723</v>
          </cell>
        </row>
        <row r="146">
          <cell r="D146">
            <v>43709</v>
          </cell>
          <cell r="E146">
            <v>48.995714285714293</v>
          </cell>
        </row>
        <row r="147">
          <cell r="D147">
            <v>43739</v>
          </cell>
          <cell r="E147">
            <v>48.993636363636362</v>
          </cell>
        </row>
        <row r="148">
          <cell r="D148">
            <v>43770</v>
          </cell>
          <cell r="E148">
            <v>49.55952380952381</v>
          </cell>
        </row>
        <row r="149">
          <cell r="D149">
            <v>43800</v>
          </cell>
          <cell r="E149">
            <v>49.451111111111111</v>
          </cell>
        </row>
        <row r="150">
          <cell r="D150">
            <v>43831</v>
          </cell>
          <cell r="E150">
            <v>49.404545454545449</v>
          </cell>
        </row>
      </sheetData>
      <sheetData sheetId="5">
        <row r="6">
          <cell r="D6">
            <v>39448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0057-C170-4E1C-9999-5B3B183A3594}">
  <dimension ref="A1:AV3177"/>
  <sheetViews>
    <sheetView topLeftCell="A49" zoomScale="85" zoomScaleNormal="85" workbookViewId="0">
      <selection activeCell="M53" sqref="M53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1" t="s">
        <v>30</v>
      </c>
      <c r="B1" s="221"/>
      <c r="C1" s="221"/>
      <c r="D1" s="221"/>
      <c r="E1" s="221"/>
      <c r="F1" s="221"/>
    </row>
    <row r="2" spans="1:48" ht="15.75">
      <c r="A2" s="222" t="s">
        <v>31</v>
      </c>
      <c r="B2" s="222"/>
      <c r="C2" s="222"/>
      <c r="D2" s="222"/>
      <c r="E2" s="222"/>
      <c r="F2" s="2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39449</v>
      </c>
      <c r="B6" s="51">
        <v>5199.8999999999996</v>
      </c>
      <c r="C6" s="52"/>
      <c r="D6" s="53">
        <v>39448</v>
      </c>
      <c r="E6" s="54">
        <f t="shared" ref="E6:E69" si="0">AVERAGEIFS($B$6:$B$3069,$A$6:$A$3069,"&gt;="&amp;D6,$A$6:$A$3069,"&lt;="&amp;EOMONTH(D6,0))</f>
        <v>4787.6736363636364</v>
      </c>
      <c r="F6" s="55"/>
      <c r="G6" s="56">
        <f>AVERAGE(F6:F150)</f>
        <v>2.6430397043125647E-3</v>
      </c>
      <c r="H6" s="56">
        <f>_xlfn.STDEV.P(F6:F150)</f>
        <v>4.6536639450523512E-2</v>
      </c>
      <c r="J6" s="57">
        <v>39448</v>
      </c>
      <c r="K6" s="58" t="s">
        <v>46</v>
      </c>
      <c r="L6" s="59">
        <v>39539</v>
      </c>
      <c r="M6" s="60">
        <f>$E$9/$E$6-1</f>
        <v>-8.2583095490863734E-2</v>
      </c>
      <c r="N6" s="61">
        <f>AVERAGE(M6:M53)</f>
        <v>7.8801192222852645E-3</v>
      </c>
      <c r="O6" s="62">
        <f>_xlfn.STDEV.P(M6:M53)</f>
        <v>7.9995953130190547E-2</v>
      </c>
      <c r="Q6" s="63">
        <v>39448</v>
      </c>
      <c r="R6" s="64" t="s">
        <v>46</v>
      </c>
      <c r="S6" s="65">
        <v>39814</v>
      </c>
      <c r="T6" s="66">
        <f>E18/E6-1</f>
        <v>-0.4015962401860963</v>
      </c>
      <c r="U6" s="67">
        <f>AVERAGE(T6:T17)</f>
        <v>3.876581163088514E-2</v>
      </c>
      <c r="V6" s="66">
        <f>_xlfn.STDEV.P(T6:T17)</f>
        <v>0.18860424915338284</v>
      </c>
      <c r="X6" s="68">
        <v>39448</v>
      </c>
      <c r="Y6" s="68" t="s">
        <v>46</v>
      </c>
      <c r="Z6" s="69">
        <v>40179</v>
      </c>
      <c r="AA6" s="70">
        <f>E30/E6-1</f>
        <v>-0.25944753772044538</v>
      </c>
      <c r="AB6" s="71">
        <f>AVERAGE(AA6:AA11)</f>
        <v>6.0344639727733407E-2</v>
      </c>
      <c r="AC6" s="70">
        <f>_xlfn.STDEV.P(AA6:AA11)</f>
        <v>0.2221938627936163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39450</v>
      </c>
      <c r="B7" s="51">
        <v>5173.28</v>
      </c>
      <c r="C7" s="52"/>
      <c r="D7" s="53">
        <v>39479</v>
      </c>
      <c r="E7" s="54">
        <f t="shared" si="0"/>
        <v>4493.2899999999991</v>
      </c>
      <c r="F7" s="55">
        <f t="shared" ref="F7:F70" si="1">E7/E6-1</f>
        <v>-6.1487824509949163E-2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-8.7066766952525465E-2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0.23754647281938457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3.5830456989698334E-3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39451</v>
      </c>
      <c r="B8" s="51">
        <v>5108.05</v>
      </c>
      <c r="C8" s="52"/>
      <c r="D8" s="53">
        <v>39508</v>
      </c>
      <c r="E8" s="54">
        <f t="shared" si="0"/>
        <v>4241.0852631578946</v>
      </c>
      <c r="F8" s="55">
        <f t="shared" si="1"/>
        <v>-5.6129191937779321E-2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-0.21990748697154983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0.16333603150430065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0.41395932601780805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39454</v>
      </c>
      <c r="B9" s="51">
        <v>5113.59</v>
      </c>
      <c r="C9" s="52"/>
      <c r="D9" s="53">
        <v>39539</v>
      </c>
      <c r="E9" s="54">
        <f t="shared" si="0"/>
        <v>4392.2927272727275</v>
      </c>
      <c r="F9" s="55">
        <f t="shared" si="1"/>
        <v>3.5653012078857405E-2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-8.4111831584922636E-2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-0.13732316500053332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-2.0457320089279474E-2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39455</v>
      </c>
      <c r="B10" s="51">
        <v>5135.0600000000004</v>
      </c>
      <c r="C10" s="52"/>
      <c r="D10" s="53">
        <v>39569</v>
      </c>
      <c r="E10" s="54">
        <f t="shared" si="0"/>
        <v>4504.0128571428577</v>
      </c>
      <c r="F10" s="55">
        <f t="shared" si="1"/>
        <v>2.5435492761316958E-2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-1.1836424318780625E-2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0.18909582146370152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0.27619436119346008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39456</v>
      </c>
      <c r="B11" s="51">
        <v>5091.05</v>
      </c>
      <c r="C11" s="52"/>
      <c r="D11" s="53">
        <v>39600</v>
      </c>
      <c r="E11" s="54">
        <f t="shared" si="0"/>
        <v>4246.9690476190463</v>
      </c>
      <c r="F11" s="55">
        <f t="shared" si="1"/>
        <v>-5.706995465525122E-2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5.7672958543141917E-2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0.18910461250911959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-5.1764036734112673E-2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39457</v>
      </c>
      <c r="B12" s="51">
        <v>5045.51</v>
      </c>
      <c r="C12" s="52"/>
      <c r="D12" s="53">
        <v>39630</v>
      </c>
      <c r="E12" s="54">
        <f t="shared" si="0"/>
        <v>4009.8700000000003</v>
      </c>
      <c r="F12" s="55">
        <f t="shared" si="1"/>
        <v>-5.5827825670631936E-2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0.1475726819300538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3.6273626783821955E-2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39458</v>
      </c>
      <c r="B13" s="51">
        <v>5048.6899999999996</v>
      </c>
      <c r="C13" s="52"/>
      <c r="D13" s="53">
        <v>39661</v>
      </c>
      <c r="E13" s="54">
        <f t="shared" si="0"/>
        <v>4060.4561904761904</v>
      </c>
      <c r="F13" s="55">
        <f t="shared" si="1"/>
        <v>1.2615419072486089E-2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3.1813184596387156E-2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-5.4745142023127191E-2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39461</v>
      </c>
      <c r="B14" s="51">
        <v>5057.8900000000003</v>
      </c>
      <c r="C14" s="52"/>
      <c r="D14" s="53">
        <v>39692</v>
      </c>
      <c r="E14" s="54">
        <f t="shared" si="0"/>
        <v>3879.6777272727268</v>
      </c>
      <c r="F14" s="55">
        <f t="shared" si="1"/>
        <v>-4.4521712517790468E-2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5.5906130646151242E-2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0.14764974219946603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39462</v>
      </c>
      <c r="B15" s="51">
        <v>4949.54</v>
      </c>
      <c r="C15" s="52"/>
      <c r="D15" s="53">
        <v>39722</v>
      </c>
      <c r="E15" s="54">
        <f t="shared" si="0"/>
        <v>3128.0695652173918</v>
      </c>
      <c r="F15" s="55">
        <f t="shared" si="1"/>
        <v>-0.19372953500024048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-5.0766564500156819E-2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0.11200683820800483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39463</v>
      </c>
      <c r="B16" s="51">
        <v>4887.5200000000004</v>
      </c>
      <c r="C16" s="52"/>
      <c r="D16" s="53">
        <v>39753</v>
      </c>
      <c r="E16" s="54">
        <f t="shared" si="0"/>
        <v>2966.8564999999999</v>
      </c>
      <c r="F16" s="55">
        <f t="shared" si="1"/>
        <v>-5.1537557543477441E-2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6.1866237762231879E-2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-0.1969456656305355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39464</v>
      </c>
      <c r="B17" s="51">
        <v>4849.5600000000004</v>
      </c>
      <c r="C17" s="52"/>
      <c r="D17" s="53">
        <v>39783</v>
      </c>
      <c r="E17" s="54">
        <f t="shared" si="0"/>
        <v>2945.2831578947371</v>
      </c>
      <c r="F17" s="55">
        <f t="shared" si="1"/>
        <v>-7.2714477782335196E-3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9.3042448752755247E-2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0.18078680692311488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39465</v>
      </c>
      <c r="B18" s="51">
        <v>4784.5600000000004</v>
      </c>
      <c r="C18" s="52"/>
      <c r="D18" s="53">
        <v>39814</v>
      </c>
      <c r="E18" s="54">
        <f t="shared" si="0"/>
        <v>2864.9619047619044</v>
      </c>
      <c r="F18" s="55">
        <f t="shared" si="1"/>
        <v>-2.7271148078762519E-2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2.0972578324021551E-2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39468</v>
      </c>
      <c r="B19" s="51">
        <v>4438.66</v>
      </c>
      <c r="C19" s="52"/>
      <c r="D19" s="53">
        <v>39845</v>
      </c>
      <c r="E19" s="54">
        <f t="shared" si="0"/>
        <v>2684.3515000000002</v>
      </c>
      <c r="F19" s="55">
        <f t="shared" si="1"/>
        <v>-6.3041119137294044E-2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-1.7602281905792605E-2</v>
      </c>
      <c r="N19" s="78"/>
      <c r="O19" s="78"/>
    </row>
    <row r="20" spans="1:48" ht="15.75">
      <c r="A20" s="50">
        <v>39469</v>
      </c>
      <c r="B20" s="51">
        <v>4425.09</v>
      </c>
      <c r="C20" s="52"/>
      <c r="D20" s="53">
        <v>39873</v>
      </c>
      <c r="E20" s="54">
        <f t="shared" si="0"/>
        <v>2498.0863636363629</v>
      </c>
      <c r="F20" s="55">
        <f t="shared" si="1"/>
        <v>-6.9389249643214468E-2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-0.19483296497853497</v>
      </c>
      <c r="N20" s="78"/>
      <c r="O20" s="78"/>
    </row>
    <row r="21" spans="1:48" ht="15.75">
      <c r="A21" s="50">
        <v>39470</v>
      </c>
      <c r="B21" s="51">
        <v>4209.2299999999996</v>
      </c>
      <c r="C21" s="52"/>
      <c r="D21" s="53">
        <v>39904</v>
      </c>
      <c r="E21" s="54">
        <f t="shared" si="0"/>
        <v>2831.0510000000004</v>
      </c>
      <c r="F21" s="55">
        <f t="shared" si="1"/>
        <v>0.13328788035933004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6.8220056134835616E-2</v>
      </c>
      <c r="N21" s="78"/>
      <c r="O21" s="78"/>
    </row>
    <row r="22" spans="1:48" ht="15.75">
      <c r="A22" s="50">
        <v>39471</v>
      </c>
      <c r="B22" s="51">
        <v>4458.8900000000003</v>
      </c>
      <c r="C22" s="52"/>
      <c r="D22" s="53">
        <v>39934</v>
      </c>
      <c r="E22" s="54">
        <f t="shared" si="0"/>
        <v>2969.4599999999996</v>
      </c>
      <c r="F22" s="55">
        <f t="shared" si="1"/>
        <v>4.8889617318797596E-2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6.4215031005036671E-2</v>
      </c>
      <c r="N22" s="78"/>
      <c r="O22" s="78"/>
    </row>
    <row r="23" spans="1:48" ht="15.75">
      <c r="A23" s="50">
        <v>39472</v>
      </c>
      <c r="B23" s="51">
        <v>4448.18</v>
      </c>
      <c r="C23" s="52"/>
      <c r="D23" s="53">
        <v>39965</v>
      </c>
      <c r="E23" s="54">
        <f t="shared" si="0"/>
        <v>2983.8718181818185</v>
      </c>
      <c r="F23" s="55">
        <f t="shared" si="1"/>
        <v>4.8533464609117338E-3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-5.4499889856800765E-2</v>
      </c>
      <c r="N23" s="78"/>
      <c r="O23" s="78"/>
    </row>
    <row r="24" spans="1:48" ht="15.75">
      <c r="A24" s="50">
        <v>39475</v>
      </c>
      <c r="B24" s="51">
        <v>4449.68</v>
      </c>
      <c r="C24" s="52"/>
      <c r="D24" s="53">
        <v>39995</v>
      </c>
      <c r="E24" s="54">
        <f t="shared" si="0"/>
        <v>2994.3260869565211</v>
      </c>
      <c r="F24" s="55">
        <f t="shared" si="1"/>
        <v>3.5035917799821625E-3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0.11275815882356999</v>
      </c>
      <c r="N24" s="78"/>
      <c r="O24" s="78"/>
    </row>
    <row r="25" spans="1:48" ht="15.75">
      <c r="A25" s="50">
        <v>39476</v>
      </c>
      <c r="B25" s="51">
        <v>4497.7700000000004</v>
      </c>
      <c r="C25" s="52"/>
      <c r="D25" s="53">
        <v>40026</v>
      </c>
      <c r="E25" s="54">
        <f t="shared" si="0"/>
        <v>3263.8942857142856</v>
      </c>
      <c r="F25" s="55">
        <f t="shared" si="1"/>
        <v>9.0026333448458118E-2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6.2001409987769707E-2</v>
      </c>
      <c r="N25" s="78"/>
      <c r="O25" s="78"/>
    </row>
    <row r="26" spans="1:48" ht="15.75">
      <c r="A26" s="50">
        <v>39477</v>
      </c>
      <c r="B26" s="51">
        <v>4486.2299999999996</v>
      </c>
      <c r="C26" s="52"/>
      <c r="D26" s="53">
        <v>40057</v>
      </c>
      <c r="E26" s="54">
        <f t="shared" si="0"/>
        <v>3378.0927272727276</v>
      </c>
      <c r="F26" s="55">
        <f t="shared" si="1"/>
        <v>3.4988400837084876E-2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-9.690514745164025E-3</v>
      </c>
      <c r="N26" s="78"/>
      <c r="O26" s="78"/>
    </row>
    <row r="27" spans="1:48" ht="15.75">
      <c r="A27" s="50">
        <v>39478</v>
      </c>
      <c r="B27" s="51">
        <v>4470.8900000000003</v>
      </c>
      <c r="C27" s="52"/>
      <c r="D27" s="53">
        <v>40087</v>
      </c>
      <c r="E27" s="54">
        <f t="shared" si="0"/>
        <v>3436.2068181818181</v>
      </c>
      <c r="F27" s="55">
        <f t="shared" si="1"/>
        <v>1.7203225488723772E-2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3.0193797402578548E-2</v>
      </c>
      <c r="N27" s="78"/>
      <c r="O27" s="78"/>
    </row>
    <row r="28" spans="1:48" ht="15.75">
      <c r="A28" s="50">
        <v>39479</v>
      </c>
      <c r="B28" s="51">
        <v>4546.88</v>
      </c>
      <c r="C28" s="52"/>
      <c r="D28" s="53">
        <v>40118</v>
      </c>
      <c r="E28" s="54">
        <f t="shared" si="0"/>
        <v>3413.2923809523809</v>
      </c>
      <c r="F28" s="55">
        <f t="shared" si="1"/>
        <v>-6.6685267918658031E-3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7.8248732794877762E-2</v>
      </c>
      <c r="N28" s="78"/>
      <c r="O28" s="78"/>
    </row>
    <row r="29" spans="1:48" ht="15.75">
      <c r="A29" s="50">
        <v>39482</v>
      </c>
      <c r="B29" s="51">
        <v>4567.53</v>
      </c>
      <c r="C29" s="52"/>
      <c r="D29" s="53">
        <v>40148</v>
      </c>
      <c r="E29" s="54">
        <f t="shared" si="0"/>
        <v>3530.893</v>
      </c>
      <c r="F29" s="55">
        <f t="shared" si="1"/>
        <v>3.4453719729338195E-2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8.096401785185714E-2</v>
      </c>
      <c r="N29" s="78"/>
      <c r="O29" s="78"/>
    </row>
    <row r="30" spans="1:48" ht="15.75">
      <c r="A30" s="50">
        <v>39483</v>
      </c>
      <c r="B30" s="51">
        <v>4414.2</v>
      </c>
      <c r="C30" s="52"/>
      <c r="D30" s="53">
        <v>40179</v>
      </c>
      <c r="E30" s="54">
        <f t="shared" si="0"/>
        <v>3545.5235000000002</v>
      </c>
      <c r="F30" s="55">
        <f t="shared" si="1"/>
        <v>4.143569346338305E-3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-8.0797281322008141E-3</v>
      </c>
      <c r="N30" s="78"/>
      <c r="O30" s="78"/>
    </row>
    <row r="31" spans="1:48" ht="15.75">
      <c r="A31" s="50">
        <v>39484</v>
      </c>
      <c r="B31" s="51">
        <v>4467.88</v>
      </c>
      <c r="C31" s="52"/>
      <c r="D31" s="53">
        <v>40210</v>
      </c>
      <c r="E31" s="54">
        <f t="shared" si="0"/>
        <v>3370.2075000000004</v>
      </c>
      <c r="F31" s="55">
        <f t="shared" si="1"/>
        <v>-4.94471408806062E-2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5.3120176796481733E-3</v>
      </c>
      <c r="N31" s="78"/>
      <c r="O31" s="78"/>
    </row>
    <row r="32" spans="1:48" ht="15.75">
      <c r="A32" s="50">
        <v>39485</v>
      </c>
      <c r="B32" s="51">
        <v>4393.7299999999996</v>
      </c>
      <c r="C32" s="52"/>
      <c r="D32" s="53">
        <v>40238</v>
      </c>
      <c r="E32" s="54">
        <f t="shared" si="0"/>
        <v>3598.6499999999992</v>
      </c>
      <c r="F32" s="55">
        <f t="shared" si="1"/>
        <v>6.7782918410809634E-2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-7.9979325038085358E-2</v>
      </c>
      <c r="N32" s="78"/>
      <c r="O32" s="78"/>
    </row>
    <row r="33" spans="1:15" ht="15.75">
      <c r="A33" s="50">
        <v>39486</v>
      </c>
      <c r="B33" s="51">
        <v>4415.62</v>
      </c>
      <c r="C33" s="52"/>
      <c r="D33" s="53">
        <v>40269</v>
      </c>
      <c r="E33" s="54">
        <f t="shared" si="0"/>
        <v>3743.7399999999993</v>
      </c>
      <c r="F33" s="55">
        <f t="shared" si="1"/>
        <v>4.0317896989148672E-2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0.12953376612893819</v>
      </c>
      <c r="N33" s="78"/>
      <c r="O33" s="78"/>
    </row>
    <row r="34" spans="1:15" ht="15.75">
      <c r="A34" s="50">
        <v>39489</v>
      </c>
      <c r="B34" s="51">
        <v>4400.12</v>
      </c>
      <c r="C34" s="52"/>
      <c r="D34" s="53">
        <v>40299</v>
      </c>
      <c r="E34" s="54">
        <f t="shared" si="0"/>
        <v>3512.4719047619042</v>
      </c>
      <c r="F34" s="55">
        <f t="shared" si="1"/>
        <v>-6.177461448660837E-2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0.17268618458097196</v>
      </c>
      <c r="N34" s="78"/>
      <c r="O34" s="78"/>
    </row>
    <row r="35" spans="1:15" ht="15.75">
      <c r="A35" s="50">
        <v>39490</v>
      </c>
      <c r="B35" s="51">
        <v>4546.3500000000004</v>
      </c>
      <c r="C35" s="52"/>
      <c r="D35" s="53">
        <v>40330</v>
      </c>
      <c r="E35" s="54">
        <f t="shared" si="0"/>
        <v>3565.562272727273</v>
      </c>
      <c r="F35" s="55">
        <f t="shared" si="1"/>
        <v>1.5114816404194764E-2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-7.364243236820045E-2</v>
      </c>
      <c r="N35" s="78"/>
      <c r="O35" s="78"/>
    </row>
    <row r="36" spans="1:15" ht="15.75">
      <c r="A36" s="50">
        <v>39491</v>
      </c>
      <c r="B36" s="51">
        <v>4550.28</v>
      </c>
      <c r="C36" s="52"/>
      <c r="D36" s="53">
        <v>40360</v>
      </c>
      <c r="E36" s="54">
        <f t="shared" si="0"/>
        <v>3553.6831818181822</v>
      </c>
      <c r="F36" s="55">
        <f t="shared" si="1"/>
        <v>-3.3316178488742576E-3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-9.4412009969925381E-2</v>
      </c>
      <c r="N36" s="78"/>
      <c r="O36" s="78"/>
    </row>
    <row r="37" spans="1:15" ht="15.75">
      <c r="A37" s="50">
        <v>39492</v>
      </c>
      <c r="B37" s="51">
        <v>4542.6899999999996</v>
      </c>
      <c r="C37" s="52"/>
      <c r="D37" s="53">
        <v>40391</v>
      </c>
      <c r="E37" s="54">
        <f t="shared" si="0"/>
        <v>3589.5004545454544</v>
      </c>
      <c r="F37" s="55">
        <f t="shared" si="1"/>
        <v>1.0078915563020763E-2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-3.9145117508235239E-2</v>
      </c>
      <c r="N37" s="78"/>
      <c r="O37" s="78"/>
    </row>
    <row r="38" spans="1:15" ht="15.75">
      <c r="A38" s="50">
        <v>39493</v>
      </c>
      <c r="B38" s="51">
        <v>4458.0600000000004</v>
      </c>
      <c r="C38" s="52"/>
      <c r="D38" s="53">
        <v>40422</v>
      </c>
      <c r="E38" s="54">
        <f t="shared" si="0"/>
        <v>3643.7127272727275</v>
      </c>
      <c r="F38" s="55">
        <f t="shared" si="1"/>
        <v>1.5103013194669668E-2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1.2575818255871063E-2</v>
      </c>
      <c r="N38" s="78"/>
      <c r="O38" s="78"/>
    </row>
    <row r="39" spans="1:15" ht="15.75">
      <c r="A39" s="50">
        <v>39496</v>
      </c>
      <c r="B39" s="51">
        <v>4546.1499999999996</v>
      </c>
      <c r="C39" s="52"/>
      <c r="D39" s="53">
        <v>40452</v>
      </c>
      <c r="E39" s="54">
        <f t="shared" si="0"/>
        <v>3773.5361904761903</v>
      </c>
      <c r="F39" s="55">
        <f t="shared" si="1"/>
        <v>3.5629445272057358E-2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-2.8496381413398497E-2</v>
      </c>
      <c r="N39" s="78"/>
      <c r="O39" s="78"/>
    </row>
    <row r="40" spans="1:15" ht="15.75">
      <c r="A40" s="50">
        <v>39497</v>
      </c>
      <c r="B40" s="51">
        <v>4568.84</v>
      </c>
      <c r="C40" s="52"/>
      <c r="D40" s="53">
        <v>40483</v>
      </c>
      <c r="E40" s="54">
        <f t="shared" si="0"/>
        <v>3954.1740909090909</v>
      </c>
      <c r="F40" s="55">
        <f t="shared" si="1"/>
        <v>4.7869661589254653E-2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6.6655916120397452E-2</v>
      </c>
      <c r="N40" s="78"/>
      <c r="O40" s="78"/>
    </row>
    <row r="41" spans="1:15" ht="15.75">
      <c r="A41" s="50">
        <v>39498</v>
      </c>
      <c r="B41" s="51">
        <v>4501.87</v>
      </c>
      <c r="C41" s="52"/>
      <c r="D41" s="53">
        <v>40513</v>
      </c>
      <c r="E41" s="54">
        <f t="shared" si="0"/>
        <v>4099.2490476190478</v>
      </c>
      <c r="F41" s="55">
        <f t="shared" si="1"/>
        <v>3.6689066635557044E-2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9.3737349320810681E-2</v>
      </c>
      <c r="N41" s="78"/>
      <c r="O41" s="78"/>
    </row>
    <row r="42" spans="1:15" ht="15.75">
      <c r="A42" s="50">
        <v>39499</v>
      </c>
      <c r="B42" s="51">
        <v>4505.16</v>
      </c>
      <c r="C42" s="52"/>
      <c r="D42" s="53">
        <v>40544</v>
      </c>
      <c r="E42" s="54">
        <f t="shared" si="0"/>
        <v>4124.6352380952385</v>
      </c>
      <c r="F42" s="55">
        <f t="shared" si="1"/>
        <v>6.1928880585910839E-3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4.5398281736291013E-2</v>
      </c>
      <c r="N42" s="78"/>
      <c r="O42" s="78"/>
    </row>
    <row r="43" spans="1:15" ht="15.75">
      <c r="A43" s="50">
        <v>39500</v>
      </c>
      <c r="B43" s="51">
        <v>4440.67</v>
      </c>
      <c r="C43" s="52"/>
      <c r="D43" s="53">
        <v>40575</v>
      </c>
      <c r="E43" s="54">
        <f t="shared" si="0"/>
        <v>4262.7</v>
      </c>
      <c r="F43" s="55">
        <f t="shared" si="1"/>
        <v>3.3473205249664684E-2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-6.2499149327644998E-3</v>
      </c>
      <c r="N43" s="78"/>
      <c r="O43" s="78"/>
    </row>
    <row r="44" spans="1:15" ht="15.75">
      <c r="A44" s="50">
        <v>39503</v>
      </c>
      <c r="B44" s="51">
        <v>4490.3900000000003</v>
      </c>
      <c r="C44" s="52"/>
      <c r="D44" s="53">
        <v>40603</v>
      </c>
      <c r="E44" s="54">
        <f t="shared" si="0"/>
        <v>4062.4734782608689</v>
      </c>
      <c r="F44" s="55">
        <f t="shared" si="1"/>
        <v>-4.6971760090818271E-2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4.9574351209972001E-2</v>
      </c>
      <c r="N44" s="78"/>
      <c r="O44" s="78"/>
    </row>
    <row r="45" spans="1:15" ht="15.75">
      <c r="A45" s="50">
        <v>39504</v>
      </c>
      <c r="B45" s="51">
        <v>4557.62</v>
      </c>
      <c r="C45" s="52"/>
      <c r="D45" s="53">
        <v>40634</v>
      </c>
      <c r="E45" s="54">
        <f t="shared" si="0"/>
        <v>4211.1394736842103</v>
      </c>
      <c r="F45" s="55">
        <f t="shared" si="1"/>
        <v>3.6594945473215734E-2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1.9847622932547715E-2</v>
      </c>
      <c r="N45" s="78"/>
      <c r="O45" s="78"/>
    </row>
    <row r="46" spans="1:15" ht="15.75">
      <c r="A46" s="50">
        <v>39505</v>
      </c>
      <c r="B46" s="51">
        <v>4565.28</v>
      </c>
      <c r="C46" s="52"/>
      <c r="D46" s="53">
        <v>40664</v>
      </c>
      <c r="E46" s="54">
        <f t="shared" si="0"/>
        <v>4187.7390909090909</v>
      </c>
      <c r="F46" s="55">
        <f t="shared" si="1"/>
        <v>-5.55678170275542E-3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-7.1030799907203512E-2</v>
      </c>
      <c r="N46" s="78"/>
      <c r="O46" s="78"/>
    </row>
    <row r="47" spans="1:15" ht="15.75">
      <c r="A47" s="50">
        <v>39506</v>
      </c>
      <c r="B47" s="51">
        <v>4477.12</v>
      </c>
      <c r="C47" s="52"/>
      <c r="D47" s="53">
        <v>40695</v>
      </c>
      <c r="E47" s="54">
        <f t="shared" si="0"/>
        <v>4061.9613636363633</v>
      </c>
      <c r="F47" s="55">
        <f t="shared" si="1"/>
        <v>-3.0034757309921889E-2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-8.0609023131973379E-3</v>
      </c>
      <c r="N47" s="78"/>
      <c r="O47" s="78"/>
    </row>
    <row r="48" spans="1:15" ht="15.75">
      <c r="A48" s="50">
        <v>39507</v>
      </c>
      <c r="B48" s="51">
        <v>4402.6499999999996</v>
      </c>
      <c r="C48" s="52"/>
      <c r="D48" s="53">
        <v>40725</v>
      </c>
      <c r="E48" s="54">
        <f t="shared" si="0"/>
        <v>4137.0138095238099</v>
      </c>
      <c r="F48" s="55">
        <f t="shared" si="1"/>
        <v>1.8476898022549815E-2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-7.3328338933993931E-2</v>
      </c>
      <c r="N48" s="78"/>
      <c r="O48" s="78"/>
    </row>
    <row r="49" spans="1:15" ht="15.75">
      <c r="A49" s="50">
        <v>39510</v>
      </c>
      <c r="B49" s="51">
        <v>4364.7</v>
      </c>
      <c r="C49" s="52"/>
      <c r="D49" s="53">
        <v>40756</v>
      </c>
      <c r="E49" s="54">
        <f t="shared" si="0"/>
        <v>3360.4921739130446</v>
      </c>
      <c r="F49" s="55">
        <f t="shared" si="1"/>
        <v>-0.18770100158310732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-5.9556465861074437E-2</v>
      </c>
      <c r="N49" s="78"/>
      <c r="O49" s="78"/>
    </row>
    <row r="50" spans="1:15" ht="15.75">
      <c r="A50" s="50">
        <v>39511</v>
      </c>
      <c r="B50" s="51">
        <v>4270.04</v>
      </c>
      <c r="C50" s="52"/>
      <c r="D50" s="53">
        <v>40787</v>
      </c>
      <c r="E50" s="54">
        <f t="shared" si="0"/>
        <v>3064.6336363636365</v>
      </c>
      <c r="F50" s="55">
        <f t="shared" si="1"/>
        <v>-8.8040240011897586E-2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9.2535561338077166E-2</v>
      </c>
      <c r="N50" s="78"/>
      <c r="O50" s="78"/>
    </row>
    <row r="51" spans="1:15" ht="15.75">
      <c r="A51" s="50">
        <v>39512</v>
      </c>
      <c r="B51" s="51">
        <v>4360.41</v>
      </c>
      <c r="C51" s="52"/>
      <c r="D51" s="53">
        <v>40817</v>
      </c>
      <c r="E51" s="54">
        <f t="shared" si="0"/>
        <v>3330.9871428571419</v>
      </c>
      <c r="F51" s="55">
        <f t="shared" si="1"/>
        <v>8.6912022152686674E-2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3.7569019819170268E-3</v>
      </c>
      <c r="N51" s="78"/>
      <c r="O51" s="78"/>
    </row>
    <row r="52" spans="1:15" ht="15.75">
      <c r="A52" s="50">
        <v>39513</v>
      </c>
      <c r="B52" s="51">
        <v>4300.28</v>
      </c>
      <c r="C52" s="52"/>
      <c r="D52" s="53">
        <v>40848</v>
      </c>
      <c r="E52" s="54">
        <f t="shared" si="0"/>
        <v>3305.2745454545466</v>
      </c>
      <c r="F52" s="55">
        <f t="shared" si="1"/>
        <v>-7.7192124435941922E-3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1.0124536563419717E-2</v>
      </c>
      <c r="N52" s="78"/>
      <c r="O52" s="78"/>
    </row>
    <row r="53" spans="1:15" ht="15.75">
      <c r="A53" s="50">
        <v>39514</v>
      </c>
      <c r="B53" s="51">
        <v>4250.0200000000004</v>
      </c>
      <c r="C53" s="52"/>
      <c r="D53" s="53">
        <v>40878</v>
      </c>
      <c r="E53" s="54">
        <f t="shared" si="0"/>
        <v>3328.7104761904766</v>
      </c>
      <c r="F53" s="55">
        <f t="shared" si="1"/>
        <v>7.0904641698099624E-3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6.5939227948933254E-2</v>
      </c>
      <c r="N53" s="78"/>
      <c r="O53" s="78"/>
    </row>
    <row r="54" spans="1:15" ht="15.75">
      <c r="A54" s="50">
        <v>39517</v>
      </c>
      <c r="B54" s="51">
        <v>4207.16</v>
      </c>
      <c r="C54" s="52"/>
      <c r="D54" s="53">
        <v>40909</v>
      </c>
      <c r="E54" s="54">
        <f t="shared" si="0"/>
        <v>3558.2272727272721</v>
      </c>
      <c r="F54" s="55">
        <f t="shared" si="1"/>
        <v>6.895066368147007E-2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39518</v>
      </c>
      <c r="B55" s="51">
        <v>4256.99</v>
      </c>
      <c r="C55" s="52"/>
      <c r="D55" s="53">
        <v>40940</v>
      </c>
      <c r="E55" s="54">
        <f t="shared" si="0"/>
        <v>3836.804285714285</v>
      </c>
      <c r="F55" s="55">
        <f t="shared" si="1"/>
        <v>7.829095547724596E-2</v>
      </c>
      <c r="G55" s="81"/>
      <c r="H55" s="55"/>
      <c r="J55" s="87"/>
      <c r="K55" s="88"/>
      <c r="L55" s="89"/>
    </row>
    <row r="56" spans="1:15" ht="15.75">
      <c r="A56" s="50">
        <v>39519</v>
      </c>
      <c r="B56" s="51">
        <v>4305.78</v>
      </c>
      <c r="C56" s="52"/>
      <c r="D56" s="53">
        <v>40969</v>
      </c>
      <c r="E56" s="54">
        <f t="shared" si="0"/>
        <v>3936.3127272727274</v>
      </c>
      <c r="F56" s="55">
        <f t="shared" si="1"/>
        <v>2.5935240410605687E-2</v>
      </c>
      <c r="G56" s="76"/>
      <c r="H56" s="77"/>
      <c r="J56" s="90"/>
      <c r="K56" s="90"/>
      <c r="L56" s="90"/>
      <c r="M56" s="90"/>
    </row>
    <row r="57" spans="1:15" ht="18">
      <c r="A57" s="50">
        <v>39520</v>
      </c>
      <c r="B57" s="51">
        <v>4241.3500000000004</v>
      </c>
      <c r="C57" s="52"/>
      <c r="D57" s="53">
        <v>41000</v>
      </c>
      <c r="E57" s="54">
        <f t="shared" si="0"/>
        <v>3786.7189473684207</v>
      </c>
      <c r="F57" s="55">
        <f t="shared" si="1"/>
        <v>-3.8003530275388608E-2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39521</v>
      </c>
      <c r="B58" s="51">
        <v>4209.53</v>
      </c>
      <c r="C58" s="52"/>
      <c r="D58" s="53">
        <v>41030</v>
      </c>
      <c r="E58" s="54">
        <f t="shared" si="0"/>
        <v>3542.2390909090905</v>
      </c>
      <c r="F58" s="55">
        <f t="shared" si="1"/>
        <v>-6.4562450991835885E-2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39524</v>
      </c>
      <c r="B59" s="51">
        <v>4034.61</v>
      </c>
      <c r="C59" s="52"/>
      <c r="D59" s="53">
        <v>41061</v>
      </c>
      <c r="E59" s="54">
        <f t="shared" si="0"/>
        <v>3380.5842857142852</v>
      </c>
      <c r="F59" s="55">
        <f t="shared" si="1"/>
        <v>-4.5636333699123011E-2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39525</v>
      </c>
      <c r="B60" s="51">
        <v>4172.16</v>
      </c>
      <c r="C60" s="52"/>
      <c r="D60" s="53">
        <v>41091</v>
      </c>
      <c r="E60" s="54">
        <f t="shared" si="0"/>
        <v>3580.3431818181812</v>
      </c>
      <c r="F60" s="55">
        <f t="shared" si="1"/>
        <v>5.9090050482704992E-2</v>
      </c>
      <c r="G60" s="76"/>
      <c r="H60" s="77"/>
      <c r="J60" s="87"/>
      <c r="K60" s="88"/>
      <c r="L60" s="89"/>
      <c r="M60" s="92"/>
    </row>
    <row r="61" spans="1:15" ht="15.75">
      <c r="A61" s="50">
        <v>39526</v>
      </c>
      <c r="B61" s="51">
        <v>4151.3599999999997</v>
      </c>
      <c r="C61" s="52"/>
      <c r="D61" s="53">
        <v>41122</v>
      </c>
      <c r="E61" s="54">
        <f t="shared" si="0"/>
        <v>3799.0791304347822</v>
      </c>
      <c r="F61" s="55">
        <f t="shared" si="1"/>
        <v>6.109357050670261E-2</v>
      </c>
      <c r="G61" s="81"/>
      <c r="H61" s="55"/>
      <c r="J61" s="95"/>
      <c r="K61" s="88"/>
      <c r="L61" s="96"/>
      <c r="M61" s="92"/>
    </row>
    <row r="62" spans="1:15" ht="15.75">
      <c r="A62" s="50">
        <v>39527</v>
      </c>
      <c r="B62" s="51">
        <v>4124.7</v>
      </c>
      <c r="C62" s="52"/>
      <c r="D62" s="53">
        <v>41153</v>
      </c>
      <c r="E62" s="54">
        <f t="shared" si="0"/>
        <v>3976.5304999999998</v>
      </c>
      <c r="F62" s="55">
        <f t="shared" si="1"/>
        <v>4.6709048027886002E-2</v>
      </c>
      <c r="G62" s="76"/>
      <c r="H62" s="77"/>
      <c r="J62" s="87"/>
      <c r="K62" s="88"/>
      <c r="L62" s="89"/>
      <c r="M62" s="92"/>
    </row>
    <row r="63" spans="1:15" ht="15.75">
      <c r="A63" s="50">
        <v>39532</v>
      </c>
      <c r="B63" s="51">
        <v>4258.3100000000004</v>
      </c>
      <c r="C63" s="52"/>
      <c r="D63" s="53">
        <v>41183</v>
      </c>
      <c r="E63" s="54">
        <f t="shared" si="0"/>
        <v>3984.0560869565215</v>
      </c>
      <c r="F63" s="55">
        <f t="shared" si="1"/>
        <v>1.8925007507226699E-3</v>
      </c>
      <c r="G63" s="76"/>
      <c r="H63" s="77"/>
      <c r="J63" s="87"/>
      <c r="K63" s="88"/>
      <c r="L63" s="89"/>
      <c r="M63" s="92"/>
    </row>
    <row r="64" spans="1:15" ht="15.75">
      <c r="A64" s="50">
        <v>39533</v>
      </c>
      <c r="B64" s="51">
        <v>4235.17</v>
      </c>
      <c r="C64" s="52"/>
      <c r="D64" s="53">
        <v>41214</v>
      </c>
      <c r="E64" s="54">
        <f t="shared" si="0"/>
        <v>3956.9499999999989</v>
      </c>
      <c r="F64" s="55">
        <f t="shared" si="1"/>
        <v>-6.8036409038682022E-3</v>
      </c>
      <c r="G64" s="81"/>
      <c r="H64" s="55"/>
      <c r="J64" s="87"/>
      <c r="K64" s="88"/>
      <c r="L64" s="89"/>
      <c r="M64" s="92"/>
    </row>
    <row r="65" spans="1:13" ht="15.75">
      <c r="A65" s="50">
        <v>39534</v>
      </c>
      <c r="B65" s="51">
        <v>4293.13</v>
      </c>
      <c r="C65" s="52"/>
      <c r="D65" s="53">
        <v>41244</v>
      </c>
      <c r="E65" s="54">
        <f t="shared" si="0"/>
        <v>4141.4911764705885</v>
      </c>
      <c r="F65" s="55">
        <f t="shared" si="1"/>
        <v>4.6637227276207671E-2</v>
      </c>
      <c r="G65" s="76"/>
      <c r="H65" s="77"/>
      <c r="J65" s="87"/>
      <c r="K65" s="88"/>
      <c r="L65" s="96"/>
      <c r="M65" s="92"/>
    </row>
    <row r="66" spans="1:13" ht="15.75">
      <c r="A66" s="50">
        <v>39535</v>
      </c>
      <c r="B66" s="51">
        <v>4281.2700000000004</v>
      </c>
      <c r="C66" s="52"/>
      <c r="D66" s="53">
        <v>41275</v>
      </c>
      <c r="E66" s="54">
        <f t="shared" si="0"/>
        <v>4231.0731818181821</v>
      </c>
      <c r="F66" s="55">
        <f t="shared" si="1"/>
        <v>2.1630374551210751E-2</v>
      </c>
      <c r="G66" s="76"/>
      <c r="H66" s="77"/>
      <c r="J66" s="95"/>
      <c r="K66" s="88"/>
      <c r="L66" s="89"/>
      <c r="M66" s="92"/>
    </row>
    <row r="67" spans="1:13" ht="15.75">
      <c r="A67" s="50">
        <v>39538</v>
      </c>
      <c r="B67" s="51">
        <v>4263.6499999999996</v>
      </c>
      <c r="C67" s="52"/>
      <c r="D67" s="53">
        <v>41306</v>
      </c>
      <c r="E67" s="54">
        <f t="shared" si="0"/>
        <v>4176.482</v>
      </c>
      <c r="F67" s="55">
        <f t="shared" si="1"/>
        <v>-1.2902443298020039E-2</v>
      </c>
      <c r="G67" s="81"/>
      <c r="H67" s="55"/>
      <c r="J67" s="87"/>
      <c r="K67" s="88"/>
      <c r="L67" s="89"/>
      <c r="M67" s="92"/>
    </row>
    <row r="68" spans="1:13" ht="15.75">
      <c r="A68" s="50">
        <v>39539</v>
      </c>
      <c r="B68" s="51">
        <v>4384.59</v>
      </c>
      <c r="C68" s="52"/>
      <c r="D68" s="53">
        <v>41334</v>
      </c>
      <c r="E68" s="54">
        <f t="shared" si="0"/>
        <v>4310.0380000000014</v>
      </c>
      <c r="F68" s="55">
        <f t="shared" si="1"/>
        <v>3.1978109806291899E-2</v>
      </c>
      <c r="G68" s="76"/>
      <c r="H68" s="77"/>
      <c r="J68" s="87"/>
      <c r="K68" s="88"/>
      <c r="L68" s="89"/>
      <c r="M68" s="92"/>
    </row>
    <row r="69" spans="1:13" ht="15.75">
      <c r="A69" s="50">
        <v>39540</v>
      </c>
      <c r="B69" s="51">
        <v>4421.8599999999997</v>
      </c>
      <c r="C69" s="52"/>
      <c r="D69" s="53">
        <v>41365</v>
      </c>
      <c r="E69" s="54">
        <f t="shared" si="0"/>
        <v>4190.071904761905</v>
      </c>
      <c r="F69" s="55">
        <f t="shared" si="1"/>
        <v>-2.7834115438911788E-2</v>
      </c>
      <c r="G69" s="76"/>
      <c r="H69" s="77"/>
      <c r="J69" s="87"/>
      <c r="K69" s="88"/>
      <c r="L69" s="96"/>
      <c r="M69" s="92"/>
    </row>
    <row r="70" spans="1:13" ht="15.75">
      <c r="A70" s="50">
        <v>39541</v>
      </c>
      <c r="B70" s="51">
        <v>4398.55</v>
      </c>
      <c r="C70" s="52"/>
      <c r="D70" s="53">
        <v>41395</v>
      </c>
      <c r="E70" s="54">
        <f t="shared" ref="E70:E133" si="2">AVERAGEIFS($B$6:$B$3069,$A$6:$A$3069,"&gt;="&amp;D70,$A$6:$A$3069,"&lt;="&amp;EOMONTH(D70,0))</f>
        <v>4428.9250000000002</v>
      </c>
      <c r="F70" s="55">
        <f t="shared" si="1"/>
        <v>5.7004533732856633E-2</v>
      </c>
      <c r="G70" s="81"/>
      <c r="H70" s="55"/>
      <c r="J70" s="87"/>
      <c r="K70" s="88"/>
      <c r="L70" s="89"/>
      <c r="M70" s="92"/>
    </row>
    <row r="71" spans="1:13" ht="15.75">
      <c r="A71" s="50">
        <v>39542</v>
      </c>
      <c r="B71" s="51">
        <v>4412.68</v>
      </c>
      <c r="C71" s="52"/>
      <c r="D71" s="53">
        <v>41426</v>
      </c>
      <c r="E71" s="54">
        <f t="shared" si="2"/>
        <v>4278.2239999999993</v>
      </c>
      <c r="F71" s="55">
        <f t="shared" ref="F71:F134" si="3">E71/E70-1</f>
        <v>-3.4026541429353796E-2</v>
      </c>
      <c r="G71" s="76"/>
      <c r="H71" s="77"/>
      <c r="J71" s="95"/>
      <c r="K71" s="88"/>
      <c r="L71" s="89"/>
      <c r="M71" s="92"/>
    </row>
    <row r="72" spans="1:13" ht="15.75">
      <c r="A72" s="50">
        <v>39545</v>
      </c>
      <c r="B72" s="51">
        <v>4450.29</v>
      </c>
      <c r="C72" s="52"/>
      <c r="D72" s="53">
        <v>41456</v>
      </c>
      <c r="E72" s="54">
        <f t="shared" si="2"/>
        <v>4316.5860869565222</v>
      </c>
      <c r="F72" s="55">
        <f t="shared" si="3"/>
        <v>8.9668252425592065E-3</v>
      </c>
      <c r="G72" s="76"/>
      <c r="H72" s="77"/>
      <c r="J72" s="87"/>
      <c r="K72" s="88"/>
      <c r="L72" s="89"/>
      <c r="M72" s="92"/>
    </row>
    <row r="73" spans="1:13" ht="15.75">
      <c r="A73" s="50">
        <v>39546</v>
      </c>
      <c r="B73" s="51">
        <v>4418.29</v>
      </c>
      <c r="C73" s="52"/>
      <c r="D73" s="53">
        <v>41487</v>
      </c>
      <c r="E73" s="54">
        <f t="shared" si="2"/>
        <v>4406.8254545454547</v>
      </c>
      <c r="F73" s="55">
        <f t="shared" si="3"/>
        <v>2.0905263041459898E-2</v>
      </c>
      <c r="G73" s="81"/>
      <c r="H73" s="55"/>
      <c r="J73" s="87"/>
      <c r="K73" s="88"/>
      <c r="L73" s="96"/>
      <c r="M73" s="92"/>
    </row>
    <row r="74" spans="1:13" ht="15.75">
      <c r="A74" s="50">
        <v>39547</v>
      </c>
      <c r="B74" s="51">
        <v>4385.2299999999996</v>
      </c>
      <c r="C74" s="52"/>
      <c r="D74" s="53">
        <v>41518</v>
      </c>
      <c r="E74" s="54">
        <f t="shared" si="2"/>
        <v>4494.2895238095243</v>
      </c>
      <c r="F74" s="55">
        <f t="shared" si="3"/>
        <v>1.9847409471108968E-2</v>
      </c>
      <c r="G74" s="76"/>
      <c r="H74" s="77"/>
      <c r="J74" s="87"/>
      <c r="K74" s="88"/>
      <c r="L74" s="89"/>
      <c r="M74" s="92"/>
    </row>
    <row r="75" spans="1:13" ht="15.75">
      <c r="A75" s="50">
        <v>39548</v>
      </c>
      <c r="B75" s="51">
        <v>4361.5</v>
      </c>
      <c r="C75" s="52"/>
      <c r="D75" s="53">
        <v>41548</v>
      </c>
      <c r="E75" s="54">
        <f t="shared" si="2"/>
        <v>4654.3534782608704</v>
      </c>
      <c r="F75" s="55">
        <f t="shared" si="3"/>
        <v>3.5614962855279098E-2</v>
      </c>
      <c r="G75" s="76"/>
      <c r="H75" s="77"/>
      <c r="J75" s="87"/>
      <c r="K75" s="88"/>
      <c r="L75" s="89"/>
      <c r="M75" s="92"/>
    </row>
    <row r="76" spans="1:13" ht="15.75">
      <c r="A76" s="50">
        <v>39549</v>
      </c>
      <c r="B76" s="51">
        <v>4295.97</v>
      </c>
      <c r="C76" s="52"/>
      <c r="D76" s="53">
        <v>41579</v>
      </c>
      <c r="E76" s="54">
        <f t="shared" si="2"/>
        <v>4850.0680952380953</v>
      </c>
      <c r="F76" s="55">
        <f t="shared" si="3"/>
        <v>4.2049796581061338E-2</v>
      </c>
      <c r="G76" s="81"/>
      <c r="H76" s="55"/>
      <c r="J76" s="95"/>
      <c r="K76" s="88"/>
      <c r="L76" s="89"/>
      <c r="M76" s="92"/>
    </row>
    <row r="77" spans="1:13" ht="15.75">
      <c r="A77" s="50">
        <v>39552</v>
      </c>
      <c r="B77" s="51">
        <v>4264.1899999999996</v>
      </c>
      <c r="C77" s="52"/>
      <c r="D77" s="53">
        <v>41609</v>
      </c>
      <c r="E77" s="54">
        <f t="shared" si="2"/>
        <v>4884.1594444444445</v>
      </c>
      <c r="F77" s="55">
        <f t="shared" si="3"/>
        <v>7.0290454766646082E-3</v>
      </c>
      <c r="G77" s="76"/>
      <c r="H77" s="77"/>
      <c r="J77" s="87"/>
      <c r="K77" s="88"/>
      <c r="L77" s="96"/>
      <c r="M77" s="92"/>
    </row>
    <row r="78" spans="1:13" ht="15.75">
      <c r="A78" s="50">
        <v>39553</v>
      </c>
      <c r="B78" s="51">
        <v>4283.4399999999996</v>
      </c>
      <c r="C78" s="52"/>
      <c r="D78" s="53">
        <v>41640</v>
      </c>
      <c r="E78" s="54">
        <f t="shared" si="2"/>
        <v>5031.1886363636368</v>
      </c>
      <c r="F78" s="55">
        <f t="shared" si="3"/>
        <v>3.0103274389707391E-2</v>
      </c>
      <c r="G78" s="76"/>
      <c r="H78" s="77"/>
      <c r="J78" s="87"/>
      <c r="K78" s="88"/>
      <c r="L78" s="89"/>
      <c r="M78" s="92"/>
    </row>
    <row r="79" spans="1:13" ht="15.75">
      <c r="A79" s="50">
        <v>39554</v>
      </c>
      <c r="B79" s="51">
        <v>4360.1899999999996</v>
      </c>
      <c r="C79" s="52"/>
      <c r="D79" s="53">
        <v>41671</v>
      </c>
      <c r="E79" s="54">
        <f t="shared" si="2"/>
        <v>5013.4395000000013</v>
      </c>
      <c r="F79" s="55">
        <f t="shared" si="3"/>
        <v>-3.5278216832004272E-3</v>
      </c>
      <c r="G79" s="81"/>
      <c r="H79" s="55"/>
      <c r="J79" s="87"/>
      <c r="K79" s="88"/>
      <c r="L79" s="89"/>
      <c r="M79" s="92"/>
    </row>
    <row r="80" spans="1:13" ht="15.75">
      <c r="A80" s="50">
        <v>39555</v>
      </c>
      <c r="B80" s="51">
        <v>4346.5200000000004</v>
      </c>
      <c r="C80" s="52"/>
      <c r="D80" s="53">
        <v>41699</v>
      </c>
      <c r="E80" s="54">
        <f t="shared" si="2"/>
        <v>4923.8238095238094</v>
      </c>
      <c r="F80" s="55">
        <f t="shared" si="3"/>
        <v>-1.7875091636428864E-2</v>
      </c>
      <c r="G80" s="76"/>
      <c r="H80" s="77"/>
      <c r="J80" s="87"/>
      <c r="K80" s="88"/>
      <c r="L80" s="89"/>
      <c r="M80" s="92"/>
    </row>
    <row r="81" spans="1:13" ht="15.75">
      <c r="A81" s="50">
        <v>39556</v>
      </c>
      <c r="B81" s="51">
        <v>4434.54</v>
      </c>
      <c r="C81" s="52"/>
      <c r="D81" s="53">
        <v>41730</v>
      </c>
      <c r="E81" s="54">
        <f t="shared" si="2"/>
        <v>4990.5380000000005</v>
      </c>
      <c r="F81" s="55">
        <f t="shared" si="3"/>
        <v>1.3549264363836633E-2</v>
      </c>
      <c r="G81" s="76"/>
      <c r="H81" s="77"/>
      <c r="J81" s="95"/>
      <c r="K81" s="88"/>
      <c r="L81" s="96"/>
      <c r="M81" s="92"/>
    </row>
    <row r="82" spans="1:13" ht="15.75">
      <c r="A82" s="50">
        <v>39559</v>
      </c>
      <c r="B82" s="51">
        <v>4397.97</v>
      </c>
      <c r="C82" s="52"/>
      <c r="D82" s="53">
        <v>41760</v>
      </c>
      <c r="E82" s="54">
        <f t="shared" si="2"/>
        <v>5023.8499999999995</v>
      </c>
      <c r="F82" s="55">
        <f t="shared" si="3"/>
        <v>6.6750318302353229E-3</v>
      </c>
      <c r="G82" s="81"/>
      <c r="H82" s="55"/>
      <c r="J82" s="87"/>
      <c r="K82" s="88"/>
      <c r="L82" s="89"/>
      <c r="M82" s="92"/>
    </row>
    <row r="83" spans="1:13" ht="15.75">
      <c r="A83" s="50">
        <v>39560</v>
      </c>
      <c r="B83" s="51">
        <v>4360.1000000000004</v>
      </c>
      <c r="C83" s="52"/>
      <c r="D83" s="53">
        <v>41791</v>
      </c>
      <c r="E83" s="54">
        <f t="shared" si="2"/>
        <v>5107.4604761904757</v>
      </c>
      <c r="F83" s="55">
        <f t="shared" si="3"/>
        <v>1.6642709513714715E-2</v>
      </c>
      <c r="G83" s="76"/>
      <c r="H83" s="77"/>
      <c r="J83" s="87"/>
      <c r="K83" s="88"/>
      <c r="L83" s="89"/>
      <c r="M83" s="92"/>
    </row>
    <row r="84" spans="1:13" ht="15.75">
      <c r="A84" s="50">
        <v>39561</v>
      </c>
      <c r="B84" s="51">
        <v>4403.4799999999996</v>
      </c>
      <c r="C84" s="52"/>
      <c r="D84" s="53">
        <v>41821</v>
      </c>
      <c r="E84" s="54">
        <f t="shared" si="2"/>
        <v>5017.0478260869568</v>
      </c>
      <c r="F84" s="55">
        <f t="shared" si="3"/>
        <v>-1.7702075331761602E-2</v>
      </c>
      <c r="G84" s="76"/>
      <c r="H84" s="77"/>
      <c r="J84" s="87"/>
      <c r="K84" s="88"/>
      <c r="L84" s="89"/>
      <c r="M84" s="92"/>
    </row>
    <row r="85" spans="1:13" ht="15.75">
      <c r="A85" s="50">
        <v>39562</v>
      </c>
      <c r="B85" s="51">
        <v>4420.71</v>
      </c>
      <c r="C85" s="52"/>
      <c r="D85" s="53">
        <v>41852</v>
      </c>
      <c r="E85" s="54">
        <f t="shared" si="2"/>
        <v>4770.7633333333333</v>
      </c>
      <c r="F85" s="55">
        <f t="shared" si="3"/>
        <v>-4.9089524615058888E-2</v>
      </c>
      <c r="G85" s="81"/>
      <c r="H85" s="55"/>
      <c r="J85" s="87"/>
      <c r="K85" s="88"/>
      <c r="L85" s="96"/>
      <c r="M85" s="92"/>
    </row>
    <row r="86" spans="1:13" ht="15.75">
      <c r="A86" s="50">
        <v>39563</v>
      </c>
      <c r="B86" s="51">
        <v>4455.5600000000004</v>
      </c>
      <c r="C86" s="52"/>
      <c r="D86" s="53">
        <v>41883</v>
      </c>
      <c r="E86" s="54">
        <f t="shared" si="2"/>
        <v>4958.8545454545456</v>
      </c>
      <c r="F86" s="55">
        <f t="shared" si="3"/>
        <v>3.942581070979112E-2</v>
      </c>
      <c r="G86" s="76"/>
      <c r="H86" s="77"/>
      <c r="J86" s="95"/>
      <c r="K86" s="88"/>
      <c r="L86" s="89"/>
      <c r="M86" s="92"/>
    </row>
    <row r="87" spans="1:13" ht="15.75">
      <c r="A87" s="50">
        <v>39566</v>
      </c>
      <c r="B87" s="51">
        <v>4463.01</v>
      </c>
      <c r="C87" s="52"/>
      <c r="D87" s="53">
        <v>41913</v>
      </c>
      <c r="E87" s="54">
        <f t="shared" si="2"/>
        <v>4615.7877272727283</v>
      </c>
      <c r="F87" s="55">
        <f t="shared" si="3"/>
        <v>-6.9182674151288426E-2</v>
      </c>
      <c r="G87" s="76"/>
      <c r="H87" s="77"/>
      <c r="J87" s="87"/>
      <c r="K87" s="88"/>
      <c r="L87" s="89"/>
      <c r="M87" s="92"/>
    </row>
    <row r="88" spans="1:13" ht="15.75">
      <c r="A88" s="50">
        <v>39567</v>
      </c>
      <c r="B88" s="51">
        <v>4437.2299999999996</v>
      </c>
      <c r="C88" s="52"/>
      <c r="D88" s="53">
        <v>41944</v>
      </c>
      <c r="E88" s="54">
        <f t="shared" si="2"/>
        <v>4882.5294999999987</v>
      </c>
      <c r="F88" s="55">
        <f t="shared" si="3"/>
        <v>5.7789003413481588E-2</v>
      </c>
      <c r="G88" s="81"/>
      <c r="H88" s="55"/>
      <c r="J88" s="87"/>
      <c r="K88" s="88"/>
      <c r="L88" s="89"/>
      <c r="M88" s="92"/>
    </row>
    <row r="89" spans="1:13" ht="15.75">
      <c r="A89" s="50">
        <v>39568</v>
      </c>
      <c r="B89" s="51">
        <v>4474.54</v>
      </c>
      <c r="C89" s="52"/>
      <c r="D89" s="53">
        <v>41974</v>
      </c>
      <c r="E89" s="54">
        <f t="shared" si="2"/>
        <v>5048.1984210526307</v>
      </c>
      <c r="F89" s="55">
        <f t="shared" si="3"/>
        <v>3.3930961615824762E-2</v>
      </c>
      <c r="G89" s="76"/>
      <c r="H89" s="77"/>
      <c r="J89" s="87"/>
      <c r="K89" s="88"/>
      <c r="L89" s="96"/>
      <c r="M89" s="92"/>
    </row>
    <row r="90" spans="1:13" ht="15.75">
      <c r="A90" s="50">
        <v>39570</v>
      </c>
      <c r="B90" s="51">
        <v>4521.4399999999996</v>
      </c>
      <c r="C90" s="52"/>
      <c r="D90" s="53">
        <v>42005</v>
      </c>
      <c r="E90" s="54">
        <f t="shared" si="2"/>
        <v>5213.688095238097</v>
      </c>
      <c r="F90" s="55">
        <f t="shared" si="3"/>
        <v>3.2781927409057499E-2</v>
      </c>
      <c r="G90" s="76"/>
      <c r="H90" s="77"/>
      <c r="J90" s="87"/>
      <c r="K90" s="88"/>
      <c r="L90" s="89"/>
      <c r="M90" s="92"/>
    </row>
    <row r="91" spans="1:13" ht="15.75">
      <c r="A91" s="50">
        <v>39573</v>
      </c>
      <c r="B91" s="51">
        <v>4526.99</v>
      </c>
      <c r="C91" s="52"/>
      <c r="D91" s="53">
        <v>42036</v>
      </c>
      <c r="E91" s="54">
        <f t="shared" si="2"/>
        <v>5630.2474999999995</v>
      </c>
      <c r="F91" s="55">
        <f t="shared" si="3"/>
        <v>7.9897262197630381E-2</v>
      </c>
      <c r="G91" s="81"/>
      <c r="H91" s="55"/>
      <c r="J91" s="95"/>
      <c r="K91" s="88"/>
      <c r="L91" s="89"/>
      <c r="M91" s="92"/>
    </row>
    <row r="92" spans="1:13" ht="15.75">
      <c r="A92" s="50">
        <v>39574</v>
      </c>
      <c r="B92" s="51">
        <v>4504.29</v>
      </c>
      <c r="C92" s="52"/>
      <c r="D92" s="53">
        <v>42064</v>
      </c>
      <c r="E92" s="54">
        <f t="shared" si="2"/>
        <v>6044.3831818181816</v>
      </c>
      <c r="F92" s="55">
        <f t="shared" si="3"/>
        <v>7.3555502101494197E-2</v>
      </c>
      <c r="G92" s="76"/>
      <c r="H92" s="77"/>
      <c r="J92" s="87"/>
      <c r="K92" s="88"/>
      <c r="L92" s="89"/>
      <c r="M92" s="92"/>
    </row>
    <row r="93" spans="1:13" ht="15.75">
      <c r="A93" s="50">
        <v>39575</v>
      </c>
      <c r="B93" s="51">
        <v>4537.2</v>
      </c>
      <c r="C93" s="52"/>
      <c r="D93" s="53">
        <v>42095</v>
      </c>
      <c r="E93" s="54">
        <f t="shared" si="2"/>
        <v>6114.0199999999986</v>
      </c>
      <c r="F93" s="55">
        <f t="shared" si="3"/>
        <v>1.1520913894289109E-2</v>
      </c>
      <c r="G93" s="76"/>
      <c r="H93" s="77"/>
      <c r="J93" s="87"/>
      <c r="K93" s="88"/>
      <c r="L93" s="96"/>
      <c r="M93" s="92"/>
    </row>
    <row r="94" spans="1:13" ht="15.75">
      <c r="A94" s="50">
        <v>39576</v>
      </c>
      <c r="B94" s="51">
        <v>4534.25</v>
      </c>
      <c r="C94" s="52"/>
      <c r="D94" s="53">
        <v>42125</v>
      </c>
      <c r="E94" s="54">
        <f t="shared" si="2"/>
        <v>5859.2994736842102</v>
      </c>
      <c r="F94" s="55">
        <f t="shared" si="3"/>
        <v>-4.1661709696040994E-2</v>
      </c>
      <c r="G94" s="81"/>
      <c r="H94" s="55"/>
      <c r="J94" s="87"/>
      <c r="K94" s="88"/>
      <c r="L94" s="89"/>
      <c r="M94" s="92"/>
    </row>
    <row r="95" spans="1:13" ht="15.75">
      <c r="A95" s="50">
        <v>39577</v>
      </c>
      <c r="B95" s="51">
        <v>4486.3</v>
      </c>
      <c r="C95" s="52"/>
      <c r="D95" s="53">
        <v>42156</v>
      </c>
      <c r="E95" s="54">
        <f t="shared" si="2"/>
        <v>5637.6877272727279</v>
      </c>
      <c r="F95" s="55">
        <f t="shared" si="3"/>
        <v>-3.7822225576078505E-2</v>
      </c>
      <c r="G95" s="76"/>
      <c r="H95" s="77"/>
      <c r="J95" s="87"/>
      <c r="K95" s="88"/>
      <c r="L95" s="89"/>
      <c r="M95" s="92"/>
    </row>
    <row r="96" spans="1:13" ht="15.75">
      <c r="A96" s="50">
        <v>39580</v>
      </c>
      <c r="B96" s="51">
        <v>4507.28</v>
      </c>
      <c r="C96" s="52"/>
      <c r="D96" s="53">
        <v>42186</v>
      </c>
      <c r="E96" s="54">
        <f t="shared" si="2"/>
        <v>5663.7686956521738</v>
      </c>
      <c r="F96" s="55">
        <f t="shared" si="3"/>
        <v>4.6261818038053626E-3</v>
      </c>
      <c r="G96" s="76"/>
      <c r="H96" s="77"/>
      <c r="J96" s="95"/>
      <c r="K96" s="88"/>
      <c r="L96" s="89"/>
      <c r="M96" s="92"/>
    </row>
    <row r="97" spans="1:15" ht="15.75">
      <c r="A97" s="50">
        <v>39581</v>
      </c>
      <c r="B97" s="51">
        <v>4522.68</v>
      </c>
      <c r="C97" s="52"/>
      <c r="D97" s="53">
        <v>42217</v>
      </c>
      <c r="E97" s="54">
        <f t="shared" si="2"/>
        <v>5427.9100000000008</v>
      </c>
      <c r="F97" s="55">
        <f t="shared" si="3"/>
        <v>-4.1643419483784916E-2</v>
      </c>
      <c r="G97" s="81"/>
      <c r="H97" s="55"/>
      <c r="J97" s="87"/>
      <c r="K97" s="88"/>
      <c r="L97" s="96"/>
      <c r="M97" s="92"/>
    </row>
    <row r="98" spans="1:15" ht="15.75">
      <c r="A98" s="50">
        <v>39582</v>
      </c>
      <c r="B98" s="51">
        <v>4537.53</v>
      </c>
      <c r="C98" s="52"/>
      <c r="D98" s="53">
        <v>42248</v>
      </c>
      <c r="E98" s="54">
        <f t="shared" si="2"/>
        <v>4994.0422727272726</v>
      </c>
      <c r="F98" s="55">
        <f t="shared" si="3"/>
        <v>-7.9932741565856502E-2</v>
      </c>
      <c r="G98" s="76"/>
      <c r="H98" s="77"/>
      <c r="J98" s="87"/>
      <c r="K98" s="88"/>
      <c r="L98" s="89"/>
      <c r="M98" s="92"/>
    </row>
    <row r="99" spans="1:15" ht="15.75">
      <c r="A99" s="50">
        <v>39583</v>
      </c>
      <c r="B99" s="51">
        <v>4536.05</v>
      </c>
      <c r="C99" s="52"/>
      <c r="D99" s="53">
        <v>42278</v>
      </c>
      <c r="E99" s="54">
        <f t="shared" si="2"/>
        <v>5129.0409090909097</v>
      </c>
      <c r="F99" s="55">
        <f t="shared" si="3"/>
        <v>2.7031937054452282E-2</v>
      </c>
      <c r="G99" s="76"/>
      <c r="H99" s="77"/>
      <c r="J99" s="87"/>
      <c r="K99" s="88"/>
      <c r="L99" s="89"/>
      <c r="M99" s="92"/>
    </row>
    <row r="100" spans="1:15" ht="15.75">
      <c r="A100" s="50">
        <v>39584</v>
      </c>
      <c r="B100" s="51">
        <v>4565.93</v>
      </c>
      <c r="C100" s="52"/>
      <c r="D100" s="53">
        <v>42309</v>
      </c>
      <c r="E100" s="54">
        <f t="shared" si="2"/>
        <v>5512.3590476190475</v>
      </c>
      <c r="F100" s="55">
        <f t="shared" si="3"/>
        <v>7.4734856929826732E-2</v>
      </c>
      <c r="G100" s="81"/>
      <c r="H100" s="55"/>
      <c r="J100" s="87"/>
      <c r="K100" s="88"/>
      <c r="L100" s="89"/>
      <c r="M100" s="92"/>
    </row>
    <row r="101" spans="1:15" ht="15.75">
      <c r="A101" s="50">
        <v>39587</v>
      </c>
      <c r="B101" s="51">
        <v>4609.26</v>
      </c>
      <c r="C101" s="52"/>
      <c r="D101" s="53">
        <v>42339</v>
      </c>
      <c r="E101" s="54">
        <f t="shared" si="2"/>
        <v>5355.1830000000009</v>
      </c>
      <c r="F101" s="55">
        <f t="shared" si="3"/>
        <v>-2.8513390775395053E-2</v>
      </c>
      <c r="G101" s="76"/>
      <c r="H101" s="77"/>
      <c r="J101" s="87"/>
      <c r="K101" s="88"/>
      <c r="L101" s="96"/>
      <c r="M101" s="92"/>
    </row>
    <row r="102" spans="1:15" ht="15.75">
      <c r="A102" s="50">
        <v>39588</v>
      </c>
      <c r="B102" s="51">
        <v>4540.6899999999996</v>
      </c>
      <c r="C102" s="52"/>
      <c r="D102" s="53">
        <v>42370</v>
      </c>
      <c r="E102" s="54">
        <f t="shared" si="2"/>
        <v>4928.2640000000001</v>
      </c>
      <c r="F102" s="55">
        <f t="shared" si="3"/>
        <v>-7.9720711691832147E-2</v>
      </c>
      <c r="G102" s="76"/>
      <c r="H102" s="77"/>
      <c r="J102" s="87"/>
      <c r="K102" s="88"/>
      <c r="L102" s="89"/>
      <c r="M102" s="92"/>
    </row>
    <row r="103" spans="1:15" ht="15.75">
      <c r="A103" s="50">
        <v>39589</v>
      </c>
      <c r="B103" s="51">
        <v>4490.01</v>
      </c>
      <c r="C103" s="52"/>
      <c r="D103" s="53">
        <v>42401</v>
      </c>
      <c r="E103" s="54">
        <f t="shared" si="2"/>
        <v>4645.2838095238094</v>
      </c>
      <c r="F103" s="55">
        <f t="shared" si="3"/>
        <v>-5.7419852198703381E-2</v>
      </c>
      <c r="G103" s="81"/>
      <c r="H103" s="55"/>
      <c r="J103" s="95"/>
      <c r="K103" s="88"/>
      <c r="L103" s="89"/>
      <c r="M103" s="92"/>
    </row>
    <row r="104" spans="1:15" ht="15.75">
      <c r="A104" s="50">
        <v>39590</v>
      </c>
      <c r="B104" s="51">
        <v>4489.08</v>
      </c>
      <c r="C104" s="52"/>
      <c r="D104" s="53">
        <v>42430</v>
      </c>
      <c r="E104" s="54">
        <f t="shared" si="2"/>
        <v>4928.2152380952384</v>
      </c>
      <c r="F104" s="55">
        <f t="shared" si="3"/>
        <v>6.0907242737539447E-2</v>
      </c>
      <c r="G104" s="76"/>
      <c r="H104" s="77"/>
      <c r="J104" s="87"/>
      <c r="K104" s="88"/>
      <c r="L104" s="89"/>
      <c r="M104" s="92"/>
    </row>
    <row r="105" spans="1:15" ht="15.75">
      <c r="A105" s="50">
        <v>39591</v>
      </c>
      <c r="B105" s="51">
        <v>4408.6400000000003</v>
      </c>
      <c r="C105" s="52"/>
      <c r="D105" s="53">
        <v>42461</v>
      </c>
      <c r="E105" s="54">
        <f t="shared" si="2"/>
        <v>4990.240952380952</v>
      </c>
      <c r="F105" s="55">
        <f t="shared" si="3"/>
        <v>1.2585837121368515E-2</v>
      </c>
      <c r="G105" s="76"/>
      <c r="H105" s="77"/>
      <c r="J105" s="87"/>
      <c r="K105" s="88"/>
      <c r="L105" s="96"/>
      <c r="M105" s="92"/>
    </row>
    <row r="106" spans="1:15" ht="15.75">
      <c r="A106" s="50">
        <v>39594</v>
      </c>
      <c r="B106" s="51">
        <v>4414.87</v>
      </c>
      <c r="C106" s="52"/>
      <c r="D106" s="53">
        <v>42491</v>
      </c>
      <c r="E106" s="54">
        <f t="shared" si="2"/>
        <v>4902.9328571428568</v>
      </c>
      <c r="F106" s="55">
        <f t="shared" si="3"/>
        <v>-1.7495767453160505E-2</v>
      </c>
      <c r="G106" s="81"/>
      <c r="H106" s="55"/>
      <c r="J106" s="87"/>
      <c r="K106" s="88"/>
      <c r="L106" s="96"/>
      <c r="M106" s="92"/>
    </row>
    <row r="107" spans="1:15" ht="15.75">
      <c r="A107" s="50">
        <v>39595</v>
      </c>
      <c r="B107" s="51">
        <v>4417.8900000000003</v>
      </c>
      <c r="C107" s="52"/>
      <c r="D107" s="53">
        <v>42522</v>
      </c>
      <c r="E107" s="54">
        <f t="shared" si="2"/>
        <v>4802.6236363636372</v>
      </c>
      <c r="F107" s="55">
        <f t="shared" si="3"/>
        <v>-2.0459023956055922E-2</v>
      </c>
      <c r="G107" s="76"/>
      <c r="H107" s="77"/>
      <c r="J107" s="87"/>
      <c r="K107" s="88"/>
      <c r="L107" s="89"/>
      <c r="M107" s="94"/>
    </row>
    <row r="108" spans="1:15" ht="15.75">
      <c r="A108" s="50">
        <v>39596</v>
      </c>
      <c r="B108" s="51">
        <v>4465.38</v>
      </c>
      <c r="C108" s="52"/>
      <c r="D108" s="53">
        <v>42552</v>
      </c>
      <c r="E108" s="54">
        <f t="shared" si="2"/>
        <v>4848.0371428571434</v>
      </c>
      <c r="F108" s="55">
        <f t="shared" si="3"/>
        <v>9.4559786341892327E-3</v>
      </c>
      <c r="G108" s="76"/>
      <c r="H108" s="77"/>
      <c r="J108" s="90"/>
      <c r="K108" s="90"/>
      <c r="L108" s="90"/>
      <c r="M108" s="90"/>
    </row>
    <row r="109" spans="1:15" ht="18">
      <c r="A109" s="50">
        <v>39597</v>
      </c>
      <c r="B109" s="51">
        <v>4478.62</v>
      </c>
      <c r="C109" s="52"/>
      <c r="D109" s="53">
        <v>42583</v>
      </c>
      <c r="E109" s="54">
        <f t="shared" si="2"/>
        <v>5125.4156521739133</v>
      </c>
      <c r="F109" s="55">
        <f t="shared" si="3"/>
        <v>5.7214600701944951E-2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39598</v>
      </c>
      <c r="B110" s="51">
        <v>4489.8900000000003</v>
      </c>
      <c r="C110" s="52"/>
      <c r="D110" s="53">
        <v>42614</v>
      </c>
      <c r="E110" s="54">
        <f t="shared" si="2"/>
        <v>5112.9554545454548</v>
      </c>
      <c r="F110" s="55">
        <f t="shared" si="3"/>
        <v>-2.4310609078452838E-3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39601</v>
      </c>
      <c r="B111" s="51">
        <v>4434.32</v>
      </c>
      <c r="C111" s="52"/>
      <c r="D111" s="53">
        <v>42644</v>
      </c>
      <c r="E111" s="54">
        <f t="shared" si="2"/>
        <v>5171.1875</v>
      </c>
      <c r="F111" s="55">
        <f t="shared" si="3"/>
        <v>1.1389116524137988E-2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39602</v>
      </c>
      <c r="B112" s="51">
        <v>4440.91</v>
      </c>
      <c r="C112" s="52"/>
      <c r="D112" s="53">
        <v>42675</v>
      </c>
      <c r="E112" s="54">
        <f t="shared" si="2"/>
        <v>5157.2536363636355</v>
      </c>
      <c r="F112" s="55">
        <f t="shared" si="3"/>
        <v>-2.6945191286071868E-3</v>
      </c>
      <c r="G112" s="81"/>
      <c r="H112" s="55"/>
      <c r="J112" s="87"/>
      <c r="K112" s="88"/>
      <c r="L112" s="87"/>
      <c r="M112" s="92"/>
    </row>
    <row r="113" spans="1:13" ht="15.75">
      <c r="A113" s="50">
        <v>39603</v>
      </c>
      <c r="B113" s="51">
        <v>4402.4399999999996</v>
      </c>
      <c r="C113" s="52"/>
      <c r="D113" s="53">
        <v>42705</v>
      </c>
      <c r="E113" s="54">
        <f t="shared" si="2"/>
        <v>5458.7233333333324</v>
      </c>
      <c r="F113" s="55">
        <f t="shared" si="3"/>
        <v>5.8455472277733955E-2</v>
      </c>
      <c r="G113" s="76"/>
      <c r="H113" s="77"/>
      <c r="J113" s="87"/>
      <c r="K113" s="88"/>
      <c r="L113" s="87"/>
      <c r="M113" s="92"/>
    </row>
    <row r="114" spans="1:13" ht="15.75">
      <c r="A114" s="50">
        <v>39604</v>
      </c>
      <c r="B114" s="51">
        <v>4387.62</v>
      </c>
      <c r="C114" s="52"/>
      <c r="D114" s="53">
        <v>42736</v>
      </c>
      <c r="E114" s="54">
        <f t="shared" si="2"/>
        <v>5655.9209090909098</v>
      </c>
      <c r="F114" s="55">
        <f t="shared" si="3"/>
        <v>3.6125218978108498E-2</v>
      </c>
      <c r="G114" s="76"/>
      <c r="H114" s="77"/>
      <c r="J114" s="95"/>
      <c r="K114" s="88"/>
      <c r="L114" s="87"/>
      <c r="M114" s="92"/>
    </row>
    <row r="115" spans="1:13" ht="15.75">
      <c r="A115" s="50">
        <v>39605</v>
      </c>
      <c r="B115" s="51">
        <v>4300.8100000000004</v>
      </c>
      <c r="C115" s="52"/>
      <c r="D115" s="53">
        <v>42767</v>
      </c>
      <c r="E115" s="54">
        <f t="shared" si="2"/>
        <v>5699.2905000000001</v>
      </c>
      <c r="F115" s="55">
        <f t="shared" si="3"/>
        <v>7.6679981220000304E-3</v>
      </c>
      <c r="G115" s="81"/>
      <c r="H115" s="55"/>
      <c r="J115" s="87"/>
      <c r="K115" s="88"/>
      <c r="L115" s="87"/>
      <c r="M115" s="92"/>
    </row>
    <row r="116" spans="1:13" ht="15.75">
      <c r="A116" s="50">
        <v>39608</v>
      </c>
      <c r="B116" s="51">
        <v>4308.63</v>
      </c>
      <c r="C116" s="52"/>
      <c r="D116" s="53">
        <v>42795</v>
      </c>
      <c r="E116" s="54">
        <f t="shared" si="2"/>
        <v>5842.4321739130437</v>
      </c>
      <c r="F116" s="55">
        <f t="shared" si="3"/>
        <v>2.5115700614496417E-2</v>
      </c>
      <c r="G116" s="76"/>
      <c r="H116" s="77"/>
      <c r="J116" s="87"/>
      <c r="K116" s="88"/>
      <c r="L116" s="87"/>
      <c r="M116" s="92"/>
    </row>
    <row r="117" spans="1:13" ht="15.75">
      <c r="A117" s="50">
        <v>39609</v>
      </c>
      <c r="B117" s="51">
        <v>4280.7700000000004</v>
      </c>
      <c r="C117" s="52"/>
      <c r="D117" s="53">
        <v>42826</v>
      </c>
      <c r="E117" s="54">
        <f t="shared" si="2"/>
        <v>5912.6899999999987</v>
      </c>
      <c r="F117" s="55">
        <f t="shared" si="3"/>
        <v>1.2025441459237118E-2</v>
      </c>
      <c r="G117" s="76"/>
      <c r="H117" s="77"/>
      <c r="J117" s="87"/>
      <c r="K117" s="88"/>
      <c r="L117" s="87"/>
      <c r="M117" s="92"/>
    </row>
    <row r="118" spans="1:13" ht="15.75">
      <c r="A118" s="50">
        <v>39610</v>
      </c>
      <c r="B118" s="51">
        <v>4204.24</v>
      </c>
      <c r="C118" s="52"/>
      <c r="D118" s="53">
        <v>42856</v>
      </c>
      <c r="E118" s="54">
        <f t="shared" si="2"/>
        <v>6035.4118181818185</v>
      </c>
      <c r="F118" s="55">
        <f t="shared" si="3"/>
        <v>2.075566589518818E-2</v>
      </c>
      <c r="G118" s="81"/>
      <c r="H118" s="55"/>
      <c r="J118" s="95"/>
      <c r="K118" s="88"/>
      <c r="L118" s="87"/>
      <c r="M118" s="92"/>
    </row>
    <row r="119" spans="1:13" ht="15.75">
      <c r="A119" s="50">
        <v>39611</v>
      </c>
      <c r="B119" s="51">
        <v>4245.0200000000004</v>
      </c>
      <c r="C119" s="52"/>
      <c r="D119" s="53">
        <v>42887</v>
      </c>
      <c r="E119" s="54">
        <f t="shared" si="2"/>
        <v>6024.2128571428575</v>
      </c>
      <c r="F119" s="55">
        <f t="shared" si="3"/>
        <v>-1.8555421529353744E-3</v>
      </c>
      <c r="G119" s="76"/>
      <c r="H119" s="77"/>
      <c r="J119" s="87"/>
      <c r="K119" s="88"/>
      <c r="L119" s="87"/>
      <c r="M119" s="92"/>
    </row>
    <row r="120" spans="1:13" ht="15.75">
      <c r="A120" s="50">
        <v>39612</v>
      </c>
      <c r="B120" s="51">
        <v>4277.05</v>
      </c>
      <c r="C120" s="52"/>
      <c r="D120" s="53">
        <v>42917</v>
      </c>
      <c r="E120" s="54">
        <f t="shared" si="2"/>
        <v>5875.736190476191</v>
      </c>
      <c r="F120" s="55">
        <f t="shared" si="3"/>
        <v>-2.464665014129086E-2</v>
      </c>
      <c r="G120" s="76"/>
      <c r="H120" s="77"/>
      <c r="J120" s="87"/>
      <c r="K120" s="88"/>
      <c r="L120" s="87"/>
      <c r="M120" s="92"/>
    </row>
    <row r="121" spans="1:13" ht="15.75">
      <c r="A121" s="50">
        <v>39615</v>
      </c>
      <c r="B121" s="51">
        <v>4255.01</v>
      </c>
      <c r="C121" s="52"/>
      <c r="D121" s="53">
        <v>42948</v>
      </c>
      <c r="E121" s="54">
        <f t="shared" si="2"/>
        <v>5760.2521739130434</v>
      </c>
      <c r="F121" s="55">
        <f t="shared" si="3"/>
        <v>-1.9654391010667238E-2</v>
      </c>
      <c r="G121" s="81"/>
      <c r="H121" s="55"/>
      <c r="J121" s="87"/>
      <c r="K121" s="88"/>
      <c r="L121" s="87"/>
      <c r="M121" s="92"/>
    </row>
    <row r="122" spans="1:13" ht="15.75">
      <c r="A122" s="50">
        <v>39616</v>
      </c>
      <c r="B122" s="51">
        <v>4297.13</v>
      </c>
      <c r="C122" s="52"/>
      <c r="D122" s="53">
        <v>42979</v>
      </c>
      <c r="E122" s="54">
        <f t="shared" si="2"/>
        <v>5914.6280952380957</v>
      </c>
      <c r="F122" s="55">
        <f t="shared" si="3"/>
        <v>2.6800201912025257E-2</v>
      </c>
      <c r="G122" s="76"/>
      <c r="H122" s="77"/>
      <c r="J122" s="95"/>
      <c r="K122" s="88"/>
      <c r="L122" s="87"/>
      <c r="M122" s="92"/>
    </row>
    <row r="123" spans="1:13" ht="15.75">
      <c r="A123" s="50">
        <v>39617</v>
      </c>
      <c r="B123" s="51">
        <v>4254.7299999999996</v>
      </c>
      <c r="C123" s="52"/>
      <c r="D123" s="53">
        <v>43009</v>
      </c>
      <c r="E123" s="54">
        <f t="shared" si="2"/>
        <v>6167.0220000000008</v>
      </c>
      <c r="F123" s="55">
        <f t="shared" si="3"/>
        <v>4.2672827555312987E-2</v>
      </c>
      <c r="G123" s="76"/>
      <c r="H123" s="77"/>
      <c r="J123" s="95"/>
      <c r="K123" s="88"/>
      <c r="L123" s="87"/>
      <c r="M123" s="92"/>
    </row>
    <row r="124" spans="1:13" ht="15.75">
      <c r="A124" s="50">
        <v>39618</v>
      </c>
      <c r="B124" s="51">
        <v>4250.0600000000004</v>
      </c>
      <c r="C124" s="52"/>
      <c r="D124" s="53">
        <v>43040</v>
      </c>
      <c r="E124" s="54">
        <f t="shared" si="2"/>
        <v>6236.8331818181814</v>
      </c>
      <c r="F124" s="55">
        <f t="shared" si="3"/>
        <v>1.1320079905370983E-2</v>
      </c>
      <c r="G124" s="81"/>
      <c r="H124" s="55"/>
      <c r="J124" s="87"/>
      <c r="K124" s="88"/>
      <c r="L124" s="87"/>
      <c r="M124" s="92"/>
    </row>
    <row r="125" spans="1:13" ht="15.75">
      <c r="A125" s="50">
        <v>39619</v>
      </c>
      <c r="B125" s="51">
        <v>4159.7</v>
      </c>
      <c r="C125" s="52"/>
      <c r="D125" s="53">
        <v>43070</v>
      </c>
      <c r="E125" s="54">
        <f t="shared" si="2"/>
        <v>6199.1657894736827</v>
      </c>
      <c r="F125" s="55">
        <f t="shared" si="3"/>
        <v>-6.0395061478167866E-3</v>
      </c>
      <c r="G125" s="76"/>
      <c r="H125" s="77"/>
      <c r="J125" s="87"/>
      <c r="K125" s="88"/>
      <c r="L125" s="87"/>
      <c r="M125" s="92"/>
    </row>
    <row r="126" spans="1:13" ht="15.75">
      <c r="A126" s="50">
        <v>39622</v>
      </c>
      <c r="B126" s="51">
        <v>4166.67</v>
      </c>
      <c r="C126" s="52"/>
      <c r="D126" s="53">
        <v>43101</v>
      </c>
      <c r="E126" s="54">
        <f t="shared" si="2"/>
        <v>6289.4227272727267</v>
      </c>
      <c r="F126" s="55">
        <f t="shared" si="3"/>
        <v>1.4559529598692444E-2</v>
      </c>
      <c r="G126" s="76"/>
      <c r="H126" s="77"/>
      <c r="J126" s="87"/>
      <c r="K126" s="88"/>
      <c r="L126" s="87"/>
      <c r="M126" s="92"/>
    </row>
    <row r="127" spans="1:13" ht="15.75">
      <c r="A127" s="50">
        <v>39623</v>
      </c>
      <c r="B127" s="51">
        <v>4132.8999999999996</v>
      </c>
      <c r="C127" s="52"/>
      <c r="D127" s="53">
        <v>43132</v>
      </c>
      <c r="E127" s="54">
        <f t="shared" si="2"/>
        <v>5887.7265000000007</v>
      </c>
      <c r="F127" s="55">
        <f t="shared" si="3"/>
        <v>-6.3868536858058045E-2</v>
      </c>
      <c r="G127" s="81"/>
      <c r="H127" s="55"/>
      <c r="J127" s="95"/>
      <c r="K127" s="88"/>
      <c r="L127" s="87"/>
      <c r="M127" s="92"/>
    </row>
    <row r="128" spans="1:13" ht="15.75">
      <c r="A128" s="50">
        <v>39624</v>
      </c>
      <c r="B128" s="51">
        <v>4184.62</v>
      </c>
      <c r="C128" s="52"/>
      <c r="D128" s="53">
        <v>43160</v>
      </c>
      <c r="E128" s="54">
        <f t="shared" si="2"/>
        <v>5748.200952380952</v>
      </c>
      <c r="F128" s="55">
        <f t="shared" si="3"/>
        <v>-2.369769513224651E-2</v>
      </c>
      <c r="G128" s="76"/>
      <c r="H128" s="77"/>
      <c r="J128" s="87"/>
      <c r="K128" s="88"/>
      <c r="L128" s="87"/>
      <c r="M128" s="92"/>
    </row>
    <row r="129" spans="1:13" ht="15.75">
      <c r="A129" s="50">
        <v>39625</v>
      </c>
      <c r="B129" s="51">
        <v>4084.55</v>
      </c>
      <c r="C129" s="52"/>
      <c r="D129" s="53">
        <v>43191</v>
      </c>
      <c r="E129" s="54">
        <f t="shared" si="2"/>
        <v>5842.6799999999994</v>
      </c>
      <c r="F129" s="55">
        <f t="shared" si="3"/>
        <v>1.6436281264647468E-2</v>
      </c>
      <c r="G129" s="76"/>
      <c r="H129" s="77"/>
      <c r="J129" s="87"/>
      <c r="K129" s="88"/>
      <c r="L129" s="87"/>
      <c r="M129" s="92"/>
    </row>
    <row r="130" spans="1:13" ht="15.75">
      <c r="A130" s="50">
        <v>39626</v>
      </c>
      <c r="B130" s="51">
        <v>4060.72</v>
      </c>
      <c r="C130" s="52"/>
      <c r="D130" s="53">
        <v>43221</v>
      </c>
      <c r="E130" s="54">
        <f t="shared" si="2"/>
        <v>5989.784285714285</v>
      </c>
      <c r="F130" s="55">
        <f t="shared" si="3"/>
        <v>2.5177535944854945E-2</v>
      </c>
      <c r="G130" s="81"/>
      <c r="H130" s="55"/>
      <c r="J130" s="87"/>
      <c r="K130" s="88"/>
      <c r="L130" s="87"/>
      <c r="M130" s="92"/>
    </row>
    <row r="131" spans="1:13" ht="15.75">
      <c r="A131" s="50">
        <v>39629</v>
      </c>
      <c r="B131" s="51">
        <v>4058.45</v>
      </c>
      <c r="C131" s="52"/>
      <c r="D131" s="53">
        <v>43252</v>
      </c>
      <c r="E131" s="54">
        <f t="shared" si="2"/>
        <v>5834.8395238095227</v>
      </c>
      <c r="F131" s="55">
        <f t="shared" si="3"/>
        <v>-2.5868170624158804E-2</v>
      </c>
      <c r="G131" s="76"/>
      <c r="H131" s="77"/>
      <c r="J131" s="95"/>
      <c r="K131" s="88"/>
      <c r="L131" s="87"/>
      <c r="M131" s="92"/>
    </row>
    <row r="132" spans="1:13" ht="15.75">
      <c r="A132" s="50">
        <v>39630</v>
      </c>
      <c r="B132" s="51">
        <v>3993.72</v>
      </c>
      <c r="C132" s="52"/>
      <c r="D132" s="53">
        <v>43282</v>
      </c>
      <c r="E132" s="54">
        <f t="shared" si="2"/>
        <v>5795.5827272727274</v>
      </c>
      <c r="F132" s="55">
        <f t="shared" si="3"/>
        <v>-6.7279993522709747E-3</v>
      </c>
      <c r="G132" s="76"/>
      <c r="H132" s="77"/>
      <c r="J132" s="87"/>
      <c r="K132" s="88"/>
      <c r="L132" s="87"/>
      <c r="M132" s="92"/>
    </row>
    <row r="133" spans="1:13" ht="15.75">
      <c r="A133" s="50">
        <v>39631</v>
      </c>
      <c r="B133" s="51">
        <v>3987.06</v>
      </c>
      <c r="C133" s="52"/>
      <c r="D133" s="53">
        <v>43313</v>
      </c>
      <c r="E133" s="54">
        <f t="shared" si="2"/>
        <v>5739.0395652173911</v>
      </c>
      <c r="F133" s="55">
        <f t="shared" si="3"/>
        <v>-9.7562513928507455E-3</v>
      </c>
      <c r="G133" s="81"/>
      <c r="H133" s="55"/>
      <c r="J133" s="95"/>
      <c r="K133" s="88"/>
      <c r="L133" s="87"/>
      <c r="M133" s="92"/>
    </row>
    <row r="134" spans="1:13" ht="15.75">
      <c r="A134" s="50">
        <v>39632</v>
      </c>
      <c r="B134" s="51">
        <v>4017.62</v>
      </c>
      <c r="C134" s="52"/>
      <c r="D134" s="53">
        <v>43344</v>
      </c>
      <c r="E134" s="54">
        <f t="shared" ref="E134:E150" si="4">AVERAGEIFS($B$6:$B$3069,$A$6:$A$3069,"&gt;="&amp;D134,$A$6:$A$3069,"&lt;="&amp;EOMONTH(D134,0))</f>
        <v>5612.9719999999998</v>
      </c>
      <c r="F134" s="55">
        <f t="shared" si="3"/>
        <v>-2.1966665987362965E-2</v>
      </c>
      <c r="G134" s="76"/>
      <c r="H134" s="77"/>
      <c r="J134" s="87"/>
      <c r="K134" s="88"/>
      <c r="L134" s="87"/>
      <c r="M134" s="92"/>
    </row>
    <row r="135" spans="1:13" ht="15.75">
      <c r="A135" s="50">
        <v>39633</v>
      </c>
      <c r="B135" s="51">
        <v>3966.06</v>
      </c>
      <c r="C135" s="52"/>
      <c r="D135" s="53">
        <v>43374</v>
      </c>
      <c r="E135" s="54">
        <f t="shared" si="4"/>
        <v>5370.6022727272721</v>
      </c>
      <c r="F135" s="55">
        <f t="shared" ref="F135:F150" si="5">E135/E134-1</f>
        <v>-4.3180284397058788E-2</v>
      </c>
      <c r="G135" s="76"/>
      <c r="H135" s="77"/>
      <c r="J135" s="87"/>
      <c r="K135" s="88"/>
      <c r="L135" s="87"/>
      <c r="M135" s="92"/>
    </row>
    <row r="136" spans="1:13" ht="15.75">
      <c r="A136" s="50">
        <v>39636</v>
      </c>
      <c r="B136" s="51">
        <v>4044.18</v>
      </c>
      <c r="C136" s="52"/>
      <c r="D136" s="53">
        <v>43405</v>
      </c>
      <c r="E136" s="54">
        <f t="shared" si="4"/>
        <v>5232.6604545454529</v>
      </c>
      <c r="F136" s="55">
        <f t="shared" si="5"/>
        <v>-2.5684608760233152E-2</v>
      </c>
      <c r="G136" s="81"/>
      <c r="H136" s="55"/>
      <c r="J136" s="87"/>
      <c r="K136" s="88"/>
      <c r="L136" s="87"/>
      <c r="M136" s="92"/>
    </row>
    <row r="137" spans="1:13" ht="15.75">
      <c r="A137" s="50">
        <v>39637</v>
      </c>
      <c r="B137" s="51">
        <v>3986.42</v>
      </c>
      <c r="C137" s="52"/>
      <c r="D137" s="53">
        <v>43435</v>
      </c>
      <c r="E137" s="54">
        <f t="shared" si="4"/>
        <v>4990.3317647058821</v>
      </c>
      <c r="F137" s="55">
        <f t="shared" si="5"/>
        <v>-4.6310799629482369E-2</v>
      </c>
      <c r="G137" s="76"/>
      <c r="H137" s="77"/>
      <c r="J137" s="95"/>
      <c r="K137" s="88"/>
      <c r="L137" s="87"/>
      <c r="M137" s="92"/>
    </row>
    <row r="138" spans="1:13" ht="15.75">
      <c r="A138" s="50">
        <v>39638</v>
      </c>
      <c r="B138" s="51">
        <v>4038.31</v>
      </c>
      <c r="C138" s="52"/>
      <c r="D138" s="53">
        <v>43466</v>
      </c>
      <c r="E138" s="54">
        <f t="shared" si="4"/>
        <v>5050.7481818181814</v>
      </c>
      <c r="F138" s="55">
        <f t="shared" si="5"/>
        <v>1.2106693494728038E-2</v>
      </c>
      <c r="G138" s="76"/>
      <c r="H138" s="77"/>
      <c r="J138" s="87"/>
      <c r="K138" s="88"/>
      <c r="L138" s="87"/>
      <c r="M138" s="92"/>
    </row>
    <row r="139" spans="1:13" ht="15.75">
      <c r="A139" s="50">
        <v>39639</v>
      </c>
      <c r="B139" s="51">
        <v>3986.8</v>
      </c>
      <c r="C139" s="52"/>
      <c r="D139" s="53">
        <v>43497</v>
      </c>
      <c r="E139" s="54">
        <f t="shared" si="4"/>
        <v>5177.6734999999999</v>
      </c>
      <c r="F139" s="55">
        <f t="shared" si="5"/>
        <v>2.5130003241643939E-2</v>
      </c>
      <c r="G139" s="81"/>
      <c r="H139" s="55"/>
      <c r="J139" s="95"/>
      <c r="K139" s="88"/>
      <c r="L139" s="87"/>
      <c r="M139" s="92"/>
    </row>
    <row r="140" spans="1:13" ht="15.75">
      <c r="A140" s="50">
        <v>39640</v>
      </c>
      <c r="B140" s="51">
        <v>3890.87</v>
      </c>
      <c r="C140" s="52"/>
      <c r="D140" s="53">
        <v>43525</v>
      </c>
      <c r="E140" s="54">
        <f t="shared" si="4"/>
        <v>5294.0519047619036</v>
      </c>
      <c r="F140" s="55">
        <f t="shared" si="5"/>
        <v>2.2476968615712023E-2</v>
      </c>
      <c r="G140" s="76"/>
      <c r="H140" s="77"/>
      <c r="J140" s="87"/>
      <c r="K140" s="88"/>
      <c r="L140" s="87"/>
      <c r="M140" s="92"/>
    </row>
    <row r="141" spans="1:13" ht="15.75">
      <c r="A141" s="50">
        <v>39643</v>
      </c>
      <c r="B141" s="51">
        <v>3920.56</v>
      </c>
      <c r="C141" s="52"/>
      <c r="D141" s="53">
        <v>43556</v>
      </c>
      <c r="E141" s="54">
        <f t="shared" si="4"/>
        <v>5518.1219999999994</v>
      </c>
      <c r="F141" s="55">
        <f t="shared" si="5"/>
        <v>4.2324876912624987E-2</v>
      </c>
      <c r="G141" s="76"/>
      <c r="H141" s="77"/>
      <c r="J141" s="87"/>
      <c r="K141" s="88"/>
      <c r="L141" s="87"/>
      <c r="M141" s="92"/>
    </row>
    <row r="142" spans="1:13" ht="15.75">
      <c r="A142" s="50">
        <v>39644</v>
      </c>
      <c r="B142" s="51">
        <v>3845.6</v>
      </c>
      <c r="C142" s="52"/>
      <c r="D142" s="53">
        <v>43586</v>
      </c>
      <c r="E142" s="54">
        <f t="shared" si="4"/>
        <v>5433.2395454545467</v>
      </c>
      <c r="F142" s="55">
        <f t="shared" si="5"/>
        <v>-1.5382489648734232E-2</v>
      </c>
      <c r="G142" s="81"/>
      <c r="H142" s="55"/>
      <c r="J142" s="87"/>
      <c r="K142" s="88"/>
      <c r="L142" s="87"/>
      <c r="M142" s="92"/>
    </row>
    <row r="143" spans="1:13" ht="15.75">
      <c r="A143" s="50">
        <v>39645</v>
      </c>
      <c r="B143" s="51">
        <v>3892.18</v>
      </c>
      <c r="C143" s="52"/>
      <c r="D143" s="53">
        <v>43617</v>
      </c>
      <c r="E143" s="54">
        <f t="shared" si="4"/>
        <v>5430.6489473684205</v>
      </c>
      <c r="F143" s="55">
        <f t="shared" si="5"/>
        <v>-4.7680542417705141E-4</v>
      </c>
      <c r="G143" s="76"/>
      <c r="H143" s="77"/>
      <c r="J143" s="95"/>
      <c r="K143" s="88"/>
      <c r="L143" s="87"/>
      <c r="M143" s="92"/>
    </row>
    <row r="144" spans="1:13" ht="15.75">
      <c r="A144" s="50">
        <v>39646</v>
      </c>
      <c r="B144" s="51">
        <v>3965.47</v>
      </c>
      <c r="C144" s="52"/>
      <c r="D144" s="53">
        <v>43647</v>
      </c>
      <c r="E144" s="54">
        <f t="shared" si="4"/>
        <v>5538.8530434782597</v>
      </c>
      <c r="F144" s="55">
        <f t="shared" si="5"/>
        <v>1.9924708291496618E-2</v>
      </c>
      <c r="G144" s="76"/>
      <c r="H144" s="77"/>
      <c r="J144" s="95"/>
      <c r="K144" s="88"/>
      <c r="L144" s="87"/>
      <c r="M144" s="92"/>
    </row>
    <row r="145" spans="1:13" ht="15.75">
      <c r="A145" s="50">
        <v>39647</v>
      </c>
      <c r="B145" s="51">
        <v>4035.9</v>
      </c>
      <c r="C145" s="52"/>
      <c r="D145" s="53">
        <v>43678</v>
      </c>
      <c r="E145" s="54">
        <f t="shared" si="4"/>
        <v>5231.9936363636361</v>
      </c>
      <c r="F145" s="55">
        <f t="shared" si="5"/>
        <v>-5.5401254502669306E-2</v>
      </c>
      <c r="G145" s="81"/>
      <c r="H145" s="55"/>
      <c r="J145" s="87"/>
      <c r="K145" s="88"/>
      <c r="L145" s="87"/>
      <c r="M145" s="92"/>
    </row>
    <row r="146" spans="1:13" ht="15.75">
      <c r="A146" s="50">
        <v>39650</v>
      </c>
      <c r="B146" s="51">
        <v>4062.57</v>
      </c>
      <c r="C146" s="52"/>
      <c r="D146" s="53">
        <v>43709</v>
      </c>
      <c r="E146" s="54">
        <f t="shared" si="4"/>
        <v>5482.0847619047609</v>
      </c>
      <c r="F146" s="55">
        <f t="shared" si="5"/>
        <v>4.78003497181132E-2</v>
      </c>
      <c r="G146" s="76"/>
      <c r="H146" s="77"/>
      <c r="J146" s="87"/>
      <c r="K146" s="88"/>
      <c r="L146" s="87"/>
      <c r="M146" s="92"/>
    </row>
    <row r="147" spans="1:13" ht="15.75">
      <c r="A147" s="50">
        <v>39651</v>
      </c>
      <c r="B147" s="51">
        <v>4073.93</v>
      </c>
      <c r="C147" s="52"/>
      <c r="D147" s="53">
        <v>43739</v>
      </c>
      <c r="E147" s="54">
        <f t="shared" si="4"/>
        <v>5594.931363636364</v>
      </c>
      <c r="F147" s="55">
        <f t="shared" si="5"/>
        <v>2.0584614545871016E-2</v>
      </c>
      <c r="G147" s="76"/>
      <c r="H147" s="77"/>
      <c r="J147" s="87"/>
      <c r="K147" s="88"/>
      <c r="L147" s="87"/>
      <c r="M147" s="92"/>
    </row>
    <row r="148" spans="1:13" ht="15.75">
      <c r="A148" s="50">
        <v>39652</v>
      </c>
      <c r="B148" s="51">
        <v>4132.92</v>
      </c>
      <c r="C148" s="52"/>
      <c r="D148" s="53">
        <v>43770</v>
      </c>
      <c r="E148" s="54">
        <f t="shared" si="4"/>
        <v>5890.6171428571424</v>
      </c>
      <c r="F148" s="55">
        <f t="shared" si="5"/>
        <v>5.2848866233204506E-2</v>
      </c>
      <c r="G148" s="81"/>
      <c r="H148" s="55"/>
      <c r="J148" s="95"/>
      <c r="K148" s="88"/>
      <c r="L148" s="87"/>
      <c r="M148" s="92"/>
    </row>
    <row r="149" spans="1:13" ht="15.75">
      <c r="A149" s="50">
        <v>39653</v>
      </c>
      <c r="B149" s="51">
        <v>4072.6</v>
      </c>
      <c r="C149" s="52"/>
      <c r="D149" s="53">
        <v>43800</v>
      </c>
      <c r="E149" s="54">
        <f t="shared" si="4"/>
        <v>5884.8327777777777</v>
      </c>
      <c r="F149" s="55">
        <f t="shared" si="5"/>
        <v>-9.8196249036131E-4</v>
      </c>
      <c r="G149" s="76"/>
      <c r="H149" s="77"/>
      <c r="J149" s="87"/>
      <c r="K149" s="88"/>
      <c r="L149" s="87"/>
      <c r="M149" s="92"/>
    </row>
    <row r="150" spans="1:13" ht="15.75">
      <c r="A150" s="50">
        <v>39654</v>
      </c>
      <c r="B150" s="51">
        <v>4070.08</v>
      </c>
      <c r="C150" s="52"/>
      <c r="D150" s="53">
        <v>43831</v>
      </c>
      <c r="E150" s="54">
        <f t="shared" si="4"/>
        <v>5963.8568181818182</v>
      </c>
      <c r="F150" s="55">
        <f t="shared" si="5"/>
        <v>1.3428425817374023E-2</v>
      </c>
      <c r="G150" s="76"/>
      <c r="H150" s="77"/>
      <c r="J150" s="87"/>
      <c r="K150" s="88"/>
      <c r="L150" s="87"/>
      <c r="M150" s="92"/>
    </row>
    <row r="151" spans="1:13" ht="15.75">
      <c r="A151" s="50">
        <v>39657</v>
      </c>
      <c r="B151" s="51">
        <v>4015.98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39658</v>
      </c>
      <c r="B152" s="51">
        <v>4046.11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39659</v>
      </c>
      <c r="B153" s="51">
        <v>4084.89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39660</v>
      </c>
      <c r="B154" s="51">
        <v>4097.18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39661</v>
      </c>
      <c r="B155" s="51">
        <v>4044.63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39664</v>
      </c>
      <c r="B156" s="51">
        <v>4015.13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39665</v>
      </c>
      <c r="B157" s="51">
        <v>4121.92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39666</v>
      </c>
      <c r="B158" s="51">
        <v>4148.92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39667</v>
      </c>
      <c r="B159" s="51">
        <v>4137.6000000000004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39668</v>
      </c>
      <c r="B160" s="51">
        <v>4149.08</v>
      </c>
      <c r="C160" s="52"/>
      <c r="D160" s="95"/>
      <c r="E160" s="52"/>
      <c r="F160" s="52"/>
      <c r="G160" s="52"/>
      <c r="H160" s="52"/>
    </row>
    <row r="161" spans="1:8" ht="15.75">
      <c r="A161" s="50">
        <v>39671</v>
      </c>
      <c r="B161" s="51">
        <v>4179.42</v>
      </c>
      <c r="C161" s="52"/>
      <c r="D161" s="95"/>
      <c r="E161" s="52"/>
      <c r="F161" s="52"/>
      <c r="G161" s="52"/>
      <c r="H161" s="52"/>
    </row>
    <row r="162" spans="1:8" ht="15.75">
      <c r="A162" s="50">
        <v>39672</v>
      </c>
      <c r="B162" s="51">
        <v>4164.3999999999996</v>
      </c>
      <c r="C162" s="52"/>
      <c r="D162" s="95"/>
      <c r="E162" s="52"/>
      <c r="F162" s="52"/>
      <c r="G162" s="52"/>
      <c r="H162" s="52"/>
    </row>
    <row r="163" spans="1:8" ht="15.75">
      <c r="A163" s="50">
        <v>39673</v>
      </c>
      <c r="B163" s="51">
        <v>4060.9</v>
      </c>
      <c r="C163" s="52"/>
      <c r="D163" s="95"/>
      <c r="E163" s="52"/>
      <c r="F163" s="52"/>
      <c r="G163" s="52"/>
      <c r="H163" s="52"/>
    </row>
    <row r="164" spans="1:8" ht="15.75">
      <c r="A164" s="50">
        <v>39674</v>
      </c>
      <c r="B164" s="51">
        <v>4073.56</v>
      </c>
      <c r="C164" s="52"/>
      <c r="D164" s="52"/>
      <c r="E164" s="52"/>
      <c r="F164" s="52"/>
      <c r="G164" s="52"/>
      <c r="H164" s="52"/>
    </row>
    <row r="165" spans="1:8" ht="15.75">
      <c r="A165" s="50">
        <v>39675</v>
      </c>
      <c r="B165" s="51">
        <v>4075.97</v>
      </c>
      <c r="C165" s="52"/>
      <c r="D165" s="52"/>
      <c r="E165" s="52"/>
      <c r="F165" s="52"/>
      <c r="G165" s="52"/>
      <c r="H165" s="52"/>
    </row>
    <row r="166" spans="1:8" ht="15.75">
      <c r="A166" s="50">
        <v>39678</v>
      </c>
      <c r="B166" s="51">
        <v>4067.66</v>
      </c>
      <c r="C166" s="52"/>
      <c r="D166" s="52"/>
      <c r="E166" s="52"/>
      <c r="F166" s="52"/>
      <c r="G166" s="52"/>
      <c r="H166" s="52"/>
    </row>
    <row r="167" spans="1:8" ht="15.75">
      <c r="A167" s="50">
        <v>39679</v>
      </c>
      <c r="B167" s="51">
        <v>3972.53</v>
      </c>
      <c r="C167" s="52"/>
      <c r="D167" s="52"/>
      <c r="E167" s="52"/>
      <c r="F167" s="52"/>
      <c r="G167" s="52"/>
      <c r="H167" s="52"/>
    </row>
    <row r="168" spans="1:8" ht="15.75">
      <c r="A168" s="50">
        <v>39680</v>
      </c>
      <c r="B168" s="51">
        <v>3994.89</v>
      </c>
      <c r="C168" s="52"/>
      <c r="D168" s="52"/>
      <c r="E168" s="52"/>
      <c r="F168" s="52"/>
      <c r="G168" s="52"/>
      <c r="H168" s="52"/>
    </row>
    <row r="169" spans="1:8" ht="15.75">
      <c r="A169" s="50">
        <v>39681</v>
      </c>
      <c r="B169" s="51">
        <v>3943.77</v>
      </c>
      <c r="C169" s="52"/>
      <c r="D169" s="52"/>
      <c r="E169" s="52"/>
      <c r="F169" s="52"/>
      <c r="G169" s="52"/>
      <c r="H169" s="52"/>
    </row>
    <row r="170" spans="1:8" ht="15.75">
      <c r="A170" s="50">
        <v>39682</v>
      </c>
      <c r="B170" s="51">
        <v>4010.46</v>
      </c>
      <c r="C170" s="52"/>
      <c r="D170" s="52"/>
      <c r="E170" s="52"/>
      <c r="F170" s="52"/>
      <c r="G170" s="52"/>
      <c r="H170" s="52"/>
    </row>
    <row r="171" spans="1:8" ht="15.75">
      <c r="A171" s="50">
        <v>39685</v>
      </c>
      <c r="B171" s="51">
        <v>3981.71</v>
      </c>
      <c r="C171" s="52"/>
      <c r="D171" s="52"/>
      <c r="E171" s="52"/>
      <c r="F171" s="52"/>
      <c r="G171" s="52"/>
      <c r="H171" s="52"/>
    </row>
    <row r="172" spans="1:8" ht="15.75">
      <c r="A172" s="50">
        <v>39686</v>
      </c>
      <c r="B172" s="51">
        <v>4009.26</v>
      </c>
      <c r="C172" s="52"/>
      <c r="D172" s="52"/>
      <c r="E172" s="52"/>
      <c r="F172" s="52"/>
      <c r="G172" s="52"/>
      <c r="H172" s="52"/>
    </row>
    <row r="173" spans="1:8" ht="15.75">
      <c r="A173" s="50">
        <v>39687</v>
      </c>
      <c r="B173" s="51">
        <v>3996.94</v>
      </c>
      <c r="C173" s="52"/>
      <c r="D173" s="52"/>
      <c r="E173" s="52"/>
      <c r="F173" s="52"/>
      <c r="G173" s="52"/>
      <c r="H173" s="52"/>
    </row>
    <row r="174" spans="1:8" ht="15.75">
      <c r="A174" s="50">
        <v>39688</v>
      </c>
      <c r="B174" s="51">
        <v>4059.86</v>
      </c>
      <c r="C174" s="52"/>
      <c r="D174" s="52"/>
      <c r="E174" s="52"/>
      <c r="F174" s="52"/>
      <c r="G174" s="52"/>
      <c r="H174" s="52"/>
    </row>
    <row r="175" spans="1:8" ht="15.75">
      <c r="A175" s="50">
        <v>39689</v>
      </c>
      <c r="B175" s="51">
        <v>4060.97</v>
      </c>
      <c r="C175" s="52"/>
      <c r="D175" s="52"/>
      <c r="E175" s="52"/>
      <c r="F175" s="52"/>
      <c r="G175" s="52"/>
      <c r="H175" s="52"/>
    </row>
    <row r="176" spans="1:8" ht="15.75">
      <c r="A176" s="50">
        <v>39692</v>
      </c>
      <c r="B176" s="51">
        <v>4060.65</v>
      </c>
      <c r="C176" s="52"/>
      <c r="D176" s="52"/>
      <c r="E176" s="52"/>
      <c r="F176" s="52"/>
      <c r="G176" s="52"/>
      <c r="H176" s="52"/>
    </row>
    <row r="177" spans="1:8" ht="15.75">
      <c r="A177" s="50">
        <v>39693</v>
      </c>
      <c r="B177" s="51">
        <v>4121.78</v>
      </c>
      <c r="C177" s="52"/>
      <c r="D177" s="52"/>
      <c r="E177" s="52"/>
      <c r="F177" s="52"/>
      <c r="G177" s="52"/>
      <c r="H177" s="52"/>
    </row>
    <row r="178" spans="1:8" ht="15.75">
      <c r="A178" s="50">
        <v>39694</v>
      </c>
      <c r="B178" s="51">
        <v>4089.54</v>
      </c>
      <c r="C178" s="52"/>
      <c r="D178" s="52"/>
      <c r="E178" s="52"/>
      <c r="F178" s="52"/>
      <c r="G178" s="52"/>
      <c r="H178" s="52"/>
    </row>
    <row r="179" spans="1:8" ht="15.75">
      <c r="A179" s="50">
        <v>39695</v>
      </c>
      <c r="B179" s="51">
        <v>3970.72</v>
      </c>
      <c r="C179" s="52"/>
      <c r="D179" s="52"/>
      <c r="E179" s="52"/>
      <c r="F179" s="52"/>
      <c r="G179" s="52"/>
      <c r="H179" s="52"/>
    </row>
    <row r="180" spans="1:8" ht="15.75">
      <c r="A180" s="50">
        <v>39696</v>
      </c>
      <c r="B180" s="51">
        <v>3874.52</v>
      </c>
      <c r="C180" s="52"/>
      <c r="D180" s="52"/>
      <c r="E180" s="52"/>
      <c r="F180" s="52"/>
      <c r="G180" s="52"/>
      <c r="H180" s="52"/>
    </row>
    <row r="181" spans="1:8" ht="15.75">
      <c r="A181" s="50">
        <v>39699</v>
      </c>
      <c r="B181" s="51">
        <v>3960.71</v>
      </c>
      <c r="C181" s="52"/>
      <c r="D181" s="52"/>
      <c r="E181" s="52"/>
      <c r="F181" s="52"/>
      <c r="G181" s="52"/>
      <c r="H181" s="52"/>
    </row>
    <row r="182" spans="1:8" ht="15.75">
      <c r="A182" s="50">
        <v>39700</v>
      </c>
      <c r="B182" s="51">
        <v>3941.53</v>
      </c>
      <c r="C182" s="52"/>
      <c r="D182" s="52"/>
      <c r="E182" s="52"/>
      <c r="F182" s="52"/>
      <c r="G182" s="52"/>
      <c r="H182" s="52"/>
    </row>
    <row r="183" spans="1:8" ht="15.75">
      <c r="A183" s="50">
        <v>39701</v>
      </c>
      <c r="B183" s="51">
        <v>3926.93</v>
      </c>
      <c r="C183" s="52"/>
      <c r="D183" s="52"/>
      <c r="E183" s="52"/>
      <c r="F183" s="52"/>
      <c r="G183" s="52"/>
      <c r="H183" s="52"/>
    </row>
    <row r="184" spans="1:8" ht="15.75">
      <c r="A184" s="50">
        <v>39702</v>
      </c>
      <c r="B184" s="51">
        <v>3907.06</v>
      </c>
      <c r="C184" s="52"/>
      <c r="D184" s="52"/>
      <c r="E184" s="52"/>
      <c r="F184" s="52"/>
      <c r="G184" s="52"/>
      <c r="H184" s="52"/>
    </row>
    <row r="185" spans="1:8" ht="15.75">
      <c r="A185" s="50">
        <v>39703</v>
      </c>
      <c r="B185" s="51">
        <v>3942.47</v>
      </c>
      <c r="C185" s="52"/>
      <c r="D185" s="52"/>
      <c r="E185" s="52"/>
      <c r="F185" s="52"/>
      <c r="G185" s="52"/>
      <c r="H185" s="52"/>
    </row>
    <row r="186" spans="1:8" ht="15.75">
      <c r="A186" s="50">
        <v>39706</v>
      </c>
      <c r="B186" s="51">
        <v>3834.51</v>
      </c>
      <c r="C186" s="52"/>
      <c r="D186" s="52"/>
      <c r="E186" s="52"/>
      <c r="F186" s="52"/>
      <c r="G186" s="52"/>
      <c r="H186" s="52"/>
    </row>
    <row r="187" spans="1:8" ht="15.75">
      <c r="A187" s="50">
        <v>39707</v>
      </c>
      <c r="B187" s="51">
        <v>3771.91</v>
      </c>
      <c r="C187" s="52"/>
      <c r="D187" s="52"/>
      <c r="E187" s="52"/>
      <c r="F187" s="52"/>
      <c r="G187" s="52"/>
      <c r="H187" s="52"/>
    </row>
    <row r="188" spans="1:8" ht="15.75">
      <c r="A188" s="50">
        <v>39708</v>
      </c>
      <c r="B188" s="51">
        <v>3706.04</v>
      </c>
      <c r="C188" s="52"/>
      <c r="D188" s="52"/>
      <c r="E188" s="52"/>
      <c r="F188" s="52"/>
      <c r="G188" s="52"/>
      <c r="H188" s="52"/>
    </row>
    <row r="189" spans="1:8" ht="15.75">
      <c r="A189" s="50">
        <v>39709</v>
      </c>
      <c r="B189" s="51">
        <v>3707.57</v>
      </c>
      <c r="C189" s="52"/>
      <c r="D189" s="52"/>
      <c r="E189" s="52"/>
      <c r="F189" s="52"/>
      <c r="G189" s="52"/>
      <c r="H189" s="52"/>
    </row>
    <row r="190" spans="1:8" ht="15.75">
      <c r="A190" s="50">
        <v>39710</v>
      </c>
      <c r="B190" s="51">
        <v>3913.78</v>
      </c>
      <c r="C190" s="52"/>
      <c r="D190" s="52"/>
      <c r="E190" s="52"/>
      <c r="F190" s="52"/>
      <c r="G190" s="52"/>
      <c r="H190" s="52"/>
    </row>
    <row r="191" spans="1:8" ht="15.75">
      <c r="A191" s="50">
        <v>39713</v>
      </c>
      <c r="B191" s="51">
        <v>3862.07</v>
      </c>
      <c r="C191" s="52"/>
      <c r="D191" s="52"/>
      <c r="E191" s="52"/>
      <c r="F191" s="52"/>
      <c r="G191" s="52"/>
      <c r="H191" s="52"/>
    </row>
    <row r="192" spans="1:8" ht="15.75">
      <c r="A192" s="50">
        <v>39714</v>
      </c>
      <c r="B192" s="51">
        <v>3837.27</v>
      </c>
      <c r="C192" s="52"/>
      <c r="D192" s="52"/>
      <c r="E192" s="52"/>
      <c r="F192" s="52"/>
      <c r="G192" s="52"/>
      <c r="H192" s="52"/>
    </row>
    <row r="193" spans="1:8" ht="15.75">
      <c r="A193" s="50">
        <v>39715</v>
      </c>
      <c r="B193" s="51">
        <v>3827.37</v>
      </c>
      <c r="C193" s="52"/>
      <c r="D193" s="52"/>
      <c r="E193" s="52"/>
      <c r="F193" s="52"/>
      <c r="G193" s="52"/>
      <c r="H193" s="52"/>
    </row>
    <row r="194" spans="1:8" ht="15.75">
      <c r="A194" s="50">
        <v>39716</v>
      </c>
      <c r="B194" s="51">
        <v>3903.35</v>
      </c>
      <c r="C194" s="52"/>
      <c r="D194" s="52"/>
      <c r="E194" s="52"/>
      <c r="F194" s="52"/>
      <c r="G194" s="52"/>
      <c r="H194" s="52"/>
    </row>
    <row r="195" spans="1:8" ht="15.75">
      <c r="A195" s="50">
        <v>39717</v>
      </c>
      <c r="B195" s="51">
        <v>3834.09</v>
      </c>
      <c r="C195" s="52"/>
      <c r="D195" s="52"/>
      <c r="E195" s="52"/>
      <c r="F195" s="52"/>
      <c r="G195" s="52"/>
      <c r="H195" s="52"/>
    </row>
    <row r="196" spans="1:8" ht="15.75">
      <c r="A196" s="50">
        <v>39720</v>
      </c>
      <c r="B196" s="51">
        <v>3671.95</v>
      </c>
      <c r="C196" s="52"/>
      <c r="D196" s="52"/>
      <c r="E196" s="52"/>
      <c r="F196" s="52"/>
      <c r="G196" s="52"/>
      <c r="H196" s="52"/>
    </row>
    <row r="197" spans="1:8" ht="15.75">
      <c r="A197" s="50">
        <v>39721</v>
      </c>
      <c r="B197" s="51">
        <v>3687.09</v>
      </c>
      <c r="C197" s="52"/>
      <c r="D197" s="52"/>
      <c r="E197" s="52"/>
      <c r="F197" s="52"/>
      <c r="G197" s="52"/>
      <c r="H197" s="52"/>
    </row>
    <row r="198" spans="1:8" ht="15.75">
      <c r="A198" s="50">
        <v>39722</v>
      </c>
      <c r="B198" s="51">
        <v>3671.48</v>
      </c>
      <c r="C198" s="52"/>
      <c r="D198" s="52"/>
      <c r="E198" s="52"/>
      <c r="F198" s="52"/>
      <c r="G198" s="52"/>
      <c r="H198" s="52"/>
    </row>
    <row r="199" spans="1:8" ht="15.75">
      <c r="A199" s="50">
        <v>39723</v>
      </c>
      <c r="B199" s="51">
        <v>3579.34</v>
      </c>
      <c r="C199" s="52"/>
      <c r="D199" s="52"/>
      <c r="E199" s="52"/>
      <c r="F199" s="52"/>
      <c r="G199" s="52"/>
      <c r="H199" s="52"/>
    </row>
    <row r="200" spans="1:8" ht="15.75">
      <c r="A200" s="50">
        <v>39724</v>
      </c>
      <c r="B200" s="51">
        <v>3665.59</v>
      </c>
      <c r="C200" s="52"/>
      <c r="D200" s="52"/>
      <c r="E200" s="52"/>
      <c r="F200" s="52"/>
      <c r="G200" s="52"/>
      <c r="H200" s="52"/>
    </row>
    <row r="201" spans="1:8" ht="15.75">
      <c r="A201" s="50">
        <v>39727</v>
      </c>
      <c r="B201" s="51">
        <v>3406.33</v>
      </c>
      <c r="C201" s="52"/>
      <c r="D201" s="52"/>
      <c r="E201" s="52"/>
      <c r="F201" s="52"/>
      <c r="G201" s="52"/>
      <c r="H201" s="52"/>
    </row>
    <row r="202" spans="1:8" ht="15.75">
      <c r="A202" s="50">
        <v>39728</v>
      </c>
      <c r="B202" s="51">
        <v>3368.15</v>
      </c>
      <c r="C202" s="52"/>
      <c r="D202" s="52"/>
      <c r="E202" s="52"/>
      <c r="F202" s="52"/>
      <c r="G202" s="52"/>
      <c r="H202" s="52"/>
    </row>
    <row r="203" spans="1:8" ht="15.75">
      <c r="A203" s="50">
        <v>39729</v>
      </c>
      <c r="B203" s="51">
        <v>3170.23</v>
      </c>
      <c r="C203" s="52"/>
      <c r="D203" s="52"/>
      <c r="E203" s="52"/>
      <c r="F203" s="52"/>
      <c r="G203" s="52"/>
      <c r="H203" s="52"/>
    </row>
    <row r="204" spans="1:8" ht="15.75">
      <c r="A204" s="50">
        <v>39730</v>
      </c>
      <c r="B204" s="51">
        <v>3090.16</v>
      </c>
      <c r="C204" s="52"/>
      <c r="D204" s="52"/>
      <c r="E204" s="52"/>
      <c r="F204" s="52"/>
      <c r="G204" s="52"/>
      <c r="H204" s="52"/>
    </row>
    <row r="205" spans="1:8" ht="15.75">
      <c r="A205" s="50">
        <v>39731</v>
      </c>
      <c r="B205" s="51">
        <v>2873.47</v>
      </c>
      <c r="C205" s="52"/>
      <c r="D205" s="52"/>
      <c r="E205" s="52"/>
      <c r="F205" s="52"/>
      <c r="G205" s="52"/>
      <c r="H205" s="52"/>
    </row>
    <row r="206" spans="1:8" ht="15.75">
      <c r="A206" s="50">
        <v>39734</v>
      </c>
      <c r="B206" s="51">
        <v>3201.1</v>
      </c>
      <c r="C206" s="52"/>
      <c r="D206" s="52"/>
      <c r="E206" s="52"/>
      <c r="F206" s="52"/>
      <c r="G206" s="52"/>
      <c r="H206" s="52"/>
    </row>
    <row r="207" spans="1:8" ht="15.75">
      <c r="A207" s="50">
        <v>39735</v>
      </c>
      <c r="B207" s="51">
        <v>3287.56</v>
      </c>
      <c r="C207" s="52"/>
      <c r="D207" s="52"/>
      <c r="E207" s="52"/>
      <c r="F207" s="52"/>
      <c r="G207" s="52"/>
      <c r="H207" s="52"/>
    </row>
    <row r="208" spans="1:8" ht="15.75">
      <c r="A208" s="50">
        <v>39736</v>
      </c>
      <c r="B208" s="51">
        <v>3074.12</v>
      </c>
      <c r="C208" s="52"/>
      <c r="D208" s="52"/>
      <c r="E208" s="52"/>
      <c r="F208" s="52"/>
      <c r="G208" s="52"/>
      <c r="H208" s="52"/>
    </row>
    <row r="209" spans="1:8" ht="15.75">
      <c r="A209" s="50">
        <v>39737</v>
      </c>
      <c r="B209" s="51">
        <v>2923.11</v>
      </c>
      <c r="C209" s="52"/>
      <c r="D209" s="52"/>
      <c r="E209" s="52"/>
      <c r="F209" s="52"/>
      <c r="G209" s="52"/>
      <c r="H209" s="52"/>
    </row>
    <row r="210" spans="1:8" ht="15.75">
      <c r="A210" s="50">
        <v>39738</v>
      </c>
      <c r="B210" s="51">
        <v>3023.34</v>
      </c>
      <c r="C210" s="52"/>
      <c r="D210" s="52"/>
      <c r="E210" s="52"/>
      <c r="F210" s="52"/>
      <c r="G210" s="52"/>
      <c r="H210" s="52"/>
    </row>
    <row r="211" spans="1:8" ht="15.75">
      <c r="A211" s="50">
        <v>39741</v>
      </c>
      <c r="B211" s="51">
        <v>3057.29</v>
      </c>
      <c r="C211" s="52"/>
      <c r="D211" s="52"/>
      <c r="E211" s="52"/>
      <c r="F211" s="52"/>
      <c r="G211" s="52"/>
      <c r="H211" s="52"/>
    </row>
    <row r="212" spans="1:8" ht="15.75">
      <c r="A212" s="50">
        <v>39742</v>
      </c>
      <c r="B212" s="51">
        <v>3025.29</v>
      </c>
      <c r="C212" s="52"/>
      <c r="D212" s="52"/>
      <c r="E212" s="52"/>
      <c r="F212" s="52"/>
      <c r="G212" s="52"/>
      <c r="H212" s="52"/>
    </row>
    <row r="213" spans="1:8" ht="15.75">
      <c r="A213" s="50">
        <v>39743</v>
      </c>
      <c r="B213" s="51">
        <v>2890.39</v>
      </c>
      <c r="C213" s="52"/>
      <c r="D213" s="52"/>
      <c r="E213" s="52"/>
      <c r="F213" s="52"/>
      <c r="G213" s="52"/>
      <c r="H213" s="52"/>
    </row>
    <row r="214" spans="1:8" ht="15.75">
      <c r="A214" s="50">
        <v>39744</v>
      </c>
      <c r="B214" s="51">
        <v>2857.91</v>
      </c>
      <c r="C214" s="52"/>
      <c r="D214" s="52"/>
      <c r="E214" s="52"/>
      <c r="F214" s="52"/>
      <c r="G214" s="52"/>
      <c r="H214" s="52"/>
    </row>
    <row r="215" spans="1:8" ht="15.75">
      <c r="A215" s="50">
        <v>39745</v>
      </c>
      <c r="B215" s="51">
        <v>2716.25</v>
      </c>
      <c r="C215" s="52"/>
      <c r="D215" s="52"/>
      <c r="E215" s="52"/>
      <c r="F215" s="52"/>
      <c r="G215" s="52"/>
      <c r="H215" s="52"/>
    </row>
    <row r="216" spans="1:8" ht="15.75">
      <c r="A216" s="50">
        <v>39748</v>
      </c>
      <c r="B216" s="51">
        <v>2740.89</v>
      </c>
      <c r="C216" s="52"/>
      <c r="D216" s="52"/>
      <c r="E216" s="52"/>
      <c r="F216" s="52"/>
      <c r="G216" s="52"/>
      <c r="H216" s="52"/>
    </row>
    <row r="217" spans="1:8" ht="15.75">
      <c r="A217" s="50">
        <v>39749</v>
      </c>
      <c r="B217" s="51">
        <v>3049.98</v>
      </c>
      <c r="C217" s="52"/>
      <c r="D217" s="52"/>
      <c r="E217" s="52"/>
      <c r="F217" s="52"/>
      <c r="G217" s="52"/>
      <c r="H217" s="52"/>
    </row>
    <row r="218" spans="1:8" ht="15.75">
      <c r="A218" s="50">
        <v>39750</v>
      </c>
      <c r="B218" s="51">
        <v>3040.64</v>
      </c>
      <c r="C218" s="52"/>
      <c r="D218" s="52"/>
      <c r="E218" s="52"/>
      <c r="F218" s="52"/>
      <c r="G218" s="52"/>
      <c r="H218" s="52"/>
    </row>
    <row r="219" spans="1:8" ht="15.75">
      <c r="A219" s="50">
        <v>39751</v>
      </c>
      <c r="B219" s="51">
        <v>3078.97</v>
      </c>
      <c r="C219" s="52"/>
      <c r="D219" s="52"/>
      <c r="E219" s="52"/>
      <c r="F219" s="52"/>
      <c r="G219" s="52"/>
      <c r="H219" s="52"/>
    </row>
    <row r="220" spans="1:8" ht="15.75">
      <c r="A220" s="50">
        <v>39752</v>
      </c>
      <c r="B220" s="51">
        <v>3154.01</v>
      </c>
      <c r="C220" s="52"/>
      <c r="D220" s="52"/>
      <c r="E220" s="52"/>
      <c r="F220" s="52"/>
      <c r="G220" s="52"/>
      <c r="H220" s="52"/>
    </row>
    <row r="221" spans="1:8" ht="15.75">
      <c r="A221" s="50">
        <v>39755</v>
      </c>
      <c r="B221" s="51">
        <v>3178.59</v>
      </c>
      <c r="C221" s="52"/>
      <c r="D221" s="52"/>
      <c r="E221" s="52"/>
      <c r="F221" s="52"/>
      <c r="G221" s="52"/>
      <c r="H221" s="52"/>
    </row>
    <row r="222" spans="1:8" ht="15.75">
      <c r="A222" s="50">
        <v>39756</v>
      </c>
      <c r="B222" s="51">
        <v>3337.43</v>
      </c>
      <c r="C222" s="52"/>
      <c r="D222" s="52"/>
      <c r="E222" s="52"/>
      <c r="F222" s="52"/>
      <c r="G222" s="52"/>
      <c r="H222" s="52"/>
    </row>
    <row r="223" spans="1:8" ht="15.75">
      <c r="A223" s="50">
        <v>39757</v>
      </c>
      <c r="B223" s="51">
        <v>3267.13</v>
      </c>
      <c r="C223" s="52"/>
      <c r="D223" s="52"/>
      <c r="E223" s="52"/>
      <c r="F223" s="52"/>
      <c r="G223" s="52"/>
      <c r="H223" s="52"/>
    </row>
    <row r="224" spans="1:8" ht="15.75">
      <c r="A224" s="50">
        <v>39758</v>
      </c>
      <c r="B224" s="51">
        <v>3043.73</v>
      </c>
      <c r="C224" s="52"/>
      <c r="D224" s="52"/>
      <c r="E224" s="52"/>
      <c r="F224" s="52"/>
      <c r="G224" s="52"/>
      <c r="H224" s="52"/>
    </row>
    <row r="225" spans="1:8" ht="15.75">
      <c r="A225" s="50">
        <v>39759</v>
      </c>
      <c r="B225" s="51">
        <v>3122.7</v>
      </c>
      <c r="C225" s="52"/>
      <c r="D225" s="52"/>
      <c r="E225" s="52"/>
      <c r="F225" s="52"/>
      <c r="G225" s="52"/>
      <c r="H225" s="52"/>
    </row>
    <row r="226" spans="1:8" ht="15.75">
      <c r="A226" s="50">
        <v>39762</v>
      </c>
      <c r="B226" s="51">
        <v>3177.76</v>
      </c>
      <c r="C226" s="52"/>
      <c r="D226" s="52"/>
      <c r="E226" s="52"/>
      <c r="F226" s="52"/>
      <c r="G226" s="52"/>
      <c r="H226" s="52"/>
    </row>
    <row r="227" spans="1:8" ht="15.75">
      <c r="A227" s="50">
        <v>39763</v>
      </c>
      <c r="B227" s="51">
        <v>3010.86</v>
      </c>
      <c r="C227" s="52"/>
      <c r="D227" s="52"/>
      <c r="E227" s="52"/>
      <c r="F227" s="52"/>
      <c r="G227" s="52"/>
      <c r="H227" s="52"/>
    </row>
    <row r="228" spans="1:8" ht="15.75">
      <c r="A228" s="50">
        <v>39764</v>
      </c>
      <c r="B228" s="51">
        <v>2921.84</v>
      </c>
      <c r="C228" s="52"/>
      <c r="D228" s="52"/>
      <c r="E228" s="52"/>
      <c r="F228" s="52"/>
      <c r="G228" s="52"/>
      <c r="H228" s="52"/>
    </row>
    <row r="229" spans="1:8" ht="15.75">
      <c r="A229" s="50">
        <v>39765</v>
      </c>
      <c r="B229" s="51">
        <v>2940</v>
      </c>
      <c r="C229" s="52"/>
      <c r="D229" s="52"/>
      <c r="E229" s="52"/>
      <c r="F229" s="52"/>
      <c r="G229" s="52"/>
      <c r="H229" s="52"/>
    </row>
    <row r="230" spans="1:8" ht="15.75">
      <c r="A230" s="50">
        <v>39766</v>
      </c>
      <c r="B230" s="51">
        <v>2978.39</v>
      </c>
      <c r="C230" s="52"/>
      <c r="D230" s="52"/>
      <c r="E230" s="52"/>
      <c r="F230" s="52"/>
      <c r="G230" s="52"/>
      <c r="H230" s="52"/>
    </row>
    <row r="231" spans="1:8" ht="15.75">
      <c r="A231" s="50">
        <v>39769</v>
      </c>
      <c r="B231" s="51">
        <v>2881.67</v>
      </c>
      <c r="C231" s="52"/>
      <c r="D231" s="52"/>
      <c r="E231" s="52"/>
      <c r="F231" s="52"/>
      <c r="G231" s="52"/>
      <c r="H231" s="52"/>
    </row>
    <row r="232" spans="1:8" ht="15.75">
      <c r="A232" s="50">
        <v>39770</v>
      </c>
      <c r="B232" s="51">
        <v>2895.71</v>
      </c>
      <c r="C232" s="52"/>
      <c r="D232" s="52"/>
      <c r="E232" s="52"/>
      <c r="F232" s="52"/>
      <c r="G232" s="52"/>
      <c r="H232" s="52"/>
    </row>
    <row r="233" spans="1:8" ht="15.75">
      <c r="A233" s="50">
        <v>39771</v>
      </c>
      <c r="B233" s="51">
        <v>2753.19</v>
      </c>
      <c r="C233" s="52"/>
      <c r="D233" s="52"/>
      <c r="E233" s="52"/>
      <c r="F233" s="52"/>
      <c r="G233" s="52"/>
      <c r="H233" s="52"/>
    </row>
    <row r="234" spans="1:8" ht="15.75">
      <c r="A234" s="50">
        <v>39772</v>
      </c>
      <c r="B234" s="51">
        <v>2668.53</v>
      </c>
      <c r="C234" s="52"/>
      <c r="D234" s="52"/>
      <c r="E234" s="52"/>
      <c r="F234" s="52"/>
      <c r="G234" s="52"/>
      <c r="H234" s="52"/>
    </row>
    <row r="235" spans="1:8" ht="15.75">
      <c r="A235" s="50">
        <v>39773</v>
      </c>
      <c r="B235" s="51">
        <v>2609.86</v>
      </c>
      <c r="C235" s="52"/>
      <c r="D235" s="52"/>
      <c r="E235" s="52"/>
      <c r="F235" s="52"/>
      <c r="G235" s="52"/>
      <c r="H235" s="52"/>
    </row>
    <row r="236" spans="1:8" ht="15.75">
      <c r="A236" s="50">
        <v>39776</v>
      </c>
      <c r="B236" s="51">
        <v>2879.81</v>
      </c>
      <c r="C236" s="52"/>
      <c r="D236" s="52"/>
      <c r="E236" s="52"/>
      <c r="F236" s="52"/>
      <c r="G236" s="52"/>
      <c r="H236" s="52"/>
    </row>
    <row r="237" spans="1:8" ht="15.75">
      <c r="A237" s="50">
        <v>39777</v>
      </c>
      <c r="B237" s="51">
        <v>2883.66</v>
      </c>
      <c r="C237" s="52"/>
      <c r="D237" s="52"/>
      <c r="E237" s="52"/>
      <c r="F237" s="52"/>
      <c r="G237" s="52"/>
      <c r="H237" s="52"/>
    </row>
    <row r="238" spans="1:8" ht="15.75">
      <c r="A238" s="50">
        <v>39778</v>
      </c>
      <c r="B238" s="51">
        <v>2883.71</v>
      </c>
      <c r="C238" s="52"/>
      <c r="D238" s="52"/>
      <c r="E238" s="52"/>
      <c r="F238" s="52"/>
      <c r="G238" s="52"/>
      <c r="H238" s="52"/>
    </row>
    <row r="239" spans="1:8" ht="15.75">
      <c r="A239" s="50">
        <v>39779</v>
      </c>
      <c r="B239" s="51">
        <v>2949.96</v>
      </c>
      <c r="C239" s="52"/>
      <c r="D239" s="52"/>
      <c r="E239" s="52"/>
      <c r="F239" s="52"/>
      <c r="G239" s="52"/>
      <c r="H239" s="52"/>
    </row>
    <row r="240" spans="1:8" ht="15.75">
      <c r="A240" s="50">
        <v>39780</v>
      </c>
      <c r="B240" s="51">
        <v>2952.6</v>
      </c>
      <c r="C240" s="52"/>
      <c r="D240" s="52"/>
      <c r="E240" s="52"/>
      <c r="F240" s="52"/>
      <c r="G240" s="52"/>
      <c r="H240" s="52"/>
    </row>
    <row r="241" spans="1:8" ht="15.75">
      <c r="A241" s="50">
        <v>39783</v>
      </c>
      <c r="B241" s="51">
        <v>2778.93</v>
      </c>
      <c r="C241" s="52"/>
      <c r="D241" s="52"/>
      <c r="E241" s="52"/>
      <c r="F241" s="52"/>
      <c r="G241" s="52"/>
      <c r="H241" s="52"/>
    </row>
    <row r="242" spans="1:8" ht="15.75">
      <c r="A242" s="50">
        <v>39784</v>
      </c>
      <c r="B242" s="51">
        <v>2865.56</v>
      </c>
      <c r="C242" s="52"/>
      <c r="D242" s="52"/>
      <c r="E242" s="52"/>
      <c r="F242" s="52"/>
      <c r="G242" s="52"/>
      <c r="H242" s="52"/>
    </row>
    <row r="243" spans="1:8" ht="15.75">
      <c r="A243" s="50">
        <v>39785</v>
      </c>
      <c r="B243" s="51">
        <v>2887.97</v>
      </c>
      <c r="C243" s="52"/>
      <c r="D243" s="52"/>
      <c r="E243" s="52"/>
      <c r="F243" s="52"/>
      <c r="G243" s="52"/>
      <c r="H243" s="52"/>
    </row>
    <row r="244" spans="1:8" ht="15.75">
      <c r="A244" s="50">
        <v>39786</v>
      </c>
      <c r="B244" s="51">
        <v>2886.07</v>
      </c>
      <c r="C244" s="52"/>
      <c r="D244" s="52"/>
      <c r="E244" s="52"/>
      <c r="F244" s="52"/>
      <c r="G244" s="52"/>
      <c r="H244" s="52"/>
    </row>
    <row r="245" spans="1:8" ht="15.75">
      <c r="A245" s="50">
        <v>39787</v>
      </c>
      <c r="B245" s="51">
        <v>2770.51</v>
      </c>
      <c r="C245" s="52"/>
      <c r="D245" s="52"/>
      <c r="E245" s="52"/>
      <c r="F245" s="52"/>
      <c r="G245" s="52"/>
      <c r="H245" s="52"/>
    </row>
    <row r="246" spans="1:8" ht="15.75">
      <c r="A246" s="50">
        <v>39790</v>
      </c>
      <c r="B246" s="51">
        <v>2981.96</v>
      </c>
      <c r="C246" s="52"/>
      <c r="D246" s="52"/>
      <c r="E246" s="52"/>
      <c r="F246" s="52"/>
      <c r="G246" s="52"/>
      <c r="H246" s="52"/>
    </row>
    <row r="247" spans="1:8" ht="15.75">
      <c r="A247" s="50">
        <v>39791</v>
      </c>
      <c r="B247" s="51">
        <v>3021.95</v>
      </c>
      <c r="C247" s="52"/>
      <c r="D247" s="52"/>
      <c r="E247" s="52"/>
      <c r="F247" s="52"/>
      <c r="G247" s="52"/>
      <c r="H247" s="52"/>
    </row>
    <row r="248" spans="1:8" ht="15.75">
      <c r="A248" s="50">
        <v>39792</v>
      </c>
      <c r="B248" s="51">
        <v>3038.24</v>
      </c>
      <c r="C248" s="52"/>
      <c r="D248" s="52"/>
      <c r="E248" s="52"/>
      <c r="F248" s="52"/>
      <c r="G248" s="52"/>
      <c r="H248" s="52"/>
    </row>
    <row r="249" spans="1:8" ht="15.75">
      <c r="A249" s="50">
        <v>39793</v>
      </c>
      <c r="B249" s="51">
        <v>3014.41</v>
      </c>
      <c r="C249" s="52"/>
      <c r="D249" s="52"/>
      <c r="E249" s="52"/>
      <c r="F249" s="52"/>
      <c r="G249" s="52"/>
      <c r="H249" s="52"/>
    </row>
    <row r="250" spans="1:8" ht="15.75">
      <c r="A250" s="50">
        <v>39794</v>
      </c>
      <c r="B250" s="51">
        <v>2948.76</v>
      </c>
      <c r="C250" s="52"/>
      <c r="D250" s="52"/>
      <c r="E250" s="52"/>
      <c r="F250" s="52"/>
      <c r="G250" s="52"/>
      <c r="H250" s="52"/>
    </row>
    <row r="251" spans="1:8" ht="15.75">
      <c r="A251" s="50">
        <v>39797</v>
      </c>
      <c r="B251" s="51">
        <v>2943.35</v>
      </c>
      <c r="C251" s="52"/>
      <c r="D251" s="52"/>
      <c r="E251" s="52"/>
      <c r="F251" s="52"/>
      <c r="G251" s="52"/>
      <c r="H251" s="52"/>
    </row>
    <row r="252" spans="1:8" ht="15.75">
      <c r="A252" s="50">
        <v>39798</v>
      </c>
      <c r="B252" s="51">
        <v>2990.83</v>
      </c>
      <c r="C252" s="52"/>
      <c r="D252" s="52"/>
      <c r="E252" s="52"/>
      <c r="F252" s="52"/>
      <c r="G252" s="52"/>
      <c r="H252" s="52"/>
    </row>
    <row r="253" spans="1:8" ht="15.75">
      <c r="A253" s="50">
        <v>39799</v>
      </c>
      <c r="B253" s="51">
        <v>2977.22</v>
      </c>
      <c r="C253" s="52"/>
      <c r="D253" s="52"/>
      <c r="E253" s="52"/>
      <c r="F253" s="52"/>
      <c r="G253" s="52"/>
      <c r="H253" s="52"/>
    </row>
    <row r="254" spans="1:8" ht="15.75">
      <c r="A254" s="50">
        <v>39800</v>
      </c>
      <c r="B254" s="51">
        <v>3007.58</v>
      </c>
      <c r="C254" s="52"/>
      <c r="D254" s="52"/>
      <c r="E254" s="52"/>
      <c r="F254" s="52"/>
      <c r="G254" s="52"/>
      <c r="H254" s="52"/>
    </row>
    <row r="255" spans="1:8" ht="15.75">
      <c r="A255" s="50">
        <v>39801</v>
      </c>
      <c r="B255" s="51">
        <v>2969.83</v>
      </c>
      <c r="C255" s="52"/>
      <c r="D255" s="52"/>
      <c r="E255" s="52"/>
      <c r="F255" s="52"/>
      <c r="G255" s="52"/>
      <c r="H255" s="52"/>
    </row>
    <row r="256" spans="1:8" ht="15.75">
      <c r="A256" s="50">
        <v>39804</v>
      </c>
      <c r="B256" s="51">
        <v>2933.36</v>
      </c>
      <c r="C256" s="52"/>
      <c r="D256" s="52"/>
      <c r="E256" s="52"/>
      <c r="F256" s="52"/>
      <c r="G256" s="52"/>
      <c r="H256" s="52"/>
    </row>
    <row r="257" spans="1:8" ht="15.75">
      <c r="A257" s="50">
        <v>39805</v>
      </c>
      <c r="B257" s="51">
        <v>2927.26</v>
      </c>
      <c r="C257" s="52"/>
      <c r="D257" s="52"/>
      <c r="E257" s="52"/>
      <c r="F257" s="52"/>
      <c r="G257" s="52"/>
      <c r="H257" s="52"/>
    </row>
    <row r="258" spans="1:8" ht="15.75">
      <c r="A258" s="50">
        <v>39811</v>
      </c>
      <c r="B258" s="51">
        <v>2974.99</v>
      </c>
      <c r="C258" s="52"/>
      <c r="D258" s="52"/>
      <c r="E258" s="52"/>
      <c r="F258" s="52"/>
      <c r="G258" s="52"/>
      <c r="H258" s="52"/>
    </row>
    <row r="259" spans="1:8" ht="15.75">
      <c r="A259" s="50">
        <v>39812</v>
      </c>
      <c r="B259" s="51">
        <v>3041.6</v>
      </c>
      <c r="C259" s="52"/>
      <c r="D259" s="52"/>
      <c r="E259" s="52"/>
      <c r="F259" s="52"/>
      <c r="G259" s="52"/>
      <c r="H259" s="52"/>
    </row>
    <row r="260" spans="1:8" ht="15.75">
      <c r="A260" s="50">
        <v>39815</v>
      </c>
      <c r="B260" s="51">
        <v>3144.59</v>
      </c>
      <c r="C260" s="52"/>
      <c r="D260" s="52"/>
      <c r="E260" s="52"/>
      <c r="F260" s="52"/>
      <c r="G260" s="52"/>
      <c r="H260" s="52"/>
    </row>
    <row r="261" spans="1:8" ht="15.75">
      <c r="A261" s="50">
        <v>39818</v>
      </c>
      <c r="B261" s="51">
        <v>3151.49</v>
      </c>
      <c r="C261" s="52"/>
      <c r="D261" s="52"/>
      <c r="E261" s="52"/>
      <c r="F261" s="52"/>
      <c r="G261" s="52"/>
      <c r="H261" s="52"/>
    </row>
    <row r="262" spans="1:8" ht="15.75">
      <c r="A262" s="50">
        <v>39819</v>
      </c>
      <c r="B262" s="51">
        <v>3178.25</v>
      </c>
      <c r="C262" s="52"/>
      <c r="D262" s="52"/>
      <c r="E262" s="52"/>
      <c r="F262" s="52"/>
      <c r="G262" s="52"/>
      <c r="H262" s="52"/>
    </row>
    <row r="263" spans="1:8" ht="15.75">
      <c r="A263" s="50">
        <v>39820</v>
      </c>
      <c r="B263" s="51">
        <v>3122.08</v>
      </c>
      <c r="C263" s="52"/>
      <c r="D263" s="52"/>
      <c r="E263" s="52"/>
      <c r="F263" s="52"/>
      <c r="G263" s="52"/>
      <c r="H263" s="52"/>
    </row>
    <row r="264" spans="1:8" ht="15.75">
      <c r="A264" s="50">
        <v>39821</v>
      </c>
      <c r="B264" s="51">
        <v>3085.68</v>
      </c>
      <c r="C264" s="52"/>
      <c r="D264" s="52"/>
      <c r="E264" s="52"/>
      <c r="F264" s="52"/>
      <c r="G264" s="52"/>
      <c r="H264" s="52"/>
    </row>
    <row r="265" spans="1:8" ht="15.75">
      <c r="A265" s="50">
        <v>39822</v>
      </c>
      <c r="B265" s="51">
        <v>3024.96</v>
      </c>
      <c r="C265" s="52"/>
      <c r="D265" s="52"/>
      <c r="E265" s="52"/>
      <c r="F265" s="52"/>
      <c r="G265" s="52"/>
      <c r="H265" s="52"/>
    </row>
    <row r="266" spans="1:8" ht="15.75">
      <c r="A266" s="50">
        <v>39825</v>
      </c>
      <c r="B266" s="51">
        <v>2984.32</v>
      </c>
      <c r="C266" s="52"/>
      <c r="D266" s="52"/>
      <c r="E266" s="52"/>
      <c r="F266" s="52"/>
      <c r="G266" s="52"/>
      <c r="H266" s="52"/>
    </row>
    <row r="267" spans="1:8" ht="15.75">
      <c r="A267" s="50">
        <v>39826</v>
      </c>
      <c r="B267" s="51">
        <v>2932.04</v>
      </c>
      <c r="C267" s="52"/>
      <c r="D267" s="52"/>
      <c r="E267" s="52"/>
      <c r="F267" s="52"/>
      <c r="G267" s="52"/>
      <c r="H267" s="52"/>
    </row>
    <row r="268" spans="1:8" ht="15.75">
      <c r="A268" s="50">
        <v>39827</v>
      </c>
      <c r="B268" s="51">
        <v>2796.36</v>
      </c>
      <c r="C268" s="52"/>
      <c r="D268" s="52"/>
      <c r="E268" s="52"/>
      <c r="F268" s="52"/>
      <c r="G268" s="52"/>
      <c r="H268" s="52"/>
    </row>
    <row r="269" spans="1:8" ht="15.75">
      <c r="A269" s="50">
        <v>39828</v>
      </c>
      <c r="B269" s="51">
        <v>2742.21</v>
      </c>
      <c r="C269" s="52"/>
      <c r="D269" s="52"/>
      <c r="E269" s="52"/>
      <c r="F269" s="52"/>
      <c r="G269" s="52"/>
      <c r="H269" s="52"/>
    </row>
    <row r="270" spans="1:8" ht="15.75">
      <c r="A270" s="50">
        <v>39829</v>
      </c>
      <c r="B270" s="51">
        <v>2760.9</v>
      </c>
      <c r="C270" s="52"/>
      <c r="D270" s="52"/>
      <c r="E270" s="52"/>
      <c r="F270" s="52"/>
      <c r="G270" s="52"/>
      <c r="H270" s="52"/>
    </row>
    <row r="271" spans="1:8" ht="15.75">
      <c r="A271" s="50">
        <v>39832</v>
      </c>
      <c r="B271" s="51">
        <v>2729.2</v>
      </c>
      <c r="C271" s="52"/>
      <c r="D271" s="52"/>
      <c r="E271" s="52"/>
      <c r="F271" s="52"/>
      <c r="G271" s="52"/>
      <c r="H271" s="52"/>
    </row>
    <row r="272" spans="1:8" ht="15.75">
      <c r="A272" s="50">
        <v>39833</v>
      </c>
      <c r="B272" s="51">
        <v>2680.95</v>
      </c>
      <c r="C272" s="52"/>
      <c r="D272" s="52"/>
      <c r="E272" s="52"/>
      <c r="F272" s="52"/>
      <c r="G272" s="52"/>
      <c r="H272" s="52"/>
    </row>
    <row r="273" spans="1:8" ht="15.75">
      <c r="A273" s="50">
        <v>39834</v>
      </c>
      <c r="B273" s="51">
        <v>2694.42</v>
      </c>
      <c r="C273" s="52"/>
      <c r="D273" s="52"/>
      <c r="E273" s="52"/>
      <c r="F273" s="52"/>
      <c r="G273" s="52"/>
      <c r="H273" s="52"/>
    </row>
    <row r="274" spans="1:8" ht="15.75">
      <c r="A274" s="50">
        <v>39835</v>
      </c>
      <c r="B274" s="51">
        <v>2668.04</v>
      </c>
      <c r="C274" s="52"/>
      <c r="D274" s="52"/>
      <c r="E274" s="52"/>
      <c r="F274" s="52"/>
      <c r="G274" s="52"/>
      <c r="H274" s="52"/>
    </row>
    <row r="275" spans="1:8" ht="15.75">
      <c r="A275" s="50">
        <v>39836</v>
      </c>
      <c r="B275" s="51">
        <v>2642.44</v>
      </c>
      <c r="C275" s="52"/>
      <c r="D275" s="52"/>
      <c r="E275" s="52"/>
      <c r="F275" s="52"/>
      <c r="G275" s="52"/>
      <c r="H275" s="52"/>
    </row>
    <row r="276" spans="1:8" ht="15.75">
      <c r="A276" s="50">
        <v>39839</v>
      </c>
      <c r="B276" s="51">
        <v>2732.91</v>
      </c>
      <c r="C276" s="52"/>
      <c r="D276" s="52"/>
      <c r="E276" s="52"/>
      <c r="F276" s="52"/>
      <c r="G276" s="52"/>
      <c r="H276" s="52"/>
    </row>
    <row r="277" spans="1:8" ht="15.75">
      <c r="A277" s="50">
        <v>39840</v>
      </c>
      <c r="B277" s="51">
        <v>2730.71</v>
      </c>
      <c r="C277" s="52"/>
      <c r="D277" s="52"/>
      <c r="E277" s="52"/>
      <c r="F277" s="52"/>
      <c r="G277" s="52"/>
      <c r="H277" s="52"/>
    </row>
    <row r="278" spans="1:8" ht="15.75">
      <c r="A278" s="50">
        <v>39841</v>
      </c>
      <c r="B278" s="51">
        <v>2844.4</v>
      </c>
      <c r="C278" s="52"/>
      <c r="D278" s="52"/>
      <c r="E278" s="52"/>
      <c r="F278" s="52"/>
      <c r="G278" s="52"/>
      <c r="H278" s="52"/>
    </row>
    <row r="279" spans="1:8" ht="15.75">
      <c r="A279" s="50">
        <v>39842</v>
      </c>
      <c r="B279" s="51">
        <v>2787.28</v>
      </c>
      <c r="C279" s="52"/>
      <c r="D279" s="52"/>
      <c r="E279" s="52"/>
      <c r="F279" s="52"/>
      <c r="G279" s="52"/>
      <c r="H279" s="52"/>
    </row>
    <row r="280" spans="1:8" ht="15.75">
      <c r="A280" s="50">
        <v>39843</v>
      </c>
      <c r="B280" s="51">
        <v>2730.97</v>
      </c>
      <c r="C280" s="52"/>
      <c r="D280" s="52"/>
      <c r="E280" s="52"/>
      <c r="F280" s="52"/>
      <c r="G280" s="52"/>
      <c r="H280" s="52"/>
    </row>
    <row r="281" spans="1:8" ht="15.75">
      <c r="A281" s="50">
        <v>39846</v>
      </c>
      <c r="B281" s="51">
        <v>2688.58</v>
      </c>
      <c r="C281" s="52"/>
      <c r="D281" s="52"/>
      <c r="E281" s="52"/>
      <c r="F281" s="52"/>
      <c r="G281" s="52"/>
      <c r="H281" s="52"/>
    </row>
    <row r="282" spans="1:8" ht="15.75">
      <c r="A282" s="50">
        <v>39847</v>
      </c>
      <c r="B282" s="51">
        <v>2754.16</v>
      </c>
      <c r="C282" s="52"/>
      <c r="D282" s="52"/>
      <c r="E282" s="52"/>
      <c r="F282" s="52"/>
      <c r="G282" s="52"/>
      <c r="H282" s="52"/>
    </row>
    <row r="283" spans="1:8" ht="15.75">
      <c r="A283" s="50">
        <v>39848</v>
      </c>
      <c r="B283" s="51">
        <v>2827.92</v>
      </c>
      <c r="C283" s="52"/>
      <c r="D283" s="52"/>
      <c r="E283" s="52"/>
      <c r="F283" s="52"/>
      <c r="G283" s="52"/>
      <c r="H283" s="52"/>
    </row>
    <row r="284" spans="1:8" ht="15.75">
      <c r="A284" s="50">
        <v>39849</v>
      </c>
      <c r="B284" s="51">
        <v>2838.88</v>
      </c>
      <c r="C284" s="52"/>
      <c r="D284" s="52"/>
      <c r="E284" s="52"/>
      <c r="F284" s="52"/>
      <c r="G284" s="52"/>
      <c r="H284" s="52"/>
    </row>
    <row r="285" spans="1:8" ht="15.75">
      <c r="A285" s="50">
        <v>39850</v>
      </c>
      <c r="B285" s="51">
        <v>2922.9</v>
      </c>
      <c r="C285" s="52"/>
      <c r="D285" s="52"/>
      <c r="E285" s="52"/>
      <c r="F285" s="52"/>
      <c r="G285" s="52"/>
      <c r="H285" s="52"/>
    </row>
    <row r="286" spans="1:8" ht="15.75">
      <c r="A286" s="50">
        <v>39853</v>
      </c>
      <c r="B286" s="51">
        <v>2937.03</v>
      </c>
      <c r="C286" s="52"/>
      <c r="D286" s="52"/>
      <c r="E286" s="52"/>
      <c r="F286" s="52"/>
      <c r="G286" s="52"/>
      <c r="H286" s="52"/>
    </row>
    <row r="287" spans="1:8" ht="15.75">
      <c r="A287" s="50">
        <v>39854</v>
      </c>
      <c r="B287" s="51">
        <v>2835.76</v>
      </c>
      <c r="C287" s="52"/>
      <c r="D287" s="52"/>
      <c r="E287" s="52"/>
      <c r="F287" s="52"/>
      <c r="G287" s="52"/>
      <c r="H287" s="52"/>
    </row>
    <row r="288" spans="1:8" ht="15.75">
      <c r="A288" s="50">
        <v>39855</v>
      </c>
      <c r="B288" s="51">
        <v>2851.02</v>
      </c>
      <c r="C288" s="52"/>
      <c r="D288" s="52"/>
      <c r="E288" s="52"/>
      <c r="F288" s="52"/>
      <c r="G288" s="52"/>
      <c r="H288" s="52"/>
    </row>
    <row r="289" spans="1:8" ht="15.75">
      <c r="A289" s="50">
        <v>39856</v>
      </c>
      <c r="B289" s="51">
        <v>2773.99</v>
      </c>
      <c r="C289" s="52"/>
      <c r="D289" s="52"/>
      <c r="E289" s="52"/>
      <c r="F289" s="52"/>
      <c r="G289" s="52"/>
      <c r="H289" s="52"/>
    </row>
    <row r="290" spans="1:8" ht="15.75">
      <c r="A290" s="50">
        <v>39857</v>
      </c>
      <c r="B290" s="51">
        <v>2777.6</v>
      </c>
      <c r="C290" s="52"/>
      <c r="D290" s="52"/>
      <c r="E290" s="52"/>
      <c r="F290" s="52"/>
      <c r="G290" s="52"/>
      <c r="H290" s="52"/>
    </row>
    <row r="291" spans="1:8" ht="15.75">
      <c r="A291" s="50">
        <v>39860</v>
      </c>
      <c r="B291" s="51">
        <v>2748.15</v>
      </c>
      <c r="C291" s="52"/>
      <c r="D291" s="52"/>
      <c r="E291" s="52"/>
      <c r="F291" s="52"/>
      <c r="G291" s="52"/>
      <c r="H291" s="52"/>
    </row>
    <row r="292" spans="1:8" ht="15.75">
      <c r="A292" s="50">
        <v>39861</v>
      </c>
      <c r="B292" s="51">
        <v>2653.7</v>
      </c>
      <c r="C292" s="52"/>
      <c r="D292" s="52"/>
      <c r="E292" s="52"/>
      <c r="F292" s="52"/>
      <c r="G292" s="52"/>
      <c r="H292" s="52"/>
    </row>
    <row r="293" spans="1:8" ht="15.75">
      <c r="A293" s="50">
        <v>39862</v>
      </c>
      <c r="B293" s="51">
        <v>2646.32</v>
      </c>
      <c r="C293" s="52"/>
      <c r="D293" s="52"/>
      <c r="E293" s="52"/>
      <c r="F293" s="52"/>
      <c r="G293" s="52"/>
      <c r="H293" s="52"/>
    </row>
    <row r="294" spans="1:8" ht="15.75">
      <c r="A294" s="50">
        <v>39863</v>
      </c>
      <c r="B294" s="51">
        <v>2652.84</v>
      </c>
      <c r="C294" s="52"/>
      <c r="D294" s="52"/>
      <c r="E294" s="52"/>
      <c r="F294" s="52"/>
      <c r="G294" s="52"/>
      <c r="H294" s="52"/>
    </row>
    <row r="295" spans="1:8" ht="15.75">
      <c r="A295" s="50">
        <v>39864</v>
      </c>
      <c r="B295" s="51">
        <v>2526.85</v>
      </c>
      <c r="C295" s="52"/>
      <c r="D295" s="52"/>
      <c r="E295" s="52"/>
      <c r="F295" s="52"/>
      <c r="G295" s="52"/>
      <c r="H295" s="52"/>
    </row>
    <row r="296" spans="1:8" ht="15.75">
      <c r="A296" s="50">
        <v>39867</v>
      </c>
      <c r="B296" s="51">
        <v>2477.6799999999998</v>
      </c>
      <c r="C296" s="52"/>
      <c r="D296" s="52"/>
      <c r="E296" s="52"/>
      <c r="F296" s="52"/>
      <c r="G296" s="52"/>
      <c r="H296" s="52"/>
    </row>
    <row r="297" spans="1:8" ht="15.75">
      <c r="A297" s="50">
        <v>39868</v>
      </c>
      <c r="B297" s="51">
        <v>2452.04</v>
      </c>
      <c r="C297" s="52"/>
      <c r="D297" s="52"/>
      <c r="E297" s="52"/>
      <c r="F297" s="52"/>
      <c r="G297" s="52"/>
      <c r="H297" s="52"/>
    </row>
    <row r="298" spans="1:8" ht="15.75">
      <c r="A298" s="50">
        <v>39869</v>
      </c>
      <c r="B298" s="51">
        <v>2420.83</v>
      </c>
      <c r="C298" s="52"/>
      <c r="D298" s="52"/>
      <c r="E298" s="52"/>
      <c r="F298" s="52"/>
      <c r="G298" s="52"/>
      <c r="H298" s="52"/>
    </row>
    <row r="299" spans="1:8" ht="15.75">
      <c r="A299" s="50">
        <v>39870</v>
      </c>
      <c r="B299" s="51">
        <v>2481.4699999999998</v>
      </c>
      <c r="C299" s="52"/>
      <c r="D299" s="52"/>
      <c r="E299" s="52"/>
      <c r="F299" s="52"/>
      <c r="G299" s="52"/>
      <c r="H299" s="52"/>
    </row>
    <row r="300" spans="1:8" ht="15.75">
      <c r="A300" s="50">
        <v>39871</v>
      </c>
      <c r="B300" s="51">
        <v>2419.31</v>
      </c>
      <c r="C300" s="52"/>
      <c r="D300" s="52"/>
      <c r="E300" s="52"/>
      <c r="F300" s="52"/>
      <c r="G300" s="52"/>
      <c r="H300" s="52"/>
    </row>
    <row r="301" spans="1:8" ht="15.75">
      <c r="A301" s="50">
        <v>39874</v>
      </c>
      <c r="B301" s="51">
        <v>2335.2800000000002</v>
      </c>
      <c r="C301" s="52"/>
      <c r="D301" s="52"/>
      <c r="E301" s="52"/>
      <c r="F301" s="52"/>
      <c r="G301" s="52"/>
      <c r="H301" s="52"/>
    </row>
    <row r="302" spans="1:8" ht="15.75">
      <c r="A302" s="50">
        <v>39875</v>
      </c>
      <c r="B302" s="51">
        <v>2323.11</v>
      </c>
      <c r="C302" s="52"/>
      <c r="D302" s="52"/>
      <c r="E302" s="52"/>
      <c r="F302" s="52"/>
      <c r="G302" s="52"/>
      <c r="H302" s="52"/>
    </row>
    <row r="303" spans="1:8" ht="15.75">
      <c r="A303" s="50">
        <v>39876</v>
      </c>
      <c r="B303" s="51">
        <v>2449.0300000000002</v>
      </c>
      <c r="C303" s="52"/>
      <c r="D303" s="52"/>
      <c r="E303" s="52"/>
      <c r="F303" s="52"/>
      <c r="G303" s="52"/>
      <c r="H303" s="52"/>
    </row>
    <row r="304" spans="1:8" ht="15.75">
      <c r="A304" s="50">
        <v>39877</v>
      </c>
      <c r="B304" s="51">
        <v>2325.9299999999998</v>
      </c>
      <c r="C304" s="52"/>
      <c r="D304" s="52"/>
      <c r="E304" s="52"/>
      <c r="F304" s="52"/>
      <c r="G304" s="52"/>
      <c r="H304" s="52"/>
    </row>
    <row r="305" spans="1:8" ht="15.75">
      <c r="A305" s="50">
        <v>39878</v>
      </c>
      <c r="B305" s="51">
        <v>2307.66</v>
      </c>
      <c r="C305" s="52"/>
      <c r="D305" s="52"/>
      <c r="E305" s="52"/>
      <c r="F305" s="52"/>
      <c r="G305" s="52"/>
      <c r="H305" s="52"/>
    </row>
    <row r="306" spans="1:8" ht="15.75">
      <c r="A306" s="50">
        <v>39881</v>
      </c>
      <c r="B306" s="51">
        <v>2323.69</v>
      </c>
      <c r="C306" s="52"/>
      <c r="D306" s="52"/>
      <c r="E306" s="52"/>
      <c r="F306" s="52"/>
      <c r="G306" s="52"/>
      <c r="H306" s="52"/>
    </row>
    <row r="307" spans="1:8" ht="15.75">
      <c r="A307" s="50">
        <v>39882</v>
      </c>
      <c r="B307" s="51">
        <v>2446.08</v>
      </c>
      <c r="C307" s="52"/>
      <c r="D307" s="52"/>
      <c r="E307" s="52"/>
      <c r="F307" s="52"/>
      <c r="G307" s="52"/>
      <c r="H307" s="52"/>
    </row>
    <row r="308" spans="1:8" ht="15.75">
      <c r="A308" s="50">
        <v>39883</v>
      </c>
      <c r="B308" s="51">
        <v>2463.09</v>
      </c>
      <c r="C308" s="52"/>
      <c r="D308" s="52"/>
      <c r="E308" s="52"/>
      <c r="F308" s="52"/>
      <c r="G308" s="52"/>
      <c r="H308" s="52"/>
    </row>
    <row r="309" spans="1:8" ht="15.75">
      <c r="A309" s="50">
        <v>39884</v>
      </c>
      <c r="B309" s="51">
        <v>2489.48</v>
      </c>
      <c r="C309" s="52"/>
      <c r="D309" s="52"/>
      <c r="E309" s="52"/>
      <c r="F309" s="52"/>
      <c r="G309" s="52"/>
      <c r="H309" s="52"/>
    </row>
    <row r="310" spans="1:8" ht="15.75">
      <c r="A310" s="50">
        <v>39885</v>
      </c>
      <c r="B310" s="51">
        <v>2488.0300000000002</v>
      </c>
      <c r="C310" s="52"/>
      <c r="D310" s="52"/>
      <c r="E310" s="52"/>
      <c r="F310" s="52"/>
      <c r="G310" s="52"/>
      <c r="H310" s="52"/>
    </row>
    <row r="311" spans="1:8" ht="15.75">
      <c r="A311" s="50">
        <v>39888</v>
      </c>
      <c r="B311" s="51">
        <v>2545.29</v>
      </c>
      <c r="C311" s="52"/>
      <c r="D311" s="52"/>
      <c r="E311" s="52"/>
      <c r="F311" s="52"/>
      <c r="G311" s="52"/>
      <c r="H311" s="52"/>
    </row>
    <row r="312" spans="1:8" ht="15.75">
      <c r="A312" s="50">
        <v>39889</v>
      </c>
      <c r="B312" s="51">
        <v>2509.46</v>
      </c>
      <c r="C312" s="52"/>
      <c r="D312" s="52"/>
      <c r="E312" s="52"/>
      <c r="F312" s="52"/>
      <c r="G312" s="52"/>
      <c r="H312" s="52"/>
    </row>
    <row r="313" spans="1:8" ht="15.75">
      <c r="A313" s="50">
        <v>39890</v>
      </c>
      <c r="B313" s="51">
        <v>2515.0100000000002</v>
      </c>
      <c r="C313" s="52"/>
      <c r="D313" s="52"/>
      <c r="E313" s="52"/>
      <c r="F313" s="52"/>
      <c r="G313" s="52"/>
      <c r="H313" s="52"/>
    </row>
    <row r="314" spans="1:8" ht="15.75">
      <c r="A314" s="50">
        <v>39891</v>
      </c>
      <c r="B314" s="51">
        <v>2545.02</v>
      </c>
      <c r="C314" s="52"/>
      <c r="D314" s="52"/>
      <c r="E314" s="52"/>
      <c r="F314" s="52"/>
      <c r="G314" s="52"/>
      <c r="H314" s="52"/>
    </row>
    <row r="315" spans="1:8" ht="15.75">
      <c r="A315" s="50">
        <v>39892</v>
      </c>
      <c r="B315" s="51">
        <v>2560.9</v>
      </c>
      <c r="C315" s="52"/>
      <c r="D315" s="52"/>
      <c r="E315" s="52"/>
      <c r="F315" s="52"/>
      <c r="G315" s="52"/>
      <c r="H315" s="52"/>
    </row>
    <row r="316" spans="1:8" ht="15.75">
      <c r="A316" s="50">
        <v>39895</v>
      </c>
      <c r="B316" s="51">
        <v>2628.64</v>
      </c>
      <c r="C316" s="52"/>
      <c r="D316" s="52"/>
      <c r="E316" s="52"/>
      <c r="F316" s="52"/>
      <c r="G316" s="52"/>
      <c r="H316" s="52"/>
    </row>
    <row r="317" spans="1:8" ht="15.75">
      <c r="A317" s="50">
        <v>39896</v>
      </c>
      <c r="B317" s="51">
        <v>2635.56</v>
      </c>
      <c r="C317" s="52"/>
      <c r="D317" s="52"/>
      <c r="E317" s="52"/>
      <c r="F317" s="52"/>
      <c r="G317" s="52"/>
      <c r="H317" s="52"/>
    </row>
    <row r="318" spans="1:8" ht="15.75">
      <c r="A318" s="50">
        <v>39897</v>
      </c>
      <c r="B318" s="51">
        <v>2658.17</v>
      </c>
      <c r="C318" s="52"/>
      <c r="D318" s="52"/>
      <c r="E318" s="52"/>
      <c r="F318" s="52"/>
      <c r="G318" s="52"/>
      <c r="H318" s="52"/>
    </row>
    <row r="319" spans="1:8" ht="15.75">
      <c r="A319" s="50">
        <v>39898</v>
      </c>
      <c r="B319" s="51">
        <v>2680.88</v>
      </c>
      <c r="C319" s="52"/>
      <c r="D319" s="52"/>
      <c r="E319" s="52"/>
      <c r="F319" s="52"/>
      <c r="G319" s="52"/>
      <c r="H319" s="52"/>
    </row>
    <row r="320" spans="1:8" ht="15.75">
      <c r="A320" s="50">
        <v>39899</v>
      </c>
      <c r="B320" s="51">
        <v>2645.75</v>
      </c>
      <c r="C320" s="52"/>
      <c r="D320" s="52"/>
      <c r="E320" s="52"/>
      <c r="F320" s="52"/>
      <c r="G320" s="52"/>
      <c r="H320" s="52"/>
    </row>
    <row r="321" spans="1:8" ht="15.75">
      <c r="A321" s="50">
        <v>39902</v>
      </c>
      <c r="B321" s="51">
        <v>2510.85</v>
      </c>
      <c r="C321" s="52"/>
      <c r="D321" s="52"/>
      <c r="E321" s="52"/>
      <c r="F321" s="52"/>
      <c r="G321" s="52"/>
      <c r="H321" s="52"/>
    </row>
    <row r="322" spans="1:8" ht="15.75">
      <c r="A322" s="50">
        <v>39903</v>
      </c>
      <c r="B322" s="51">
        <v>2570.9899999999998</v>
      </c>
      <c r="C322" s="52"/>
      <c r="D322" s="52"/>
      <c r="E322" s="52"/>
      <c r="F322" s="52"/>
      <c r="G322" s="52"/>
      <c r="H322" s="52"/>
    </row>
    <row r="323" spans="1:8" ht="15.75">
      <c r="A323" s="50">
        <v>39904</v>
      </c>
      <c r="B323" s="51">
        <v>2600.13</v>
      </c>
      <c r="C323" s="52"/>
      <c r="D323" s="52"/>
      <c r="E323" s="52"/>
      <c r="F323" s="52"/>
      <c r="G323" s="52"/>
      <c r="H323" s="52"/>
    </row>
    <row r="324" spans="1:8" ht="15.75">
      <c r="A324" s="50">
        <v>39905</v>
      </c>
      <c r="B324" s="51">
        <v>2758.02</v>
      </c>
      <c r="C324" s="52"/>
      <c r="D324" s="52"/>
      <c r="E324" s="52"/>
      <c r="F324" s="52"/>
      <c r="G324" s="52"/>
      <c r="H324" s="52"/>
    </row>
    <row r="325" spans="1:8" ht="15.75">
      <c r="A325" s="50">
        <v>39906</v>
      </c>
      <c r="B325" s="51">
        <v>2759.95</v>
      </c>
      <c r="C325" s="52"/>
      <c r="D325" s="52"/>
      <c r="E325" s="52"/>
      <c r="F325" s="52"/>
      <c r="G325" s="52"/>
      <c r="H325" s="52"/>
    </row>
    <row r="326" spans="1:8" ht="15.75">
      <c r="A326" s="50">
        <v>39909</v>
      </c>
      <c r="B326" s="51">
        <v>2735.79</v>
      </c>
      <c r="C326" s="52"/>
      <c r="D326" s="52"/>
      <c r="E326" s="52"/>
      <c r="F326" s="52"/>
      <c r="G326" s="52"/>
      <c r="H326" s="52"/>
    </row>
    <row r="327" spans="1:8" ht="15.75">
      <c r="A327" s="50">
        <v>39910</v>
      </c>
      <c r="B327" s="51">
        <v>2718.62</v>
      </c>
      <c r="C327" s="52"/>
      <c r="D327" s="52"/>
      <c r="E327" s="52"/>
      <c r="F327" s="52"/>
      <c r="G327" s="52"/>
      <c r="H327" s="52"/>
    </row>
    <row r="328" spans="1:8" ht="15.75">
      <c r="A328" s="50">
        <v>39911</v>
      </c>
      <c r="B328" s="51">
        <v>2740.9</v>
      </c>
      <c r="C328" s="52"/>
      <c r="D328" s="52"/>
      <c r="E328" s="52"/>
      <c r="F328" s="52"/>
      <c r="G328" s="52"/>
      <c r="H328" s="52"/>
    </row>
    <row r="329" spans="1:8" ht="15.75">
      <c r="A329" s="50">
        <v>39912</v>
      </c>
      <c r="B329" s="51">
        <v>2821.07</v>
      </c>
      <c r="C329" s="52"/>
      <c r="D329" s="52"/>
      <c r="E329" s="52"/>
      <c r="F329" s="52"/>
      <c r="G329" s="52"/>
      <c r="H329" s="52"/>
    </row>
    <row r="330" spans="1:8" ht="15.75">
      <c r="A330" s="50">
        <v>39917</v>
      </c>
      <c r="B330" s="51">
        <v>2862.45</v>
      </c>
      <c r="C330" s="52"/>
      <c r="D330" s="52"/>
      <c r="E330" s="52"/>
      <c r="F330" s="52"/>
      <c r="G330" s="52"/>
      <c r="H330" s="52"/>
    </row>
    <row r="331" spans="1:8" ht="15.75">
      <c r="A331" s="50">
        <v>39918</v>
      </c>
      <c r="B331" s="51">
        <v>2857.9</v>
      </c>
      <c r="C331" s="52"/>
      <c r="D331" s="52"/>
      <c r="E331" s="52"/>
      <c r="F331" s="52"/>
      <c r="G331" s="52"/>
      <c r="H331" s="52"/>
    </row>
    <row r="332" spans="1:8" ht="15.75">
      <c r="A332" s="50">
        <v>39919</v>
      </c>
      <c r="B332" s="51">
        <v>2895.31</v>
      </c>
      <c r="C332" s="52"/>
      <c r="D332" s="52"/>
      <c r="E332" s="52"/>
      <c r="F332" s="52"/>
      <c r="G332" s="52"/>
      <c r="H332" s="52"/>
    </row>
    <row r="333" spans="1:8" ht="15.75">
      <c r="A333" s="50">
        <v>39920</v>
      </c>
      <c r="B333" s="51">
        <v>2937.48</v>
      </c>
      <c r="C333" s="52"/>
      <c r="D333" s="52"/>
      <c r="E333" s="52"/>
      <c r="F333" s="52"/>
      <c r="G333" s="52"/>
      <c r="H333" s="52"/>
    </row>
    <row r="334" spans="1:8" ht="15.75">
      <c r="A334" s="50">
        <v>39923</v>
      </c>
      <c r="B334" s="51">
        <v>2818</v>
      </c>
      <c r="C334" s="52"/>
      <c r="D334" s="52"/>
      <c r="E334" s="52"/>
      <c r="F334" s="52"/>
      <c r="G334" s="52"/>
      <c r="H334" s="52"/>
    </row>
    <row r="335" spans="1:8" ht="15.75">
      <c r="A335" s="50">
        <v>39924</v>
      </c>
      <c r="B335" s="51">
        <v>2826.91</v>
      </c>
      <c r="C335" s="52"/>
      <c r="D335" s="52"/>
      <c r="E335" s="52"/>
      <c r="F335" s="52"/>
      <c r="G335" s="52"/>
      <c r="H335" s="52"/>
    </row>
    <row r="336" spans="1:8" ht="15.75">
      <c r="A336" s="50">
        <v>39925</v>
      </c>
      <c r="B336" s="51">
        <v>2881.47</v>
      </c>
      <c r="C336" s="52"/>
      <c r="D336" s="52"/>
      <c r="E336" s="52"/>
      <c r="F336" s="52"/>
      <c r="G336" s="52"/>
      <c r="H336" s="52"/>
    </row>
    <row r="337" spans="1:8" ht="15.75">
      <c r="A337" s="50">
        <v>39926</v>
      </c>
      <c r="B337" s="51">
        <v>2826.48</v>
      </c>
      <c r="C337" s="52"/>
      <c r="D337" s="52"/>
      <c r="E337" s="52"/>
      <c r="F337" s="52"/>
      <c r="G337" s="52"/>
      <c r="H337" s="52"/>
    </row>
    <row r="338" spans="1:8" ht="15.75">
      <c r="A338" s="50">
        <v>39927</v>
      </c>
      <c r="B338" s="51">
        <v>2910.63</v>
      </c>
      <c r="C338" s="52"/>
      <c r="D338" s="52"/>
      <c r="E338" s="52"/>
      <c r="F338" s="52"/>
      <c r="G338" s="52"/>
      <c r="H338" s="52"/>
    </row>
    <row r="339" spans="1:8" ht="15.75">
      <c r="A339" s="50">
        <v>39930</v>
      </c>
      <c r="B339" s="51">
        <v>2921.09</v>
      </c>
      <c r="C339" s="52"/>
      <c r="D339" s="52"/>
      <c r="E339" s="52"/>
      <c r="F339" s="52"/>
      <c r="G339" s="52"/>
      <c r="H339" s="52"/>
    </row>
    <row r="340" spans="1:8" ht="15.75">
      <c r="A340" s="50">
        <v>39931</v>
      </c>
      <c r="B340" s="51">
        <v>2866.73</v>
      </c>
      <c r="C340" s="52"/>
      <c r="D340" s="52"/>
      <c r="E340" s="52"/>
      <c r="F340" s="52"/>
      <c r="G340" s="52"/>
      <c r="H340" s="52"/>
    </row>
    <row r="341" spans="1:8" ht="15.75">
      <c r="A341" s="50">
        <v>39932</v>
      </c>
      <c r="B341" s="51">
        <v>2926.76</v>
      </c>
      <c r="C341" s="52"/>
      <c r="D341" s="52"/>
      <c r="E341" s="52"/>
      <c r="F341" s="52"/>
      <c r="G341" s="52"/>
      <c r="H341" s="52"/>
    </row>
    <row r="342" spans="1:8" ht="15.75">
      <c r="A342" s="50">
        <v>39933</v>
      </c>
      <c r="B342" s="51">
        <v>2955.33</v>
      </c>
      <c r="C342" s="52"/>
      <c r="D342" s="52"/>
      <c r="E342" s="52"/>
      <c r="F342" s="52"/>
      <c r="G342" s="52"/>
      <c r="H342" s="52"/>
    </row>
    <row r="343" spans="1:8" ht="15.75">
      <c r="A343" s="50">
        <v>39937</v>
      </c>
      <c r="B343" s="51">
        <v>3007.85</v>
      </c>
      <c r="C343" s="52"/>
      <c r="D343" s="52"/>
      <c r="E343" s="52"/>
      <c r="F343" s="52"/>
      <c r="G343" s="52"/>
      <c r="H343" s="52"/>
    </row>
    <row r="344" spans="1:8" ht="15.75">
      <c r="A344" s="50">
        <v>39938</v>
      </c>
      <c r="B344" s="51">
        <v>2976.72</v>
      </c>
      <c r="C344" s="52"/>
      <c r="D344" s="52"/>
      <c r="E344" s="52"/>
      <c r="F344" s="52"/>
      <c r="G344" s="52"/>
      <c r="H344" s="52"/>
    </row>
    <row r="345" spans="1:8" ht="15.75">
      <c r="A345" s="50">
        <v>39939</v>
      </c>
      <c r="B345" s="51">
        <v>2993.24</v>
      </c>
      <c r="C345" s="52"/>
      <c r="D345" s="52"/>
      <c r="E345" s="52"/>
      <c r="F345" s="52"/>
      <c r="G345" s="52"/>
      <c r="H345" s="52"/>
    </row>
    <row r="346" spans="1:8" ht="15.75">
      <c r="A346" s="50">
        <v>39940</v>
      </c>
      <c r="B346" s="51">
        <v>2927.88</v>
      </c>
      <c r="C346" s="52"/>
      <c r="D346" s="52"/>
      <c r="E346" s="52"/>
      <c r="F346" s="52"/>
      <c r="G346" s="52"/>
      <c r="H346" s="52"/>
    </row>
    <row r="347" spans="1:8" ht="15.75">
      <c r="A347" s="50">
        <v>39941</v>
      </c>
      <c r="B347" s="51">
        <v>2993.21</v>
      </c>
      <c r="C347" s="52"/>
      <c r="D347" s="52"/>
      <c r="E347" s="52"/>
      <c r="F347" s="52"/>
      <c r="G347" s="52"/>
      <c r="H347" s="52"/>
    </row>
    <row r="348" spans="1:8" ht="15.75">
      <c r="A348" s="50">
        <v>39944</v>
      </c>
      <c r="B348" s="51">
        <v>2964.24</v>
      </c>
      <c r="C348" s="52"/>
      <c r="D348" s="52"/>
      <c r="E348" s="52"/>
      <c r="F348" s="52"/>
      <c r="G348" s="52"/>
      <c r="H348" s="52"/>
    </row>
    <row r="349" spans="1:8" ht="15.75">
      <c r="A349" s="50">
        <v>39945</v>
      </c>
      <c r="B349" s="51">
        <v>2955.82</v>
      </c>
      <c r="C349" s="52"/>
      <c r="D349" s="52"/>
      <c r="E349" s="52"/>
      <c r="F349" s="52"/>
      <c r="G349" s="52"/>
      <c r="H349" s="52"/>
    </row>
    <row r="350" spans="1:8" ht="15.75">
      <c r="A350" s="50">
        <v>39946</v>
      </c>
      <c r="B350" s="51">
        <v>2871.41</v>
      </c>
      <c r="C350" s="52"/>
      <c r="D350" s="52"/>
      <c r="E350" s="52"/>
      <c r="F350" s="52"/>
      <c r="G350" s="52"/>
      <c r="H350" s="52"/>
    </row>
    <row r="351" spans="1:8" ht="15.75">
      <c r="A351" s="50">
        <v>39947</v>
      </c>
      <c r="B351" s="51">
        <v>2875.55</v>
      </c>
      <c r="C351" s="52"/>
      <c r="D351" s="52"/>
      <c r="E351" s="52"/>
      <c r="F351" s="52"/>
      <c r="G351" s="52"/>
      <c r="H351" s="52"/>
    </row>
    <row r="352" spans="1:8" ht="15.75">
      <c r="A352" s="50">
        <v>39948</v>
      </c>
      <c r="B352" s="51">
        <v>2874.77</v>
      </c>
      <c r="C352" s="52"/>
      <c r="D352" s="52"/>
      <c r="E352" s="52"/>
      <c r="F352" s="52"/>
      <c r="G352" s="52"/>
      <c r="H352" s="52"/>
    </row>
    <row r="353" spans="1:8" ht="15.75">
      <c r="A353" s="50">
        <v>39951</v>
      </c>
      <c r="B353" s="51">
        <v>2942.75</v>
      </c>
      <c r="C353" s="52"/>
      <c r="D353" s="52"/>
      <c r="E353" s="52"/>
      <c r="F353" s="52"/>
      <c r="G353" s="52"/>
      <c r="H353" s="52"/>
    </row>
    <row r="354" spans="1:8" ht="15.75">
      <c r="A354" s="50">
        <v>39952</v>
      </c>
      <c r="B354" s="51">
        <v>3008.96</v>
      </c>
      <c r="C354" s="52"/>
      <c r="D354" s="52"/>
      <c r="E354" s="52"/>
      <c r="F354" s="52"/>
      <c r="G354" s="52"/>
      <c r="H354" s="52"/>
    </row>
    <row r="355" spans="1:8" ht="15.75">
      <c r="A355" s="50">
        <v>39953</v>
      </c>
      <c r="B355" s="51">
        <v>3054.06</v>
      </c>
      <c r="C355" s="52"/>
      <c r="D355" s="52"/>
      <c r="E355" s="52"/>
      <c r="F355" s="52"/>
      <c r="G355" s="52"/>
      <c r="H355" s="52"/>
    </row>
    <row r="356" spans="1:8" ht="15.75">
      <c r="A356" s="50">
        <v>39954</v>
      </c>
      <c r="B356" s="51">
        <v>2967.61</v>
      </c>
      <c r="C356" s="52"/>
      <c r="D356" s="52"/>
      <c r="E356" s="52"/>
      <c r="F356" s="52"/>
      <c r="G356" s="52"/>
      <c r="H356" s="52"/>
    </row>
    <row r="357" spans="1:8" ht="15.75">
      <c r="A357" s="50">
        <v>39955</v>
      </c>
      <c r="B357" s="51">
        <v>2978.42</v>
      </c>
      <c r="C357" s="52"/>
      <c r="D357" s="52"/>
      <c r="E357" s="52"/>
      <c r="F357" s="52"/>
      <c r="G357" s="52"/>
      <c r="H357" s="52"/>
    </row>
    <row r="358" spans="1:8" ht="15.75">
      <c r="A358" s="50">
        <v>39958</v>
      </c>
      <c r="B358" s="51">
        <v>2978.07</v>
      </c>
      <c r="C358" s="52"/>
      <c r="D358" s="52"/>
      <c r="E358" s="52"/>
      <c r="F358" s="52"/>
      <c r="G358" s="52"/>
      <c r="H358" s="52"/>
    </row>
    <row r="359" spans="1:8" ht="15.75">
      <c r="A359" s="50">
        <v>39959</v>
      </c>
      <c r="B359" s="51">
        <v>3018.77</v>
      </c>
      <c r="C359" s="52"/>
      <c r="D359" s="52"/>
      <c r="E359" s="52"/>
      <c r="F359" s="52"/>
      <c r="G359" s="52"/>
      <c r="H359" s="52"/>
    </row>
    <row r="360" spans="1:8" ht="15.75">
      <c r="A360" s="50">
        <v>39960</v>
      </c>
      <c r="B360" s="51">
        <v>3026.14</v>
      </c>
      <c r="C360" s="52"/>
      <c r="D360" s="52"/>
      <c r="E360" s="52"/>
      <c r="F360" s="52"/>
      <c r="G360" s="52"/>
      <c r="H360" s="52"/>
    </row>
    <row r="361" spans="1:8" ht="15.75">
      <c r="A361" s="50">
        <v>39961</v>
      </c>
      <c r="B361" s="51">
        <v>2984.38</v>
      </c>
      <c r="C361" s="52"/>
      <c r="D361" s="52"/>
      <c r="E361" s="52"/>
      <c r="F361" s="52"/>
      <c r="G361" s="52"/>
      <c r="H361" s="52"/>
    </row>
    <row r="362" spans="1:8" ht="15.75">
      <c r="A362" s="50">
        <v>39962</v>
      </c>
      <c r="B362" s="51">
        <v>2989.35</v>
      </c>
      <c r="C362" s="52"/>
      <c r="D362" s="52"/>
      <c r="E362" s="52"/>
      <c r="F362" s="52"/>
      <c r="G362" s="52"/>
      <c r="H362" s="52"/>
    </row>
    <row r="363" spans="1:8" ht="15.75">
      <c r="A363" s="50">
        <v>39965</v>
      </c>
      <c r="B363" s="51">
        <v>3111.85</v>
      </c>
      <c r="C363" s="52"/>
      <c r="D363" s="52"/>
      <c r="E363" s="52"/>
      <c r="F363" s="52"/>
      <c r="G363" s="52"/>
      <c r="H363" s="52"/>
    </row>
    <row r="364" spans="1:8" ht="15.75">
      <c r="A364" s="50">
        <v>39966</v>
      </c>
      <c r="B364" s="51">
        <v>3113.35</v>
      </c>
      <c r="C364" s="52"/>
      <c r="D364" s="52"/>
      <c r="E364" s="52"/>
      <c r="F364" s="52"/>
      <c r="G364" s="52"/>
      <c r="H364" s="52"/>
    </row>
    <row r="365" spans="1:8" ht="15.75">
      <c r="A365" s="50">
        <v>39967</v>
      </c>
      <c r="B365" s="51">
        <v>3058.8</v>
      </c>
      <c r="C365" s="52"/>
      <c r="D365" s="52"/>
      <c r="E365" s="52"/>
      <c r="F365" s="52"/>
      <c r="G365" s="52"/>
      <c r="H365" s="52"/>
    </row>
    <row r="366" spans="1:8" ht="15.75">
      <c r="A366" s="50">
        <v>39968</v>
      </c>
      <c r="B366" s="51">
        <v>3065.59</v>
      </c>
      <c r="C366" s="52"/>
      <c r="D366" s="52"/>
      <c r="E366" s="52"/>
      <c r="F366" s="52"/>
      <c r="G366" s="52"/>
      <c r="H366" s="52"/>
    </row>
    <row r="367" spans="1:8" ht="15.75">
      <c r="A367" s="50">
        <v>39969</v>
      </c>
      <c r="B367" s="51">
        <v>3073.36</v>
      </c>
      <c r="C367" s="52"/>
      <c r="D367" s="52"/>
      <c r="E367" s="52"/>
      <c r="F367" s="52"/>
      <c r="G367" s="52"/>
      <c r="H367" s="52"/>
    </row>
    <row r="368" spans="1:8" ht="15.75">
      <c r="A368" s="50">
        <v>39972</v>
      </c>
      <c r="B368" s="51">
        <v>3029.56</v>
      </c>
      <c r="C368" s="52"/>
      <c r="D368" s="52"/>
      <c r="E368" s="52"/>
      <c r="F368" s="52"/>
      <c r="G368" s="52"/>
      <c r="H368" s="52"/>
    </row>
    <row r="369" spans="1:8" ht="15.75">
      <c r="A369" s="50">
        <v>39973</v>
      </c>
      <c r="B369" s="51">
        <v>3025.3</v>
      </c>
      <c r="C369" s="52"/>
      <c r="D369" s="52"/>
      <c r="E369" s="52"/>
      <c r="F369" s="52"/>
      <c r="G369" s="52"/>
      <c r="H369" s="52"/>
    </row>
    <row r="370" spans="1:8" ht="15.75">
      <c r="A370" s="50">
        <v>39974</v>
      </c>
      <c r="B370" s="51">
        <v>3057.85</v>
      </c>
      <c r="C370" s="52"/>
      <c r="D370" s="52"/>
      <c r="E370" s="52"/>
      <c r="F370" s="52"/>
      <c r="G370" s="52"/>
      <c r="H370" s="52"/>
    </row>
    <row r="371" spans="1:8" ht="15.75">
      <c r="A371" s="50">
        <v>39975</v>
      </c>
      <c r="B371" s="51">
        <v>3091.76</v>
      </c>
      <c r="C371" s="52"/>
      <c r="D371" s="52"/>
      <c r="E371" s="52"/>
      <c r="F371" s="52"/>
      <c r="G371" s="52"/>
      <c r="H371" s="52"/>
    </row>
    <row r="372" spans="1:8" ht="15.75">
      <c r="A372" s="50">
        <v>39976</v>
      </c>
      <c r="B372" s="51">
        <v>3068.38</v>
      </c>
      <c r="C372" s="52"/>
      <c r="D372" s="52"/>
      <c r="E372" s="52"/>
      <c r="F372" s="52"/>
      <c r="G372" s="52"/>
      <c r="H372" s="52"/>
    </row>
    <row r="373" spans="1:8" ht="15.75">
      <c r="A373" s="50">
        <v>39979</v>
      </c>
      <c r="B373" s="51">
        <v>2959.26</v>
      </c>
      <c r="C373" s="52"/>
      <c r="D373" s="52"/>
      <c r="E373" s="52"/>
      <c r="F373" s="52"/>
      <c r="G373" s="52"/>
      <c r="H373" s="52"/>
    </row>
    <row r="374" spans="1:8" ht="15.75">
      <c r="A374" s="50">
        <v>39980</v>
      </c>
      <c r="B374" s="51">
        <v>2959.82</v>
      </c>
      <c r="C374" s="52"/>
      <c r="D374" s="52"/>
      <c r="E374" s="52"/>
      <c r="F374" s="52"/>
      <c r="G374" s="52"/>
      <c r="H374" s="52"/>
    </row>
    <row r="375" spans="1:8" ht="15.75">
      <c r="A375" s="50">
        <v>39981</v>
      </c>
      <c r="B375" s="51">
        <v>2904.88</v>
      </c>
      <c r="C375" s="52"/>
      <c r="D375" s="52"/>
      <c r="E375" s="52"/>
      <c r="F375" s="52"/>
      <c r="G375" s="52"/>
      <c r="H375" s="52"/>
    </row>
    <row r="376" spans="1:8" ht="15.75">
      <c r="A376" s="50">
        <v>39982</v>
      </c>
      <c r="B376" s="51">
        <v>2927.06</v>
      </c>
      <c r="C376" s="52"/>
      <c r="D376" s="52"/>
      <c r="E376" s="52"/>
      <c r="F376" s="52"/>
      <c r="G376" s="52"/>
      <c r="H376" s="52"/>
    </row>
    <row r="377" spans="1:8" ht="15.75">
      <c r="A377" s="50">
        <v>39983</v>
      </c>
      <c r="B377" s="51">
        <v>2927.69</v>
      </c>
      <c r="C377" s="52"/>
      <c r="D377" s="52"/>
      <c r="E377" s="52"/>
      <c r="F377" s="52"/>
      <c r="G377" s="52"/>
      <c r="H377" s="52"/>
    </row>
    <row r="378" spans="1:8" ht="15.75">
      <c r="A378" s="50">
        <v>39986</v>
      </c>
      <c r="B378" s="51">
        <v>2839.33</v>
      </c>
      <c r="C378" s="52"/>
      <c r="D378" s="52"/>
      <c r="E378" s="52"/>
      <c r="F378" s="52"/>
      <c r="G378" s="52"/>
      <c r="H378" s="52"/>
    </row>
    <row r="379" spans="1:8" ht="15.75">
      <c r="A379" s="50">
        <v>39987</v>
      </c>
      <c r="B379" s="51">
        <v>2847.65</v>
      </c>
      <c r="C379" s="52"/>
      <c r="D379" s="52"/>
      <c r="E379" s="52"/>
      <c r="F379" s="52"/>
      <c r="G379" s="52"/>
      <c r="H379" s="52"/>
    </row>
    <row r="380" spans="1:8" ht="15.75">
      <c r="A380" s="50">
        <v>39988</v>
      </c>
      <c r="B380" s="51">
        <v>2925.6</v>
      </c>
      <c r="C380" s="52"/>
      <c r="D380" s="52"/>
      <c r="E380" s="52"/>
      <c r="F380" s="52"/>
      <c r="G380" s="52"/>
      <c r="H380" s="52"/>
    </row>
    <row r="381" spans="1:8" ht="15.75">
      <c r="A381" s="50">
        <v>39989</v>
      </c>
      <c r="B381" s="51">
        <v>2904.16</v>
      </c>
      <c r="C381" s="52"/>
      <c r="D381" s="52"/>
      <c r="E381" s="52"/>
      <c r="F381" s="52"/>
      <c r="G381" s="52"/>
      <c r="H381" s="52"/>
    </row>
    <row r="382" spans="1:8" ht="15.75">
      <c r="A382" s="50">
        <v>39990</v>
      </c>
      <c r="B382" s="51">
        <v>2889.58</v>
      </c>
      <c r="C382" s="52"/>
      <c r="D382" s="52"/>
      <c r="E382" s="52"/>
      <c r="F382" s="52"/>
      <c r="G382" s="52"/>
      <c r="H382" s="52"/>
    </row>
    <row r="383" spans="1:8" ht="15.75">
      <c r="A383" s="50">
        <v>39993</v>
      </c>
      <c r="B383" s="51">
        <v>2955.3</v>
      </c>
      <c r="C383" s="52"/>
      <c r="D383" s="52"/>
      <c r="E383" s="52"/>
      <c r="F383" s="52"/>
      <c r="G383" s="52"/>
      <c r="H383" s="52"/>
    </row>
    <row r="384" spans="1:8" ht="15.75">
      <c r="A384" s="50">
        <v>39994</v>
      </c>
      <c r="B384" s="51">
        <v>2909.05</v>
      </c>
      <c r="C384" s="52"/>
      <c r="D384" s="52"/>
      <c r="E384" s="52"/>
      <c r="F384" s="52"/>
      <c r="G384" s="52"/>
      <c r="H384" s="52"/>
    </row>
    <row r="385" spans="1:8" ht="15.75">
      <c r="A385" s="50">
        <v>39995</v>
      </c>
      <c r="B385" s="51">
        <v>2967.61</v>
      </c>
      <c r="C385" s="52"/>
      <c r="D385" s="52"/>
      <c r="E385" s="52"/>
      <c r="F385" s="52"/>
      <c r="G385" s="52"/>
      <c r="H385" s="52"/>
    </row>
    <row r="386" spans="1:8" ht="15.75">
      <c r="A386" s="50">
        <v>39996</v>
      </c>
      <c r="B386" s="51">
        <v>2854.51</v>
      </c>
      <c r="C386" s="52"/>
      <c r="D386" s="52"/>
      <c r="E386" s="52"/>
      <c r="F386" s="52"/>
      <c r="G386" s="52"/>
      <c r="H386" s="52"/>
    </row>
    <row r="387" spans="1:8" ht="15.75">
      <c r="A387" s="50">
        <v>39997</v>
      </c>
      <c r="B387" s="51">
        <v>2848.29</v>
      </c>
      <c r="C387" s="52"/>
      <c r="D387" s="52"/>
      <c r="E387" s="52"/>
      <c r="F387" s="52"/>
      <c r="G387" s="52"/>
      <c r="H387" s="52"/>
    </row>
    <row r="388" spans="1:8" ht="15.75">
      <c r="A388" s="50">
        <v>40000</v>
      </c>
      <c r="B388" s="51">
        <v>2814.18</v>
      </c>
      <c r="C388" s="52"/>
      <c r="D388" s="52"/>
      <c r="E388" s="52"/>
      <c r="F388" s="52"/>
      <c r="G388" s="52"/>
      <c r="H388" s="52"/>
    </row>
    <row r="389" spans="1:8" ht="15.75">
      <c r="A389" s="50">
        <v>40001</v>
      </c>
      <c r="B389" s="51">
        <v>2781.73</v>
      </c>
      <c r="C389" s="52"/>
      <c r="D389" s="52"/>
      <c r="E389" s="52"/>
      <c r="F389" s="52"/>
      <c r="G389" s="52"/>
      <c r="H389" s="52"/>
    </row>
    <row r="390" spans="1:8" ht="15.75">
      <c r="A390" s="50">
        <v>40002</v>
      </c>
      <c r="B390" s="51">
        <v>2766.28</v>
      </c>
      <c r="C390" s="52"/>
      <c r="D390" s="52"/>
      <c r="E390" s="52"/>
      <c r="F390" s="52"/>
      <c r="G390" s="52"/>
      <c r="H390" s="52"/>
    </row>
    <row r="391" spans="1:8" ht="15.75">
      <c r="A391" s="50">
        <v>40003</v>
      </c>
      <c r="B391" s="51">
        <v>2801.02</v>
      </c>
      <c r="C391" s="52"/>
      <c r="D391" s="52"/>
      <c r="E391" s="52"/>
      <c r="F391" s="52"/>
      <c r="G391" s="52"/>
      <c r="H391" s="52"/>
    </row>
    <row r="392" spans="1:8" ht="15.75">
      <c r="A392" s="50">
        <v>40004</v>
      </c>
      <c r="B392" s="51">
        <v>2768.5</v>
      </c>
      <c r="C392" s="52"/>
      <c r="D392" s="52"/>
      <c r="E392" s="52"/>
      <c r="F392" s="52"/>
      <c r="G392" s="52"/>
      <c r="H392" s="52"/>
    </row>
    <row r="393" spans="1:8" ht="15.75">
      <c r="A393" s="50">
        <v>40007</v>
      </c>
      <c r="B393" s="51">
        <v>2856.84</v>
      </c>
      <c r="C393" s="52"/>
      <c r="D393" s="52"/>
      <c r="E393" s="52"/>
      <c r="F393" s="52"/>
      <c r="G393" s="52"/>
      <c r="H393" s="52"/>
    </row>
    <row r="394" spans="1:8" ht="15.75">
      <c r="A394" s="50">
        <v>40008</v>
      </c>
      <c r="B394" s="51">
        <v>2892.74</v>
      </c>
      <c r="C394" s="52"/>
      <c r="D394" s="52"/>
      <c r="E394" s="52"/>
      <c r="F394" s="52"/>
      <c r="G394" s="52"/>
      <c r="H394" s="52"/>
    </row>
    <row r="395" spans="1:8" ht="15.75">
      <c r="A395" s="50">
        <v>40009</v>
      </c>
      <c r="B395" s="51">
        <v>2981.52</v>
      </c>
      <c r="C395" s="52"/>
      <c r="D395" s="52"/>
      <c r="E395" s="52"/>
      <c r="F395" s="52"/>
      <c r="G395" s="52"/>
      <c r="H395" s="52"/>
    </row>
    <row r="396" spans="1:8" ht="15.75">
      <c r="A396" s="50">
        <v>40010</v>
      </c>
      <c r="B396" s="51">
        <v>2998.91</v>
      </c>
      <c r="C396" s="52"/>
      <c r="D396" s="52"/>
      <c r="E396" s="52"/>
      <c r="F396" s="52"/>
      <c r="G396" s="52"/>
      <c r="H396" s="52"/>
    </row>
    <row r="397" spans="1:8" ht="15.75">
      <c r="A397" s="50">
        <v>40011</v>
      </c>
      <c r="B397" s="51">
        <v>3011.74</v>
      </c>
      <c r="C397" s="52"/>
      <c r="D397" s="52"/>
      <c r="E397" s="52"/>
      <c r="F397" s="52"/>
      <c r="G397" s="52"/>
      <c r="H397" s="52"/>
    </row>
    <row r="398" spans="1:8" ht="15.75">
      <c r="A398" s="50">
        <v>40014</v>
      </c>
      <c r="B398" s="51">
        <v>3043.05</v>
      </c>
      <c r="C398" s="52"/>
      <c r="D398" s="52"/>
      <c r="E398" s="52"/>
      <c r="F398" s="52"/>
      <c r="G398" s="52"/>
      <c r="H398" s="52"/>
    </row>
    <row r="399" spans="1:8" ht="15.75">
      <c r="A399" s="50">
        <v>40015</v>
      </c>
      <c r="B399" s="51">
        <v>3081.66</v>
      </c>
      <c r="C399" s="52"/>
      <c r="D399" s="52"/>
      <c r="E399" s="52"/>
      <c r="F399" s="52"/>
      <c r="G399" s="52"/>
      <c r="H399" s="52"/>
    </row>
    <row r="400" spans="1:8" ht="15.75">
      <c r="A400" s="50">
        <v>40016</v>
      </c>
      <c r="B400" s="51">
        <v>3098.35</v>
      </c>
      <c r="C400" s="52"/>
      <c r="D400" s="52"/>
      <c r="E400" s="52"/>
      <c r="F400" s="52"/>
      <c r="G400" s="52"/>
      <c r="H400" s="52"/>
    </row>
    <row r="401" spans="1:8" ht="15.75">
      <c r="A401" s="50">
        <v>40017</v>
      </c>
      <c r="B401" s="51">
        <v>3174.41</v>
      </c>
      <c r="C401" s="52"/>
      <c r="D401" s="52"/>
      <c r="E401" s="52"/>
      <c r="F401" s="52"/>
      <c r="G401" s="52"/>
      <c r="H401" s="52"/>
    </row>
    <row r="402" spans="1:8" ht="15.75">
      <c r="A402" s="50">
        <v>40018</v>
      </c>
      <c r="B402" s="51">
        <v>3163.56</v>
      </c>
      <c r="C402" s="52"/>
      <c r="D402" s="52"/>
      <c r="E402" s="52"/>
      <c r="F402" s="52"/>
      <c r="G402" s="52"/>
      <c r="H402" s="52"/>
    </row>
    <row r="403" spans="1:8" ht="15.75">
      <c r="A403" s="50">
        <v>40021</v>
      </c>
      <c r="B403" s="51">
        <v>3176.99</v>
      </c>
      <c r="C403" s="52"/>
      <c r="D403" s="52"/>
      <c r="E403" s="52"/>
      <c r="F403" s="52"/>
      <c r="G403" s="52"/>
      <c r="H403" s="52"/>
    </row>
    <row r="404" spans="1:8" ht="15.75">
      <c r="A404" s="50">
        <v>40022</v>
      </c>
      <c r="B404" s="51">
        <v>3130.52</v>
      </c>
      <c r="C404" s="52"/>
      <c r="D404" s="52"/>
      <c r="E404" s="52"/>
      <c r="F404" s="52"/>
      <c r="G404" s="52"/>
      <c r="H404" s="52"/>
    </row>
    <row r="405" spans="1:8" ht="15.75">
      <c r="A405" s="50">
        <v>40023</v>
      </c>
      <c r="B405" s="51">
        <v>3188.34</v>
      </c>
      <c r="C405" s="52"/>
      <c r="D405" s="52"/>
      <c r="E405" s="52"/>
      <c r="F405" s="52"/>
      <c r="G405" s="52"/>
      <c r="H405" s="52"/>
    </row>
    <row r="406" spans="1:8" ht="15.75">
      <c r="A406" s="50">
        <v>40024</v>
      </c>
      <c r="B406" s="51">
        <v>3243</v>
      </c>
      <c r="C406" s="52"/>
      <c r="D406" s="52"/>
      <c r="E406" s="52"/>
      <c r="F406" s="52"/>
      <c r="G406" s="52"/>
      <c r="H406" s="52"/>
    </row>
    <row r="407" spans="1:8" ht="15.75">
      <c r="A407" s="50">
        <v>40025</v>
      </c>
      <c r="B407" s="51">
        <v>3225.75</v>
      </c>
      <c r="C407" s="52"/>
      <c r="D407" s="52"/>
      <c r="E407" s="52"/>
      <c r="F407" s="52"/>
      <c r="G407" s="52"/>
      <c r="H407" s="52"/>
    </row>
    <row r="408" spans="1:8" ht="15.75">
      <c r="A408" s="50">
        <v>40028</v>
      </c>
      <c r="B408" s="51">
        <v>3283.04</v>
      </c>
      <c r="C408" s="52"/>
      <c r="D408" s="52"/>
      <c r="E408" s="52"/>
      <c r="F408" s="52"/>
      <c r="G408" s="52"/>
      <c r="H408" s="52"/>
    </row>
    <row r="409" spans="1:8" ht="15.75">
      <c r="A409" s="50">
        <v>40029</v>
      </c>
      <c r="B409" s="51">
        <v>3277.09</v>
      </c>
      <c r="C409" s="52"/>
      <c r="D409" s="52"/>
      <c r="E409" s="52"/>
      <c r="F409" s="52"/>
      <c r="G409" s="52"/>
      <c r="H409" s="52"/>
    </row>
    <row r="410" spans="1:8" ht="15.75">
      <c r="A410" s="50">
        <v>40030</v>
      </c>
      <c r="B410" s="51">
        <v>3238.37</v>
      </c>
      <c r="C410" s="52"/>
      <c r="D410" s="52"/>
      <c r="E410" s="52"/>
      <c r="F410" s="52"/>
      <c r="G410" s="52"/>
      <c r="H410" s="52"/>
    </row>
    <row r="411" spans="1:8" ht="15.75">
      <c r="A411" s="50">
        <v>40031</v>
      </c>
      <c r="B411" s="51">
        <v>3248.64</v>
      </c>
      <c r="C411" s="52"/>
      <c r="D411" s="52"/>
      <c r="E411" s="52"/>
      <c r="F411" s="52"/>
      <c r="G411" s="52"/>
      <c r="H411" s="52"/>
    </row>
    <row r="412" spans="1:8" ht="15.75">
      <c r="A412" s="50">
        <v>40032</v>
      </c>
      <c r="B412" s="51">
        <v>3302.46</v>
      </c>
      <c r="C412" s="52"/>
      <c r="D412" s="52"/>
      <c r="E412" s="52"/>
      <c r="F412" s="52"/>
      <c r="G412" s="52"/>
      <c r="H412" s="52"/>
    </row>
    <row r="413" spans="1:8" ht="15.75">
      <c r="A413" s="50">
        <v>40035</v>
      </c>
      <c r="B413" s="51">
        <v>3277.76</v>
      </c>
      <c r="C413" s="52"/>
      <c r="D413" s="52"/>
      <c r="E413" s="52"/>
      <c r="F413" s="52"/>
      <c r="G413" s="52"/>
      <c r="H413" s="52"/>
    </row>
    <row r="414" spans="1:8" ht="15.75">
      <c r="A414" s="50">
        <v>40036</v>
      </c>
      <c r="B414" s="51">
        <v>3197.71</v>
      </c>
      <c r="C414" s="52"/>
      <c r="D414" s="52"/>
      <c r="E414" s="52"/>
      <c r="F414" s="52"/>
      <c r="G414" s="52"/>
      <c r="H414" s="52"/>
    </row>
    <row r="415" spans="1:8" ht="15.75">
      <c r="A415" s="50">
        <v>40037</v>
      </c>
      <c r="B415" s="51">
        <v>3236.6</v>
      </c>
      <c r="C415" s="52"/>
      <c r="D415" s="52"/>
      <c r="E415" s="52"/>
      <c r="F415" s="52"/>
      <c r="G415" s="52"/>
      <c r="H415" s="52"/>
    </row>
    <row r="416" spans="1:8" ht="15.75">
      <c r="A416" s="50">
        <v>40038</v>
      </c>
      <c r="B416" s="51">
        <v>3267.47</v>
      </c>
      <c r="C416" s="52"/>
      <c r="D416" s="52"/>
      <c r="E416" s="52"/>
      <c r="F416" s="52"/>
      <c r="G416" s="52"/>
      <c r="H416" s="52"/>
    </row>
    <row r="417" spans="1:8" ht="15.75">
      <c r="A417" s="50">
        <v>40039</v>
      </c>
      <c r="B417" s="51">
        <v>3211.81</v>
      </c>
      <c r="C417" s="52"/>
      <c r="D417" s="52"/>
      <c r="E417" s="52"/>
      <c r="F417" s="52"/>
      <c r="G417" s="52"/>
      <c r="H417" s="52"/>
    </row>
    <row r="418" spans="1:8" ht="15.75">
      <c r="A418" s="50">
        <v>40042</v>
      </c>
      <c r="B418" s="51">
        <v>3146.78</v>
      </c>
      <c r="C418" s="52"/>
      <c r="D418" s="52"/>
      <c r="E418" s="52"/>
      <c r="F418" s="52"/>
      <c r="G418" s="52"/>
      <c r="H418" s="52"/>
    </row>
    <row r="419" spans="1:8" ht="15.75">
      <c r="A419" s="50">
        <v>40043</v>
      </c>
      <c r="B419" s="51">
        <v>3176.5</v>
      </c>
      <c r="C419" s="52"/>
      <c r="D419" s="52"/>
      <c r="E419" s="52"/>
      <c r="F419" s="52"/>
      <c r="G419" s="52"/>
      <c r="H419" s="52"/>
    </row>
    <row r="420" spans="1:8" ht="15.75">
      <c r="A420" s="50">
        <v>40044</v>
      </c>
      <c r="B420" s="51">
        <v>3165.15</v>
      </c>
      <c r="C420" s="52"/>
      <c r="D420" s="52"/>
      <c r="E420" s="52"/>
      <c r="F420" s="52"/>
      <c r="G420" s="52"/>
      <c r="H420" s="52"/>
    </row>
    <row r="421" spans="1:8" ht="15.75">
      <c r="A421" s="50">
        <v>40045</v>
      </c>
      <c r="B421" s="51">
        <v>3212.99</v>
      </c>
      <c r="C421" s="52"/>
      <c r="D421" s="52"/>
      <c r="E421" s="52"/>
      <c r="F421" s="52"/>
      <c r="G421" s="52"/>
      <c r="H421" s="52"/>
    </row>
    <row r="422" spans="1:8" ht="15.75">
      <c r="A422" s="50">
        <v>40046</v>
      </c>
      <c r="B422" s="51">
        <v>3304.75</v>
      </c>
      <c r="C422" s="52"/>
      <c r="D422" s="52"/>
      <c r="E422" s="52"/>
      <c r="F422" s="52"/>
      <c r="G422" s="52"/>
      <c r="H422" s="52"/>
    </row>
    <row r="423" spans="1:8" ht="15.75">
      <c r="A423" s="50">
        <v>40049</v>
      </c>
      <c r="B423" s="51">
        <v>3339.24</v>
      </c>
      <c r="C423" s="52"/>
      <c r="D423" s="52"/>
      <c r="E423" s="52"/>
      <c r="F423" s="52"/>
      <c r="G423" s="52"/>
      <c r="H423" s="52"/>
    </row>
    <row r="424" spans="1:8" ht="15.75">
      <c r="A424" s="50">
        <v>40050</v>
      </c>
      <c r="B424" s="51">
        <v>3361.83</v>
      </c>
      <c r="C424" s="52"/>
      <c r="D424" s="52"/>
      <c r="E424" s="52"/>
      <c r="F424" s="52"/>
      <c r="G424" s="52"/>
      <c r="H424" s="52"/>
    </row>
    <row r="425" spans="1:8" ht="15.75">
      <c r="A425" s="50">
        <v>40051</v>
      </c>
      <c r="B425" s="51">
        <v>3340.58</v>
      </c>
      <c r="C425" s="52"/>
      <c r="D425" s="52"/>
      <c r="E425" s="52"/>
      <c r="F425" s="52"/>
      <c r="G425" s="52"/>
      <c r="H425" s="52"/>
    </row>
    <row r="426" spans="1:8" ht="15.75">
      <c r="A426" s="50">
        <v>40052</v>
      </c>
      <c r="B426" s="51">
        <v>3309.34</v>
      </c>
      <c r="C426" s="52"/>
      <c r="D426" s="52"/>
      <c r="E426" s="52"/>
      <c r="F426" s="52"/>
      <c r="G426" s="52"/>
      <c r="H426" s="52"/>
    </row>
    <row r="427" spans="1:8" ht="15.75">
      <c r="A427" s="50">
        <v>40053</v>
      </c>
      <c r="B427" s="51">
        <v>3337.79</v>
      </c>
      <c r="C427" s="52"/>
      <c r="D427" s="52"/>
      <c r="E427" s="52"/>
      <c r="F427" s="52"/>
      <c r="G427" s="52"/>
      <c r="H427" s="52"/>
    </row>
    <row r="428" spans="1:8" ht="15.75">
      <c r="A428" s="50">
        <v>40056</v>
      </c>
      <c r="B428" s="51">
        <v>3305.88</v>
      </c>
      <c r="C428" s="52"/>
      <c r="D428" s="52"/>
      <c r="E428" s="52"/>
      <c r="F428" s="52"/>
      <c r="G428" s="52"/>
      <c r="H428" s="52"/>
    </row>
    <row r="429" spans="1:8" ht="15.75">
      <c r="A429" s="50">
        <v>40057</v>
      </c>
      <c r="B429" s="51">
        <v>3222.81</v>
      </c>
      <c r="C429" s="52"/>
      <c r="D429" s="52"/>
      <c r="E429" s="52"/>
      <c r="F429" s="52"/>
      <c r="G429" s="52"/>
      <c r="H429" s="52"/>
    </row>
    <row r="430" spans="1:8" ht="15.75">
      <c r="A430" s="50">
        <v>40058</v>
      </c>
      <c r="B430" s="51">
        <v>3218.3</v>
      </c>
      <c r="C430" s="52"/>
      <c r="D430" s="52"/>
      <c r="E430" s="52"/>
      <c r="F430" s="52"/>
      <c r="G430" s="52"/>
      <c r="H430" s="52"/>
    </row>
    <row r="431" spans="1:8" ht="15.75">
      <c r="A431" s="50">
        <v>40059</v>
      </c>
      <c r="B431" s="51">
        <v>3207.16</v>
      </c>
      <c r="C431" s="52"/>
      <c r="D431" s="52"/>
      <c r="E431" s="52"/>
      <c r="F431" s="52"/>
      <c r="G431" s="52"/>
      <c r="H431" s="52"/>
    </row>
    <row r="432" spans="1:8" ht="15.75">
      <c r="A432" s="50">
        <v>40060</v>
      </c>
      <c r="B432" s="51">
        <v>3257.38</v>
      </c>
      <c r="C432" s="52"/>
      <c r="D432" s="52"/>
      <c r="E432" s="52"/>
      <c r="F432" s="52"/>
      <c r="G432" s="52"/>
      <c r="H432" s="52"/>
    </row>
    <row r="433" spans="1:8" ht="15.75">
      <c r="A433" s="50">
        <v>40063</v>
      </c>
      <c r="B433" s="51">
        <v>3305.22</v>
      </c>
      <c r="C433" s="52"/>
      <c r="D433" s="52"/>
      <c r="E433" s="52"/>
      <c r="F433" s="52"/>
      <c r="G433" s="52"/>
      <c r="H433" s="52"/>
    </row>
    <row r="434" spans="1:8" ht="15.75">
      <c r="A434" s="50">
        <v>40064</v>
      </c>
      <c r="B434" s="51">
        <v>3316.24</v>
      </c>
      <c r="C434" s="52"/>
      <c r="D434" s="52"/>
      <c r="E434" s="52"/>
      <c r="F434" s="52"/>
      <c r="G434" s="52"/>
      <c r="H434" s="52"/>
    </row>
    <row r="435" spans="1:8" ht="15.75">
      <c r="A435" s="50">
        <v>40065</v>
      </c>
      <c r="B435" s="51">
        <v>3372.22</v>
      </c>
      <c r="C435" s="52"/>
      <c r="D435" s="52"/>
      <c r="E435" s="52"/>
      <c r="F435" s="52"/>
      <c r="G435" s="52"/>
      <c r="H435" s="52"/>
    </row>
    <row r="436" spans="1:8" ht="15.75">
      <c r="A436" s="50">
        <v>40066</v>
      </c>
      <c r="B436" s="51">
        <v>3384.62</v>
      </c>
      <c r="C436" s="52"/>
      <c r="D436" s="52"/>
      <c r="E436" s="52"/>
      <c r="F436" s="52"/>
      <c r="G436" s="52"/>
      <c r="H436" s="52"/>
    </row>
    <row r="437" spans="1:8" ht="15.75">
      <c r="A437" s="50">
        <v>40067</v>
      </c>
      <c r="B437" s="51">
        <v>3402.32</v>
      </c>
      <c r="C437" s="52"/>
      <c r="D437" s="52"/>
      <c r="E437" s="52"/>
      <c r="F437" s="52"/>
      <c r="G437" s="52"/>
      <c r="H437" s="52"/>
    </row>
    <row r="438" spans="1:8" ht="15.75">
      <c r="A438" s="50">
        <v>40070</v>
      </c>
      <c r="B438" s="51">
        <v>3400.03</v>
      </c>
      <c r="C438" s="52"/>
      <c r="D438" s="52"/>
      <c r="E438" s="52"/>
      <c r="F438" s="52"/>
      <c r="G438" s="52"/>
      <c r="H438" s="52"/>
    </row>
    <row r="439" spans="1:8" ht="15.75">
      <c r="A439" s="50">
        <v>40071</v>
      </c>
      <c r="B439" s="51">
        <v>3405.32</v>
      </c>
      <c r="C439" s="52"/>
      <c r="D439" s="52"/>
      <c r="E439" s="52"/>
      <c r="F439" s="52"/>
      <c r="G439" s="52"/>
      <c r="H439" s="52"/>
    </row>
    <row r="440" spans="1:8" ht="15.75">
      <c r="A440" s="50">
        <v>40072</v>
      </c>
      <c r="B440" s="51">
        <v>3448.44</v>
      </c>
      <c r="C440" s="52"/>
      <c r="D440" s="52"/>
      <c r="E440" s="52"/>
      <c r="F440" s="52"/>
      <c r="G440" s="52"/>
      <c r="H440" s="52"/>
    </row>
    <row r="441" spans="1:8" ht="15.75">
      <c r="A441" s="50">
        <v>40073</v>
      </c>
      <c r="B441" s="51">
        <v>3467.12</v>
      </c>
      <c r="C441" s="52"/>
      <c r="D441" s="52"/>
      <c r="E441" s="52"/>
      <c r="F441" s="52"/>
      <c r="G441" s="52"/>
      <c r="H441" s="52"/>
    </row>
    <row r="442" spans="1:8" ht="15.75">
      <c r="A442" s="50">
        <v>40074</v>
      </c>
      <c r="B442" s="51">
        <v>3450.6</v>
      </c>
      <c r="C442" s="52"/>
      <c r="D442" s="52"/>
      <c r="E442" s="52"/>
      <c r="F442" s="52"/>
      <c r="G442" s="52"/>
      <c r="H442" s="52"/>
    </row>
    <row r="443" spans="1:8" ht="15.75">
      <c r="A443" s="50">
        <v>40077</v>
      </c>
      <c r="B443" s="51">
        <v>3429.32</v>
      </c>
      <c r="C443" s="52"/>
      <c r="D443" s="52"/>
      <c r="E443" s="52"/>
      <c r="F443" s="52"/>
      <c r="G443" s="52"/>
      <c r="H443" s="52"/>
    </row>
    <row r="444" spans="1:8" ht="15.75">
      <c r="A444" s="50">
        <v>40078</v>
      </c>
      <c r="B444" s="51">
        <v>3453.96</v>
      </c>
      <c r="C444" s="52"/>
      <c r="D444" s="52"/>
      <c r="E444" s="52"/>
      <c r="F444" s="52"/>
      <c r="G444" s="52"/>
      <c r="H444" s="52"/>
    </row>
    <row r="445" spans="1:8" ht="15.75">
      <c r="A445" s="50">
        <v>40079</v>
      </c>
      <c r="B445" s="51">
        <v>3449.53</v>
      </c>
      <c r="C445" s="52"/>
      <c r="D445" s="52"/>
      <c r="E445" s="52"/>
      <c r="F445" s="52"/>
      <c r="G445" s="52"/>
      <c r="H445" s="52"/>
    </row>
    <row r="446" spans="1:8" ht="15.75">
      <c r="A446" s="50">
        <v>40080</v>
      </c>
      <c r="B446" s="51">
        <v>3390.94</v>
      </c>
      <c r="C446" s="52"/>
      <c r="D446" s="52"/>
      <c r="E446" s="52"/>
      <c r="F446" s="52"/>
      <c r="G446" s="52"/>
      <c r="H446" s="52"/>
    </row>
    <row r="447" spans="1:8" ht="15.75">
      <c r="A447" s="50">
        <v>40081</v>
      </c>
      <c r="B447" s="51">
        <v>3376.54</v>
      </c>
      <c r="C447" s="52"/>
      <c r="D447" s="52"/>
      <c r="E447" s="52"/>
      <c r="F447" s="52"/>
      <c r="G447" s="52"/>
      <c r="H447" s="52"/>
    </row>
    <row r="448" spans="1:8" ht="15.75">
      <c r="A448" s="50">
        <v>40084</v>
      </c>
      <c r="B448" s="51">
        <v>3470.25</v>
      </c>
      <c r="C448" s="52"/>
      <c r="D448" s="52"/>
      <c r="E448" s="52"/>
      <c r="F448" s="52"/>
      <c r="G448" s="52"/>
      <c r="H448" s="52"/>
    </row>
    <row r="449" spans="1:8" ht="15.75">
      <c r="A449" s="50">
        <v>40085</v>
      </c>
      <c r="B449" s="51">
        <v>3456.46</v>
      </c>
      <c r="C449" s="52"/>
      <c r="D449" s="52"/>
      <c r="E449" s="52"/>
      <c r="F449" s="52"/>
      <c r="G449" s="52"/>
      <c r="H449" s="52"/>
    </row>
    <row r="450" spans="1:8" ht="15.75">
      <c r="A450" s="50">
        <v>40086</v>
      </c>
      <c r="B450" s="51">
        <v>3433.26</v>
      </c>
      <c r="C450" s="52"/>
      <c r="D450" s="52"/>
      <c r="E450" s="52"/>
      <c r="F450" s="52"/>
      <c r="G450" s="52"/>
      <c r="H450" s="52"/>
    </row>
    <row r="451" spans="1:8" ht="15.75">
      <c r="A451" s="50">
        <v>40087</v>
      </c>
      <c r="B451" s="51">
        <v>3360.29</v>
      </c>
      <c r="C451" s="52"/>
      <c r="D451" s="52"/>
      <c r="E451" s="52"/>
      <c r="F451" s="52"/>
      <c r="G451" s="52"/>
      <c r="H451" s="52"/>
    </row>
    <row r="452" spans="1:8" ht="15.75">
      <c r="A452" s="50">
        <v>40088</v>
      </c>
      <c r="B452" s="51">
        <v>3307.87</v>
      </c>
      <c r="C452" s="52"/>
      <c r="D452" s="52"/>
      <c r="E452" s="52"/>
      <c r="F452" s="52"/>
      <c r="G452" s="52"/>
      <c r="H452" s="52"/>
    </row>
    <row r="453" spans="1:8" ht="15.75">
      <c r="A453" s="50">
        <v>40091</v>
      </c>
      <c r="B453" s="51">
        <v>3332.65</v>
      </c>
      <c r="C453" s="52"/>
      <c r="D453" s="52"/>
      <c r="E453" s="52"/>
      <c r="F453" s="52"/>
      <c r="G453" s="52"/>
      <c r="H453" s="52"/>
    </row>
    <row r="454" spans="1:8" ht="15.75">
      <c r="A454" s="50">
        <v>40092</v>
      </c>
      <c r="B454" s="51">
        <v>3422.66</v>
      </c>
      <c r="C454" s="52"/>
      <c r="D454" s="52"/>
      <c r="E454" s="52"/>
      <c r="F454" s="52"/>
      <c r="G454" s="52"/>
      <c r="H454" s="52"/>
    </row>
    <row r="455" spans="1:8" ht="15.75">
      <c r="A455" s="50">
        <v>40093</v>
      </c>
      <c r="B455" s="51">
        <v>3412.44</v>
      </c>
      <c r="C455" s="52"/>
      <c r="D455" s="52"/>
      <c r="E455" s="52"/>
      <c r="F455" s="52"/>
      <c r="G455" s="52"/>
      <c r="H455" s="52"/>
    </row>
    <row r="456" spans="1:8" ht="15.75">
      <c r="A456" s="50">
        <v>40094</v>
      </c>
      <c r="B456" s="51">
        <v>3458.29</v>
      </c>
      <c r="C456" s="52"/>
      <c r="D456" s="52"/>
      <c r="E456" s="52"/>
      <c r="F456" s="52"/>
      <c r="G456" s="52"/>
      <c r="H456" s="52"/>
    </row>
    <row r="457" spans="1:8" ht="15.75">
      <c r="A457" s="50">
        <v>40095</v>
      </c>
      <c r="B457" s="51">
        <v>3455.47</v>
      </c>
      <c r="C457" s="52"/>
      <c r="D457" s="52"/>
      <c r="E457" s="52"/>
      <c r="F457" s="52"/>
      <c r="G457" s="52"/>
      <c r="H457" s="52"/>
    </row>
    <row r="458" spans="1:8" ht="15.75">
      <c r="A458" s="50">
        <v>40098</v>
      </c>
      <c r="B458" s="51">
        <v>3498.64</v>
      </c>
      <c r="C458" s="52"/>
      <c r="D458" s="52"/>
      <c r="E458" s="52"/>
      <c r="F458" s="52"/>
      <c r="G458" s="52"/>
      <c r="H458" s="52"/>
    </row>
    <row r="459" spans="1:8" ht="15.75">
      <c r="A459" s="50">
        <v>40099</v>
      </c>
      <c r="B459" s="51">
        <v>3456.94</v>
      </c>
      <c r="C459" s="52"/>
      <c r="D459" s="52"/>
      <c r="E459" s="52"/>
      <c r="F459" s="52"/>
      <c r="G459" s="52"/>
      <c r="H459" s="52"/>
    </row>
    <row r="460" spans="1:8" ht="15.75">
      <c r="A460" s="50">
        <v>40100</v>
      </c>
      <c r="B460" s="51">
        <v>3541.53</v>
      </c>
      <c r="C460" s="52"/>
      <c r="D460" s="52"/>
      <c r="E460" s="52"/>
      <c r="F460" s="52"/>
      <c r="G460" s="52"/>
      <c r="H460" s="52"/>
    </row>
    <row r="461" spans="1:8" ht="15.75">
      <c r="A461" s="50">
        <v>40101</v>
      </c>
      <c r="B461" s="51">
        <v>3527.4</v>
      </c>
      <c r="C461" s="52"/>
      <c r="D461" s="52"/>
      <c r="E461" s="52"/>
      <c r="F461" s="52"/>
      <c r="G461" s="52"/>
      <c r="H461" s="52"/>
    </row>
    <row r="462" spans="1:8" ht="15.75">
      <c r="A462" s="50">
        <v>40102</v>
      </c>
      <c r="B462" s="51">
        <v>3474.53</v>
      </c>
      <c r="C462" s="52"/>
      <c r="D462" s="52"/>
      <c r="E462" s="52"/>
      <c r="F462" s="52"/>
      <c r="G462" s="52"/>
      <c r="H462" s="52"/>
    </row>
    <row r="463" spans="1:8" ht="15.75">
      <c r="A463" s="50">
        <v>40105</v>
      </c>
      <c r="B463" s="51">
        <v>3540.58</v>
      </c>
      <c r="C463" s="52"/>
      <c r="D463" s="52"/>
      <c r="E463" s="52"/>
      <c r="F463" s="52"/>
      <c r="G463" s="52"/>
      <c r="H463" s="52"/>
    </row>
    <row r="464" spans="1:8" ht="15.75">
      <c r="A464" s="50">
        <v>40106</v>
      </c>
      <c r="B464" s="51">
        <v>3515.9</v>
      </c>
      <c r="C464" s="52"/>
      <c r="D464" s="52"/>
      <c r="E464" s="52"/>
      <c r="F464" s="52"/>
      <c r="G464" s="52"/>
      <c r="H464" s="52"/>
    </row>
    <row r="465" spans="1:8" ht="15.75">
      <c r="A465" s="50">
        <v>40107</v>
      </c>
      <c r="B465" s="51">
        <v>3529.04</v>
      </c>
      <c r="C465" s="52"/>
      <c r="D465" s="52"/>
      <c r="E465" s="52"/>
      <c r="F465" s="52"/>
      <c r="G465" s="52"/>
      <c r="H465" s="52"/>
    </row>
    <row r="466" spans="1:8" ht="15.75">
      <c r="A466" s="50">
        <v>40108</v>
      </c>
      <c r="B466" s="51">
        <v>3486.35</v>
      </c>
      <c r="C466" s="52"/>
      <c r="D466" s="52"/>
      <c r="E466" s="52"/>
      <c r="F466" s="52"/>
      <c r="G466" s="52"/>
      <c r="H466" s="52"/>
    </row>
    <row r="467" spans="1:8" ht="15.75">
      <c r="A467" s="50">
        <v>40109</v>
      </c>
      <c r="B467" s="51">
        <v>3472.63</v>
      </c>
      <c r="C467" s="52"/>
      <c r="D467" s="52"/>
      <c r="E467" s="52"/>
      <c r="F467" s="52"/>
      <c r="G467" s="52"/>
      <c r="H467" s="52"/>
    </row>
    <row r="468" spans="1:8" ht="15.75">
      <c r="A468" s="50">
        <v>40112</v>
      </c>
      <c r="B468" s="51">
        <v>3413.29</v>
      </c>
      <c r="C468" s="52"/>
      <c r="D468" s="52"/>
      <c r="E468" s="52"/>
      <c r="F468" s="52"/>
      <c r="G468" s="52"/>
      <c r="H468" s="52"/>
    </row>
    <row r="469" spans="1:8" ht="15.75">
      <c r="A469" s="50">
        <v>40113</v>
      </c>
      <c r="B469" s="51">
        <v>3408.97</v>
      </c>
      <c r="C469" s="52"/>
      <c r="D469" s="52"/>
      <c r="E469" s="52"/>
      <c r="F469" s="52"/>
      <c r="G469" s="52"/>
      <c r="H469" s="52"/>
    </row>
    <row r="470" spans="1:8" ht="15.75">
      <c r="A470" s="50">
        <v>40114</v>
      </c>
      <c r="B470" s="51">
        <v>3325.03</v>
      </c>
      <c r="C470" s="52"/>
      <c r="D470" s="52"/>
      <c r="E470" s="52"/>
      <c r="F470" s="52"/>
      <c r="G470" s="52"/>
      <c r="H470" s="52"/>
    </row>
    <row r="471" spans="1:8" ht="15.75">
      <c r="A471" s="50">
        <v>40115</v>
      </c>
      <c r="B471" s="51">
        <v>3380.2</v>
      </c>
      <c r="C471" s="52"/>
      <c r="D471" s="52"/>
      <c r="E471" s="52"/>
      <c r="F471" s="52"/>
      <c r="G471" s="52"/>
      <c r="H471" s="52"/>
    </row>
    <row r="472" spans="1:8" ht="15.75">
      <c r="A472" s="50">
        <v>40116</v>
      </c>
      <c r="B472" s="51">
        <v>3275.85</v>
      </c>
      <c r="C472" s="52"/>
      <c r="D472" s="52"/>
      <c r="E472" s="52"/>
      <c r="F472" s="52"/>
      <c r="G472" s="52"/>
      <c r="H472" s="52"/>
    </row>
    <row r="473" spans="1:8" ht="15.75">
      <c r="A473" s="50">
        <v>40119</v>
      </c>
      <c r="B473" s="51">
        <v>3285.44</v>
      </c>
      <c r="C473" s="52"/>
      <c r="D473" s="52"/>
      <c r="E473" s="52"/>
      <c r="F473" s="52"/>
      <c r="G473" s="52"/>
      <c r="H473" s="52"/>
    </row>
    <row r="474" spans="1:8" ht="15.75">
      <c r="A474" s="50">
        <v>40120</v>
      </c>
      <c r="B474" s="51">
        <v>3238.57</v>
      </c>
      <c r="C474" s="52"/>
      <c r="D474" s="52"/>
      <c r="E474" s="52"/>
      <c r="F474" s="52"/>
      <c r="G474" s="52"/>
      <c r="H474" s="52"/>
    </row>
    <row r="475" spans="1:8" ht="15.75">
      <c r="A475" s="50">
        <v>40121</v>
      </c>
      <c r="B475" s="51">
        <v>3293.55</v>
      </c>
      <c r="C475" s="52"/>
      <c r="D475" s="52"/>
      <c r="E475" s="52"/>
      <c r="F475" s="52"/>
      <c r="G475" s="52"/>
      <c r="H475" s="52"/>
    </row>
    <row r="476" spans="1:8" ht="15.75">
      <c r="A476" s="50">
        <v>40122</v>
      </c>
      <c r="B476" s="51">
        <v>3315.75</v>
      </c>
      <c r="C476" s="52"/>
      <c r="D476" s="52"/>
      <c r="E476" s="52"/>
      <c r="F476" s="52"/>
      <c r="G476" s="52"/>
      <c r="H476" s="52"/>
    </row>
    <row r="477" spans="1:8" ht="15.75">
      <c r="A477" s="50">
        <v>40123</v>
      </c>
      <c r="B477" s="51">
        <v>3320.18</v>
      </c>
      <c r="C477" s="52"/>
      <c r="D477" s="52"/>
      <c r="E477" s="52"/>
      <c r="F477" s="52"/>
      <c r="G477" s="52"/>
      <c r="H477" s="52"/>
    </row>
    <row r="478" spans="1:8" ht="15.75">
      <c r="A478" s="50">
        <v>40126</v>
      </c>
      <c r="B478" s="51">
        <v>3399.71</v>
      </c>
      <c r="C478" s="52"/>
      <c r="D478" s="52"/>
      <c r="E478" s="52"/>
      <c r="F478" s="52"/>
      <c r="G478" s="52"/>
      <c r="H478" s="52"/>
    </row>
    <row r="479" spans="1:8" ht="15.75">
      <c r="A479" s="50">
        <v>40127</v>
      </c>
      <c r="B479" s="51">
        <v>3395.77</v>
      </c>
      <c r="C479" s="52"/>
      <c r="D479" s="52"/>
      <c r="E479" s="52"/>
      <c r="F479" s="52"/>
      <c r="G479" s="52"/>
      <c r="H479" s="52"/>
    </row>
    <row r="480" spans="1:8" ht="15.75">
      <c r="A480" s="50">
        <v>40128</v>
      </c>
      <c r="B480" s="51">
        <v>3429.14</v>
      </c>
      <c r="C480" s="52"/>
      <c r="D480" s="52"/>
      <c r="E480" s="52"/>
      <c r="F480" s="52"/>
      <c r="G480" s="52"/>
      <c r="H480" s="52"/>
    </row>
    <row r="481" spans="1:8" ht="15.75">
      <c r="A481" s="50">
        <v>40129</v>
      </c>
      <c r="B481" s="51">
        <v>3426.48</v>
      </c>
      <c r="C481" s="52"/>
      <c r="D481" s="52"/>
      <c r="E481" s="52"/>
      <c r="F481" s="52"/>
      <c r="G481" s="52"/>
      <c r="H481" s="52"/>
    </row>
    <row r="482" spans="1:8" ht="15.75">
      <c r="A482" s="50">
        <v>40130</v>
      </c>
      <c r="B482" s="51">
        <v>3440.32</v>
      </c>
      <c r="C482" s="52"/>
      <c r="D482" s="52"/>
      <c r="E482" s="52"/>
      <c r="F482" s="52"/>
      <c r="G482" s="52"/>
      <c r="H482" s="52"/>
    </row>
    <row r="483" spans="1:8" ht="15.75">
      <c r="A483" s="50">
        <v>40133</v>
      </c>
      <c r="B483" s="51">
        <v>3511.7</v>
      </c>
      <c r="C483" s="52"/>
      <c r="D483" s="52"/>
      <c r="E483" s="52"/>
      <c r="F483" s="52"/>
      <c r="G483" s="52"/>
      <c r="H483" s="52"/>
    </row>
    <row r="484" spans="1:8" ht="15.75">
      <c r="A484" s="50">
        <v>40134</v>
      </c>
      <c r="B484" s="51">
        <v>3495.73</v>
      </c>
      <c r="C484" s="52"/>
      <c r="D484" s="52"/>
      <c r="E484" s="52"/>
      <c r="F484" s="52"/>
      <c r="G484" s="52"/>
      <c r="H484" s="52"/>
    </row>
    <row r="485" spans="1:8" ht="15.75">
      <c r="A485" s="50">
        <v>40135</v>
      </c>
      <c r="B485" s="51">
        <v>3501.29</v>
      </c>
      <c r="C485" s="52"/>
      <c r="D485" s="52"/>
      <c r="E485" s="52"/>
      <c r="F485" s="52"/>
      <c r="G485" s="52"/>
      <c r="H485" s="52"/>
    </row>
    <row r="486" spans="1:8" ht="15.75">
      <c r="A486" s="50">
        <v>40136</v>
      </c>
      <c r="B486" s="51">
        <v>3449.6</v>
      </c>
      <c r="C486" s="52"/>
      <c r="D486" s="52"/>
      <c r="E486" s="52"/>
      <c r="F486" s="52"/>
      <c r="G486" s="52"/>
      <c r="H486" s="52"/>
    </row>
    <row r="487" spans="1:8" ht="15.75">
      <c r="A487" s="50">
        <v>40137</v>
      </c>
      <c r="B487" s="51">
        <v>3425.99</v>
      </c>
      <c r="C487" s="52"/>
      <c r="D487" s="52"/>
      <c r="E487" s="52"/>
      <c r="F487" s="52"/>
      <c r="G487" s="52"/>
      <c r="H487" s="52"/>
    </row>
    <row r="488" spans="1:8" ht="15.75">
      <c r="A488" s="50">
        <v>40140</v>
      </c>
      <c r="B488" s="51">
        <v>3509.68</v>
      </c>
      <c r="C488" s="52"/>
      <c r="D488" s="52"/>
      <c r="E488" s="52"/>
      <c r="F488" s="52"/>
      <c r="G488" s="52"/>
      <c r="H488" s="52"/>
    </row>
    <row r="489" spans="1:8" ht="15.75">
      <c r="A489" s="50">
        <v>40141</v>
      </c>
      <c r="B489" s="51">
        <v>3490.21</v>
      </c>
      <c r="C489" s="52"/>
      <c r="D489" s="52"/>
      <c r="E489" s="52"/>
      <c r="F489" s="52"/>
      <c r="G489" s="52"/>
      <c r="H489" s="52"/>
    </row>
    <row r="490" spans="1:8" ht="15.75">
      <c r="A490" s="50">
        <v>40142</v>
      </c>
      <c r="B490" s="51">
        <v>3510.61</v>
      </c>
      <c r="C490" s="52"/>
      <c r="D490" s="52"/>
      <c r="E490" s="52"/>
      <c r="F490" s="52"/>
      <c r="G490" s="52"/>
      <c r="H490" s="52"/>
    </row>
    <row r="491" spans="1:8" ht="15.75">
      <c r="A491" s="50">
        <v>40143</v>
      </c>
      <c r="B491" s="51">
        <v>3396.36</v>
      </c>
      <c r="C491" s="52"/>
      <c r="D491" s="52"/>
      <c r="E491" s="52"/>
      <c r="F491" s="52"/>
      <c r="G491" s="52"/>
      <c r="H491" s="52"/>
    </row>
    <row r="492" spans="1:8" ht="15.75">
      <c r="A492" s="50">
        <v>40144</v>
      </c>
      <c r="B492" s="51">
        <v>3439.58</v>
      </c>
      <c r="C492" s="52"/>
      <c r="D492" s="52"/>
      <c r="E492" s="52"/>
      <c r="F492" s="52"/>
      <c r="G492" s="52"/>
      <c r="H492" s="52"/>
    </row>
    <row r="493" spans="1:8" ht="15.75">
      <c r="A493" s="50">
        <v>40147</v>
      </c>
      <c r="B493" s="51">
        <v>3403.48</v>
      </c>
      <c r="C493" s="52"/>
      <c r="D493" s="52"/>
      <c r="E493" s="52"/>
      <c r="F493" s="52"/>
      <c r="G493" s="52"/>
      <c r="H493" s="52"/>
    </row>
    <row r="494" spans="1:8" ht="15.75">
      <c r="A494" s="50">
        <v>40148</v>
      </c>
      <c r="B494" s="51">
        <v>3494.63</v>
      </c>
      <c r="C494" s="52"/>
      <c r="D494" s="52"/>
      <c r="E494" s="52"/>
      <c r="F494" s="52"/>
      <c r="G494" s="52"/>
      <c r="H494" s="52"/>
    </row>
    <row r="495" spans="1:8" ht="15.75">
      <c r="A495" s="50">
        <v>40149</v>
      </c>
      <c r="B495" s="51">
        <v>3497.7</v>
      </c>
      <c r="C495" s="52"/>
      <c r="D495" s="52"/>
      <c r="E495" s="52"/>
      <c r="F495" s="52"/>
      <c r="G495" s="52"/>
      <c r="H495" s="52"/>
    </row>
    <row r="496" spans="1:8" ht="15.75">
      <c r="A496" s="50">
        <v>40150</v>
      </c>
      <c r="B496" s="51">
        <v>3490.84</v>
      </c>
      <c r="C496" s="52"/>
      <c r="D496" s="52"/>
      <c r="E496" s="52"/>
      <c r="F496" s="52"/>
      <c r="G496" s="52"/>
      <c r="H496" s="52"/>
    </row>
    <row r="497" spans="1:8" ht="15.75">
      <c r="A497" s="50">
        <v>40151</v>
      </c>
      <c r="B497" s="51">
        <v>3519.45</v>
      </c>
      <c r="C497" s="52"/>
      <c r="D497" s="52"/>
      <c r="E497" s="52"/>
      <c r="F497" s="52"/>
      <c r="G497" s="52"/>
      <c r="H497" s="52"/>
    </row>
    <row r="498" spans="1:8" ht="15.75">
      <c r="A498" s="50">
        <v>40154</v>
      </c>
      <c r="B498" s="51">
        <v>3499.56</v>
      </c>
      <c r="C498" s="52"/>
      <c r="D498" s="52"/>
      <c r="E498" s="52"/>
      <c r="F498" s="52"/>
      <c r="G498" s="52"/>
      <c r="H498" s="52"/>
    </row>
    <row r="499" spans="1:8" ht="15.75">
      <c r="A499" s="50">
        <v>40155</v>
      </c>
      <c r="B499" s="51">
        <v>3441.38</v>
      </c>
      <c r="C499" s="52"/>
      <c r="D499" s="52"/>
      <c r="E499" s="52"/>
      <c r="F499" s="52"/>
      <c r="G499" s="52"/>
      <c r="H499" s="52"/>
    </row>
    <row r="500" spans="1:8" ht="15.75">
      <c r="A500" s="50">
        <v>40156</v>
      </c>
      <c r="B500" s="51">
        <v>3416.73</v>
      </c>
      <c r="C500" s="52"/>
      <c r="D500" s="52"/>
      <c r="E500" s="52"/>
      <c r="F500" s="52"/>
      <c r="G500" s="52"/>
      <c r="H500" s="52"/>
    </row>
    <row r="501" spans="1:8" ht="15.75">
      <c r="A501" s="50">
        <v>40157</v>
      </c>
      <c r="B501" s="51">
        <v>3453.74</v>
      </c>
      <c r="C501" s="52"/>
      <c r="D501" s="52"/>
      <c r="E501" s="52"/>
      <c r="F501" s="52"/>
      <c r="G501" s="52"/>
      <c r="H501" s="52"/>
    </row>
    <row r="502" spans="1:8" ht="15.75">
      <c r="A502" s="50">
        <v>40158</v>
      </c>
      <c r="B502" s="51">
        <v>3482.34</v>
      </c>
      <c r="C502" s="52"/>
      <c r="D502" s="52"/>
      <c r="E502" s="52"/>
      <c r="F502" s="52"/>
      <c r="G502" s="52"/>
      <c r="H502" s="52"/>
    </row>
    <row r="503" spans="1:8" ht="15.75">
      <c r="A503" s="50">
        <v>40161</v>
      </c>
      <c r="B503" s="51">
        <v>3510.15</v>
      </c>
      <c r="C503" s="52"/>
      <c r="D503" s="52"/>
      <c r="E503" s="52"/>
      <c r="F503" s="52"/>
      <c r="G503" s="52"/>
      <c r="H503" s="52"/>
    </row>
    <row r="504" spans="1:8" ht="15.75">
      <c r="A504" s="50">
        <v>40162</v>
      </c>
      <c r="B504" s="51">
        <v>3515.64</v>
      </c>
      <c r="C504" s="52"/>
      <c r="D504" s="52"/>
      <c r="E504" s="52"/>
      <c r="F504" s="52"/>
      <c r="G504" s="52"/>
      <c r="H504" s="52"/>
    </row>
    <row r="505" spans="1:8" ht="15.75">
      <c r="A505" s="50">
        <v>40163</v>
      </c>
      <c r="B505" s="51">
        <v>3571.35</v>
      </c>
      <c r="C505" s="52"/>
      <c r="D505" s="52"/>
      <c r="E505" s="52"/>
      <c r="F505" s="52"/>
      <c r="G505" s="52"/>
      <c r="H505" s="52"/>
    </row>
    <row r="506" spans="1:8" ht="15.75">
      <c r="A506" s="50">
        <v>40164</v>
      </c>
      <c r="B506" s="51">
        <v>3535.66</v>
      </c>
      <c r="C506" s="52"/>
      <c r="D506" s="52"/>
      <c r="E506" s="52"/>
      <c r="F506" s="52"/>
      <c r="G506" s="52"/>
      <c r="H506" s="52"/>
    </row>
    <row r="507" spans="1:8" ht="15.75">
      <c r="A507" s="50">
        <v>40165</v>
      </c>
      <c r="B507" s="51">
        <v>3527.66</v>
      </c>
      <c r="C507" s="52"/>
      <c r="D507" s="52"/>
      <c r="E507" s="52"/>
      <c r="F507" s="52"/>
      <c r="G507" s="52"/>
      <c r="H507" s="52"/>
    </row>
    <row r="508" spans="1:8" ht="15.75">
      <c r="A508" s="50">
        <v>40168</v>
      </c>
      <c r="B508" s="51">
        <v>3587.75</v>
      </c>
      <c r="C508" s="52"/>
      <c r="D508" s="52"/>
      <c r="E508" s="52"/>
      <c r="F508" s="52"/>
      <c r="G508" s="52"/>
      <c r="H508" s="52"/>
    </row>
    <row r="509" spans="1:8" ht="15.75">
      <c r="A509" s="50">
        <v>40169</v>
      </c>
      <c r="B509" s="51">
        <v>3596.92</v>
      </c>
      <c r="C509" s="52"/>
      <c r="D509" s="52"/>
      <c r="E509" s="52"/>
      <c r="F509" s="52"/>
      <c r="G509" s="52"/>
      <c r="H509" s="52"/>
    </row>
    <row r="510" spans="1:8" ht="15.75">
      <c r="A510" s="50">
        <v>40170</v>
      </c>
      <c r="B510" s="51">
        <v>3604.03</v>
      </c>
      <c r="C510" s="52"/>
      <c r="D510" s="52"/>
      <c r="E510" s="52"/>
      <c r="F510" s="52"/>
      <c r="G510" s="52"/>
      <c r="H510" s="52"/>
    </row>
    <row r="511" spans="1:8" ht="15.75">
      <c r="A511" s="50">
        <v>40175</v>
      </c>
      <c r="B511" s="51">
        <v>3631.54</v>
      </c>
      <c r="C511" s="52"/>
      <c r="D511" s="52"/>
      <c r="E511" s="52"/>
      <c r="F511" s="52"/>
      <c r="G511" s="52"/>
      <c r="H511" s="52"/>
    </row>
    <row r="512" spans="1:8" ht="15.75">
      <c r="A512" s="50">
        <v>40176</v>
      </c>
      <c r="B512" s="51">
        <v>3636.77</v>
      </c>
      <c r="C512" s="52"/>
      <c r="D512" s="52"/>
      <c r="E512" s="52"/>
      <c r="F512" s="52"/>
      <c r="G512" s="52"/>
      <c r="H512" s="52"/>
    </row>
    <row r="513" spans="1:8" ht="15.75">
      <c r="A513" s="50">
        <v>40177</v>
      </c>
      <c r="B513" s="51">
        <v>3604.02</v>
      </c>
      <c r="C513" s="52"/>
      <c r="D513" s="52"/>
      <c r="E513" s="52"/>
      <c r="F513" s="52"/>
      <c r="G513" s="52"/>
      <c r="H513" s="52"/>
    </row>
    <row r="514" spans="1:8" ht="15.75">
      <c r="A514" s="50">
        <v>40182</v>
      </c>
      <c r="B514" s="51">
        <v>3658.99</v>
      </c>
      <c r="C514" s="52"/>
      <c r="D514" s="52"/>
      <c r="E514" s="52"/>
      <c r="F514" s="52"/>
      <c r="G514" s="52"/>
      <c r="H514" s="52"/>
    </row>
    <row r="515" spans="1:8" ht="15.75">
      <c r="A515" s="50">
        <v>40183</v>
      </c>
      <c r="B515" s="51">
        <v>3649.05</v>
      </c>
      <c r="C515" s="52"/>
      <c r="D515" s="52"/>
      <c r="E515" s="52"/>
      <c r="F515" s="52"/>
      <c r="G515" s="52"/>
      <c r="H515" s="52"/>
    </row>
    <row r="516" spans="1:8" ht="15.75">
      <c r="A516" s="50">
        <v>40184</v>
      </c>
      <c r="B516" s="51">
        <v>3650.54</v>
      </c>
      <c r="C516" s="52"/>
      <c r="D516" s="52"/>
      <c r="E516" s="52"/>
      <c r="F516" s="52"/>
      <c r="G516" s="52"/>
      <c r="H516" s="52"/>
    </row>
    <row r="517" spans="1:8" ht="15.75">
      <c r="A517" s="50">
        <v>40185</v>
      </c>
      <c r="B517" s="51">
        <v>3641.49</v>
      </c>
      <c r="C517" s="52"/>
      <c r="D517" s="52"/>
      <c r="E517" s="52"/>
      <c r="F517" s="52"/>
      <c r="G517" s="52"/>
      <c r="H517" s="52"/>
    </row>
    <row r="518" spans="1:8" ht="15.75">
      <c r="A518" s="50">
        <v>40186</v>
      </c>
      <c r="B518" s="51">
        <v>3652.53</v>
      </c>
      <c r="C518" s="52"/>
      <c r="D518" s="52"/>
      <c r="E518" s="52"/>
      <c r="F518" s="52"/>
      <c r="G518" s="52"/>
      <c r="H518" s="52"/>
    </row>
    <row r="519" spans="1:8" ht="15.75">
      <c r="A519" s="50">
        <v>40189</v>
      </c>
      <c r="B519" s="51">
        <v>3654.27</v>
      </c>
      <c r="C519" s="52"/>
      <c r="D519" s="52"/>
      <c r="E519" s="52"/>
      <c r="F519" s="52"/>
      <c r="G519" s="52"/>
      <c r="H519" s="52"/>
    </row>
    <row r="520" spans="1:8" ht="15.75">
      <c r="A520" s="50">
        <v>40190</v>
      </c>
      <c r="B520" s="51">
        <v>3595.29</v>
      </c>
      <c r="C520" s="52"/>
      <c r="D520" s="52"/>
      <c r="E520" s="52"/>
      <c r="F520" s="52"/>
      <c r="G520" s="52"/>
      <c r="H520" s="52"/>
    </row>
    <row r="521" spans="1:8" ht="15.75">
      <c r="A521" s="50">
        <v>40191</v>
      </c>
      <c r="B521" s="51">
        <v>3607.48</v>
      </c>
      <c r="C521" s="52"/>
      <c r="D521" s="52"/>
      <c r="E521" s="52"/>
      <c r="F521" s="52"/>
      <c r="G521" s="52"/>
      <c r="H521" s="52"/>
    </row>
    <row r="522" spans="1:8" ht="15.75">
      <c r="A522" s="50">
        <v>40192</v>
      </c>
      <c r="B522" s="51">
        <v>3623.05</v>
      </c>
      <c r="C522" s="52"/>
      <c r="D522" s="52"/>
      <c r="E522" s="52"/>
      <c r="F522" s="52"/>
      <c r="G522" s="52"/>
      <c r="H522" s="52"/>
    </row>
    <row r="523" spans="1:8" ht="15.75">
      <c r="A523" s="50">
        <v>40193</v>
      </c>
      <c r="B523" s="51">
        <v>3554.74</v>
      </c>
      <c r="C523" s="52"/>
      <c r="D523" s="52"/>
      <c r="E523" s="52"/>
      <c r="F523" s="52"/>
      <c r="G523" s="52"/>
      <c r="H523" s="52"/>
    </row>
    <row r="524" spans="1:8" ht="15.75">
      <c r="A524" s="50">
        <v>40196</v>
      </c>
      <c r="B524" s="51">
        <v>3580.5</v>
      </c>
      <c r="C524" s="52"/>
      <c r="D524" s="52"/>
      <c r="E524" s="52"/>
      <c r="F524" s="52"/>
      <c r="G524" s="52"/>
      <c r="H524" s="52"/>
    </row>
    <row r="525" spans="1:8" ht="15.75">
      <c r="A525" s="50">
        <v>40197</v>
      </c>
      <c r="B525" s="51">
        <v>3615.55</v>
      </c>
      <c r="C525" s="52"/>
      <c r="D525" s="52"/>
      <c r="E525" s="52"/>
      <c r="F525" s="52"/>
      <c r="G525" s="52"/>
      <c r="H525" s="52"/>
    </row>
    <row r="526" spans="1:8" ht="15.75">
      <c r="A526" s="50">
        <v>40198</v>
      </c>
      <c r="B526" s="51">
        <v>3539.96</v>
      </c>
      <c r="C526" s="52"/>
      <c r="D526" s="52"/>
      <c r="E526" s="52"/>
      <c r="F526" s="52"/>
      <c r="G526" s="52"/>
      <c r="H526" s="52"/>
    </row>
    <row r="527" spans="1:8" ht="15.75">
      <c r="A527" s="50">
        <v>40199</v>
      </c>
      <c r="B527" s="51">
        <v>3476.7</v>
      </c>
      <c r="C527" s="52"/>
      <c r="D527" s="52"/>
      <c r="E527" s="52"/>
      <c r="F527" s="52"/>
      <c r="G527" s="52"/>
      <c r="H527" s="52"/>
    </row>
    <row r="528" spans="1:8" ht="15.75">
      <c r="A528" s="50">
        <v>40200</v>
      </c>
      <c r="B528" s="51">
        <v>3444.79</v>
      </c>
      <c r="C528" s="52"/>
      <c r="D528" s="52"/>
      <c r="E528" s="52"/>
      <c r="F528" s="52"/>
      <c r="G528" s="52"/>
      <c r="H528" s="52"/>
    </row>
    <row r="529" spans="1:8" ht="15.75">
      <c r="A529" s="50">
        <v>40203</v>
      </c>
      <c r="B529" s="51">
        <v>3406.11</v>
      </c>
      <c r="C529" s="52"/>
      <c r="D529" s="52"/>
      <c r="E529" s="52"/>
      <c r="F529" s="52"/>
      <c r="G529" s="52"/>
      <c r="H529" s="52"/>
    </row>
    <row r="530" spans="1:8" ht="15.75">
      <c r="A530" s="50">
        <v>40204</v>
      </c>
      <c r="B530" s="51">
        <v>3428.84</v>
      </c>
      <c r="C530" s="52"/>
      <c r="D530" s="52"/>
      <c r="E530" s="52"/>
      <c r="F530" s="52"/>
      <c r="G530" s="52"/>
      <c r="H530" s="52"/>
    </row>
    <row r="531" spans="1:8" ht="15.75">
      <c r="A531" s="50">
        <v>40205</v>
      </c>
      <c r="B531" s="51">
        <v>3404.36</v>
      </c>
      <c r="C531" s="52"/>
      <c r="D531" s="52"/>
      <c r="E531" s="52"/>
      <c r="F531" s="52"/>
      <c r="G531" s="52"/>
      <c r="H531" s="52"/>
    </row>
    <row r="532" spans="1:8" ht="15.75">
      <c r="A532" s="50">
        <v>40206</v>
      </c>
      <c r="B532" s="51">
        <v>3342.42</v>
      </c>
      <c r="C532" s="52"/>
      <c r="D532" s="52"/>
      <c r="E532" s="52"/>
      <c r="F532" s="52"/>
      <c r="G532" s="52"/>
      <c r="H532" s="52"/>
    </row>
    <row r="533" spans="1:8" ht="15.75">
      <c r="A533" s="50">
        <v>40207</v>
      </c>
      <c r="B533" s="51">
        <v>3383.81</v>
      </c>
      <c r="C533" s="52"/>
      <c r="D533" s="52"/>
      <c r="E533" s="52"/>
      <c r="F533" s="52"/>
      <c r="G533" s="52"/>
      <c r="H533" s="52"/>
    </row>
    <row r="534" spans="1:8" ht="15.75">
      <c r="A534" s="50">
        <v>40210</v>
      </c>
      <c r="B534" s="51">
        <v>3411.43</v>
      </c>
      <c r="C534" s="52"/>
      <c r="D534" s="52"/>
      <c r="E534" s="52"/>
      <c r="F534" s="52"/>
      <c r="G534" s="52"/>
      <c r="H534" s="52"/>
    </row>
    <row r="535" spans="1:8" ht="15.75">
      <c r="A535" s="50">
        <v>40211</v>
      </c>
      <c r="B535" s="51">
        <v>3444.67</v>
      </c>
      <c r="C535" s="52"/>
      <c r="D535" s="52"/>
      <c r="E535" s="52"/>
      <c r="F535" s="52"/>
      <c r="G535" s="52"/>
      <c r="H535" s="52"/>
    </row>
    <row r="536" spans="1:8" ht="15.75">
      <c r="A536" s="50">
        <v>40212</v>
      </c>
      <c r="B536" s="51">
        <v>3422.03</v>
      </c>
      <c r="C536" s="52"/>
      <c r="D536" s="52"/>
      <c r="E536" s="52"/>
      <c r="F536" s="52"/>
      <c r="G536" s="52"/>
      <c r="H536" s="52"/>
    </row>
    <row r="537" spans="1:8" ht="15.75">
      <c r="A537" s="50">
        <v>40213</v>
      </c>
      <c r="B537" s="51">
        <v>3338.38</v>
      </c>
      <c r="C537" s="52"/>
      <c r="D537" s="52"/>
      <c r="E537" s="52"/>
      <c r="F537" s="52"/>
      <c r="G537" s="52"/>
      <c r="H537" s="52"/>
    </row>
    <row r="538" spans="1:8" ht="15.75">
      <c r="A538" s="50">
        <v>40214</v>
      </c>
      <c r="B538" s="51">
        <v>3278.75</v>
      </c>
      <c r="C538" s="52"/>
      <c r="D538" s="52"/>
      <c r="E538" s="52"/>
      <c r="F538" s="52"/>
      <c r="G538" s="52"/>
      <c r="H538" s="52"/>
    </row>
    <row r="539" spans="1:8" ht="15.75">
      <c r="A539" s="50">
        <v>40217</v>
      </c>
      <c r="B539" s="51">
        <v>3309.18</v>
      </c>
      <c r="C539" s="52"/>
      <c r="D539" s="52"/>
      <c r="E539" s="52"/>
      <c r="F539" s="52"/>
      <c r="G539" s="52"/>
      <c r="H539" s="52"/>
    </row>
    <row r="540" spans="1:8" ht="15.75">
      <c r="A540" s="50">
        <v>40218</v>
      </c>
      <c r="B540" s="51">
        <v>3317.22</v>
      </c>
      <c r="C540" s="52"/>
      <c r="D540" s="52"/>
      <c r="E540" s="52"/>
      <c r="F540" s="52"/>
      <c r="G540" s="52"/>
      <c r="H540" s="52"/>
    </row>
    <row r="541" spans="1:8" ht="15.75">
      <c r="A541" s="50">
        <v>40219</v>
      </c>
      <c r="B541" s="51">
        <v>3340.28</v>
      </c>
      <c r="C541" s="52"/>
      <c r="D541" s="52"/>
      <c r="E541" s="52"/>
      <c r="F541" s="52"/>
      <c r="G541" s="52"/>
      <c r="H541" s="52"/>
    </row>
    <row r="542" spans="1:8" ht="15.75">
      <c r="A542" s="50">
        <v>40220</v>
      </c>
      <c r="B542" s="51">
        <v>3320.65</v>
      </c>
      <c r="C542" s="52"/>
      <c r="D542" s="52"/>
      <c r="E542" s="52"/>
      <c r="F542" s="52"/>
      <c r="G542" s="52"/>
      <c r="H542" s="52"/>
    </row>
    <row r="543" spans="1:8" ht="15.75">
      <c r="A543" s="50">
        <v>40221</v>
      </c>
      <c r="B543" s="51">
        <v>3318.62</v>
      </c>
      <c r="C543" s="52"/>
      <c r="D543" s="52"/>
      <c r="E543" s="52"/>
      <c r="F543" s="52"/>
      <c r="G543" s="52"/>
      <c r="H543" s="52"/>
    </row>
    <row r="544" spans="1:8" ht="15.75">
      <c r="A544" s="50">
        <v>40224</v>
      </c>
      <c r="B544" s="51">
        <v>3325.01</v>
      </c>
      <c r="C544" s="52"/>
      <c r="D544" s="52"/>
      <c r="E544" s="52"/>
      <c r="F544" s="52"/>
      <c r="G544" s="52"/>
      <c r="H544" s="52"/>
    </row>
    <row r="545" spans="1:8" ht="15.75">
      <c r="A545" s="50">
        <v>40225</v>
      </c>
      <c r="B545" s="51">
        <v>3373.95</v>
      </c>
      <c r="C545" s="52"/>
      <c r="D545" s="52"/>
      <c r="E545" s="52"/>
      <c r="F545" s="52"/>
      <c r="G545" s="52"/>
      <c r="H545" s="52"/>
    </row>
    <row r="546" spans="1:8" ht="15.75">
      <c r="A546" s="50">
        <v>40226</v>
      </c>
      <c r="B546" s="51">
        <v>3407.82</v>
      </c>
      <c r="C546" s="52"/>
      <c r="D546" s="52"/>
      <c r="E546" s="52"/>
      <c r="F546" s="52"/>
      <c r="G546" s="52"/>
      <c r="H546" s="52"/>
    </row>
    <row r="547" spans="1:8" ht="15.75">
      <c r="A547" s="50">
        <v>40227</v>
      </c>
      <c r="B547" s="51">
        <v>3427.09</v>
      </c>
      <c r="C547" s="52"/>
      <c r="D547" s="52"/>
      <c r="E547" s="52"/>
      <c r="F547" s="52"/>
      <c r="G547" s="52"/>
      <c r="H547" s="52"/>
    </row>
    <row r="548" spans="1:8" ht="15.75">
      <c r="A548" s="50">
        <v>40228</v>
      </c>
      <c r="B548" s="51">
        <v>3452.26</v>
      </c>
      <c r="C548" s="52"/>
      <c r="D548" s="52"/>
      <c r="E548" s="52"/>
      <c r="F548" s="52"/>
      <c r="G548" s="52"/>
      <c r="H548" s="52"/>
    </row>
    <row r="549" spans="1:8" ht="15.75">
      <c r="A549" s="50">
        <v>40231</v>
      </c>
      <c r="B549" s="51">
        <v>3431.97</v>
      </c>
      <c r="C549" s="52"/>
      <c r="D549" s="52"/>
      <c r="E549" s="52"/>
      <c r="F549" s="52"/>
      <c r="G549" s="52"/>
      <c r="H549" s="52"/>
    </row>
    <row r="550" spans="1:8" ht="15.75">
      <c r="A550" s="50">
        <v>40232</v>
      </c>
      <c r="B550" s="51">
        <v>3381.11</v>
      </c>
      <c r="C550" s="52"/>
      <c r="D550" s="52"/>
      <c r="E550" s="52"/>
      <c r="F550" s="52"/>
      <c r="G550" s="52"/>
      <c r="H550" s="52"/>
    </row>
    <row r="551" spans="1:8" ht="15.75">
      <c r="A551" s="50">
        <v>40233</v>
      </c>
      <c r="B551" s="51">
        <v>3387.99</v>
      </c>
      <c r="C551" s="52"/>
      <c r="D551" s="52"/>
      <c r="E551" s="52"/>
      <c r="F551" s="52"/>
      <c r="G551" s="52"/>
      <c r="H551" s="52"/>
    </row>
    <row r="552" spans="1:8" ht="15.75">
      <c r="A552" s="50">
        <v>40234</v>
      </c>
      <c r="B552" s="51">
        <v>3337.92</v>
      </c>
      <c r="C552" s="52"/>
      <c r="D552" s="52"/>
      <c r="E552" s="52"/>
      <c r="F552" s="52"/>
      <c r="G552" s="52"/>
      <c r="H552" s="52"/>
    </row>
    <row r="553" spans="1:8" ht="15.75">
      <c r="A553" s="50">
        <v>40235</v>
      </c>
      <c r="B553" s="51">
        <v>3377.82</v>
      </c>
      <c r="C553" s="52"/>
      <c r="D553" s="52"/>
      <c r="E553" s="52"/>
      <c r="F553" s="52"/>
      <c r="G553" s="52"/>
      <c r="H553" s="52"/>
    </row>
    <row r="554" spans="1:8" ht="15.75">
      <c r="A554" s="50">
        <v>40238</v>
      </c>
      <c r="B554" s="51">
        <v>3447.18</v>
      </c>
      <c r="C554" s="52"/>
      <c r="D554" s="52"/>
      <c r="E554" s="52"/>
      <c r="F554" s="52"/>
      <c r="G554" s="52"/>
      <c r="H554" s="52"/>
    </row>
    <row r="555" spans="1:8" ht="15.75">
      <c r="A555" s="50">
        <v>40239</v>
      </c>
      <c r="B555" s="51">
        <v>3485.15</v>
      </c>
      <c r="C555" s="52"/>
      <c r="D555" s="52"/>
      <c r="E555" s="52"/>
      <c r="F555" s="52"/>
      <c r="G555" s="52"/>
      <c r="H555" s="52"/>
    </row>
    <row r="556" spans="1:8" ht="15.75">
      <c r="A556" s="50">
        <v>40240</v>
      </c>
      <c r="B556" s="51">
        <v>3509.97</v>
      </c>
      <c r="C556" s="52"/>
      <c r="D556" s="52"/>
      <c r="E556" s="52"/>
      <c r="F556" s="52"/>
      <c r="G556" s="52"/>
      <c r="H556" s="52"/>
    </row>
    <row r="557" spans="1:8" ht="15.75">
      <c r="A557" s="50">
        <v>40241</v>
      </c>
      <c r="B557" s="51">
        <v>3496.42</v>
      </c>
      <c r="C557" s="52"/>
      <c r="D557" s="52"/>
      <c r="E557" s="52"/>
      <c r="F557" s="52"/>
      <c r="G557" s="52"/>
      <c r="H557" s="52"/>
    </row>
    <row r="558" spans="1:8" ht="15.75">
      <c r="A558" s="50">
        <v>40242</v>
      </c>
      <c r="B558" s="51">
        <v>3545.9</v>
      </c>
      <c r="C558" s="52"/>
      <c r="D558" s="52"/>
      <c r="E558" s="52"/>
      <c r="F558" s="52"/>
      <c r="G558" s="52"/>
      <c r="H558" s="52"/>
    </row>
    <row r="559" spans="1:8" ht="15.75">
      <c r="A559" s="50">
        <v>40245</v>
      </c>
      <c r="B559" s="51">
        <v>3545.08</v>
      </c>
      <c r="C559" s="52"/>
      <c r="D559" s="52"/>
      <c r="E559" s="52"/>
      <c r="F559" s="52"/>
      <c r="G559" s="52"/>
      <c r="H559" s="52"/>
    </row>
    <row r="560" spans="1:8" ht="15.75">
      <c r="A560" s="50">
        <v>40246</v>
      </c>
      <c r="B560" s="51">
        <v>3551.12</v>
      </c>
      <c r="C560" s="52"/>
      <c r="D560" s="52"/>
      <c r="E560" s="52"/>
      <c r="F560" s="52"/>
      <c r="G560" s="52"/>
      <c r="H560" s="52"/>
    </row>
    <row r="561" spans="1:8" ht="15.75">
      <c r="A561" s="50">
        <v>40247</v>
      </c>
      <c r="B561" s="51">
        <v>3581.76</v>
      </c>
      <c r="C561" s="52"/>
      <c r="D561" s="52"/>
      <c r="E561" s="52"/>
      <c r="F561" s="52"/>
      <c r="G561" s="52"/>
      <c r="H561" s="52"/>
    </row>
    <row r="562" spans="1:8" ht="15.75">
      <c r="A562" s="50">
        <v>40248</v>
      </c>
      <c r="B562" s="51">
        <v>3576.95</v>
      </c>
      <c r="C562" s="52"/>
      <c r="D562" s="52"/>
      <c r="E562" s="52"/>
      <c r="F562" s="52"/>
      <c r="G562" s="52"/>
      <c r="H562" s="52"/>
    </row>
    <row r="563" spans="1:8" ht="15.75">
      <c r="A563" s="50">
        <v>40249</v>
      </c>
      <c r="B563" s="51">
        <v>3586.76</v>
      </c>
      <c r="C563" s="52"/>
      <c r="D563" s="52"/>
      <c r="E563" s="52"/>
      <c r="F563" s="52"/>
      <c r="G563" s="52"/>
      <c r="H563" s="52"/>
    </row>
    <row r="564" spans="1:8" ht="15.75">
      <c r="A564" s="50">
        <v>40252</v>
      </c>
      <c r="B564" s="51">
        <v>3561.72</v>
      </c>
      <c r="C564" s="52"/>
      <c r="D564" s="52"/>
      <c r="E564" s="52"/>
      <c r="F564" s="52"/>
      <c r="G564" s="52"/>
      <c r="H564" s="52"/>
    </row>
    <row r="565" spans="1:8" ht="15.75">
      <c r="A565" s="50">
        <v>40253</v>
      </c>
      <c r="B565" s="51">
        <v>3602.25</v>
      </c>
      <c r="C565" s="52"/>
      <c r="D565" s="52"/>
      <c r="E565" s="52"/>
      <c r="F565" s="52"/>
      <c r="G565" s="52"/>
      <c r="H565" s="52"/>
    </row>
    <row r="566" spans="1:8" ht="15.75">
      <c r="A566" s="50">
        <v>40254</v>
      </c>
      <c r="B566" s="51">
        <v>3634.17</v>
      </c>
      <c r="C566" s="52"/>
      <c r="D566" s="52"/>
      <c r="E566" s="52"/>
      <c r="F566" s="52"/>
      <c r="G566" s="52"/>
      <c r="H566" s="52"/>
    </row>
    <row r="567" spans="1:8" ht="15.75">
      <c r="A567" s="50">
        <v>40255</v>
      </c>
      <c r="B567" s="51">
        <v>3626.96</v>
      </c>
      <c r="C567" s="52"/>
      <c r="D567" s="52"/>
      <c r="E567" s="52"/>
      <c r="F567" s="52"/>
      <c r="G567" s="52"/>
      <c r="H567" s="52"/>
    </row>
    <row r="568" spans="1:8" ht="15.75">
      <c r="A568" s="50">
        <v>40256</v>
      </c>
      <c r="B568" s="51">
        <v>3608.95</v>
      </c>
      <c r="C568" s="52"/>
      <c r="D568" s="52"/>
      <c r="E568" s="52"/>
      <c r="F568" s="52"/>
      <c r="G568" s="52"/>
      <c r="H568" s="52"/>
    </row>
    <row r="569" spans="1:8" ht="15.75">
      <c r="A569" s="50">
        <v>40259</v>
      </c>
      <c r="B569" s="51">
        <v>3612.01</v>
      </c>
      <c r="C569" s="52"/>
      <c r="D569" s="52"/>
      <c r="E569" s="52"/>
      <c r="F569" s="52"/>
      <c r="G569" s="52"/>
      <c r="H569" s="52"/>
    </row>
    <row r="570" spans="1:8" ht="15.75">
      <c r="A570" s="50">
        <v>40260</v>
      </c>
      <c r="B570" s="51">
        <v>3629.97</v>
      </c>
      <c r="C570" s="52"/>
      <c r="D570" s="52"/>
      <c r="E570" s="52"/>
      <c r="F570" s="52"/>
      <c r="G570" s="52"/>
      <c r="H570" s="52"/>
    </row>
    <row r="571" spans="1:8" ht="15.75">
      <c r="A571" s="50">
        <v>40261</v>
      </c>
      <c r="B571" s="51">
        <v>3643.08</v>
      </c>
      <c r="C571" s="52"/>
      <c r="D571" s="52"/>
      <c r="E571" s="52"/>
      <c r="F571" s="52"/>
      <c r="G571" s="52"/>
      <c r="H571" s="52"/>
    </row>
    <row r="572" spans="1:8" ht="15.75">
      <c r="A572" s="50">
        <v>40262</v>
      </c>
      <c r="B572" s="51">
        <v>3699.75</v>
      </c>
      <c r="C572" s="52"/>
      <c r="D572" s="52"/>
      <c r="E572" s="52"/>
      <c r="F572" s="52"/>
      <c r="G572" s="52"/>
      <c r="H572" s="52"/>
    </row>
    <row r="573" spans="1:8" ht="15.75">
      <c r="A573" s="50">
        <v>40263</v>
      </c>
      <c r="B573" s="51">
        <v>3691.97</v>
      </c>
      <c r="C573" s="52"/>
      <c r="D573" s="52"/>
      <c r="E573" s="52"/>
      <c r="F573" s="52"/>
      <c r="G573" s="52"/>
      <c r="H573" s="52"/>
    </row>
    <row r="574" spans="1:8" ht="15.75">
      <c r="A574" s="50">
        <v>40266</v>
      </c>
      <c r="B574" s="51">
        <v>3714.17</v>
      </c>
      <c r="C574" s="52"/>
      <c r="D574" s="52"/>
      <c r="E574" s="52"/>
      <c r="F574" s="52"/>
      <c r="G574" s="52"/>
      <c r="H574" s="52"/>
    </row>
    <row r="575" spans="1:8" ht="15.75">
      <c r="A575" s="50">
        <v>40267</v>
      </c>
      <c r="B575" s="51">
        <v>3705.48</v>
      </c>
      <c r="C575" s="52"/>
      <c r="D575" s="52"/>
      <c r="E575" s="52"/>
      <c r="F575" s="52"/>
      <c r="G575" s="52"/>
      <c r="H575" s="52"/>
    </row>
    <row r="576" spans="1:8" ht="15.75">
      <c r="A576" s="50">
        <v>40268</v>
      </c>
      <c r="B576" s="51">
        <v>3712.18</v>
      </c>
      <c r="C576" s="52"/>
      <c r="D576" s="52"/>
      <c r="E576" s="52"/>
      <c r="F576" s="52"/>
      <c r="G576" s="52"/>
      <c r="H576" s="52"/>
    </row>
    <row r="577" spans="1:8" ht="15.75">
      <c r="A577" s="50">
        <v>40269</v>
      </c>
      <c r="B577" s="51">
        <v>3761.65</v>
      </c>
      <c r="C577" s="52"/>
      <c r="D577" s="52"/>
      <c r="E577" s="52"/>
      <c r="F577" s="52"/>
      <c r="G577" s="52"/>
      <c r="H577" s="52"/>
    </row>
    <row r="578" spans="1:8" ht="15.75">
      <c r="A578" s="50">
        <v>40274</v>
      </c>
      <c r="B578" s="51">
        <v>3771.52</v>
      </c>
      <c r="C578" s="52"/>
      <c r="D578" s="52"/>
      <c r="E578" s="52"/>
      <c r="F578" s="52"/>
      <c r="G578" s="52"/>
      <c r="H578" s="52"/>
    </row>
    <row r="579" spans="1:8" ht="15.75">
      <c r="A579" s="50">
        <v>40275</v>
      </c>
      <c r="B579" s="51">
        <v>3753.55</v>
      </c>
      <c r="C579" s="52"/>
      <c r="D579" s="52"/>
      <c r="E579" s="52"/>
      <c r="F579" s="52"/>
      <c r="G579" s="52"/>
      <c r="H579" s="52"/>
    </row>
    <row r="580" spans="1:8" ht="15.75">
      <c r="A580" s="50">
        <v>40276</v>
      </c>
      <c r="B580" s="51">
        <v>3723.03</v>
      </c>
      <c r="C580" s="52"/>
      <c r="D580" s="52"/>
      <c r="E580" s="52"/>
      <c r="F580" s="52"/>
      <c r="G580" s="52"/>
      <c r="H580" s="52"/>
    </row>
    <row r="581" spans="1:8" ht="15.75">
      <c r="A581" s="50">
        <v>40277</v>
      </c>
      <c r="B581" s="51">
        <v>3770.01</v>
      </c>
      <c r="C581" s="52"/>
      <c r="D581" s="52"/>
      <c r="E581" s="52"/>
      <c r="F581" s="52"/>
      <c r="G581" s="52"/>
      <c r="H581" s="52"/>
    </row>
    <row r="582" spans="1:8" ht="15.75">
      <c r="A582" s="50">
        <v>40280</v>
      </c>
      <c r="B582" s="51">
        <v>3770.16</v>
      </c>
      <c r="C582" s="52"/>
      <c r="D582" s="52"/>
      <c r="E582" s="52"/>
      <c r="F582" s="52"/>
      <c r="G582" s="52"/>
      <c r="H582" s="52"/>
    </row>
    <row r="583" spans="1:8" ht="15.75">
      <c r="A583" s="50">
        <v>40281</v>
      </c>
      <c r="B583" s="51">
        <v>3758.18</v>
      </c>
      <c r="C583" s="52"/>
      <c r="D583" s="52"/>
      <c r="E583" s="52"/>
      <c r="F583" s="52"/>
      <c r="G583" s="52"/>
      <c r="H583" s="52"/>
    </row>
    <row r="584" spans="1:8" ht="15.75">
      <c r="A584" s="50">
        <v>40282</v>
      </c>
      <c r="B584" s="51">
        <v>3786.88</v>
      </c>
      <c r="C584" s="52"/>
      <c r="D584" s="52"/>
      <c r="E584" s="52"/>
      <c r="F584" s="52"/>
      <c r="G584" s="52"/>
      <c r="H584" s="52"/>
    </row>
    <row r="585" spans="1:8" ht="15.75">
      <c r="A585" s="50">
        <v>40283</v>
      </c>
      <c r="B585" s="51">
        <v>3794.74</v>
      </c>
      <c r="C585" s="52"/>
      <c r="D585" s="52"/>
      <c r="E585" s="52"/>
      <c r="F585" s="52"/>
      <c r="G585" s="52"/>
      <c r="H585" s="52"/>
    </row>
    <row r="586" spans="1:8" ht="15.75">
      <c r="A586" s="50">
        <v>40284</v>
      </c>
      <c r="B586" s="51">
        <v>3728.06</v>
      </c>
      <c r="C586" s="52"/>
      <c r="D586" s="52"/>
      <c r="E586" s="52"/>
      <c r="F586" s="52"/>
      <c r="G586" s="52"/>
      <c r="H586" s="52"/>
    </row>
    <row r="587" spans="1:8" ht="15.75">
      <c r="A587" s="50">
        <v>40287</v>
      </c>
      <c r="B587" s="51">
        <v>3716.92</v>
      </c>
      <c r="C587" s="52"/>
      <c r="D587" s="52"/>
      <c r="E587" s="52"/>
      <c r="F587" s="52"/>
      <c r="G587" s="52"/>
      <c r="H587" s="52"/>
    </row>
    <row r="588" spans="1:8" ht="15.75">
      <c r="A588" s="50">
        <v>40288</v>
      </c>
      <c r="B588" s="51">
        <v>3777.66</v>
      </c>
      <c r="C588" s="52"/>
      <c r="D588" s="52"/>
      <c r="E588" s="52"/>
      <c r="F588" s="52"/>
      <c r="G588" s="52"/>
      <c r="H588" s="52"/>
    </row>
    <row r="589" spans="1:8" ht="15.75">
      <c r="A589" s="50">
        <v>40289</v>
      </c>
      <c r="B589" s="51">
        <v>3757.23</v>
      </c>
      <c r="C589" s="52"/>
      <c r="D589" s="52"/>
      <c r="E589" s="52"/>
      <c r="F589" s="52"/>
      <c r="G589" s="52"/>
      <c r="H589" s="52"/>
    </row>
    <row r="590" spans="1:8" ht="15.75">
      <c r="A590" s="50">
        <v>40290</v>
      </c>
      <c r="B590" s="51">
        <v>3720.03</v>
      </c>
      <c r="C590" s="52"/>
      <c r="D590" s="52"/>
      <c r="E590" s="52"/>
      <c r="F590" s="52"/>
      <c r="G590" s="52"/>
      <c r="H590" s="52"/>
    </row>
    <row r="591" spans="1:8" ht="15.75">
      <c r="A591" s="50">
        <v>40291</v>
      </c>
      <c r="B591" s="51">
        <v>3763.65</v>
      </c>
      <c r="C591" s="52"/>
      <c r="D591" s="52"/>
      <c r="E591" s="52"/>
      <c r="F591" s="52"/>
      <c r="G591" s="52"/>
      <c r="H591" s="52"/>
    </row>
    <row r="592" spans="1:8" ht="15.75">
      <c r="A592" s="50">
        <v>40294</v>
      </c>
      <c r="B592" s="51">
        <v>3807.49</v>
      </c>
      <c r="C592" s="52"/>
      <c r="D592" s="52"/>
      <c r="E592" s="52"/>
      <c r="F592" s="52"/>
      <c r="G592" s="52"/>
      <c r="H592" s="52"/>
    </row>
    <row r="593" spans="1:8" ht="15.75">
      <c r="A593" s="50">
        <v>40295</v>
      </c>
      <c r="B593" s="51">
        <v>3703.61</v>
      </c>
      <c r="C593" s="52"/>
      <c r="D593" s="52"/>
      <c r="E593" s="52"/>
      <c r="F593" s="52"/>
      <c r="G593" s="52"/>
      <c r="H593" s="52"/>
    </row>
    <row r="594" spans="1:8" ht="15.75">
      <c r="A594" s="50">
        <v>40296</v>
      </c>
      <c r="B594" s="51">
        <v>3658.36</v>
      </c>
      <c r="C594" s="52"/>
      <c r="D594" s="52"/>
      <c r="E594" s="52"/>
      <c r="F594" s="52"/>
      <c r="G594" s="52"/>
      <c r="H594" s="52"/>
    </row>
    <row r="595" spans="1:8" ht="15.75">
      <c r="A595" s="50">
        <v>40297</v>
      </c>
      <c r="B595" s="51">
        <v>3684.34</v>
      </c>
      <c r="C595" s="52"/>
      <c r="D595" s="52"/>
      <c r="E595" s="52"/>
      <c r="F595" s="52"/>
      <c r="G595" s="52"/>
      <c r="H595" s="52"/>
    </row>
    <row r="596" spans="1:8" ht="15.75">
      <c r="A596" s="50">
        <v>40298</v>
      </c>
      <c r="B596" s="51">
        <v>3667.73</v>
      </c>
      <c r="C596" s="52"/>
      <c r="D596" s="52"/>
      <c r="E596" s="52"/>
      <c r="F596" s="52"/>
      <c r="G596" s="52"/>
      <c r="H596" s="52"/>
    </row>
    <row r="597" spans="1:8" ht="15.75">
      <c r="A597" s="50">
        <v>40301</v>
      </c>
      <c r="B597" s="51">
        <v>3678.16</v>
      </c>
      <c r="C597" s="52"/>
      <c r="D597" s="52"/>
      <c r="E597" s="52"/>
      <c r="F597" s="52"/>
      <c r="G597" s="52"/>
      <c r="H597" s="52"/>
    </row>
    <row r="598" spans="1:8" ht="15.75">
      <c r="A598" s="50">
        <v>40302</v>
      </c>
      <c r="B598" s="51">
        <v>3567.08</v>
      </c>
      <c r="C598" s="52"/>
      <c r="D598" s="52"/>
      <c r="E598" s="52"/>
      <c r="F598" s="52"/>
      <c r="G598" s="52"/>
      <c r="H598" s="52"/>
    </row>
    <row r="599" spans="1:8" ht="15.75">
      <c r="A599" s="50">
        <v>40303</v>
      </c>
      <c r="B599" s="51">
        <v>3536.26</v>
      </c>
      <c r="C599" s="52"/>
      <c r="D599" s="52"/>
      <c r="E599" s="52"/>
      <c r="F599" s="52"/>
      <c r="G599" s="52"/>
      <c r="H599" s="52"/>
    </row>
    <row r="600" spans="1:8" ht="15.75">
      <c r="A600" s="50">
        <v>40304</v>
      </c>
      <c r="B600" s="51">
        <v>3492.81</v>
      </c>
      <c r="C600" s="52"/>
      <c r="D600" s="52"/>
      <c r="E600" s="52"/>
      <c r="F600" s="52"/>
      <c r="G600" s="52"/>
      <c r="H600" s="52"/>
    </row>
    <row r="601" spans="1:8" ht="15.75">
      <c r="A601" s="50">
        <v>40305</v>
      </c>
      <c r="B601" s="51">
        <v>3359.26</v>
      </c>
      <c r="C601" s="52"/>
      <c r="D601" s="52"/>
      <c r="E601" s="52"/>
      <c r="F601" s="52"/>
      <c r="G601" s="52"/>
      <c r="H601" s="52"/>
    </row>
    <row r="602" spans="1:8" ht="15.75">
      <c r="A602" s="50">
        <v>40308</v>
      </c>
      <c r="B602" s="51">
        <v>3538.07</v>
      </c>
      <c r="C602" s="52"/>
      <c r="D602" s="52"/>
      <c r="E602" s="52"/>
      <c r="F602" s="52"/>
      <c r="G602" s="52"/>
      <c r="H602" s="52"/>
    </row>
    <row r="603" spans="1:8" ht="15.75">
      <c r="A603" s="50">
        <v>40309</v>
      </c>
      <c r="B603" s="51">
        <v>3550.01</v>
      </c>
      <c r="C603" s="52"/>
      <c r="D603" s="52"/>
      <c r="E603" s="52"/>
      <c r="F603" s="52"/>
      <c r="G603" s="52"/>
      <c r="H603" s="52"/>
    </row>
    <row r="604" spans="1:8" ht="15.75">
      <c r="A604" s="50">
        <v>40310</v>
      </c>
      <c r="B604" s="51">
        <v>3634.3</v>
      </c>
      <c r="C604" s="52"/>
      <c r="D604" s="52"/>
      <c r="E604" s="52"/>
      <c r="F604" s="52"/>
      <c r="G604" s="52"/>
      <c r="H604" s="52"/>
    </row>
    <row r="605" spans="1:8" ht="15.75">
      <c r="A605" s="50">
        <v>40311</v>
      </c>
      <c r="B605" s="51">
        <v>3674.11</v>
      </c>
      <c r="C605" s="52"/>
      <c r="D605" s="52"/>
      <c r="E605" s="52"/>
      <c r="F605" s="52"/>
      <c r="G605" s="52"/>
      <c r="H605" s="52"/>
    </row>
    <row r="606" spans="1:8" ht="15.75">
      <c r="A606" s="50">
        <v>40312</v>
      </c>
      <c r="B606" s="51">
        <v>3559.25</v>
      </c>
      <c r="C606" s="52"/>
      <c r="D606" s="52"/>
      <c r="E606" s="52"/>
      <c r="F606" s="52"/>
      <c r="G606" s="52"/>
      <c r="H606" s="52"/>
    </row>
    <row r="607" spans="1:8" ht="15.75">
      <c r="A607" s="50">
        <v>40315</v>
      </c>
      <c r="B607" s="51">
        <v>3565.29</v>
      </c>
      <c r="C607" s="52"/>
      <c r="D607" s="52"/>
      <c r="E607" s="52"/>
      <c r="F607" s="52"/>
      <c r="G607" s="52"/>
      <c r="H607" s="52"/>
    </row>
    <row r="608" spans="1:8" ht="15.75">
      <c r="A608" s="50">
        <v>40316</v>
      </c>
      <c r="B608" s="51">
        <v>3617.75</v>
      </c>
      <c r="C608" s="52"/>
      <c r="D608" s="52"/>
      <c r="E608" s="52"/>
      <c r="F608" s="52"/>
      <c r="G608" s="52"/>
      <c r="H608" s="52"/>
    </row>
    <row r="609" spans="1:8" ht="15.75">
      <c r="A609" s="50">
        <v>40317</v>
      </c>
      <c r="B609" s="51">
        <v>3518.67</v>
      </c>
      <c r="C609" s="52"/>
      <c r="D609" s="52"/>
      <c r="E609" s="52"/>
      <c r="F609" s="52"/>
      <c r="G609" s="52"/>
      <c r="H609" s="52"/>
    </row>
    <row r="610" spans="1:8" ht="15.75">
      <c r="A610" s="50">
        <v>40318</v>
      </c>
      <c r="B610" s="51">
        <v>3447.02</v>
      </c>
      <c r="C610" s="52"/>
      <c r="D610" s="52"/>
      <c r="E610" s="52"/>
      <c r="F610" s="52"/>
      <c r="G610" s="52"/>
      <c r="H610" s="52"/>
    </row>
    <row r="611" spans="1:8" ht="15.75">
      <c r="A611" s="50">
        <v>40319</v>
      </c>
      <c r="B611" s="51">
        <v>3424.58</v>
      </c>
      <c r="C611" s="52"/>
      <c r="D611" s="52"/>
      <c r="E611" s="52"/>
      <c r="F611" s="52"/>
      <c r="G611" s="52"/>
      <c r="H611" s="52"/>
    </row>
    <row r="612" spans="1:8" ht="15.75">
      <c r="A612" s="50">
        <v>40322</v>
      </c>
      <c r="B612" s="51">
        <v>3410.84</v>
      </c>
      <c r="C612" s="52"/>
      <c r="D612" s="52"/>
      <c r="E612" s="52"/>
      <c r="F612" s="52"/>
      <c r="G612" s="52"/>
      <c r="H612" s="52"/>
    </row>
    <row r="613" spans="1:8" ht="15.75">
      <c r="A613" s="50">
        <v>40323</v>
      </c>
      <c r="B613" s="51">
        <v>3330.71</v>
      </c>
      <c r="C613" s="52"/>
      <c r="D613" s="52"/>
      <c r="E613" s="52"/>
      <c r="F613" s="52"/>
      <c r="G613" s="52"/>
      <c r="H613" s="52"/>
    </row>
    <row r="614" spans="1:8" ht="15.75">
      <c r="A614" s="50">
        <v>40324</v>
      </c>
      <c r="B614" s="51">
        <v>3383.03</v>
      </c>
      <c r="C614" s="52"/>
      <c r="D614" s="52"/>
      <c r="E614" s="52"/>
      <c r="F614" s="52"/>
      <c r="G614" s="52"/>
      <c r="H614" s="52"/>
    </row>
    <row r="615" spans="1:8" ht="15.75">
      <c r="A615" s="50">
        <v>40325</v>
      </c>
      <c r="B615" s="51">
        <v>3488.29</v>
      </c>
      <c r="C615" s="52"/>
      <c r="D615" s="52"/>
      <c r="E615" s="52"/>
      <c r="F615" s="52"/>
      <c r="G615" s="52"/>
      <c r="H615" s="52"/>
    </row>
    <row r="616" spans="1:8" ht="15.75">
      <c r="A616" s="50">
        <v>40326</v>
      </c>
      <c r="B616" s="51">
        <v>3487.66</v>
      </c>
      <c r="C616" s="52"/>
      <c r="D616" s="52"/>
      <c r="E616" s="52"/>
      <c r="F616" s="52"/>
      <c r="G616" s="52"/>
      <c r="H616" s="52"/>
    </row>
    <row r="617" spans="1:8" ht="15.75">
      <c r="A617" s="50">
        <v>40329</v>
      </c>
      <c r="B617" s="51">
        <v>3498.76</v>
      </c>
      <c r="C617" s="52"/>
      <c r="D617" s="52"/>
      <c r="E617" s="52"/>
      <c r="F617" s="52"/>
      <c r="G617" s="52"/>
      <c r="H617" s="52"/>
    </row>
    <row r="618" spans="1:8" ht="15.75">
      <c r="A618" s="50">
        <v>40330</v>
      </c>
      <c r="B618" s="51">
        <v>3508.56</v>
      </c>
      <c r="C618" s="52"/>
      <c r="D618" s="52"/>
      <c r="E618" s="52"/>
      <c r="F618" s="52"/>
      <c r="G618" s="52"/>
      <c r="H618" s="52"/>
    </row>
    <row r="619" spans="1:8" ht="15.75">
      <c r="A619" s="50">
        <v>40331</v>
      </c>
      <c r="B619" s="51">
        <v>3508.52</v>
      </c>
      <c r="C619" s="52"/>
      <c r="D619" s="52"/>
      <c r="E619" s="52"/>
      <c r="F619" s="52"/>
      <c r="G619" s="52"/>
      <c r="H619" s="52"/>
    </row>
    <row r="620" spans="1:8" ht="15.75">
      <c r="A620" s="50">
        <v>40332</v>
      </c>
      <c r="B620" s="51">
        <v>3551.84</v>
      </c>
      <c r="C620" s="52"/>
      <c r="D620" s="52"/>
      <c r="E620" s="52"/>
      <c r="F620" s="52"/>
      <c r="G620" s="52"/>
      <c r="H620" s="52"/>
    </row>
    <row r="621" spans="1:8" ht="15.75">
      <c r="A621" s="50">
        <v>40333</v>
      </c>
      <c r="B621" s="51">
        <v>3483.81</v>
      </c>
      <c r="C621" s="52"/>
      <c r="D621" s="52"/>
      <c r="E621" s="52"/>
      <c r="F621" s="52"/>
      <c r="G621" s="52"/>
      <c r="H621" s="52"/>
    </row>
    <row r="622" spans="1:8" ht="15.75">
      <c r="A622" s="50">
        <v>40336</v>
      </c>
      <c r="B622" s="51">
        <v>3463.83</v>
      </c>
      <c r="C622" s="52"/>
      <c r="D622" s="52"/>
      <c r="E622" s="52"/>
      <c r="F622" s="52"/>
      <c r="G622" s="52"/>
      <c r="H622" s="52"/>
    </row>
    <row r="623" spans="1:8" ht="15.75">
      <c r="A623" s="50">
        <v>40337</v>
      </c>
      <c r="B623" s="51">
        <v>3443.01</v>
      </c>
      <c r="C623" s="52"/>
      <c r="D623" s="52"/>
      <c r="E623" s="52"/>
      <c r="F623" s="52"/>
      <c r="G623" s="52"/>
      <c r="H623" s="52"/>
    </row>
    <row r="624" spans="1:8" ht="15.75">
      <c r="A624" s="50">
        <v>40338</v>
      </c>
      <c r="B624" s="51">
        <v>3508.61</v>
      </c>
      <c r="C624" s="52"/>
      <c r="D624" s="52"/>
      <c r="E624" s="52"/>
      <c r="F624" s="52"/>
      <c r="G624" s="52"/>
      <c r="H624" s="52"/>
    </row>
    <row r="625" spans="1:8" ht="15.75">
      <c r="A625" s="50">
        <v>40339</v>
      </c>
      <c r="B625" s="51">
        <v>3551.09</v>
      </c>
      <c r="C625" s="52"/>
      <c r="D625" s="52"/>
      <c r="E625" s="52"/>
      <c r="F625" s="52"/>
      <c r="G625" s="52"/>
      <c r="H625" s="52"/>
    </row>
    <row r="626" spans="1:8" ht="15.75">
      <c r="A626" s="50">
        <v>40340</v>
      </c>
      <c r="B626" s="51">
        <v>3545.62</v>
      </c>
      <c r="C626" s="52"/>
      <c r="D626" s="52"/>
      <c r="E626" s="52"/>
      <c r="F626" s="52"/>
      <c r="G626" s="52"/>
      <c r="H626" s="52"/>
    </row>
    <row r="627" spans="1:8" ht="15.75">
      <c r="A627" s="50">
        <v>40343</v>
      </c>
      <c r="B627" s="51">
        <v>3590.92</v>
      </c>
      <c r="C627" s="52"/>
      <c r="D627" s="52"/>
      <c r="E627" s="52"/>
      <c r="F627" s="52"/>
      <c r="G627" s="52"/>
      <c r="H627" s="52"/>
    </row>
    <row r="628" spans="1:8" ht="15.75">
      <c r="A628" s="50">
        <v>40344</v>
      </c>
      <c r="B628" s="51">
        <v>3620.05</v>
      </c>
      <c r="C628" s="52"/>
      <c r="D628" s="52"/>
      <c r="E628" s="52"/>
      <c r="F628" s="52"/>
      <c r="G628" s="52"/>
      <c r="H628" s="52"/>
    </row>
    <row r="629" spans="1:8" ht="15.75">
      <c r="A629" s="50">
        <v>40345</v>
      </c>
      <c r="B629" s="51">
        <v>3629</v>
      </c>
      <c r="C629" s="52"/>
      <c r="D629" s="52"/>
      <c r="E629" s="52"/>
      <c r="F629" s="52"/>
      <c r="G629" s="52"/>
      <c r="H629" s="52"/>
    </row>
    <row r="630" spans="1:8" ht="15.75">
      <c r="A630" s="50">
        <v>40346</v>
      </c>
      <c r="B630" s="51">
        <v>3648.34</v>
      </c>
      <c r="C630" s="52"/>
      <c r="D630" s="52"/>
      <c r="E630" s="52"/>
      <c r="F630" s="52"/>
      <c r="G630" s="52"/>
      <c r="H630" s="52"/>
    </row>
    <row r="631" spans="1:8" ht="15.75">
      <c r="A631" s="50">
        <v>40347</v>
      </c>
      <c r="B631" s="51">
        <v>3644.95</v>
      </c>
      <c r="C631" s="52"/>
      <c r="D631" s="52"/>
      <c r="E631" s="52"/>
      <c r="F631" s="52"/>
      <c r="G631" s="52"/>
      <c r="H631" s="52"/>
    </row>
    <row r="632" spans="1:8" ht="15.75">
      <c r="A632" s="50">
        <v>40350</v>
      </c>
      <c r="B632" s="51">
        <v>3689.5</v>
      </c>
      <c r="C632" s="52"/>
      <c r="D632" s="52"/>
      <c r="E632" s="52"/>
      <c r="F632" s="52"/>
      <c r="G632" s="52"/>
      <c r="H632" s="52"/>
    </row>
    <row r="633" spans="1:8" ht="15.75">
      <c r="A633" s="50">
        <v>40351</v>
      </c>
      <c r="B633" s="51">
        <v>3675.47</v>
      </c>
      <c r="C633" s="52"/>
      <c r="D633" s="52"/>
      <c r="E633" s="52"/>
      <c r="F633" s="52"/>
      <c r="G633" s="52"/>
      <c r="H633" s="52"/>
    </row>
    <row r="634" spans="1:8" ht="15.75">
      <c r="A634" s="50">
        <v>40352</v>
      </c>
      <c r="B634" s="51">
        <v>3637.64</v>
      </c>
      <c r="C634" s="52"/>
      <c r="D634" s="52"/>
      <c r="E634" s="52"/>
      <c r="F634" s="52"/>
      <c r="G634" s="52"/>
      <c r="H634" s="52"/>
    </row>
    <row r="635" spans="1:8" ht="15.75">
      <c r="A635" s="50">
        <v>40353</v>
      </c>
      <c r="B635" s="51">
        <v>3585.44</v>
      </c>
      <c r="C635" s="52"/>
      <c r="D635" s="52"/>
      <c r="E635" s="52"/>
      <c r="F635" s="52"/>
      <c r="G635" s="52"/>
      <c r="H635" s="52"/>
    </row>
    <row r="636" spans="1:8" ht="15.75">
      <c r="A636" s="50">
        <v>40354</v>
      </c>
      <c r="B636" s="51">
        <v>3559.13</v>
      </c>
      <c r="C636" s="52"/>
      <c r="D636" s="52"/>
      <c r="E636" s="52"/>
      <c r="F636" s="52"/>
      <c r="G636" s="52"/>
      <c r="H636" s="52"/>
    </row>
    <row r="637" spans="1:8" ht="15.75">
      <c r="A637" s="50">
        <v>40357</v>
      </c>
      <c r="B637" s="51">
        <v>3609.91</v>
      </c>
      <c r="C637" s="52"/>
      <c r="D637" s="52"/>
      <c r="E637" s="52"/>
      <c r="F637" s="52"/>
      <c r="G637" s="52"/>
      <c r="H637" s="52"/>
    </row>
    <row r="638" spans="1:8" ht="15.75">
      <c r="A638" s="50">
        <v>40358</v>
      </c>
      <c r="B638" s="51">
        <v>3489.61</v>
      </c>
      <c r="C638" s="52"/>
      <c r="D638" s="52"/>
      <c r="E638" s="52"/>
      <c r="F638" s="52"/>
      <c r="G638" s="52"/>
      <c r="H638" s="52"/>
    </row>
    <row r="639" spans="1:8" ht="15.75">
      <c r="A639" s="50">
        <v>40359</v>
      </c>
      <c r="B639" s="51">
        <v>3497.52</v>
      </c>
      <c r="C639" s="52"/>
      <c r="D639" s="52"/>
      <c r="E639" s="52"/>
      <c r="F639" s="52"/>
      <c r="G639" s="52"/>
      <c r="H639" s="52"/>
    </row>
    <row r="640" spans="1:8" ht="15.75">
      <c r="A640" s="50">
        <v>40360</v>
      </c>
      <c r="B640" s="51">
        <v>3434.15</v>
      </c>
      <c r="C640" s="52"/>
      <c r="D640" s="52"/>
      <c r="E640" s="52"/>
      <c r="F640" s="52"/>
      <c r="G640" s="52"/>
      <c r="H640" s="52"/>
    </row>
    <row r="641" spans="1:8" ht="15.75">
      <c r="A641" s="50">
        <v>40361</v>
      </c>
      <c r="B641" s="51">
        <v>3420.5</v>
      </c>
      <c r="C641" s="52"/>
      <c r="D641" s="52"/>
      <c r="E641" s="52"/>
      <c r="F641" s="52"/>
      <c r="G641" s="52"/>
      <c r="H641" s="52"/>
    </row>
    <row r="642" spans="1:8" ht="15.75">
      <c r="A642" s="50">
        <v>40364</v>
      </c>
      <c r="B642" s="51">
        <v>3409.98</v>
      </c>
      <c r="C642" s="52"/>
      <c r="D642" s="52"/>
      <c r="E642" s="52"/>
      <c r="F642" s="52"/>
      <c r="G642" s="52"/>
      <c r="H642" s="52"/>
    </row>
    <row r="643" spans="1:8" ht="15.75">
      <c r="A643" s="50">
        <v>40365</v>
      </c>
      <c r="B643" s="51">
        <v>3483.14</v>
      </c>
      <c r="C643" s="52"/>
      <c r="D643" s="52"/>
      <c r="E643" s="52"/>
      <c r="F643" s="52"/>
      <c r="G643" s="52"/>
      <c r="H643" s="52"/>
    </row>
    <row r="644" spans="1:8" ht="15.75">
      <c r="A644" s="50">
        <v>40366</v>
      </c>
      <c r="B644" s="51">
        <v>3513.55</v>
      </c>
      <c r="C644" s="52"/>
      <c r="D644" s="52"/>
      <c r="E644" s="52"/>
      <c r="F644" s="52"/>
      <c r="G644" s="52"/>
      <c r="H644" s="52"/>
    </row>
    <row r="645" spans="1:8" ht="15.75">
      <c r="A645" s="50">
        <v>40367</v>
      </c>
      <c r="B645" s="51">
        <v>3538.64</v>
      </c>
      <c r="C645" s="52"/>
      <c r="D645" s="52"/>
      <c r="E645" s="52"/>
      <c r="F645" s="52"/>
      <c r="G645" s="52"/>
      <c r="H645" s="52"/>
    </row>
    <row r="646" spans="1:8" ht="15.75">
      <c r="A646" s="50">
        <v>40368</v>
      </c>
      <c r="B646" s="51">
        <v>3555.99</v>
      </c>
      <c r="C646" s="52"/>
      <c r="D646" s="52"/>
      <c r="E646" s="52"/>
      <c r="F646" s="52"/>
      <c r="G646" s="52"/>
      <c r="H646" s="52"/>
    </row>
    <row r="647" spans="1:8" ht="15.75">
      <c r="A647" s="50">
        <v>40371</v>
      </c>
      <c r="B647" s="51">
        <v>3562.99</v>
      </c>
      <c r="C647" s="52"/>
      <c r="D647" s="52"/>
      <c r="E647" s="52"/>
      <c r="F647" s="52"/>
      <c r="G647" s="52"/>
      <c r="H647" s="52"/>
    </row>
    <row r="648" spans="1:8" ht="15.75">
      <c r="A648" s="50">
        <v>40372</v>
      </c>
      <c r="B648" s="51">
        <v>3629.79</v>
      </c>
      <c r="C648" s="52"/>
      <c r="D648" s="52"/>
      <c r="E648" s="52"/>
      <c r="F648" s="52"/>
      <c r="G648" s="52"/>
      <c r="H648" s="52"/>
    </row>
    <row r="649" spans="1:8" ht="15.75">
      <c r="A649" s="50">
        <v>40373</v>
      </c>
      <c r="B649" s="51">
        <v>3640.72</v>
      </c>
      <c r="C649" s="52"/>
      <c r="D649" s="52"/>
      <c r="E649" s="52"/>
      <c r="F649" s="52"/>
      <c r="G649" s="52"/>
      <c r="H649" s="52"/>
    </row>
    <row r="650" spans="1:8" ht="15.75">
      <c r="A650" s="50">
        <v>40374</v>
      </c>
      <c r="B650" s="51">
        <v>3605.3</v>
      </c>
      <c r="C650" s="52"/>
      <c r="D650" s="52"/>
      <c r="E650" s="52"/>
      <c r="F650" s="52"/>
      <c r="G650" s="52"/>
      <c r="H650" s="52"/>
    </row>
    <row r="651" spans="1:8" ht="15.75">
      <c r="A651" s="50">
        <v>40375</v>
      </c>
      <c r="B651" s="51">
        <v>3541.35</v>
      </c>
      <c r="C651" s="52"/>
      <c r="D651" s="52"/>
      <c r="E651" s="52"/>
      <c r="F651" s="52"/>
      <c r="G651" s="52"/>
      <c r="H651" s="52"/>
    </row>
    <row r="652" spans="1:8" ht="15.75">
      <c r="A652" s="50">
        <v>40378</v>
      </c>
      <c r="B652" s="51">
        <v>3523.08</v>
      </c>
      <c r="C652" s="52"/>
      <c r="D652" s="52"/>
      <c r="E652" s="52"/>
      <c r="F652" s="52"/>
      <c r="G652" s="52"/>
      <c r="H652" s="52"/>
    </row>
    <row r="653" spans="1:8" ht="15.75">
      <c r="A653" s="50">
        <v>40379</v>
      </c>
      <c r="B653" s="51">
        <v>3498.68</v>
      </c>
      <c r="C653" s="52"/>
      <c r="D653" s="52"/>
      <c r="E653" s="52"/>
      <c r="F653" s="52"/>
      <c r="G653" s="52"/>
      <c r="H653" s="52"/>
    </row>
    <row r="654" spans="1:8" ht="15.75">
      <c r="A654" s="50">
        <v>40380</v>
      </c>
      <c r="B654" s="51">
        <v>3512.1</v>
      </c>
      <c r="C654" s="52"/>
      <c r="D654" s="52"/>
      <c r="E654" s="52"/>
      <c r="F654" s="52"/>
      <c r="G654" s="52"/>
      <c r="H654" s="52"/>
    </row>
    <row r="655" spans="1:8" ht="15.75">
      <c r="A655" s="50">
        <v>40381</v>
      </c>
      <c r="B655" s="51">
        <v>3601.08</v>
      </c>
      <c r="C655" s="52"/>
      <c r="D655" s="52"/>
      <c r="E655" s="52"/>
      <c r="F655" s="52"/>
      <c r="G655" s="52"/>
      <c r="H655" s="52"/>
    </row>
    <row r="656" spans="1:8" ht="15.75">
      <c r="A656" s="50">
        <v>40382</v>
      </c>
      <c r="B656" s="51">
        <v>3615.26</v>
      </c>
      <c r="C656" s="52"/>
      <c r="D656" s="52"/>
      <c r="E656" s="52"/>
      <c r="F656" s="52"/>
      <c r="G656" s="52"/>
      <c r="H656" s="52"/>
    </row>
    <row r="657" spans="1:8" ht="15.75">
      <c r="A657" s="50">
        <v>40385</v>
      </c>
      <c r="B657" s="51">
        <v>3631.6</v>
      </c>
      <c r="C657" s="52"/>
      <c r="D657" s="52"/>
      <c r="E657" s="52"/>
      <c r="F657" s="52"/>
      <c r="G657" s="52"/>
      <c r="H657" s="52"/>
    </row>
    <row r="658" spans="1:8" ht="15.75">
      <c r="A658" s="50">
        <v>40386</v>
      </c>
      <c r="B658" s="51">
        <v>3639.28</v>
      </c>
      <c r="C658" s="52"/>
      <c r="D658" s="52"/>
      <c r="E658" s="52"/>
      <c r="F658" s="52"/>
      <c r="G658" s="52"/>
      <c r="H658" s="52"/>
    </row>
    <row r="659" spans="1:8" ht="15.75">
      <c r="A659" s="50">
        <v>40387</v>
      </c>
      <c r="B659" s="51">
        <v>3622.65</v>
      </c>
      <c r="C659" s="52"/>
      <c r="D659" s="52"/>
      <c r="E659" s="52"/>
      <c r="F659" s="52"/>
      <c r="G659" s="52"/>
      <c r="H659" s="52"/>
    </row>
    <row r="660" spans="1:8" ht="15.75">
      <c r="A660" s="50">
        <v>40388</v>
      </c>
      <c r="B660" s="51">
        <v>3596.71</v>
      </c>
      <c r="C660" s="52"/>
      <c r="D660" s="52"/>
      <c r="E660" s="52"/>
      <c r="F660" s="52"/>
      <c r="G660" s="52"/>
      <c r="H660" s="52"/>
    </row>
    <row r="661" spans="1:8" ht="15.75">
      <c r="A661" s="50">
        <v>40389</v>
      </c>
      <c r="B661" s="51">
        <v>3604.49</v>
      </c>
      <c r="C661" s="52"/>
      <c r="D661" s="52"/>
      <c r="E661" s="52"/>
      <c r="F661" s="52"/>
      <c r="G661" s="52"/>
      <c r="H661" s="52"/>
    </row>
    <row r="662" spans="1:8" ht="15.75">
      <c r="A662" s="50">
        <v>40392</v>
      </c>
      <c r="B662" s="51">
        <v>3689.01</v>
      </c>
      <c r="C662" s="52"/>
      <c r="D662" s="52"/>
      <c r="E662" s="52"/>
      <c r="F662" s="52"/>
      <c r="G662" s="52"/>
      <c r="H662" s="52"/>
    </row>
    <row r="663" spans="1:8" ht="15.75">
      <c r="A663" s="50">
        <v>40393</v>
      </c>
      <c r="B663" s="51">
        <v>3698.26</v>
      </c>
      <c r="C663" s="52"/>
      <c r="D663" s="52"/>
      <c r="E663" s="52"/>
      <c r="F663" s="52"/>
      <c r="G663" s="52"/>
      <c r="H663" s="52"/>
    </row>
    <row r="664" spans="1:8" ht="15.75">
      <c r="A664" s="50">
        <v>40394</v>
      </c>
      <c r="B664" s="51">
        <v>3711.99</v>
      </c>
      <c r="C664" s="52"/>
      <c r="D664" s="52"/>
      <c r="E664" s="52"/>
      <c r="F664" s="52"/>
      <c r="G664" s="52"/>
      <c r="H664" s="52"/>
    </row>
    <row r="665" spans="1:8" ht="15.75">
      <c r="A665" s="50">
        <v>40395</v>
      </c>
      <c r="B665" s="51">
        <v>3713.31</v>
      </c>
      <c r="C665" s="52"/>
      <c r="D665" s="52"/>
      <c r="E665" s="52"/>
      <c r="F665" s="52"/>
      <c r="G665" s="52"/>
      <c r="H665" s="52"/>
    </row>
    <row r="666" spans="1:8" ht="15.75">
      <c r="A666" s="50">
        <v>40396</v>
      </c>
      <c r="B666" s="51">
        <v>3669.96</v>
      </c>
      <c r="C666" s="52"/>
      <c r="D666" s="52"/>
      <c r="E666" s="52"/>
      <c r="F666" s="52"/>
      <c r="G666" s="52"/>
      <c r="H666" s="52"/>
    </row>
    <row r="667" spans="1:8" ht="15.75">
      <c r="A667" s="50">
        <v>40399</v>
      </c>
      <c r="B667" s="51">
        <v>3723.87</v>
      </c>
      <c r="C667" s="52"/>
      <c r="D667" s="52"/>
      <c r="E667" s="52"/>
      <c r="F667" s="52"/>
      <c r="G667" s="52"/>
      <c r="H667" s="52"/>
    </row>
    <row r="668" spans="1:8" ht="15.75">
      <c r="A668" s="50">
        <v>40400</v>
      </c>
      <c r="B668" s="51">
        <v>3685.56</v>
      </c>
      <c r="C668" s="52"/>
      <c r="D668" s="52"/>
      <c r="E668" s="52"/>
      <c r="F668" s="52"/>
      <c r="G668" s="52"/>
      <c r="H668" s="52"/>
    </row>
    <row r="669" spans="1:8" ht="15.75">
      <c r="A669" s="50">
        <v>40401</v>
      </c>
      <c r="B669" s="51">
        <v>3608.07</v>
      </c>
      <c r="C669" s="52"/>
      <c r="D669" s="52"/>
      <c r="E669" s="52"/>
      <c r="F669" s="52"/>
      <c r="G669" s="52"/>
      <c r="H669" s="52"/>
    </row>
    <row r="670" spans="1:8" ht="15.75">
      <c r="A670" s="50">
        <v>40402</v>
      </c>
      <c r="B670" s="51">
        <v>3596.98</v>
      </c>
      <c r="C670" s="52"/>
      <c r="D670" s="52"/>
      <c r="E670" s="52"/>
      <c r="F670" s="52"/>
      <c r="G670" s="52"/>
      <c r="H670" s="52"/>
    </row>
    <row r="671" spans="1:8" ht="15.75">
      <c r="A671" s="50">
        <v>40403</v>
      </c>
      <c r="B671" s="51">
        <v>3582.47</v>
      </c>
      <c r="C671" s="52"/>
      <c r="D671" s="52"/>
      <c r="E671" s="52"/>
      <c r="F671" s="52"/>
      <c r="G671" s="52"/>
      <c r="H671" s="52"/>
    </row>
    <row r="672" spans="1:8" ht="15.75">
      <c r="A672" s="50">
        <v>40406</v>
      </c>
      <c r="B672" s="51">
        <v>3582.56</v>
      </c>
      <c r="C672" s="52"/>
      <c r="D672" s="52"/>
      <c r="E672" s="52"/>
      <c r="F672" s="52"/>
      <c r="G672" s="52"/>
      <c r="H672" s="52"/>
    </row>
    <row r="673" spans="1:8" ht="15.75">
      <c r="A673" s="50">
        <v>40407</v>
      </c>
      <c r="B673" s="51">
        <v>3638.74</v>
      </c>
      <c r="C673" s="52"/>
      <c r="D673" s="52"/>
      <c r="E673" s="52"/>
      <c r="F673" s="52"/>
      <c r="G673" s="52"/>
      <c r="H673" s="52"/>
    </row>
    <row r="674" spans="1:8" ht="15.75">
      <c r="A674" s="50">
        <v>40408</v>
      </c>
      <c r="B674" s="51">
        <v>3626.97</v>
      </c>
      <c r="C674" s="52"/>
      <c r="D674" s="52"/>
      <c r="E674" s="52"/>
      <c r="F674" s="52"/>
      <c r="G674" s="52"/>
      <c r="H674" s="52"/>
    </row>
    <row r="675" spans="1:8" ht="15.75">
      <c r="A675" s="50">
        <v>40409</v>
      </c>
      <c r="B675" s="51">
        <v>3561.78</v>
      </c>
      <c r="C675" s="52"/>
      <c r="D675" s="52"/>
      <c r="E675" s="52"/>
      <c r="F675" s="52"/>
      <c r="G675" s="52"/>
      <c r="H675" s="52"/>
    </row>
    <row r="676" spans="1:8" ht="15.75">
      <c r="A676" s="50">
        <v>40410</v>
      </c>
      <c r="B676" s="51">
        <v>3520.76</v>
      </c>
      <c r="C676" s="52"/>
      <c r="D676" s="52"/>
      <c r="E676" s="52"/>
      <c r="F676" s="52"/>
      <c r="G676" s="52"/>
      <c r="H676" s="52"/>
    </row>
    <row r="677" spans="1:8" ht="15.75">
      <c r="A677" s="50">
        <v>40413</v>
      </c>
      <c r="B677" s="51">
        <v>3524.14</v>
      </c>
      <c r="C677" s="52"/>
      <c r="D677" s="52"/>
      <c r="E677" s="52"/>
      <c r="F677" s="52"/>
      <c r="G677" s="52"/>
      <c r="H677" s="52"/>
    </row>
    <row r="678" spans="1:8" ht="15.75">
      <c r="A678" s="50">
        <v>40414</v>
      </c>
      <c r="B678" s="51">
        <v>3479.88</v>
      </c>
      <c r="C678" s="52"/>
      <c r="D678" s="52"/>
      <c r="E678" s="52"/>
      <c r="F678" s="52"/>
      <c r="G678" s="52"/>
      <c r="H678" s="52"/>
    </row>
    <row r="679" spans="1:8" ht="15.75">
      <c r="A679" s="50">
        <v>40415</v>
      </c>
      <c r="B679" s="51">
        <v>3458.81</v>
      </c>
      <c r="C679" s="52"/>
      <c r="D679" s="52"/>
      <c r="E679" s="52"/>
      <c r="F679" s="52"/>
      <c r="G679" s="52"/>
      <c r="H679" s="52"/>
    </row>
    <row r="680" spans="1:8" ht="15.75">
      <c r="A680" s="50">
        <v>40416</v>
      </c>
      <c r="B680" s="51">
        <v>3466.49</v>
      </c>
      <c r="C680" s="52"/>
      <c r="D680" s="52"/>
      <c r="E680" s="52"/>
      <c r="F680" s="52"/>
      <c r="G680" s="52"/>
      <c r="H680" s="52"/>
    </row>
    <row r="681" spans="1:8" ht="15.75">
      <c r="A681" s="50">
        <v>40417</v>
      </c>
      <c r="B681" s="51">
        <v>3489.11</v>
      </c>
      <c r="C681" s="52"/>
      <c r="D681" s="52"/>
      <c r="E681" s="52"/>
      <c r="F681" s="52"/>
      <c r="G681" s="52"/>
      <c r="H681" s="52"/>
    </row>
    <row r="682" spans="1:8" ht="15.75">
      <c r="A682" s="50">
        <v>40420</v>
      </c>
      <c r="B682" s="51">
        <v>3466.39</v>
      </c>
      <c r="C682" s="52"/>
      <c r="D682" s="52"/>
      <c r="E682" s="52"/>
      <c r="F682" s="52"/>
      <c r="G682" s="52"/>
      <c r="H682" s="52"/>
    </row>
    <row r="683" spans="1:8" ht="15.75">
      <c r="A683" s="50">
        <v>40421</v>
      </c>
      <c r="B683" s="51">
        <v>3473.9</v>
      </c>
      <c r="C683" s="52"/>
      <c r="D683" s="52"/>
      <c r="E683" s="52"/>
      <c r="F683" s="52"/>
      <c r="G683" s="52"/>
      <c r="H683" s="52"/>
    </row>
    <row r="684" spans="1:8" ht="15.75">
      <c r="A684" s="50">
        <v>40422</v>
      </c>
      <c r="B684" s="51">
        <v>3566.93</v>
      </c>
      <c r="C684" s="52"/>
      <c r="D684" s="52"/>
      <c r="E684" s="52"/>
      <c r="F684" s="52"/>
      <c r="G684" s="52"/>
      <c r="H684" s="52"/>
    </row>
    <row r="685" spans="1:8" ht="15.75">
      <c r="A685" s="50">
        <v>40423</v>
      </c>
      <c r="B685" s="51">
        <v>3566.9</v>
      </c>
      <c r="C685" s="52"/>
      <c r="D685" s="52"/>
      <c r="E685" s="52"/>
      <c r="F685" s="52"/>
      <c r="G685" s="52"/>
      <c r="H685" s="52"/>
    </row>
    <row r="686" spans="1:8" ht="15.75">
      <c r="A686" s="50">
        <v>40424</v>
      </c>
      <c r="B686" s="51">
        <v>3596.66</v>
      </c>
      <c r="C686" s="52"/>
      <c r="D686" s="52"/>
      <c r="E686" s="52"/>
      <c r="F686" s="52"/>
      <c r="G686" s="52"/>
      <c r="H686" s="52"/>
    </row>
    <row r="687" spans="1:8" ht="15.75">
      <c r="A687" s="50">
        <v>40427</v>
      </c>
      <c r="B687" s="51">
        <v>3608.64</v>
      </c>
      <c r="C687" s="52"/>
      <c r="D687" s="52"/>
      <c r="E687" s="52"/>
      <c r="F687" s="52"/>
      <c r="G687" s="52"/>
      <c r="H687" s="52"/>
    </row>
    <row r="688" spans="1:8" ht="15.75">
      <c r="A688" s="50">
        <v>40428</v>
      </c>
      <c r="B688" s="51">
        <v>3586.85</v>
      </c>
      <c r="C688" s="52"/>
      <c r="D688" s="52"/>
      <c r="E688" s="52"/>
      <c r="F688" s="52"/>
      <c r="G688" s="52"/>
      <c r="H688" s="52"/>
    </row>
    <row r="689" spans="1:8" ht="15.75">
      <c r="A689" s="50">
        <v>40429</v>
      </c>
      <c r="B689" s="51">
        <v>3614.15</v>
      </c>
      <c r="C689" s="52"/>
      <c r="D689" s="52"/>
      <c r="E689" s="52"/>
      <c r="F689" s="52"/>
      <c r="G689" s="52"/>
      <c r="H689" s="52"/>
    </row>
    <row r="690" spans="1:8" ht="15.75">
      <c r="A690" s="50">
        <v>40430</v>
      </c>
      <c r="B690" s="51">
        <v>3647.61</v>
      </c>
      <c r="C690" s="52"/>
      <c r="D690" s="52"/>
      <c r="E690" s="52"/>
      <c r="F690" s="52"/>
      <c r="G690" s="52"/>
      <c r="H690" s="52"/>
    </row>
    <row r="691" spans="1:8" ht="15.75">
      <c r="A691" s="50">
        <v>40431</v>
      </c>
      <c r="B691" s="51">
        <v>3643.66</v>
      </c>
      <c r="C691" s="52"/>
      <c r="D691" s="52"/>
      <c r="E691" s="52"/>
      <c r="F691" s="52"/>
      <c r="G691" s="52"/>
      <c r="H691" s="52"/>
    </row>
    <row r="692" spans="1:8" ht="15.75">
      <c r="A692" s="50">
        <v>40434</v>
      </c>
      <c r="B692" s="51">
        <v>3671.16</v>
      </c>
      <c r="C692" s="52"/>
      <c r="D692" s="52"/>
      <c r="E692" s="52"/>
      <c r="F692" s="52"/>
      <c r="G692" s="52"/>
      <c r="H692" s="52"/>
    </row>
    <row r="693" spans="1:8" ht="15.75">
      <c r="A693" s="50">
        <v>40435</v>
      </c>
      <c r="B693" s="51">
        <v>3679.21</v>
      </c>
      <c r="C693" s="52"/>
      <c r="D693" s="52"/>
      <c r="E693" s="52"/>
      <c r="F693" s="52"/>
      <c r="G693" s="52"/>
      <c r="H693" s="52"/>
    </row>
    <row r="694" spans="1:8" ht="15.75">
      <c r="A694" s="50">
        <v>40436</v>
      </c>
      <c r="B694" s="51">
        <v>3671.27</v>
      </c>
      <c r="C694" s="52"/>
      <c r="D694" s="52"/>
      <c r="E694" s="52"/>
      <c r="F694" s="52"/>
      <c r="G694" s="52"/>
      <c r="H694" s="52"/>
    </row>
    <row r="695" spans="1:8" ht="15.75">
      <c r="A695" s="50">
        <v>40437</v>
      </c>
      <c r="B695" s="51">
        <v>3664.11</v>
      </c>
      <c r="C695" s="52"/>
      <c r="D695" s="52"/>
      <c r="E695" s="52"/>
      <c r="F695" s="52"/>
      <c r="G695" s="52"/>
      <c r="H695" s="52"/>
    </row>
    <row r="696" spans="1:8" ht="15.75">
      <c r="A696" s="50">
        <v>40438</v>
      </c>
      <c r="B696" s="51">
        <v>3640.71</v>
      </c>
      <c r="C696" s="52"/>
      <c r="D696" s="52"/>
      <c r="E696" s="52"/>
      <c r="F696" s="52"/>
      <c r="G696" s="52"/>
      <c r="H696" s="52"/>
    </row>
    <row r="697" spans="1:8" ht="15.75">
      <c r="A697" s="50">
        <v>40441</v>
      </c>
      <c r="B697" s="51">
        <v>3690.44</v>
      </c>
      <c r="C697" s="52"/>
      <c r="D697" s="52"/>
      <c r="E697" s="52"/>
      <c r="F697" s="52"/>
      <c r="G697" s="52"/>
      <c r="H697" s="52"/>
    </row>
    <row r="698" spans="1:8" ht="15.75">
      <c r="A698" s="50">
        <v>40442</v>
      </c>
      <c r="B698" s="51">
        <v>3679.53</v>
      </c>
      <c r="C698" s="52"/>
      <c r="D698" s="52"/>
      <c r="E698" s="52"/>
      <c r="F698" s="52"/>
      <c r="G698" s="52"/>
      <c r="H698" s="52"/>
    </row>
    <row r="699" spans="1:8" ht="15.75">
      <c r="A699" s="50">
        <v>40443</v>
      </c>
      <c r="B699" s="51">
        <v>3639.87</v>
      </c>
      <c r="C699" s="52"/>
      <c r="D699" s="52"/>
      <c r="E699" s="52"/>
      <c r="F699" s="52"/>
      <c r="G699" s="52"/>
      <c r="H699" s="52"/>
    </row>
    <row r="700" spans="1:8" ht="15.75">
      <c r="A700" s="50">
        <v>40444</v>
      </c>
      <c r="B700" s="51">
        <v>3626.02</v>
      </c>
      <c r="C700" s="52"/>
      <c r="D700" s="52"/>
      <c r="E700" s="52"/>
      <c r="F700" s="52"/>
      <c r="G700" s="52"/>
      <c r="H700" s="52"/>
    </row>
    <row r="701" spans="1:8" ht="15.75">
      <c r="A701" s="50">
        <v>40445</v>
      </c>
      <c r="B701" s="51">
        <v>3692.62</v>
      </c>
      <c r="C701" s="52"/>
      <c r="D701" s="52"/>
      <c r="E701" s="52"/>
      <c r="F701" s="52"/>
      <c r="G701" s="52"/>
      <c r="H701" s="52"/>
    </row>
    <row r="702" spans="1:8" ht="15.75">
      <c r="A702" s="50">
        <v>40448</v>
      </c>
      <c r="B702" s="51">
        <v>3681.24</v>
      </c>
      <c r="C702" s="52"/>
      <c r="D702" s="52"/>
      <c r="E702" s="52"/>
      <c r="F702" s="52"/>
      <c r="G702" s="52"/>
      <c r="H702" s="52"/>
    </row>
    <row r="703" spans="1:8" ht="15.75">
      <c r="A703" s="50">
        <v>40449</v>
      </c>
      <c r="B703" s="51">
        <v>3679.6</v>
      </c>
      <c r="C703" s="52"/>
      <c r="D703" s="52"/>
      <c r="E703" s="52"/>
      <c r="F703" s="52"/>
      <c r="G703" s="52"/>
      <c r="H703" s="52"/>
    </row>
    <row r="704" spans="1:8" ht="15.75">
      <c r="A704" s="50">
        <v>40450</v>
      </c>
      <c r="B704" s="51">
        <v>3662.5</v>
      </c>
      <c r="C704" s="52"/>
      <c r="D704" s="52"/>
      <c r="E704" s="52"/>
      <c r="F704" s="52"/>
      <c r="G704" s="52"/>
      <c r="H704" s="52"/>
    </row>
    <row r="705" spans="1:8" ht="15.75">
      <c r="A705" s="50">
        <v>40451</v>
      </c>
      <c r="B705" s="51">
        <v>3652</v>
      </c>
      <c r="C705" s="52"/>
      <c r="D705" s="52"/>
      <c r="E705" s="52"/>
      <c r="F705" s="52"/>
      <c r="G705" s="52"/>
      <c r="H705" s="52"/>
    </row>
    <row r="706" spans="1:8" ht="15.75">
      <c r="A706" s="50">
        <v>40452</v>
      </c>
      <c r="B706" s="51">
        <v>3641.64</v>
      </c>
      <c r="C706" s="52"/>
      <c r="D706" s="52"/>
      <c r="E706" s="52"/>
      <c r="F706" s="52"/>
      <c r="G706" s="52"/>
      <c r="H706" s="52"/>
    </row>
    <row r="707" spans="1:8" ht="15.75">
      <c r="A707" s="50">
        <v>40455</v>
      </c>
      <c r="B707" s="51">
        <v>3596.42</v>
      </c>
      <c r="C707" s="52"/>
      <c r="D707" s="52"/>
      <c r="E707" s="52"/>
      <c r="F707" s="52"/>
      <c r="G707" s="52"/>
      <c r="H707" s="52"/>
    </row>
    <row r="708" spans="1:8" ht="15.75">
      <c r="A708" s="50">
        <v>40456</v>
      </c>
      <c r="B708" s="51">
        <v>3644.27</v>
      </c>
      <c r="C708" s="52"/>
      <c r="D708" s="52"/>
      <c r="E708" s="52"/>
      <c r="F708" s="52"/>
      <c r="G708" s="52"/>
      <c r="H708" s="52"/>
    </row>
    <row r="709" spans="1:8" ht="15.75">
      <c r="A709" s="50">
        <v>40457</v>
      </c>
      <c r="B709" s="51">
        <v>3676.45</v>
      </c>
      <c r="C709" s="52"/>
      <c r="D709" s="52"/>
      <c r="E709" s="52"/>
      <c r="F709" s="52"/>
      <c r="G709" s="52"/>
      <c r="H709" s="52"/>
    </row>
    <row r="710" spans="1:8" ht="15.75">
      <c r="A710" s="50">
        <v>40458</v>
      </c>
      <c r="B710" s="51">
        <v>3679.69</v>
      </c>
      <c r="C710" s="52"/>
      <c r="D710" s="52"/>
      <c r="E710" s="52"/>
      <c r="F710" s="52"/>
      <c r="G710" s="52"/>
      <c r="H710" s="52"/>
    </row>
    <row r="711" spans="1:8" ht="15.75">
      <c r="A711" s="50">
        <v>40459</v>
      </c>
      <c r="B711" s="51">
        <v>3688.73</v>
      </c>
      <c r="C711" s="52"/>
      <c r="D711" s="52"/>
      <c r="E711" s="52"/>
      <c r="F711" s="52"/>
      <c r="G711" s="52"/>
      <c r="H711" s="52"/>
    </row>
    <row r="712" spans="1:8" ht="15.75">
      <c r="A712" s="50">
        <v>40462</v>
      </c>
      <c r="B712" s="51">
        <v>3699.19</v>
      </c>
      <c r="C712" s="52"/>
      <c r="D712" s="52"/>
      <c r="E712" s="52"/>
      <c r="F712" s="52"/>
      <c r="G712" s="52"/>
      <c r="H712" s="52"/>
    </row>
    <row r="713" spans="1:8" ht="15.75">
      <c r="A713" s="50">
        <v>40463</v>
      </c>
      <c r="B713" s="51">
        <v>3696.29</v>
      </c>
      <c r="C713" s="52"/>
      <c r="D713" s="52"/>
      <c r="E713" s="52"/>
      <c r="F713" s="52"/>
      <c r="G713" s="52"/>
      <c r="H713" s="52"/>
    </row>
    <row r="714" spans="1:8" ht="15.75">
      <c r="A714" s="50">
        <v>40464</v>
      </c>
      <c r="B714" s="51">
        <v>3772.48</v>
      </c>
      <c r="C714" s="52"/>
      <c r="D714" s="52"/>
      <c r="E714" s="52"/>
      <c r="F714" s="52"/>
      <c r="G714" s="52"/>
      <c r="H714" s="52"/>
    </row>
    <row r="715" spans="1:8" ht="15.75">
      <c r="A715" s="50">
        <v>40465</v>
      </c>
      <c r="B715" s="51">
        <v>3784.65</v>
      </c>
      <c r="C715" s="52"/>
      <c r="D715" s="52"/>
      <c r="E715" s="52"/>
      <c r="F715" s="52"/>
      <c r="G715" s="52"/>
      <c r="H715" s="52"/>
    </row>
    <row r="716" spans="1:8" ht="15.75">
      <c r="A716" s="50">
        <v>40466</v>
      </c>
      <c r="B716" s="51">
        <v>3806.36</v>
      </c>
      <c r="C716" s="52"/>
      <c r="D716" s="52"/>
      <c r="E716" s="52"/>
      <c r="F716" s="52"/>
      <c r="G716" s="52"/>
      <c r="H716" s="52"/>
    </row>
    <row r="717" spans="1:8" ht="15.75">
      <c r="A717" s="50">
        <v>40469</v>
      </c>
      <c r="B717" s="51">
        <v>3820.63</v>
      </c>
      <c r="C717" s="52"/>
      <c r="D717" s="52"/>
      <c r="E717" s="52"/>
      <c r="F717" s="52"/>
      <c r="G717" s="52"/>
      <c r="H717" s="52"/>
    </row>
    <row r="718" spans="1:8" ht="15.75">
      <c r="A718" s="50">
        <v>40470</v>
      </c>
      <c r="B718" s="51">
        <v>3805.42</v>
      </c>
      <c r="C718" s="52"/>
      <c r="D718" s="52"/>
      <c r="E718" s="52"/>
      <c r="F718" s="52"/>
      <c r="G718" s="52"/>
      <c r="H718" s="52"/>
    </row>
    <row r="719" spans="1:8" ht="15.75">
      <c r="A719" s="50">
        <v>40471</v>
      </c>
      <c r="B719" s="51">
        <v>3825.27</v>
      </c>
      <c r="C719" s="52"/>
      <c r="D719" s="52"/>
      <c r="E719" s="52"/>
      <c r="F719" s="52"/>
      <c r="G719" s="52"/>
      <c r="H719" s="52"/>
    </row>
    <row r="720" spans="1:8" ht="15.75">
      <c r="A720" s="50">
        <v>40472</v>
      </c>
      <c r="B720" s="51">
        <v>3875.96</v>
      </c>
      <c r="C720" s="52"/>
      <c r="D720" s="52"/>
      <c r="E720" s="52"/>
      <c r="F720" s="52"/>
      <c r="G720" s="52"/>
      <c r="H720" s="52"/>
    </row>
    <row r="721" spans="1:8" ht="15.75">
      <c r="A721" s="50">
        <v>40473</v>
      </c>
      <c r="B721" s="51">
        <v>3872.93</v>
      </c>
      <c r="C721" s="52"/>
      <c r="D721" s="52"/>
      <c r="E721" s="52"/>
      <c r="F721" s="52"/>
      <c r="G721" s="52"/>
      <c r="H721" s="52"/>
    </row>
    <row r="722" spans="1:8" ht="15.75">
      <c r="A722" s="50">
        <v>40476</v>
      </c>
      <c r="B722" s="51">
        <v>3892.49</v>
      </c>
      <c r="C722" s="52"/>
      <c r="D722" s="52"/>
      <c r="E722" s="52"/>
      <c r="F722" s="52"/>
      <c r="G722" s="52"/>
      <c r="H722" s="52"/>
    </row>
    <row r="723" spans="1:8" ht="15.75">
      <c r="A723" s="50">
        <v>40477</v>
      </c>
      <c r="B723" s="51">
        <v>3877.6</v>
      </c>
      <c r="C723" s="52"/>
      <c r="D723" s="52"/>
      <c r="E723" s="52"/>
      <c r="F723" s="52"/>
      <c r="G723" s="52"/>
      <c r="H723" s="52"/>
    </row>
    <row r="724" spans="1:8" ht="15.75">
      <c r="A724" s="50">
        <v>40478</v>
      </c>
      <c r="B724" s="51">
        <v>3850.74</v>
      </c>
      <c r="C724" s="52"/>
      <c r="D724" s="52"/>
      <c r="E724" s="52"/>
      <c r="F724" s="52"/>
      <c r="G724" s="52"/>
      <c r="H724" s="52"/>
    </row>
    <row r="725" spans="1:8" ht="15.75">
      <c r="A725" s="50">
        <v>40479</v>
      </c>
      <c r="B725" s="51">
        <v>3866.74</v>
      </c>
      <c r="C725" s="52"/>
      <c r="D725" s="52"/>
      <c r="E725" s="52"/>
      <c r="F725" s="52"/>
      <c r="G725" s="52"/>
      <c r="H725" s="52"/>
    </row>
    <row r="726" spans="1:8" ht="15.75">
      <c r="A726" s="50">
        <v>40480</v>
      </c>
      <c r="B726" s="51">
        <v>3870.31</v>
      </c>
      <c r="C726" s="52"/>
      <c r="D726" s="52"/>
      <c r="E726" s="52"/>
      <c r="F726" s="52"/>
      <c r="G726" s="52"/>
      <c r="H726" s="52"/>
    </row>
    <row r="727" spans="1:8" ht="15.75">
      <c r="A727" s="50">
        <v>40483</v>
      </c>
      <c r="B727" s="51">
        <v>3872.35</v>
      </c>
      <c r="C727" s="52"/>
      <c r="D727" s="52"/>
      <c r="E727" s="52"/>
      <c r="F727" s="52"/>
      <c r="G727" s="52"/>
      <c r="H727" s="52"/>
    </row>
    <row r="728" spans="1:8" ht="15.75">
      <c r="A728" s="50">
        <v>40484</v>
      </c>
      <c r="B728" s="51">
        <v>3901.34</v>
      </c>
      <c r="C728" s="52"/>
      <c r="D728" s="52"/>
      <c r="E728" s="52"/>
      <c r="F728" s="52"/>
      <c r="G728" s="52"/>
      <c r="H728" s="52"/>
    </row>
    <row r="729" spans="1:8" ht="15.75">
      <c r="A729" s="50">
        <v>40485</v>
      </c>
      <c r="B729" s="51">
        <v>3879.94</v>
      </c>
      <c r="C729" s="52"/>
      <c r="D729" s="52"/>
      <c r="E729" s="52"/>
      <c r="F729" s="52"/>
      <c r="G729" s="52"/>
      <c r="H729" s="52"/>
    </row>
    <row r="730" spans="1:8" ht="15.75">
      <c r="A730" s="50">
        <v>40486</v>
      </c>
      <c r="B730" s="51">
        <v>3948.47</v>
      </c>
      <c r="C730" s="52"/>
      <c r="D730" s="52"/>
      <c r="E730" s="52"/>
      <c r="F730" s="52"/>
      <c r="G730" s="52"/>
      <c r="H730" s="52"/>
    </row>
    <row r="731" spans="1:8" ht="15.75">
      <c r="A731" s="50">
        <v>40487</v>
      </c>
      <c r="B731" s="51">
        <v>3959.91</v>
      </c>
      <c r="C731" s="52"/>
      <c r="D731" s="52"/>
      <c r="E731" s="52"/>
      <c r="F731" s="52"/>
      <c r="G731" s="52"/>
      <c r="H731" s="52"/>
    </row>
    <row r="732" spans="1:8" ht="15.75">
      <c r="A732" s="50">
        <v>40490</v>
      </c>
      <c r="B732" s="51">
        <v>3957.74</v>
      </c>
      <c r="C732" s="52"/>
      <c r="D732" s="52"/>
      <c r="E732" s="52"/>
      <c r="F732" s="52"/>
      <c r="G732" s="52"/>
      <c r="H732" s="52"/>
    </row>
    <row r="733" spans="1:8" ht="15.75">
      <c r="A733" s="50">
        <v>40491</v>
      </c>
      <c r="B733" s="51">
        <v>3979.62</v>
      </c>
      <c r="C733" s="52"/>
      <c r="D733" s="52"/>
      <c r="E733" s="52"/>
      <c r="F733" s="52"/>
      <c r="G733" s="52"/>
      <c r="H733" s="52"/>
    </row>
    <row r="734" spans="1:8" ht="15.75">
      <c r="A734" s="50">
        <v>40492</v>
      </c>
      <c r="B734" s="51">
        <v>3939.77</v>
      </c>
      <c r="C734" s="52"/>
      <c r="D734" s="52"/>
      <c r="E734" s="52"/>
      <c r="F734" s="52"/>
      <c r="G734" s="52"/>
      <c r="H734" s="52"/>
    </row>
    <row r="735" spans="1:8" ht="15.75">
      <c r="A735" s="50">
        <v>40493</v>
      </c>
      <c r="B735" s="51">
        <v>3941.86</v>
      </c>
      <c r="C735" s="52"/>
      <c r="D735" s="52"/>
      <c r="E735" s="52"/>
      <c r="F735" s="52"/>
      <c r="G735" s="52"/>
      <c r="H735" s="52"/>
    </row>
    <row r="736" spans="1:8" ht="15.75">
      <c r="A736" s="50">
        <v>40494</v>
      </c>
      <c r="B736" s="51">
        <v>3948.43</v>
      </c>
      <c r="C736" s="52"/>
      <c r="D736" s="52"/>
      <c r="E736" s="52"/>
      <c r="F736" s="52"/>
      <c r="G736" s="52"/>
      <c r="H736" s="52"/>
    </row>
    <row r="737" spans="1:8" ht="15.75">
      <c r="A737" s="50">
        <v>40497</v>
      </c>
      <c r="B737" s="51">
        <v>3981</v>
      </c>
      <c r="C737" s="52"/>
      <c r="D737" s="52"/>
      <c r="E737" s="52"/>
      <c r="F737" s="52"/>
      <c r="G737" s="52"/>
      <c r="H737" s="52"/>
    </row>
    <row r="738" spans="1:8" ht="15.75">
      <c r="A738" s="50">
        <v>40498</v>
      </c>
      <c r="B738" s="51">
        <v>3906.58</v>
      </c>
      <c r="C738" s="52"/>
      <c r="D738" s="52"/>
      <c r="E738" s="52"/>
      <c r="F738" s="52"/>
      <c r="G738" s="52"/>
      <c r="H738" s="52"/>
    </row>
    <row r="739" spans="1:8" ht="15.75">
      <c r="A739" s="50">
        <v>40499</v>
      </c>
      <c r="B739" s="51">
        <v>3928.18</v>
      </c>
      <c r="C739" s="52"/>
      <c r="D739" s="52"/>
      <c r="E739" s="52"/>
      <c r="F739" s="52"/>
      <c r="G739" s="52"/>
      <c r="H739" s="52"/>
    </row>
    <row r="740" spans="1:8" ht="15.75">
      <c r="A740" s="50">
        <v>40500</v>
      </c>
      <c r="B740" s="51">
        <v>4005.59</v>
      </c>
      <c r="C740" s="52"/>
      <c r="D740" s="52"/>
      <c r="E740" s="52"/>
      <c r="F740" s="52"/>
      <c r="G740" s="52"/>
      <c r="H740" s="52"/>
    </row>
    <row r="741" spans="1:8" ht="15.75">
      <c r="A741" s="50">
        <v>40501</v>
      </c>
      <c r="B741" s="51">
        <v>4012.29</v>
      </c>
      <c r="C741" s="52"/>
      <c r="D741" s="52"/>
      <c r="E741" s="52"/>
      <c r="F741" s="52"/>
      <c r="G741" s="52"/>
      <c r="H741" s="52"/>
    </row>
    <row r="742" spans="1:8" ht="15.75">
      <c r="A742" s="50">
        <v>40504</v>
      </c>
      <c r="B742" s="51">
        <v>3999.69</v>
      </c>
      <c r="C742" s="52"/>
      <c r="D742" s="52"/>
      <c r="E742" s="52"/>
      <c r="F742" s="52"/>
      <c r="G742" s="52"/>
      <c r="H742" s="52"/>
    </row>
    <row r="743" spans="1:8" ht="15.75">
      <c r="A743" s="50">
        <v>40505</v>
      </c>
      <c r="B743" s="51">
        <v>3931.07</v>
      </c>
      <c r="C743" s="52"/>
      <c r="D743" s="52"/>
      <c r="E743" s="52"/>
      <c r="F743" s="52"/>
      <c r="G743" s="52"/>
      <c r="H743" s="52"/>
    </row>
    <row r="744" spans="1:8" ht="15.75">
      <c r="A744" s="50">
        <v>40506</v>
      </c>
      <c r="B744" s="51">
        <v>4000.72</v>
      </c>
      <c r="C744" s="52"/>
      <c r="D744" s="52"/>
      <c r="E744" s="52"/>
      <c r="F744" s="52"/>
      <c r="G744" s="52"/>
      <c r="H744" s="52"/>
    </row>
    <row r="745" spans="1:8" ht="15.75">
      <c r="A745" s="50">
        <v>40507</v>
      </c>
      <c r="B745" s="51">
        <v>4033.47</v>
      </c>
      <c r="C745" s="52"/>
      <c r="D745" s="52"/>
      <c r="E745" s="52"/>
      <c r="F745" s="52"/>
      <c r="G745" s="52"/>
      <c r="H745" s="52"/>
    </row>
    <row r="746" spans="1:8" ht="15.75">
      <c r="A746" s="50">
        <v>40508</v>
      </c>
      <c r="B746" s="51">
        <v>4015.48</v>
      </c>
      <c r="C746" s="52"/>
      <c r="D746" s="52"/>
      <c r="E746" s="52"/>
      <c r="F746" s="52"/>
      <c r="G746" s="52"/>
      <c r="H746" s="52"/>
    </row>
    <row r="747" spans="1:8" ht="15.75">
      <c r="A747" s="50">
        <v>40511</v>
      </c>
      <c r="B747" s="51">
        <v>3926.94</v>
      </c>
      <c r="C747" s="52"/>
      <c r="D747" s="52"/>
      <c r="E747" s="52"/>
      <c r="F747" s="52"/>
      <c r="G747" s="52"/>
      <c r="H747" s="52"/>
    </row>
    <row r="748" spans="1:8" ht="15.75">
      <c r="A748" s="50">
        <v>40512</v>
      </c>
      <c r="B748" s="51">
        <v>3921.39</v>
      </c>
      <c r="C748" s="52"/>
      <c r="D748" s="52"/>
      <c r="E748" s="52"/>
      <c r="F748" s="52"/>
      <c r="G748" s="52"/>
      <c r="H748" s="52"/>
    </row>
    <row r="749" spans="1:8" ht="15.75">
      <c r="A749" s="50">
        <v>40513</v>
      </c>
      <c r="B749" s="51">
        <v>4025.83</v>
      </c>
      <c r="C749" s="52"/>
      <c r="D749" s="52"/>
      <c r="E749" s="52"/>
      <c r="F749" s="52"/>
      <c r="G749" s="52"/>
      <c r="H749" s="52"/>
    </row>
    <row r="750" spans="1:8" ht="15.75">
      <c r="A750" s="50">
        <v>40514</v>
      </c>
      <c r="B750" s="51">
        <v>4079.17</v>
      </c>
      <c r="C750" s="52"/>
      <c r="D750" s="52"/>
      <c r="E750" s="52"/>
      <c r="F750" s="52"/>
      <c r="G750" s="52"/>
      <c r="H750" s="52"/>
    </row>
    <row r="751" spans="1:8" ht="15.75">
      <c r="A751" s="50">
        <v>40515</v>
      </c>
      <c r="B751" s="51">
        <v>4073.37</v>
      </c>
      <c r="C751" s="52"/>
      <c r="D751" s="52"/>
      <c r="E751" s="52"/>
      <c r="F751" s="52"/>
      <c r="G751" s="52"/>
      <c r="H751" s="52"/>
    </row>
    <row r="752" spans="1:8" ht="15.75">
      <c r="A752" s="50">
        <v>40518</v>
      </c>
      <c r="B752" s="51">
        <v>4077.27</v>
      </c>
      <c r="C752" s="52"/>
      <c r="D752" s="52"/>
      <c r="E752" s="52"/>
      <c r="F752" s="52"/>
      <c r="G752" s="52"/>
      <c r="H752" s="52"/>
    </row>
    <row r="753" spans="1:8" ht="15.75">
      <c r="A753" s="50">
        <v>40519</v>
      </c>
      <c r="B753" s="51">
        <v>4105.1400000000003</v>
      </c>
      <c r="C753" s="52"/>
      <c r="D753" s="52"/>
      <c r="E753" s="52"/>
      <c r="F753" s="52"/>
      <c r="G753" s="52"/>
      <c r="H753" s="52"/>
    </row>
    <row r="754" spans="1:8" ht="15.75">
      <c r="A754" s="50">
        <v>40520</v>
      </c>
      <c r="B754" s="51">
        <v>4089.87</v>
      </c>
      <c r="C754" s="52"/>
      <c r="D754" s="52"/>
      <c r="E754" s="52"/>
      <c r="F754" s="52"/>
      <c r="G754" s="52"/>
      <c r="H754" s="52"/>
    </row>
    <row r="755" spans="1:8" ht="15.75">
      <c r="A755" s="50">
        <v>40521</v>
      </c>
      <c r="B755" s="51">
        <v>4083.01</v>
      </c>
      <c r="C755" s="52"/>
      <c r="D755" s="52"/>
      <c r="E755" s="52"/>
      <c r="F755" s="52"/>
      <c r="G755" s="52"/>
      <c r="H755" s="52"/>
    </row>
    <row r="756" spans="1:8" ht="15.75">
      <c r="A756" s="50">
        <v>40522</v>
      </c>
      <c r="B756" s="51">
        <v>4107.63</v>
      </c>
      <c r="C756" s="52"/>
      <c r="D756" s="52"/>
      <c r="E756" s="52"/>
      <c r="F756" s="52"/>
      <c r="G756" s="52"/>
      <c r="H756" s="52"/>
    </row>
    <row r="757" spans="1:8" ht="15.75">
      <c r="A757" s="50">
        <v>40525</v>
      </c>
      <c r="B757" s="51">
        <v>4121.25</v>
      </c>
      <c r="C757" s="52"/>
      <c r="D757" s="52"/>
      <c r="E757" s="52"/>
      <c r="F757" s="52"/>
      <c r="G757" s="52"/>
      <c r="H757" s="52"/>
    </row>
    <row r="758" spans="1:8" ht="15.75">
      <c r="A758" s="50">
        <v>40526</v>
      </c>
      <c r="B758" s="51">
        <v>4120.08</v>
      </c>
      <c r="C758" s="52"/>
      <c r="D758" s="52"/>
      <c r="E758" s="52"/>
      <c r="F758" s="52"/>
      <c r="G758" s="52"/>
      <c r="H758" s="52"/>
    </row>
    <row r="759" spans="1:8" ht="15.75">
      <c r="A759" s="50">
        <v>40527</v>
      </c>
      <c r="B759" s="51">
        <v>4113.62</v>
      </c>
      <c r="C759" s="52"/>
      <c r="D759" s="52"/>
      <c r="E759" s="52"/>
      <c r="F759" s="52"/>
      <c r="G759" s="52"/>
      <c r="H759" s="52"/>
    </row>
    <row r="760" spans="1:8" ht="15.75">
      <c r="A760" s="50">
        <v>40528</v>
      </c>
      <c r="B760" s="51">
        <v>4118.32</v>
      </c>
      <c r="C760" s="52"/>
      <c r="D760" s="52"/>
      <c r="E760" s="52"/>
      <c r="F760" s="52"/>
      <c r="G760" s="52"/>
      <c r="H760" s="52"/>
    </row>
    <row r="761" spans="1:8" ht="15.75">
      <c r="A761" s="50">
        <v>40529</v>
      </c>
      <c r="B761" s="51">
        <v>4093.73</v>
      </c>
      <c r="C761" s="52"/>
      <c r="D761" s="52"/>
      <c r="E761" s="52"/>
      <c r="F761" s="52"/>
      <c r="G761" s="52"/>
      <c r="H761" s="52"/>
    </row>
    <row r="762" spans="1:8" ht="15.75">
      <c r="A762" s="50">
        <v>40532</v>
      </c>
      <c r="B762" s="51">
        <v>4114.93</v>
      </c>
      <c r="C762" s="52"/>
      <c r="D762" s="52"/>
      <c r="E762" s="52"/>
      <c r="F762" s="52"/>
      <c r="G762" s="52"/>
      <c r="H762" s="52"/>
    </row>
    <row r="763" spans="1:8" ht="15.75">
      <c r="A763" s="50">
        <v>40533</v>
      </c>
      <c r="B763" s="51">
        <v>4149.74</v>
      </c>
      <c r="C763" s="52"/>
      <c r="D763" s="52"/>
      <c r="E763" s="52"/>
      <c r="F763" s="52"/>
      <c r="G763" s="52"/>
      <c r="H763" s="52"/>
    </row>
    <row r="764" spans="1:8" ht="15.75">
      <c r="A764" s="50">
        <v>40534</v>
      </c>
      <c r="B764" s="51">
        <v>4143.84</v>
      </c>
      <c r="C764" s="52"/>
      <c r="D764" s="52"/>
      <c r="E764" s="52"/>
      <c r="F764" s="52"/>
      <c r="G764" s="52"/>
      <c r="H764" s="52"/>
    </row>
    <row r="765" spans="1:8" ht="15.75">
      <c r="A765" s="50">
        <v>40535</v>
      </c>
      <c r="B765" s="51">
        <v>4137.84</v>
      </c>
      <c r="C765" s="52"/>
      <c r="D765" s="52"/>
      <c r="E765" s="52"/>
      <c r="F765" s="52"/>
      <c r="G765" s="52"/>
      <c r="H765" s="52"/>
    </row>
    <row r="766" spans="1:8" ht="15.75">
      <c r="A766" s="50">
        <v>40539</v>
      </c>
      <c r="B766" s="51">
        <v>4086.86</v>
      </c>
      <c r="C766" s="52"/>
      <c r="D766" s="52"/>
      <c r="E766" s="52"/>
      <c r="F766" s="52"/>
      <c r="G766" s="52"/>
      <c r="H766" s="52"/>
    </row>
    <row r="767" spans="1:8" ht="15.75">
      <c r="A767" s="50">
        <v>40540</v>
      </c>
      <c r="B767" s="51">
        <v>4087.66</v>
      </c>
      <c r="C767" s="52"/>
      <c r="D767" s="52"/>
      <c r="E767" s="52"/>
      <c r="F767" s="52"/>
      <c r="G767" s="52"/>
      <c r="H767" s="52"/>
    </row>
    <row r="768" spans="1:8" ht="15.75">
      <c r="A768" s="50">
        <v>40541</v>
      </c>
      <c r="B768" s="51">
        <v>4101.3599999999997</v>
      </c>
      <c r="C768" s="52"/>
      <c r="D768" s="52"/>
      <c r="E768" s="52"/>
      <c r="F768" s="52"/>
      <c r="G768" s="52"/>
      <c r="H768" s="52"/>
    </row>
    <row r="769" spans="1:8" ht="15.75">
      <c r="A769" s="50">
        <v>40542</v>
      </c>
      <c r="B769" s="51">
        <v>4053.71</v>
      </c>
      <c r="C769" s="52"/>
      <c r="D769" s="52"/>
      <c r="E769" s="52"/>
      <c r="F769" s="52"/>
      <c r="G769" s="52"/>
      <c r="H769" s="52"/>
    </row>
    <row r="770" spans="1:8" ht="15.75">
      <c r="A770" s="50">
        <v>40546</v>
      </c>
      <c r="B770" s="51">
        <v>4098.01</v>
      </c>
      <c r="C770" s="52"/>
      <c r="D770" s="52"/>
      <c r="E770" s="52"/>
      <c r="F770" s="52"/>
      <c r="G770" s="52"/>
      <c r="H770" s="52"/>
    </row>
    <row r="771" spans="1:8" ht="15.75">
      <c r="A771" s="50">
        <v>40547</v>
      </c>
      <c r="B771" s="51">
        <v>4089.57</v>
      </c>
      <c r="C771" s="52"/>
      <c r="D771" s="52"/>
      <c r="E771" s="52"/>
      <c r="F771" s="52"/>
      <c r="G771" s="52"/>
      <c r="H771" s="52"/>
    </row>
    <row r="772" spans="1:8" ht="15.75">
      <c r="A772" s="50">
        <v>40548</v>
      </c>
      <c r="B772" s="51">
        <v>4068.74</v>
      </c>
      <c r="C772" s="52"/>
      <c r="D772" s="52"/>
      <c r="E772" s="52"/>
      <c r="F772" s="52"/>
      <c r="G772" s="52"/>
      <c r="H772" s="52"/>
    </row>
    <row r="773" spans="1:8" ht="15.75">
      <c r="A773" s="50">
        <v>40549</v>
      </c>
      <c r="B773" s="51">
        <v>4093.11</v>
      </c>
      <c r="C773" s="52"/>
      <c r="D773" s="52"/>
      <c r="E773" s="52"/>
      <c r="F773" s="52"/>
      <c r="G773" s="52"/>
      <c r="H773" s="52"/>
    </row>
    <row r="774" spans="1:8" ht="15.75">
      <c r="A774" s="50">
        <v>40550</v>
      </c>
      <c r="B774" s="51">
        <v>4073.44</v>
      </c>
      <c r="C774" s="52"/>
      <c r="D774" s="52"/>
      <c r="E774" s="52"/>
      <c r="F774" s="52"/>
      <c r="G774" s="52"/>
      <c r="H774" s="52"/>
    </row>
    <row r="775" spans="1:8" ht="15.75">
      <c r="A775" s="50">
        <v>40553</v>
      </c>
      <c r="B775" s="51">
        <v>4020.22</v>
      </c>
      <c r="C775" s="52"/>
      <c r="D775" s="52"/>
      <c r="E775" s="52"/>
      <c r="F775" s="52"/>
      <c r="G775" s="52"/>
      <c r="H775" s="52"/>
    </row>
    <row r="776" spans="1:8" ht="15.75">
      <c r="A776" s="50">
        <v>40554</v>
      </c>
      <c r="B776" s="51">
        <v>4069.76</v>
      </c>
      <c r="C776" s="52"/>
      <c r="D776" s="52"/>
      <c r="E776" s="52"/>
      <c r="F776" s="52"/>
      <c r="G776" s="52"/>
      <c r="H776" s="52"/>
    </row>
    <row r="777" spans="1:8" ht="15.75">
      <c r="A777" s="50">
        <v>40555</v>
      </c>
      <c r="B777" s="51">
        <v>4144.34</v>
      </c>
      <c r="C777" s="52"/>
      <c r="D777" s="52"/>
      <c r="E777" s="52"/>
      <c r="F777" s="52"/>
      <c r="G777" s="52"/>
      <c r="H777" s="52"/>
    </row>
    <row r="778" spans="1:8" ht="15.75">
      <c r="A778" s="50">
        <v>40556</v>
      </c>
      <c r="B778" s="51">
        <v>4148.05</v>
      </c>
      <c r="C778" s="52"/>
      <c r="D778" s="52"/>
      <c r="E778" s="52"/>
      <c r="F778" s="52"/>
      <c r="G778" s="52"/>
      <c r="H778" s="52"/>
    </row>
    <row r="779" spans="1:8" ht="15.75">
      <c r="A779" s="50">
        <v>40557</v>
      </c>
      <c r="B779" s="51">
        <v>4148.3999999999996</v>
      </c>
      <c r="C779" s="52"/>
      <c r="D779" s="52"/>
      <c r="E779" s="52"/>
      <c r="F779" s="52"/>
      <c r="G779" s="52"/>
      <c r="H779" s="52"/>
    </row>
    <row r="780" spans="1:8" ht="15.75">
      <c r="A780" s="50">
        <v>40560</v>
      </c>
      <c r="B780" s="51">
        <v>4149.78</v>
      </c>
      <c r="C780" s="52"/>
      <c r="D780" s="52"/>
      <c r="E780" s="52"/>
      <c r="F780" s="52"/>
      <c r="G780" s="52"/>
      <c r="H780" s="52"/>
    </row>
    <row r="781" spans="1:8" ht="15.75">
      <c r="A781" s="50">
        <v>40561</v>
      </c>
      <c r="B781" s="51">
        <v>4188.12</v>
      </c>
      <c r="C781" s="52"/>
      <c r="D781" s="52"/>
      <c r="E781" s="52"/>
      <c r="F781" s="52"/>
      <c r="G781" s="52"/>
      <c r="H781" s="52"/>
    </row>
    <row r="782" spans="1:8" ht="15.75">
      <c r="A782" s="50">
        <v>40562</v>
      </c>
      <c r="B782" s="51">
        <v>4152.54</v>
      </c>
      <c r="C782" s="52"/>
      <c r="D782" s="52"/>
      <c r="E782" s="52"/>
      <c r="F782" s="52"/>
      <c r="G782" s="52"/>
      <c r="H782" s="52"/>
    </row>
    <row r="783" spans="1:8" ht="15.75">
      <c r="A783" s="50">
        <v>40563</v>
      </c>
      <c r="B783" s="51">
        <v>4118.25</v>
      </c>
      <c r="C783" s="52"/>
      <c r="D783" s="52"/>
      <c r="E783" s="52"/>
      <c r="F783" s="52"/>
      <c r="G783" s="52"/>
      <c r="H783" s="52"/>
    </row>
    <row r="784" spans="1:8" ht="15.75">
      <c r="A784" s="50">
        <v>40564</v>
      </c>
      <c r="B784" s="51">
        <v>4140.62</v>
      </c>
      <c r="C784" s="52"/>
      <c r="D784" s="52"/>
      <c r="E784" s="52"/>
      <c r="F784" s="52"/>
      <c r="G784" s="52"/>
      <c r="H784" s="52"/>
    </row>
    <row r="785" spans="1:8" ht="15.75">
      <c r="A785" s="50">
        <v>40567</v>
      </c>
      <c r="B785" s="51">
        <v>4142.75</v>
      </c>
      <c r="C785" s="52"/>
      <c r="D785" s="52"/>
      <c r="E785" s="52"/>
      <c r="F785" s="52"/>
      <c r="G785" s="52"/>
      <c r="H785" s="52"/>
    </row>
    <row r="786" spans="1:8" ht="15.75">
      <c r="A786" s="50">
        <v>40568</v>
      </c>
      <c r="B786" s="51">
        <v>4137.6099999999997</v>
      </c>
      <c r="C786" s="52"/>
      <c r="D786" s="52"/>
      <c r="E786" s="52"/>
      <c r="F786" s="52"/>
      <c r="G786" s="52"/>
      <c r="H786" s="52"/>
    </row>
    <row r="787" spans="1:8" ht="15.75">
      <c r="A787" s="50">
        <v>40569</v>
      </c>
      <c r="B787" s="51">
        <v>4165.25</v>
      </c>
      <c r="C787" s="52"/>
      <c r="D787" s="52"/>
      <c r="E787" s="52"/>
      <c r="F787" s="52"/>
      <c r="G787" s="52"/>
      <c r="H787" s="52"/>
    </row>
    <row r="788" spans="1:8" ht="15.75">
      <c r="A788" s="50">
        <v>40570</v>
      </c>
      <c r="B788" s="51">
        <v>4181.7299999999996</v>
      </c>
      <c r="C788" s="52"/>
      <c r="D788" s="52"/>
      <c r="E788" s="52"/>
      <c r="F788" s="52"/>
      <c r="G788" s="52"/>
      <c r="H788" s="52"/>
    </row>
    <row r="789" spans="1:8" ht="15.75">
      <c r="A789" s="50">
        <v>40571</v>
      </c>
      <c r="B789" s="51">
        <v>4150.9399999999996</v>
      </c>
      <c r="C789" s="52"/>
      <c r="D789" s="52"/>
      <c r="E789" s="52"/>
      <c r="F789" s="52"/>
      <c r="G789" s="52"/>
      <c r="H789" s="52"/>
    </row>
    <row r="790" spans="1:8" ht="15.75">
      <c r="A790" s="50">
        <v>40574</v>
      </c>
      <c r="B790" s="51">
        <v>4136.1099999999997</v>
      </c>
      <c r="C790" s="52"/>
      <c r="D790" s="52"/>
      <c r="E790" s="52"/>
      <c r="F790" s="52"/>
      <c r="G790" s="52"/>
      <c r="H790" s="52"/>
    </row>
    <row r="791" spans="1:8" ht="15.75">
      <c r="A791" s="50">
        <v>40575</v>
      </c>
      <c r="B791" s="51">
        <v>4198.51</v>
      </c>
      <c r="C791" s="52"/>
      <c r="D791" s="52"/>
      <c r="E791" s="52"/>
      <c r="F791" s="52"/>
      <c r="G791" s="52"/>
      <c r="H791" s="52"/>
    </row>
    <row r="792" spans="1:8" ht="15.75">
      <c r="A792" s="50">
        <v>40576</v>
      </c>
      <c r="B792" s="51">
        <v>4198.34</v>
      </c>
      <c r="C792" s="52"/>
      <c r="D792" s="52"/>
      <c r="E792" s="52"/>
      <c r="F792" s="52"/>
      <c r="G792" s="52"/>
      <c r="H792" s="52"/>
    </row>
    <row r="793" spans="1:8" ht="15.75">
      <c r="A793" s="50">
        <v>40577</v>
      </c>
      <c r="B793" s="51">
        <v>4204.22</v>
      </c>
      <c r="C793" s="52"/>
      <c r="D793" s="52"/>
      <c r="E793" s="52"/>
      <c r="F793" s="52"/>
      <c r="G793" s="52"/>
      <c r="H793" s="52"/>
    </row>
    <row r="794" spans="1:8" ht="15.75">
      <c r="A794" s="50">
        <v>40578</v>
      </c>
      <c r="B794" s="51">
        <v>4217.46</v>
      </c>
      <c r="C794" s="52"/>
      <c r="D794" s="52"/>
      <c r="E794" s="52"/>
      <c r="F794" s="52"/>
      <c r="G794" s="52"/>
      <c r="H794" s="52"/>
    </row>
    <row r="795" spans="1:8" ht="15.75">
      <c r="A795" s="50">
        <v>40581</v>
      </c>
      <c r="B795" s="51">
        <v>4256.88</v>
      </c>
      <c r="C795" s="52"/>
      <c r="D795" s="52"/>
      <c r="E795" s="52"/>
      <c r="F795" s="52"/>
      <c r="G795" s="52"/>
      <c r="H795" s="52"/>
    </row>
    <row r="796" spans="1:8" ht="15.75">
      <c r="A796" s="50">
        <v>40582</v>
      </c>
      <c r="B796" s="51">
        <v>4280.1099999999997</v>
      </c>
      <c r="C796" s="52"/>
      <c r="D796" s="52"/>
      <c r="E796" s="52"/>
      <c r="F796" s="52"/>
      <c r="G796" s="52"/>
      <c r="H796" s="52"/>
    </row>
    <row r="797" spans="1:8" ht="15.75">
      <c r="A797" s="50">
        <v>40583</v>
      </c>
      <c r="B797" s="51">
        <v>4278.74</v>
      </c>
      <c r="C797" s="52"/>
      <c r="D797" s="52"/>
      <c r="E797" s="52"/>
      <c r="F797" s="52"/>
      <c r="G797" s="52"/>
      <c r="H797" s="52"/>
    </row>
    <row r="798" spans="1:8" ht="15.75">
      <c r="A798" s="50">
        <v>40584</v>
      </c>
      <c r="B798" s="51">
        <v>4290.13</v>
      </c>
      <c r="C798" s="52"/>
      <c r="D798" s="52"/>
      <c r="E798" s="52"/>
      <c r="F798" s="52"/>
      <c r="G798" s="52"/>
      <c r="H798" s="52"/>
    </row>
    <row r="799" spans="1:8" ht="15.75">
      <c r="A799" s="50">
        <v>40585</v>
      </c>
      <c r="B799" s="51">
        <v>4308.1499999999996</v>
      </c>
      <c r="C799" s="52"/>
      <c r="D799" s="52"/>
      <c r="E799" s="52"/>
      <c r="F799" s="52"/>
      <c r="G799" s="52"/>
      <c r="H799" s="52"/>
    </row>
    <row r="800" spans="1:8" ht="15.75">
      <c r="A800" s="50">
        <v>40588</v>
      </c>
      <c r="B800" s="51">
        <v>4323.01</v>
      </c>
      <c r="C800" s="52"/>
      <c r="D800" s="52"/>
      <c r="E800" s="52"/>
      <c r="F800" s="52"/>
      <c r="G800" s="52"/>
      <c r="H800" s="52"/>
    </row>
    <row r="801" spans="1:8" ht="15.75">
      <c r="A801" s="50">
        <v>40589</v>
      </c>
      <c r="B801" s="51">
        <v>4325.04</v>
      </c>
      <c r="C801" s="52"/>
      <c r="D801" s="52"/>
      <c r="E801" s="52"/>
      <c r="F801" s="52"/>
      <c r="G801" s="52"/>
      <c r="H801" s="52"/>
    </row>
    <row r="802" spans="1:8" ht="15.75">
      <c r="A802" s="50">
        <v>40590</v>
      </c>
      <c r="B802" s="51">
        <v>4333.13</v>
      </c>
      <c r="C802" s="52"/>
      <c r="D802" s="52"/>
      <c r="E802" s="52"/>
      <c r="F802" s="52"/>
      <c r="G802" s="52"/>
      <c r="H802" s="52"/>
    </row>
    <row r="803" spans="1:8" ht="15.75">
      <c r="A803" s="50">
        <v>40591</v>
      </c>
      <c r="B803" s="51">
        <v>4327.93</v>
      </c>
      <c r="C803" s="52"/>
      <c r="D803" s="52"/>
      <c r="E803" s="52"/>
      <c r="F803" s="52"/>
      <c r="G803" s="52"/>
      <c r="H803" s="52"/>
    </row>
    <row r="804" spans="1:8" ht="15.75">
      <c r="A804" s="50">
        <v>40592</v>
      </c>
      <c r="B804" s="51">
        <v>4339.59</v>
      </c>
      <c r="C804" s="52"/>
      <c r="D804" s="52"/>
      <c r="E804" s="52"/>
      <c r="F804" s="52"/>
      <c r="G804" s="52"/>
      <c r="H804" s="52"/>
    </row>
    <row r="805" spans="1:8" ht="15.75">
      <c r="A805" s="50">
        <v>40595</v>
      </c>
      <c r="B805" s="51">
        <v>4278.2</v>
      </c>
      <c r="C805" s="52"/>
      <c r="D805" s="52"/>
      <c r="E805" s="52"/>
      <c r="F805" s="52"/>
      <c r="G805" s="52"/>
      <c r="H805" s="52"/>
    </row>
    <row r="806" spans="1:8" ht="15.75">
      <c r="A806" s="50">
        <v>40596</v>
      </c>
      <c r="B806" s="51">
        <v>4276.33</v>
      </c>
      <c r="C806" s="52"/>
      <c r="D806" s="52"/>
      <c r="E806" s="52"/>
      <c r="F806" s="52"/>
      <c r="G806" s="52"/>
      <c r="H806" s="52"/>
    </row>
    <row r="807" spans="1:8" ht="15.75">
      <c r="A807" s="50">
        <v>40597</v>
      </c>
      <c r="B807" s="51">
        <v>4204.2299999999996</v>
      </c>
      <c r="C807" s="52"/>
      <c r="D807" s="52"/>
      <c r="E807" s="52"/>
      <c r="F807" s="52"/>
      <c r="G807" s="52"/>
      <c r="H807" s="52"/>
    </row>
    <row r="808" spans="1:8" ht="15.75">
      <c r="A808" s="50">
        <v>40598</v>
      </c>
      <c r="B808" s="51">
        <v>4166.47</v>
      </c>
      <c r="C808" s="52"/>
      <c r="D808" s="52"/>
      <c r="E808" s="52"/>
      <c r="F808" s="52"/>
      <c r="G808" s="52"/>
      <c r="H808" s="52"/>
    </row>
    <row r="809" spans="1:8" ht="15.75">
      <c r="A809" s="50">
        <v>40599</v>
      </c>
      <c r="B809" s="51">
        <v>4198.46</v>
      </c>
      <c r="C809" s="52"/>
      <c r="D809" s="52"/>
      <c r="E809" s="52"/>
      <c r="F809" s="52"/>
      <c r="G809" s="52"/>
      <c r="H809" s="52"/>
    </row>
    <row r="810" spans="1:8" ht="15.75">
      <c r="A810" s="50">
        <v>40602</v>
      </c>
      <c r="B810" s="51">
        <v>4249.07</v>
      </c>
      <c r="C810" s="52"/>
      <c r="D810" s="52"/>
      <c r="E810" s="52"/>
      <c r="F810" s="52"/>
      <c r="G810" s="52"/>
      <c r="H810" s="52"/>
    </row>
    <row r="811" spans="1:8" ht="15.75">
      <c r="A811" s="50">
        <v>40603</v>
      </c>
      <c r="B811" s="51">
        <v>4220.5200000000004</v>
      </c>
      <c r="C811" s="52"/>
      <c r="D811" s="52"/>
      <c r="E811" s="52"/>
      <c r="F811" s="52"/>
      <c r="G811" s="52"/>
      <c r="H811" s="52"/>
    </row>
    <row r="812" spans="1:8" ht="15.75">
      <c r="A812" s="50">
        <v>40604</v>
      </c>
      <c r="B812" s="51">
        <v>4195.9399999999996</v>
      </c>
      <c r="C812" s="52"/>
      <c r="D812" s="52"/>
      <c r="E812" s="52"/>
      <c r="F812" s="52"/>
      <c r="G812" s="52"/>
      <c r="H812" s="52"/>
    </row>
    <row r="813" spans="1:8" ht="15.75">
      <c r="A813" s="50">
        <v>40605</v>
      </c>
      <c r="B813" s="51">
        <v>4222.09</v>
      </c>
      <c r="C813" s="52"/>
      <c r="D813" s="52"/>
      <c r="E813" s="52"/>
      <c r="F813" s="52"/>
      <c r="G813" s="52"/>
      <c r="H813" s="52"/>
    </row>
    <row r="814" spans="1:8" ht="15.75">
      <c r="A814" s="50">
        <v>40606</v>
      </c>
      <c r="B814" s="51">
        <v>4194.63</v>
      </c>
      <c r="C814" s="52"/>
      <c r="D814" s="52"/>
      <c r="E814" s="52"/>
      <c r="F814" s="52"/>
      <c r="G814" s="52"/>
      <c r="H814" s="52"/>
    </row>
    <row r="815" spans="1:8" ht="15.75">
      <c r="A815" s="50">
        <v>40609</v>
      </c>
      <c r="B815" s="51">
        <v>4184.79</v>
      </c>
      <c r="C815" s="52"/>
      <c r="D815" s="52"/>
      <c r="E815" s="52"/>
      <c r="F815" s="52"/>
      <c r="G815" s="52"/>
      <c r="H815" s="52"/>
    </row>
    <row r="816" spans="1:8" ht="15.75">
      <c r="A816" s="50">
        <v>40610</v>
      </c>
      <c r="B816" s="51">
        <v>4186.49</v>
      </c>
      <c r="C816" s="52"/>
      <c r="D816" s="52"/>
      <c r="E816" s="52"/>
      <c r="F816" s="52"/>
      <c r="G816" s="52"/>
      <c r="H816" s="52"/>
    </row>
    <row r="817" spans="1:8" ht="15.75">
      <c r="A817" s="50">
        <v>40611</v>
      </c>
      <c r="B817" s="51">
        <v>4167.2700000000004</v>
      </c>
      <c r="C817" s="52"/>
      <c r="D817" s="52"/>
      <c r="E817" s="52"/>
      <c r="F817" s="52"/>
      <c r="G817" s="52"/>
      <c r="H817" s="52"/>
    </row>
    <row r="818" spans="1:8" ht="15.75">
      <c r="A818" s="50">
        <v>40612</v>
      </c>
      <c r="B818" s="51">
        <v>4127.22</v>
      </c>
      <c r="C818" s="52"/>
      <c r="D818" s="52"/>
      <c r="E818" s="52"/>
      <c r="F818" s="52"/>
      <c r="G818" s="52"/>
      <c r="H818" s="52"/>
    </row>
    <row r="819" spans="1:8" ht="15.75">
      <c r="A819" s="50">
        <v>40613</v>
      </c>
      <c r="B819" s="51">
        <v>4079.52</v>
      </c>
      <c r="C819" s="52"/>
      <c r="D819" s="52"/>
      <c r="E819" s="52"/>
      <c r="F819" s="52"/>
      <c r="G819" s="52"/>
      <c r="H819" s="52"/>
    </row>
    <row r="820" spans="1:8" ht="15.75">
      <c r="A820" s="50">
        <v>40616</v>
      </c>
      <c r="B820" s="51">
        <v>4012.39</v>
      </c>
      <c r="C820" s="52"/>
      <c r="D820" s="52"/>
      <c r="E820" s="52"/>
      <c r="F820" s="52"/>
      <c r="G820" s="52"/>
      <c r="H820" s="52"/>
    </row>
    <row r="821" spans="1:8" ht="15.75">
      <c r="A821" s="50">
        <v>40617</v>
      </c>
      <c r="B821" s="51">
        <v>3884.17</v>
      </c>
      <c r="C821" s="52"/>
      <c r="D821" s="52"/>
      <c r="E821" s="52"/>
      <c r="F821" s="52"/>
      <c r="G821" s="52"/>
      <c r="H821" s="52"/>
    </row>
    <row r="822" spans="1:8" ht="15.75">
      <c r="A822" s="50">
        <v>40618</v>
      </c>
      <c r="B822" s="51">
        <v>3806.07</v>
      </c>
      <c r="C822" s="52"/>
      <c r="D822" s="52"/>
      <c r="E822" s="52"/>
      <c r="F822" s="52"/>
      <c r="G822" s="52"/>
      <c r="H822" s="52"/>
    </row>
    <row r="823" spans="1:8" ht="15.75">
      <c r="A823" s="50">
        <v>40619</v>
      </c>
      <c r="B823" s="51">
        <v>3889.41</v>
      </c>
      <c r="C823" s="52"/>
      <c r="D823" s="52"/>
      <c r="E823" s="52"/>
      <c r="F823" s="52"/>
      <c r="G823" s="52"/>
      <c r="H823" s="52"/>
    </row>
    <row r="824" spans="1:8" ht="15.75">
      <c r="A824" s="50">
        <v>40620</v>
      </c>
      <c r="B824" s="51">
        <v>3893.81</v>
      </c>
      <c r="C824" s="52"/>
      <c r="D824" s="52"/>
      <c r="E824" s="52"/>
      <c r="F824" s="52"/>
      <c r="G824" s="52"/>
      <c r="H824" s="52"/>
    </row>
    <row r="825" spans="1:8" ht="15.75">
      <c r="A825" s="50">
        <v>40623</v>
      </c>
      <c r="B825" s="51">
        <v>3982.45</v>
      </c>
      <c r="C825" s="52"/>
      <c r="D825" s="52"/>
      <c r="E825" s="52"/>
      <c r="F825" s="52"/>
      <c r="G825" s="52"/>
      <c r="H825" s="52"/>
    </row>
    <row r="826" spans="1:8" ht="15.75">
      <c r="A826" s="50">
        <v>40624</v>
      </c>
      <c r="B826" s="51">
        <v>3961.92</v>
      </c>
      <c r="C826" s="52"/>
      <c r="D826" s="52"/>
      <c r="E826" s="52"/>
      <c r="F826" s="52"/>
      <c r="G826" s="52"/>
      <c r="H826" s="52"/>
    </row>
    <row r="827" spans="1:8" ht="15.75">
      <c r="A827" s="50">
        <v>40625</v>
      </c>
      <c r="B827" s="51">
        <v>3975.64</v>
      </c>
      <c r="C827" s="52"/>
      <c r="D827" s="52"/>
      <c r="E827" s="52"/>
      <c r="F827" s="52"/>
      <c r="G827" s="52"/>
      <c r="H827" s="52"/>
    </row>
    <row r="828" spans="1:8" ht="15.75">
      <c r="A828" s="50">
        <v>40626</v>
      </c>
      <c r="B828" s="51">
        <v>4051.08</v>
      </c>
      <c r="C828" s="52"/>
      <c r="D828" s="52"/>
      <c r="E828" s="52"/>
      <c r="F828" s="52"/>
      <c r="G828" s="52"/>
      <c r="H828" s="52"/>
    </row>
    <row r="829" spans="1:8" ht="15.75">
      <c r="A829" s="50">
        <v>40627</v>
      </c>
      <c r="B829" s="51">
        <v>4058.55</v>
      </c>
      <c r="C829" s="52"/>
      <c r="D829" s="52"/>
      <c r="E829" s="52"/>
      <c r="F829" s="52"/>
      <c r="G829" s="52"/>
      <c r="H829" s="52"/>
    </row>
    <row r="830" spans="1:8" ht="15.75">
      <c r="A830" s="50">
        <v>40630</v>
      </c>
      <c r="B830" s="51">
        <v>4054.03</v>
      </c>
      <c r="C830" s="52"/>
      <c r="D830" s="52"/>
      <c r="E830" s="52"/>
      <c r="F830" s="52"/>
      <c r="G830" s="52"/>
      <c r="H830" s="52"/>
    </row>
    <row r="831" spans="1:8" ht="15.75">
      <c r="A831" s="50">
        <v>40631</v>
      </c>
      <c r="B831" s="51">
        <v>4051.59</v>
      </c>
      <c r="C831" s="52"/>
      <c r="D831" s="52"/>
      <c r="E831" s="52"/>
      <c r="F831" s="52"/>
      <c r="G831" s="52"/>
      <c r="H831" s="52"/>
    </row>
    <row r="832" spans="1:8" ht="15.75">
      <c r="A832" s="50">
        <v>40632</v>
      </c>
      <c r="B832" s="51">
        <v>4123.28</v>
      </c>
      <c r="C832" s="52"/>
      <c r="D832" s="52"/>
      <c r="E832" s="52"/>
      <c r="F832" s="52"/>
      <c r="G832" s="52"/>
      <c r="H832" s="52"/>
    </row>
    <row r="833" spans="1:8" ht="15.75">
      <c r="A833" s="50">
        <v>40633</v>
      </c>
      <c r="B833" s="51">
        <v>4114.03</v>
      </c>
      <c r="C833" s="52"/>
      <c r="D833" s="52"/>
      <c r="E833" s="52"/>
      <c r="F833" s="52"/>
      <c r="G833" s="52"/>
      <c r="H833" s="52"/>
    </row>
    <row r="834" spans="1:8" ht="15.75">
      <c r="A834" s="50">
        <v>40634</v>
      </c>
      <c r="B834" s="51">
        <v>4194.95</v>
      </c>
      <c r="C834" s="52"/>
      <c r="D834" s="52"/>
      <c r="E834" s="52"/>
      <c r="F834" s="52"/>
      <c r="G834" s="52"/>
      <c r="H834" s="52"/>
    </row>
    <row r="835" spans="1:8" ht="15.75">
      <c r="A835" s="50">
        <v>40637</v>
      </c>
      <c r="B835" s="51">
        <v>4192.33</v>
      </c>
      <c r="C835" s="52"/>
      <c r="D835" s="52"/>
      <c r="E835" s="52"/>
      <c r="F835" s="52"/>
      <c r="G835" s="52"/>
      <c r="H835" s="52"/>
    </row>
    <row r="836" spans="1:8" ht="15.75">
      <c r="A836" s="50">
        <v>40638</v>
      </c>
      <c r="B836" s="51">
        <v>4192.32</v>
      </c>
      <c r="C836" s="52"/>
      <c r="D836" s="52"/>
      <c r="E836" s="52"/>
      <c r="F836" s="52"/>
      <c r="G836" s="52"/>
      <c r="H836" s="52"/>
    </row>
    <row r="837" spans="1:8" ht="15.75">
      <c r="A837" s="50">
        <v>40639</v>
      </c>
      <c r="B837" s="51">
        <v>4215.58</v>
      </c>
      <c r="C837" s="52"/>
      <c r="D837" s="52"/>
      <c r="E837" s="52"/>
      <c r="F837" s="52"/>
      <c r="G837" s="52"/>
      <c r="H837" s="52"/>
    </row>
    <row r="838" spans="1:8" ht="15.75">
      <c r="A838" s="50">
        <v>40640</v>
      </c>
      <c r="B838" s="51">
        <v>4194.3500000000004</v>
      </c>
      <c r="C838" s="52"/>
      <c r="D838" s="52"/>
      <c r="E838" s="52"/>
      <c r="F838" s="52"/>
      <c r="G838" s="52"/>
      <c r="H838" s="52"/>
    </row>
    <row r="839" spans="1:8" ht="15.75">
      <c r="A839" s="50">
        <v>40641</v>
      </c>
      <c r="B839" s="51">
        <v>4216.6899999999996</v>
      </c>
      <c r="C839" s="52"/>
      <c r="D839" s="52"/>
      <c r="E839" s="52"/>
      <c r="F839" s="52"/>
      <c r="G839" s="52"/>
      <c r="H839" s="52"/>
    </row>
    <row r="840" spans="1:8" ht="15.75">
      <c r="A840" s="50">
        <v>40644</v>
      </c>
      <c r="B840" s="51">
        <v>4209.04</v>
      </c>
      <c r="C840" s="52"/>
      <c r="D840" s="52"/>
      <c r="E840" s="52"/>
      <c r="F840" s="52"/>
      <c r="G840" s="52"/>
      <c r="H840" s="52"/>
    </row>
    <row r="841" spans="1:8" ht="15.75">
      <c r="A841" s="50">
        <v>40645</v>
      </c>
      <c r="B841" s="51">
        <v>4148.62</v>
      </c>
      <c r="C841" s="52"/>
      <c r="D841" s="52"/>
      <c r="E841" s="52"/>
      <c r="F841" s="52"/>
      <c r="G841" s="52"/>
      <c r="H841" s="52"/>
    </row>
    <row r="842" spans="1:8" ht="15.75">
      <c r="A842" s="50">
        <v>40646</v>
      </c>
      <c r="B842" s="51">
        <v>4192.47</v>
      </c>
      <c r="C842" s="52"/>
      <c r="D842" s="52"/>
      <c r="E842" s="52"/>
      <c r="F842" s="52"/>
      <c r="G842" s="52"/>
      <c r="H842" s="52"/>
    </row>
    <row r="843" spans="1:8" ht="15.75">
      <c r="A843" s="50">
        <v>40647</v>
      </c>
      <c r="B843" s="51">
        <v>4162.93</v>
      </c>
      <c r="C843" s="52"/>
      <c r="D843" s="52"/>
      <c r="E843" s="52"/>
      <c r="F843" s="52"/>
      <c r="G843" s="52"/>
      <c r="H843" s="52"/>
    </row>
    <row r="844" spans="1:8" ht="15.75">
      <c r="A844" s="50">
        <v>40648</v>
      </c>
      <c r="B844" s="51">
        <v>4181.5200000000004</v>
      </c>
      <c r="C844" s="52"/>
      <c r="D844" s="52"/>
      <c r="E844" s="52"/>
      <c r="F844" s="52"/>
      <c r="G844" s="52"/>
      <c r="H844" s="52"/>
    </row>
    <row r="845" spans="1:8" ht="15.75">
      <c r="A845" s="50">
        <v>40651</v>
      </c>
      <c r="B845" s="51">
        <v>4093.24</v>
      </c>
      <c r="C845" s="52"/>
      <c r="D845" s="52"/>
      <c r="E845" s="52"/>
      <c r="F845" s="52"/>
      <c r="G845" s="52"/>
      <c r="H845" s="52"/>
    </row>
    <row r="846" spans="1:8" ht="15.75">
      <c r="A846" s="50">
        <v>40652</v>
      </c>
      <c r="B846" s="51">
        <v>4100.41</v>
      </c>
      <c r="C846" s="52"/>
      <c r="D846" s="52"/>
      <c r="E846" s="52"/>
      <c r="F846" s="52"/>
      <c r="G846" s="52"/>
      <c r="H846" s="52"/>
    </row>
    <row r="847" spans="1:8" ht="15.75">
      <c r="A847" s="50">
        <v>40653</v>
      </c>
      <c r="B847" s="51">
        <v>4222.54</v>
      </c>
      <c r="C847" s="52"/>
      <c r="D847" s="52"/>
      <c r="E847" s="52"/>
      <c r="F847" s="52"/>
      <c r="G847" s="52"/>
      <c r="H847" s="52"/>
    </row>
    <row r="848" spans="1:8" ht="15.75">
      <c r="A848" s="50">
        <v>40654</v>
      </c>
      <c r="B848" s="51">
        <v>4233.1899999999996</v>
      </c>
      <c r="C848" s="52"/>
      <c r="D848" s="52"/>
      <c r="E848" s="52"/>
      <c r="F848" s="52"/>
      <c r="G848" s="52"/>
      <c r="H848" s="52"/>
    </row>
    <row r="849" spans="1:8" ht="15.75">
      <c r="A849" s="50">
        <v>40659</v>
      </c>
      <c r="B849" s="51">
        <v>4268.13</v>
      </c>
      <c r="C849" s="52"/>
      <c r="D849" s="52"/>
      <c r="E849" s="52"/>
      <c r="F849" s="52"/>
      <c r="G849" s="52"/>
      <c r="H849" s="52"/>
    </row>
    <row r="850" spans="1:8" ht="15.75">
      <c r="A850" s="50">
        <v>40660</v>
      </c>
      <c r="B850" s="51">
        <v>4296.28</v>
      </c>
      <c r="C850" s="52"/>
      <c r="D850" s="52"/>
      <c r="E850" s="52"/>
      <c r="F850" s="52"/>
      <c r="G850" s="52"/>
      <c r="H850" s="52"/>
    </row>
    <row r="851" spans="1:8" ht="15.75">
      <c r="A851" s="50">
        <v>40661</v>
      </c>
      <c r="B851" s="51">
        <v>4336.99</v>
      </c>
      <c r="C851" s="52"/>
      <c r="D851" s="52"/>
      <c r="E851" s="52"/>
      <c r="F851" s="52"/>
      <c r="G851" s="52"/>
      <c r="H851" s="52"/>
    </row>
    <row r="852" spans="1:8" ht="15.75">
      <c r="A852" s="50">
        <v>40662</v>
      </c>
      <c r="B852" s="51">
        <v>4360.07</v>
      </c>
      <c r="C852" s="52"/>
      <c r="D852" s="52"/>
      <c r="E852" s="52"/>
      <c r="F852" s="52"/>
      <c r="G852" s="52"/>
      <c r="H852" s="52"/>
    </row>
    <row r="853" spans="1:8" ht="15.75">
      <c r="A853" s="50">
        <v>40665</v>
      </c>
      <c r="B853" s="51">
        <v>4359.38</v>
      </c>
      <c r="C853" s="52"/>
      <c r="D853" s="52"/>
      <c r="E853" s="52"/>
      <c r="F853" s="52"/>
      <c r="G853" s="52"/>
      <c r="H853" s="52"/>
    </row>
    <row r="854" spans="1:8" ht="15.75">
      <c r="A854" s="50">
        <v>40666</v>
      </c>
      <c r="B854" s="51">
        <v>4343.7700000000004</v>
      </c>
      <c r="C854" s="52"/>
      <c r="D854" s="52"/>
      <c r="E854" s="52"/>
      <c r="F854" s="52"/>
      <c r="G854" s="52"/>
      <c r="H854" s="52"/>
    </row>
    <row r="855" spans="1:8" ht="15.75">
      <c r="A855" s="50">
        <v>40667</v>
      </c>
      <c r="B855" s="51">
        <v>4266.24</v>
      </c>
      <c r="C855" s="52"/>
      <c r="D855" s="52"/>
      <c r="E855" s="52"/>
      <c r="F855" s="52"/>
      <c r="G855" s="52"/>
      <c r="H855" s="52"/>
    </row>
    <row r="856" spans="1:8" ht="15.75">
      <c r="A856" s="50">
        <v>40668</v>
      </c>
      <c r="B856" s="51">
        <v>4254.22</v>
      </c>
      <c r="C856" s="52"/>
      <c r="D856" s="52"/>
      <c r="E856" s="52"/>
      <c r="F856" s="52"/>
      <c r="G856" s="52"/>
      <c r="H856" s="52"/>
    </row>
    <row r="857" spans="1:8" ht="15.75">
      <c r="A857" s="50">
        <v>40669</v>
      </c>
      <c r="B857" s="51">
        <v>4301.37</v>
      </c>
      <c r="C857" s="52"/>
      <c r="D857" s="52"/>
      <c r="E857" s="52"/>
      <c r="F857" s="52"/>
      <c r="G857" s="52"/>
      <c r="H857" s="52"/>
    </row>
    <row r="858" spans="1:8" ht="15.75">
      <c r="A858" s="50">
        <v>40672</v>
      </c>
      <c r="B858" s="51">
        <v>4240.41</v>
      </c>
      <c r="C858" s="52"/>
      <c r="D858" s="52"/>
      <c r="E858" s="52"/>
      <c r="F858" s="52"/>
      <c r="G858" s="52"/>
      <c r="H858" s="52"/>
    </row>
    <row r="859" spans="1:8" ht="15.75">
      <c r="A859" s="50">
        <v>40673</v>
      </c>
      <c r="B859" s="51">
        <v>4292.6000000000004</v>
      </c>
      <c r="C859" s="52"/>
      <c r="D859" s="52"/>
      <c r="E859" s="52"/>
      <c r="F859" s="52"/>
      <c r="G859" s="52"/>
      <c r="H859" s="52"/>
    </row>
    <row r="860" spans="1:8" ht="15.75">
      <c r="A860" s="50">
        <v>40674</v>
      </c>
      <c r="B860" s="51">
        <v>4288.92</v>
      </c>
      <c r="C860" s="52"/>
      <c r="D860" s="52"/>
      <c r="E860" s="52"/>
      <c r="F860" s="52"/>
      <c r="G860" s="52"/>
      <c r="H860" s="52"/>
    </row>
    <row r="861" spans="1:8" ht="15.75">
      <c r="A861" s="50">
        <v>40675</v>
      </c>
      <c r="B861" s="51">
        <v>4259.04</v>
      </c>
      <c r="C861" s="52"/>
      <c r="D861" s="52"/>
      <c r="E861" s="52"/>
      <c r="F861" s="52"/>
      <c r="G861" s="52"/>
      <c r="H861" s="52"/>
    </row>
    <row r="862" spans="1:8" ht="15.75">
      <c r="A862" s="50">
        <v>40676</v>
      </c>
      <c r="B862" s="51">
        <v>4212.4399999999996</v>
      </c>
      <c r="C862" s="52"/>
      <c r="D862" s="52"/>
      <c r="E862" s="52"/>
      <c r="F862" s="52"/>
      <c r="G862" s="52"/>
      <c r="H862" s="52"/>
    </row>
    <row r="863" spans="1:8" ht="15.75">
      <c r="A863" s="50">
        <v>40679</v>
      </c>
      <c r="B863" s="51">
        <v>4202.9799999999996</v>
      </c>
      <c r="C863" s="52"/>
      <c r="D863" s="52"/>
      <c r="E863" s="52"/>
      <c r="F863" s="52"/>
      <c r="G863" s="52"/>
      <c r="H863" s="52"/>
    </row>
    <row r="864" spans="1:8" ht="15.75">
      <c r="A864" s="50">
        <v>40680</v>
      </c>
      <c r="B864" s="51">
        <v>4128.3900000000003</v>
      </c>
      <c r="C864" s="52"/>
      <c r="D864" s="52"/>
      <c r="E864" s="52"/>
      <c r="F864" s="52"/>
      <c r="G864" s="52"/>
      <c r="H864" s="52"/>
    </row>
    <row r="865" spans="1:8" ht="15.75">
      <c r="A865" s="50">
        <v>40681</v>
      </c>
      <c r="B865" s="51">
        <v>4154.8999999999996</v>
      </c>
      <c r="C865" s="52"/>
      <c r="D865" s="52"/>
      <c r="E865" s="52"/>
      <c r="F865" s="52"/>
      <c r="G865" s="52"/>
      <c r="H865" s="52"/>
    </row>
    <row r="866" spans="1:8" ht="15.75">
      <c r="A866" s="50">
        <v>40682</v>
      </c>
      <c r="B866" s="51">
        <v>4186.3999999999996</v>
      </c>
      <c r="C866" s="52"/>
      <c r="D866" s="52"/>
      <c r="E866" s="52"/>
      <c r="F866" s="52"/>
      <c r="G866" s="52"/>
      <c r="H866" s="52"/>
    </row>
    <row r="867" spans="1:8" ht="15.75">
      <c r="A867" s="50">
        <v>40683</v>
      </c>
      <c r="B867" s="51">
        <v>4134.3900000000003</v>
      </c>
      <c r="C867" s="52"/>
      <c r="D867" s="52"/>
      <c r="E867" s="52"/>
      <c r="F867" s="52"/>
      <c r="G867" s="52"/>
      <c r="H867" s="52"/>
    </row>
    <row r="868" spans="1:8" ht="15.75">
      <c r="A868" s="50">
        <v>40686</v>
      </c>
      <c r="B868" s="51">
        <v>4051.79</v>
      </c>
      <c r="C868" s="52"/>
      <c r="D868" s="52"/>
      <c r="E868" s="52"/>
      <c r="F868" s="52"/>
      <c r="G868" s="52"/>
      <c r="H868" s="52"/>
    </row>
    <row r="869" spans="1:8" ht="15.75">
      <c r="A869" s="50">
        <v>40687</v>
      </c>
      <c r="B869" s="51">
        <v>4068.54</v>
      </c>
      <c r="C869" s="52"/>
      <c r="D869" s="52"/>
      <c r="E869" s="52"/>
      <c r="F869" s="52"/>
      <c r="G869" s="52"/>
      <c r="H869" s="52"/>
    </row>
    <row r="870" spans="1:8" ht="15.75">
      <c r="A870" s="50">
        <v>40688</v>
      </c>
      <c r="B870" s="51">
        <v>4079.72</v>
      </c>
      <c r="C870" s="52"/>
      <c r="D870" s="52"/>
      <c r="E870" s="52"/>
      <c r="F870" s="52"/>
      <c r="G870" s="52"/>
      <c r="H870" s="52"/>
    </row>
    <row r="871" spans="1:8" ht="15.75">
      <c r="A871" s="50">
        <v>40689</v>
      </c>
      <c r="B871" s="51">
        <v>4040.27</v>
      </c>
      <c r="C871" s="52"/>
      <c r="D871" s="52"/>
      <c r="E871" s="52"/>
      <c r="F871" s="52"/>
      <c r="G871" s="52"/>
      <c r="H871" s="52"/>
    </row>
    <row r="872" spans="1:8" ht="15.75">
      <c r="A872" s="50">
        <v>40690</v>
      </c>
      <c r="B872" s="51">
        <v>4063.77</v>
      </c>
      <c r="C872" s="52"/>
      <c r="D872" s="52"/>
      <c r="E872" s="52"/>
      <c r="F872" s="52"/>
      <c r="G872" s="52"/>
      <c r="H872" s="52"/>
    </row>
    <row r="873" spans="1:8" ht="15.75">
      <c r="A873" s="50">
        <v>40693</v>
      </c>
      <c r="B873" s="51">
        <v>4062.39</v>
      </c>
      <c r="C873" s="52"/>
      <c r="D873" s="52"/>
      <c r="E873" s="52"/>
      <c r="F873" s="52"/>
      <c r="G873" s="52"/>
      <c r="H873" s="52"/>
    </row>
    <row r="874" spans="1:8" ht="15.75">
      <c r="A874" s="50">
        <v>40694</v>
      </c>
      <c r="B874" s="51">
        <v>4138.33</v>
      </c>
      <c r="C874" s="52"/>
      <c r="D874" s="52"/>
      <c r="E874" s="52"/>
      <c r="F874" s="52"/>
      <c r="G874" s="52"/>
      <c r="H874" s="52"/>
    </row>
    <row r="875" spans="1:8" ht="15.75">
      <c r="A875" s="50">
        <v>40695</v>
      </c>
      <c r="B875" s="51">
        <v>4095.18</v>
      </c>
      <c r="C875" s="52"/>
      <c r="D875" s="52"/>
      <c r="E875" s="52"/>
      <c r="F875" s="52"/>
      <c r="G875" s="52"/>
      <c r="H875" s="52"/>
    </row>
    <row r="876" spans="1:8" ht="15.75">
      <c r="A876" s="50">
        <v>40696</v>
      </c>
      <c r="B876" s="51">
        <v>4013.9</v>
      </c>
      <c r="C876" s="52"/>
      <c r="D876" s="52"/>
      <c r="E876" s="52"/>
      <c r="F876" s="52"/>
      <c r="G876" s="52"/>
      <c r="H876" s="52"/>
    </row>
    <row r="877" spans="1:8" ht="15.75">
      <c r="A877" s="50">
        <v>40697</v>
      </c>
      <c r="B877" s="51">
        <v>4034.25</v>
      </c>
      <c r="C877" s="52"/>
      <c r="D877" s="52"/>
      <c r="E877" s="52"/>
      <c r="F877" s="52"/>
      <c r="G877" s="52"/>
      <c r="H877" s="52"/>
    </row>
    <row r="878" spans="1:8" ht="15.75">
      <c r="A878" s="50">
        <v>40700</v>
      </c>
      <c r="B878" s="51">
        <v>4020.64</v>
      </c>
      <c r="C878" s="52"/>
      <c r="D878" s="52"/>
      <c r="E878" s="52"/>
      <c r="F878" s="52"/>
      <c r="G878" s="52"/>
      <c r="H878" s="52"/>
    </row>
    <row r="879" spans="1:8" ht="15.75">
      <c r="A879" s="50">
        <v>40701</v>
      </c>
      <c r="B879" s="51">
        <v>4030.78</v>
      </c>
      <c r="C879" s="52"/>
      <c r="D879" s="52"/>
      <c r="E879" s="52"/>
      <c r="F879" s="52"/>
      <c r="G879" s="52"/>
      <c r="H879" s="52"/>
    </row>
    <row r="880" spans="1:8" ht="15.75">
      <c r="A880" s="50">
        <v>40702</v>
      </c>
      <c r="B880" s="51">
        <v>4006.1</v>
      </c>
      <c r="C880" s="52"/>
      <c r="D880" s="52"/>
      <c r="E880" s="52"/>
      <c r="F880" s="52"/>
      <c r="G880" s="52"/>
      <c r="H880" s="52"/>
    </row>
    <row r="881" spans="1:8" ht="15.75">
      <c r="A881" s="50">
        <v>40703</v>
      </c>
      <c r="B881" s="51">
        <v>4062.59</v>
      </c>
      <c r="C881" s="52"/>
      <c r="D881" s="52"/>
      <c r="E881" s="52"/>
      <c r="F881" s="52"/>
      <c r="G881" s="52"/>
      <c r="H881" s="52"/>
    </row>
    <row r="882" spans="1:8" ht="15.75">
      <c r="A882" s="50">
        <v>40704</v>
      </c>
      <c r="B882" s="51">
        <v>4011.73</v>
      </c>
      <c r="C882" s="52"/>
      <c r="D882" s="52"/>
      <c r="E882" s="52"/>
      <c r="F882" s="52"/>
      <c r="G882" s="52"/>
      <c r="H882" s="52"/>
    </row>
    <row r="883" spans="1:8" ht="15.75">
      <c r="A883" s="50">
        <v>40707</v>
      </c>
      <c r="B883" s="51">
        <v>4020.31</v>
      </c>
      <c r="C883" s="52"/>
      <c r="D883" s="52"/>
      <c r="E883" s="52"/>
      <c r="F883" s="52"/>
      <c r="G883" s="52"/>
      <c r="H883" s="52"/>
    </row>
    <row r="884" spans="1:8" ht="15.75">
      <c r="A884" s="50">
        <v>40708</v>
      </c>
      <c r="B884" s="51">
        <v>4088.09</v>
      </c>
      <c r="C884" s="52"/>
      <c r="D884" s="52"/>
      <c r="E884" s="52"/>
      <c r="F884" s="52"/>
      <c r="G884" s="52"/>
      <c r="H884" s="52"/>
    </row>
    <row r="885" spans="1:8" ht="15.75">
      <c r="A885" s="50">
        <v>40709</v>
      </c>
      <c r="B885" s="51">
        <v>4037.49</v>
      </c>
      <c r="C885" s="52"/>
      <c r="D885" s="52"/>
      <c r="E885" s="52"/>
      <c r="F885" s="52"/>
      <c r="G885" s="52"/>
      <c r="H885" s="52"/>
    </row>
    <row r="886" spans="1:8" ht="15.75">
      <c r="A886" s="50">
        <v>40710</v>
      </c>
      <c r="B886" s="51">
        <v>4034.84</v>
      </c>
      <c r="C886" s="52"/>
      <c r="D886" s="52"/>
      <c r="E886" s="52"/>
      <c r="F886" s="52"/>
      <c r="G886" s="52"/>
      <c r="H886" s="52"/>
    </row>
    <row r="887" spans="1:8" ht="15.75">
      <c r="A887" s="50">
        <v>40711</v>
      </c>
      <c r="B887" s="51">
        <v>4065.18</v>
      </c>
      <c r="C887" s="52"/>
      <c r="D887" s="52"/>
      <c r="E887" s="52"/>
      <c r="F887" s="52"/>
      <c r="G887" s="52"/>
      <c r="H887" s="52"/>
    </row>
    <row r="888" spans="1:8" ht="15.75">
      <c r="A888" s="50">
        <v>40714</v>
      </c>
      <c r="B888" s="51">
        <v>4057.33</v>
      </c>
      <c r="C888" s="52"/>
      <c r="D888" s="52"/>
      <c r="E888" s="52"/>
      <c r="F888" s="52"/>
      <c r="G888" s="52"/>
      <c r="H888" s="52"/>
    </row>
    <row r="889" spans="1:8" ht="15.75">
      <c r="A889" s="50">
        <v>40715</v>
      </c>
      <c r="B889" s="51">
        <v>4134.1000000000004</v>
      </c>
      <c r="C889" s="52"/>
      <c r="D889" s="52"/>
      <c r="E889" s="52"/>
      <c r="F889" s="52"/>
      <c r="G889" s="52"/>
      <c r="H889" s="52"/>
    </row>
    <row r="890" spans="1:8" ht="15.75">
      <c r="A890" s="50">
        <v>40716</v>
      </c>
      <c r="B890" s="51">
        <v>4129.95</v>
      </c>
      <c r="C890" s="52"/>
      <c r="D890" s="52"/>
      <c r="E890" s="52"/>
      <c r="F890" s="52"/>
      <c r="G890" s="52"/>
      <c r="H890" s="52"/>
    </row>
    <row r="891" spans="1:8" ht="15.75">
      <c r="A891" s="50">
        <v>40717</v>
      </c>
      <c r="B891" s="51">
        <v>4056.89</v>
      </c>
      <c r="C891" s="52"/>
      <c r="D891" s="52"/>
      <c r="E891" s="52"/>
      <c r="F891" s="52"/>
      <c r="G891" s="52"/>
      <c r="H891" s="52"/>
    </row>
    <row r="892" spans="1:8" ht="15.75">
      <c r="A892" s="50">
        <v>40718</v>
      </c>
      <c r="B892" s="51">
        <v>4040.97</v>
      </c>
      <c r="C892" s="52"/>
      <c r="D892" s="52"/>
      <c r="E892" s="52"/>
      <c r="F892" s="52"/>
      <c r="G892" s="52"/>
      <c r="H892" s="52"/>
    </row>
    <row r="893" spans="1:8" ht="15.75">
      <c r="A893" s="50">
        <v>40721</v>
      </c>
      <c r="B893" s="51">
        <v>4033.32</v>
      </c>
      <c r="C893" s="52"/>
      <c r="D893" s="52"/>
      <c r="E893" s="52"/>
      <c r="F893" s="52"/>
      <c r="G893" s="52"/>
      <c r="H893" s="52"/>
    </row>
    <row r="894" spans="1:8" ht="15.75">
      <c r="A894" s="50">
        <v>40722</v>
      </c>
      <c r="B894" s="51">
        <v>4067.51</v>
      </c>
      <c r="C894" s="52"/>
      <c r="D894" s="52"/>
      <c r="E894" s="52"/>
      <c r="F894" s="52"/>
      <c r="G894" s="52"/>
      <c r="H894" s="52"/>
    </row>
    <row r="895" spans="1:8" ht="15.75">
      <c r="A895" s="50">
        <v>40723</v>
      </c>
      <c r="B895" s="51">
        <v>4137.7</v>
      </c>
      <c r="C895" s="52"/>
      <c r="D895" s="52"/>
      <c r="E895" s="52"/>
      <c r="F895" s="52"/>
      <c r="G895" s="52"/>
      <c r="H895" s="52"/>
    </row>
    <row r="896" spans="1:8" ht="15.75">
      <c r="A896" s="50">
        <v>40724</v>
      </c>
      <c r="B896" s="51">
        <v>4184.3</v>
      </c>
      <c r="C896" s="52"/>
      <c r="D896" s="52"/>
      <c r="E896" s="52"/>
      <c r="F896" s="52"/>
      <c r="G896" s="52"/>
      <c r="H896" s="52"/>
    </row>
    <row r="897" spans="1:8" ht="15.75">
      <c r="A897" s="50">
        <v>40725</v>
      </c>
      <c r="B897" s="51">
        <v>4208.76</v>
      </c>
      <c r="C897" s="52"/>
      <c r="D897" s="52"/>
      <c r="E897" s="52"/>
      <c r="F897" s="52"/>
      <c r="G897" s="52"/>
      <c r="H897" s="52"/>
    </row>
    <row r="898" spans="1:8" ht="15.75">
      <c r="A898" s="50">
        <v>40728</v>
      </c>
      <c r="B898" s="51">
        <v>4222.1400000000003</v>
      </c>
      <c r="C898" s="52"/>
      <c r="D898" s="52"/>
      <c r="E898" s="52"/>
      <c r="F898" s="52"/>
      <c r="G898" s="52"/>
      <c r="H898" s="52"/>
    </row>
    <row r="899" spans="1:8" ht="15.75">
      <c r="A899" s="50">
        <v>40729</v>
      </c>
      <c r="B899" s="51">
        <v>4220.1899999999996</v>
      </c>
      <c r="C899" s="52"/>
      <c r="D899" s="52"/>
      <c r="E899" s="52"/>
      <c r="F899" s="52"/>
      <c r="G899" s="52"/>
      <c r="H899" s="52"/>
    </row>
    <row r="900" spans="1:8" ht="15.75">
      <c r="A900" s="50">
        <v>40730</v>
      </c>
      <c r="B900" s="51">
        <v>4215.53</v>
      </c>
      <c r="C900" s="52"/>
      <c r="D900" s="52"/>
      <c r="E900" s="52"/>
      <c r="F900" s="52"/>
      <c r="G900" s="52"/>
      <c r="H900" s="52"/>
    </row>
    <row r="901" spans="1:8" ht="15.75">
      <c r="A901" s="50">
        <v>40731</v>
      </c>
      <c r="B901" s="51">
        <v>4238.3599999999997</v>
      </c>
      <c r="C901" s="52"/>
      <c r="D901" s="52"/>
      <c r="E901" s="52"/>
      <c r="F901" s="52"/>
      <c r="G901" s="52"/>
      <c r="H901" s="52"/>
    </row>
    <row r="902" spans="1:8" ht="15.75">
      <c r="A902" s="50">
        <v>40732</v>
      </c>
      <c r="B902" s="51">
        <v>4199.3900000000003</v>
      </c>
      <c r="C902" s="52"/>
      <c r="D902" s="52"/>
      <c r="E902" s="52"/>
      <c r="F902" s="52"/>
      <c r="G902" s="52"/>
      <c r="H902" s="52"/>
    </row>
    <row r="903" spans="1:8" ht="15.75">
      <c r="A903" s="50">
        <v>40735</v>
      </c>
      <c r="B903" s="51">
        <v>4101.5600000000004</v>
      </c>
      <c r="C903" s="52"/>
      <c r="D903" s="52"/>
      <c r="E903" s="52"/>
      <c r="F903" s="52"/>
      <c r="G903" s="52"/>
      <c r="H903" s="52"/>
    </row>
    <row r="904" spans="1:8" ht="15.75">
      <c r="A904" s="50">
        <v>40736</v>
      </c>
      <c r="B904" s="51">
        <v>4069.72</v>
      </c>
      <c r="C904" s="52"/>
      <c r="D904" s="52"/>
      <c r="E904" s="52"/>
      <c r="F904" s="52"/>
      <c r="G904" s="52"/>
      <c r="H904" s="52"/>
    </row>
    <row r="905" spans="1:8" ht="15.75">
      <c r="A905" s="50">
        <v>40737</v>
      </c>
      <c r="B905" s="51">
        <v>4122.8999999999996</v>
      </c>
      <c r="C905" s="52"/>
      <c r="D905" s="52"/>
      <c r="E905" s="52"/>
      <c r="F905" s="52"/>
      <c r="G905" s="52"/>
      <c r="H905" s="52"/>
    </row>
    <row r="906" spans="1:8" ht="15.75">
      <c r="A906" s="50">
        <v>40738</v>
      </c>
      <c r="B906" s="51">
        <v>4092.76</v>
      </c>
      <c r="C906" s="52"/>
      <c r="D906" s="52"/>
      <c r="E906" s="52"/>
      <c r="F906" s="52"/>
      <c r="G906" s="52"/>
      <c r="H906" s="52"/>
    </row>
    <row r="907" spans="1:8" ht="15.75">
      <c r="A907" s="50">
        <v>40739</v>
      </c>
      <c r="B907" s="51">
        <v>4095.82</v>
      </c>
      <c r="C907" s="52"/>
      <c r="D907" s="52"/>
      <c r="E907" s="52"/>
      <c r="F907" s="52"/>
      <c r="G907" s="52"/>
      <c r="H907" s="52"/>
    </row>
    <row r="908" spans="1:8" ht="15.75">
      <c r="A908" s="50">
        <v>40742</v>
      </c>
      <c r="B908" s="51">
        <v>4032.17</v>
      </c>
      <c r="C908" s="52"/>
      <c r="D908" s="52"/>
      <c r="E908" s="52"/>
      <c r="F908" s="52"/>
      <c r="G908" s="52"/>
      <c r="H908" s="52"/>
    </row>
    <row r="909" spans="1:8" ht="15.75">
      <c r="A909" s="50">
        <v>40743</v>
      </c>
      <c r="B909" s="51">
        <v>4080.22</v>
      </c>
      <c r="C909" s="52"/>
      <c r="D909" s="52"/>
      <c r="E909" s="52"/>
      <c r="F909" s="52"/>
      <c r="G909" s="52"/>
      <c r="H909" s="52"/>
    </row>
    <row r="910" spans="1:8" ht="15.75">
      <c r="A910" s="50">
        <v>40744</v>
      </c>
      <c r="B910" s="51">
        <v>4096.5</v>
      </c>
      <c r="C910" s="52"/>
      <c r="D910" s="52"/>
      <c r="E910" s="52"/>
      <c r="F910" s="52"/>
      <c r="G910" s="52"/>
      <c r="H910" s="52"/>
    </row>
    <row r="911" spans="1:8" ht="15.75">
      <c r="A911" s="50">
        <v>40745</v>
      </c>
      <c r="B911" s="51">
        <v>4135.54</v>
      </c>
      <c r="C911" s="52"/>
      <c r="D911" s="52"/>
      <c r="E911" s="52"/>
      <c r="F911" s="52"/>
      <c r="G911" s="52"/>
      <c r="H911" s="52"/>
    </row>
    <row r="912" spans="1:8" ht="15.75">
      <c r="A912" s="50">
        <v>40746</v>
      </c>
      <c r="B912" s="51">
        <v>4156.09</v>
      </c>
      <c r="C912" s="52"/>
      <c r="D912" s="52"/>
      <c r="E912" s="52"/>
      <c r="F912" s="52"/>
      <c r="G912" s="52"/>
      <c r="H912" s="52"/>
    </row>
    <row r="913" spans="1:8" ht="15.75">
      <c r="A913" s="50">
        <v>40749</v>
      </c>
      <c r="B913" s="51">
        <v>4166.3900000000003</v>
      </c>
      <c r="C913" s="52"/>
      <c r="D913" s="52"/>
      <c r="E913" s="52"/>
      <c r="F913" s="52"/>
      <c r="G913" s="52"/>
      <c r="H913" s="52"/>
    </row>
    <row r="914" spans="1:8" ht="15.75">
      <c r="A914" s="50">
        <v>40750</v>
      </c>
      <c r="B914" s="51">
        <v>4169.1899999999996</v>
      </c>
      <c r="C914" s="52"/>
      <c r="D914" s="52"/>
      <c r="E914" s="52"/>
      <c r="F914" s="52"/>
      <c r="G914" s="52"/>
      <c r="H914" s="52"/>
    </row>
    <row r="915" spans="1:8" ht="15.75">
      <c r="A915" s="50">
        <v>40751</v>
      </c>
      <c r="B915" s="51">
        <v>4114.28</v>
      </c>
      <c r="C915" s="52"/>
      <c r="D915" s="52"/>
      <c r="E915" s="52"/>
      <c r="F915" s="52"/>
      <c r="G915" s="52"/>
      <c r="H915" s="52"/>
    </row>
    <row r="916" spans="1:8" ht="15.75">
      <c r="A916" s="50">
        <v>40752</v>
      </c>
      <c r="B916" s="51">
        <v>4078.77</v>
      </c>
      <c r="C916" s="52"/>
      <c r="D916" s="52"/>
      <c r="E916" s="52"/>
      <c r="F916" s="52"/>
      <c r="G916" s="52"/>
      <c r="H916" s="52"/>
    </row>
    <row r="917" spans="1:8" ht="15.75">
      <c r="A917" s="50">
        <v>40753</v>
      </c>
      <c r="B917" s="51">
        <v>4061.01</v>
      </c>
      <c r="C917" s="52"/>
      <c r="D917" s="52"/>
      <c r="E917" s="52"/>
      <c r="F917" s="52"/>
      <c r="G917" s="52"/>
      <c r="H917" s="52"/>
    </row>
    <row r="918" spans="1:8" ht="15.75">
      <c r="A918" s="50">
        <v>40756</v>
      </c>
      <c r="B918" s="51">
        <v>3944.84</v>
      </c>
      <c r="C918" s="52"/>
      <c r="D918" s="52"/>
      <c r="E918" s="52"/>
      <c r="F918" s="52"/>
      <c r="G918" s="52"/>
      <c r="H918" s="52"/>
    </row>
    <row r="919" spans="1:8" ht="15.75">
      <c r="A919" s="50">
        <v>40757</v>
      </c>
      <c r="B919" s="51">
        <v>3855.66</v>
      </c>
      <c r="C919" s="52"/>
      <c r="D919" s="52"/>
      <c r="E919" s="52"/>
      <c r="F919" s="52"/>
      <c r="G919" s="52"/>
      <c r="H919" s="52"/>
    </row>
    <row r="920" spans="1:8" ht="15.75">
      <c r="A920" s="50">
        <v>40758</v>
      </c>
      <c r="B920" s="51">
        <v>3767.09</v>
      </c>
      <c r="C920" s="52"/>
      <c r="D920" s="52"/>
      <c r="E920" s="52"/>
      <c r="F920" s="52"/>
      <c r="G920" s="52"/>
      <c r="H920" s="52"/>
    </row>
    <row r="921" spans="1:8" ht="15.75">
      <c r="A921" s="50">
        <v>40759</v>
      </c>
      <c r="B921" s="51">
        <v>3638.99</v>
      </c>
      <c r="C921" s="52"/>
      <c r="D921" s="52"/>
      <c r="E921" s="52"/>
      <c r="F921" s="52"/>
      <c r="G921" s="52"/>
      <c r="H921" s="52"/>
    </row>
    <row r="922" spans="1:8" ht="15.75">
      <c r="A922" s="50">
        <v>40760</v>
      </c>
      <c r="B922" s="51">
        <v>3537.67</v>
      </c>
      <c r="C922" s="52"/>
      <c r="D922" s="52"/>
      <c r="E922" s="52"/>
      <c r="F922" s="52"/>
      <c r="G922" s="52"/>
      <c r="H922" s="52"/>
    </row>
    <row r="923" spans="1:8" ht="15.75">
      <c r="A923" s="50">
        <v>40763</v>
      </c>
      <c r="B923" s="51">
        <v>3360.19</v>
      </c>
      <c r="C923" s="52"/>
      <c r="D923" s="52"/>
      <c r="E923" s="52"/>
      <c r="F923" s="52"/>
      <c r="G923" s="52"/>
      <c r="H923" s="52"/>
    </row>
    <row r="924" spans="1:8" ht="15.75">
      <c r="A924" s="50">
        <v>40764</v>
      </c>
      <c r="B924" s="51">
        <v>3356.67</v>
      </c>
      <c r="C924" s="52"/>
      <c r="D924" s="52"/>
      <c r="E924" s="52"/>
      <c r="F924" s="52"/>
      <c r="G924" s="52"/>
      <c r="H924" s="52"/>
    </row>
    <row r="925" spans="1:8" ht="15.75">
      <c r="A925" s="50">
        <v>40765</v>
      </c>
      <c r="B925" s="51">
        <v>3184.41</v>
      </c>
      <c r="C925" s="52"/>
      <c r="D925" s="52"/>
      <c r="E925" s="52"/>
      <c r="F925" s="52"/>
      <c r="G925" s="52"/>
      <c r="H925" s="52"/>
    </row>
    <row r="926" spans="1:8" ht="15.75">
      <c r="A926" s="50">
        <v>40766</v>
      </c>
      <c r="B926" s="51">
        <v>3288.9</v>
      </c>
      <c r="C926" s="52"/>
      <c r="D926" s="52"/>
      <c r="E926" s="52"/>
      <c r="F926" s="52"/>
      <c r="G926" s="52"/>
      <c r="H926" s="52"/>
    </row>
    <row r="927" spans="1:8" ht="15.75">
      <c r="A927" s="50">
        <v>40767</v>
      </c>
      <c r="B927" s="51">
        <v>3402.42</v>
      </c>
      <c r="C927" s="52"/>
      <c r="D927" s="52"/>
      <c r="E927" s="52"/>
      <c r="F927" s="52"/>
      <c r="G927" s="52"/>
      <c r="H927" s="52"/>
    </row>
    <row r="928" spans="1:8" ht="15.75">
      <c r="A928" s="50">
        <v>40770</v>
      </c>
      <c r="B928" s="51">
        <v>3416.3</v>
      </c>
      <c r="C928" s="52"/>
      <c r="D928" s="52"/>
      <c r="E928" s="52"/>
      <c r="F928" s="52"/>
      <c r="G928" s="52"/>
      <c r="H928" s="52"/>
    </row>
    <row r="929" spans="1:8" ht="15.75">
      <c r="A929" s="50">
        <v>40771</v>
      </c>
      <c r="B929" s="51">
        <v>3400.81</v>
      </c>
      <c r="C929" s="52"/>
      <c r="D929" s="52"/>
      <c r="E929" s="52"/>
      <c r="F929" s="52"/>
      <c r="G929" s="52"/>
      <c r="H929" s="52"/>
    </row>
    <row r="930" spans="1:8" ht="15.75">
      <c r="A930" s="50">
        <v>40772</v>
      </c>
      <c r="B930" s="51">
        <v>3374.73</v>
      </c>
      <c r="C930" s="52"/>
      <c r="D930" s="52"/>
      <c r="E930" s="52"/>
      <c r="F930" s="52"/>
      <c r="G930" s="52"/>
      <c r="H930" s="52"/>
    </row>
    <row r="931" spans="1:8" ht="15.75">
      <c r="A931" s="50">
        <v>40773</v>
      </c>
      <c r="B931" s="51">
        <v>3178.4</v>
      </c>
      <c r="C931" s="52"/>
      <c r="D931" s="52"/>
      <c r="E931" s="52"/>
      <c r="F931" s="52"/>
      <c r="G931" s="52"/>
      <c r="H931" s="52"/>
    </row>
    <row r="932" spans="1:8" ht="15.75">
      <c r="A932" s="50">
        <v>40774</v>
      </c>
      <c r="B932" s="51">
        <v>3108.73</v>
      </c>
      <c r="C932" s="52"/>
      <c r="D932" s="52"/>
      <c r="E932" s="52"/>
      <c r="F932" s="52"/>
      <c r="G932" s="52"/>
      <c r="H932" s="52"/>
    </row>
    <row r="933" spans="1:8" ht="15.75">
      <c r="A933" s="50">
        <v>40777</v>
      </c>
      <c r="B933" s="51">
        <v>3105.21</v>
      </c>
      <c r="C933" s="52"/>
      <c r="D933" s="52"/>
      <c r="E933" s="52"/>
      <c r="F933" s="52"/>
      <c r="G933" s="52"/>
      <c r="H933" s="52"/>
    </row>
    <row r="934" spans="1:8" ht="15.75">
      <c r="A934" s="50">
        <v>40778</v>
      </c>
      <c r="B934" s="51">
        <v>3138.44</v>
      </c>
      <c r="C934" s="52"/>
      <c r="D934" s="52"/>
      <c r="E934" s="52"/>
      <c r="F934" s="52"/>
      <c r="G934" s="52"/>
      <c r="H934" s="52"/>
    </row>
    <row r="935" spans="1:8" ht="15.75">
      <c r="A935" s="50">
        <v>40779</v>
      </c>
      <c r="B935" s="51">
        <v>3222.8</v>
      </c>
      <c r="C935" s="52"/>
      <c r="D935" s="52"/>
      <c r="E935" s="52"/>
      <c r="F935" s="52"/>
      <c r="G935" s="52"/>
      <c r="H935" s="52"/>
    </row>
    <row r="936" spans="1:8" ht="15.75">
      <c r="A936" s="50">
        <v>40780</v>
      </c>
      <c r="B936" s="51">
        <v>3167.81</v>
      </c>
      <c r="C936" s="52"/>
      <c r="D936" s="52"/>
      <c r="E936" s="52"/>
      <c r="F936" s="52"/>
      <c r="G936" s="52"/>
      <c r="H936" s="52"/>
    </row>
    <row r="937" spans="1:8" ht="15.75">
      <c r="A937" s="50">
        <v>40781</v>
      </c>
      <c r="B937" s="51">
        <v>3141.34</v>
      </c>
      <c r="C937" s="52"/>
      <c r="D937" s="52"/>
      <c r="E937" s="52"/>
      <c r="F937" s="52"/>
      <c r="G937" s="52"/>
      <c r="H937" s="52"/>
    </row>
    <row r="938" spans="1:8" ht="15.75">
      <c r="A938" s="50">
        <v>40784</v>
      </c>
      <c r="B938" s="51">
        <v>3216.55</v>
      </c>
      <c r="C938" s="52"/>
      <c r="D938" s="52"/>
      <c r="E938" s="52"/>
      <c r="F938" s="52"/>
      <c r="G938" s="52"/>
      <c r="H938" s="52"/>
    </row>
    <row r="939" spans="1:8" ht="15.75">
      <c r="A939" s="50">
        <v>40785</v>
      </c>
      <c r="B939" s="51">
        <v>3201.71</v>
      </c>
      <c r="C939" s="52"/>
      <c r="D939" s="52"/>
      <c r="E939" s="52"/>
      <c r="F939" s="52"/>
      <c r="G939" s="52"/>
      <c r="H939" s="52"/>
    </row>
    <row r="940" spans="1:8" ht="15.75">
      <c r="A940" s="50">
        <v>40786</v>
      </c>
      <c r="B940" s="51">
        <v>3281.65</v>
      </c>
      <c r="C940" s="52"/>
      <c r="D940" s="52"/>
      <c r="E940" s="52"/>
      <c r="F940" s="52"/>
      <c r="G940" s="52"/>
      <c r="H940" s="52"/>
    </row>
    <row r="941" spans="1:8" ht="15.75">
      <c r="A941" s="50">
        <v>40787</v>
      </c>
      <c r="B941" s="51">
        <v>3250.9</v>
      </c>
      <c r="C941" s="52"/>
      <c r="D941" s="52"/>
      <c r="E941" s="52"/>
      <c r="F941" s="52"/>
      <c r="G941" s="52"/>
      <c r="H941" s="52"/>
    </row>
    <row r="942" spans="1:8" ht="15.75">
      <c r="A942" s="50">
        <v>40788</v>
      </c>
      <c r="B942" s="51">
        <v>3141.81</v>
      </c>
      <c r="C942" s="52"/>
      <c r="D942" s="52"/>
      <c r="E942" s="52"/>
      <c r="F942" s="52"/>
      <c r="G942" s="52"/>
      <c r="H942" s="52"/>
    </row>
    <row r="943" spans="1:8" ht="15.75">
      <c r="A943" s="50">
        <v>40791</v>
      </c>
      <c r="B943" s="51">
        <v>2976.07</v>
      </c>
      <c r="C943" s="52"/>
      <c r="D943" s="52"/>
      <c r="E943" s="52"/>
      <c r="F943" s="52"/>
      <c r="G943" s="52"/>
      <c r="H943" s="52"/>
    </row>
    <row r="944" spans="1:8" ht="15.75">
      <c r="A944" s="50">
        <v>40792</v>
      </c>
      <c r="B944" s="51">
        <v>2946.46</v>
      </c>
      <c r="C944" s="52"/>
      <c r="D944" s="52"/>
      <c r="E944" s="52"/>
      <c r="F944" s="52"/>
      <c r="G944" s="52"/>
      <c r="H944" s="52"/>
    </row>
    <row r="945" spans="1:8" ht="15.75">
      <c r="A945" s="50">
        <v>40793</v>
      </c>
      <c r="B945" s="51">
        <v>3066.48</v>
      </c>
      <c r="C945" s="52"/>
      <c r="D945" s="52"/>
      <c r="E945" s="52"/>
      <c r="F945" s="52"/>
      <c r="G945" s="52"/>
      <c r="H945" s="52"/>
    </row>
    <row r="946" spans="1:8" ht="15.75">
      <c r="A946" s="50">
        <v>40794</v>
      </c>
      <c r="B946" s="51">
        <v>3068.15</v>
      </c>
      <c r="C946" s="52"/>
      <c r="D946" s="52"/>
      <c r="E946" s="52"/>
      <c r="F946" s="52"/>
      <c r="G946" s="52"/>
      <c r="H946" s="52"/>
    </row>
    <row r="947" spans="1:8" ht="15.75">
      <c r="A947" s="50">
        <v>40795</v>
      </c>
      <c r="B947" s="51">
        <v>2944.18</v>
      </c>
      <c r="C947" s="52"/>
      <c r="D947" s="52"/>
      <c r="E947" s="52"/>
      <c r="F947" s="52"/>
      <c r="G947" s="52"/>
      <c r="H947" s="52"/>
    </row>
    <row r="948" spans="1:8" ht="15.75">
      <c r="A948" s="50">
        <v>40798</v>
      </c>
      <c r="B948" s="51">
        <v>2877.47</v>
      </c>
      <c r="C948" s="52"/>
      <c r="D948" s="52"/>
      <c r="E948" s="52"/>
      <c r="F948" s="52"/>
      <c r="G948" s="52"/>
      <c r="H948" s="52"/>
    </row>
    <row r="949" spans="1:8" ht="15.75">
      <c r="A949" s="50">
        <v>40799</v>
      </c>
      <c r="B949" s="51">
        <v>2930.83</v>
      </c>
      <c r="C949" s="52"/>
      <c r="D949" s="52"/>
      <c r="E949" s="52"/>
      <c r="F949" s="52"/>
      <c r="G949" s="52"/>
      <c r="H949" s="52"/>
    </row>
    <row r="950" spans="1:8" ht="15.75">
      <c r="A950" s="50">
        <v>40800</v>
      </c>
      <c r="B950" s="51">
        <v>3029.43</v>
      </c>
      <c r="C950" s="52"/>
      <c r="D950" s="52"/>
      <c r="E950" s="52"/>
      <c r="F950" s="52"/>
      <c r="G950" s="52"/>
      <c r="H950" s="52"/>
    </row>
    <row r="951" spans="1:8" ht="15.75">
      <c r="A951" s="50">
        <v>40801</v>
      </c>
      <c r="B951" s="51">
        <v>3124.75</v>
      </c>
      <c r="C951" s="52"/>
      <c r="D951" s="52"/>
      <c r="E951" s="52"/>
      <c r="F951" s="52"/>
      <c r="G951" s="52"/>
      <c r="H951" s="52"/>
    </row>
    <row r="952" spans="1:8" ht="15.75">
      <c r="A952" s="50">
        <v>40802</v>
      </c>
      <c r="B952" s="51">
        <v>3161.78</v>
      </c>
      <c r="C952" s="52"/>
      <c r="D952" s="52"/>
      <c r="E952" s="52"/>
      <c r="F952" s="52"/>
      <c r="G952" s="52"/>
      <c r="H952" s="52"/>
    </row>
    <row r="953" spans="1:8" ht="15.75">
      <c r="A953" s="50">
        <v>40805</v>
      </c>
      <c r="B953" s="51">
        <v>3072.38</v>
      </c>
      <c r="C953" s="52"/>
      <c r="D953" s="52"/>
      <c r="E953" s="52"/>
      <c r="F953" s="52"/>
      <c r="G953" s="52"/>
      <c r="H953" s="52"/>
    </row>
    <row r="954" spans="1:8" ht="15.75">
      <c r="A954" s="50">
        <v>40806</v>
      </c>
      <c r="B954" s="51">
        <v>3160.74</v>
      </c>
      <c r="C954" s="52"/>
      <c r="D954" s="52"/>
      <c r="E954" s="52"/>
      <c r="F954" s="52"/>
      <c r="G954" s="52"/>
      <c r="H954" s="52"/>
    </row>
    <row r="955" spans="1:8" ht="15.75">
      <c r="A955" s="50">
        <v>40807</v>
      </c>
      <c r="B955" s="51">
        <v>3082.52</v>
      </c>
      <c r="C955" s="52"/>
      <c r="D955" s="52"/>
      <c r="E955" s="52"/>
      <c r="F955" s="52"/>
      <c r="G955" s="52"/>
      <c r="H955" s="52"/>
    </row>
    <row r="956" spans="1:8" ht="15.75">
      <c r="A956" s="50">
        <v>40808</v>
      </c>
      <c r="B956" s="51">
        <v>2929.59</v>
      </c>
      <c r="C956" s="52"/>
      <c r="D956" s="52"/>
      <c r="E956" s="52"/>
      <c r="F956" s="52"/>
      <c r="G956" s="52"/>
      <c r="H956" s="52"/>
    </row>
    <row r="957" spans="1:8" ht="15.75">
      <c r="A957" s="50">
        <v>40809</v>
      </c>
      <c r="B957" s="51">
        <v>2947.94</v>
      </c>
      <c r="C957" s="52"/>
      <c r="D957" s="52"/>
      <c r="E957" s="52"/>
      <c r="F957" s="52"/>
      <c r="G957" s="52"/>
      <c r="H957" s="52"/>
    </row>
    <row r="958" spans="1:8" ht="15.75">
      <c r="A958" s="50">
        <v>40812</v>
      </c>
      <c r="B958" s="51">
        <v>3032.47</v>
      </c>
      <c r="C958" s="52"/>
      <c r="D958" s="52"/>
      <c r="E958" s="52"/>
      <c r="F958" s="52"/>
      <c r="G958" s="52"/>
      <c r="H958" s="52"/>
    </row>
    <row r="959" spans="1:8" ht="15.75">
      <c r="A959" s="50">
        <v>40813</v>
      </c>
      <c r="B959" s="51">
        <v>3192.94</v>
      </c>
      <c r="C959" s="52"/>
      <c r="D959" s="52"/>
      <c r="E959" s="52"/>
      <c r="F959" s="52"/>
      <c r="G959" s="52"/>
      <c r="H959" s="52"/>
    </row>
    <row r="960" spans="1:8" ht="15.75">
      <c r="A960" s="50">
        <v>40814</v>
      </c>
      <c r="B960" s="51">
        <v>3164.57</v>
      </c>
      <c r="C960" s="52"/>
      <c r="D960" s="52"/>
      <c r="E960" s="52"/>
      <c r="F960" s="52"/>
      <c r="G960" s="52"/>
      <c r="H960" s="52"/>
    </row>
    <row r="961" spans="1:8" ht="15.75">
      <c r="A961" s="50">
        <v>40815</v>
      </c>
      <c r="B961" s="51">
        <v>3199.26</v>
      </c>
      <c r="C961" s="52"/>
      <c r="D961" s="52"/>
      <c r="E961" s="52"/>
      <c r="F961" s="52"/>
      <c r="G961" s="52"/>
      <c r="H961" s="52"/>
    </row>
    <row r="962" spans="1:8" ht="15.75">
      <c r="A962" s="50">
        <v>40816</v>
      </c>
      <c r="B962" s="51">
        <v>3121.22</v>
      </c>
      <c r="C962" s="52"/>
      <c r="D962" s="52"/>
      <c r="E962" s="52"/>
      <c r="F962" s="52"/>
      <c r="G962" s="52"/>
      <c r="H962" s="52"/>
    </row>
    <row r="963" spans="1:8" ht="15.75">
      <c r="A963" s="50">
        <v>40819</v>
      </c>
      <c r="B963" s="51">
        <v>3050.13</v>
      </c>
      <c r="C963" s="52"/>
      <c r="D963" s="52"/>
      <c r="E963" s="52"/>
      <c r="F963" s="52"/>
      <c r="G963" s="52"/>
      <c r="H963" s="52"/>
    </row>
    <row r="964" spans="1:8" ht="15.75">
      <c r="A964" s="50">
        <v>40820</v>
      </c>
      <c r="B964" s="51">
        <v>2959.37</v>
      </c>
      <c r="C964" s="52"/>
      <c r="D964" s="52"/>
      <c r="E964" s="52"/>
      <c r="F964" s="52"/>
      <c r="G964" s="52"/>
      <c r="H964" s="52"/>
    </row>
    <row r="965" spans="1:8" ht="15.75">
      <c r="A965" s="50">
        <v>40821</v>
      </c>
      <c r="B965" s="51">
        <v>3104.78</v>
      </c>
      <c r="C965" s="52"/>
      <c r="D965" s="52"/>
      <c r="E965" s="52"/>
      <c r="F965" s="52"/>
      <c r="G965" s="52"/>
      <c r="H965" s="52"/>
    </row>
    <row r="966" spans="1:8" ht="15.75">
      <c r="A966" s="50">
        <v>40822</v>
      </c>
      <c r="B966" s="51">
        <v>3202.48</v>
      </c>
      <c r="C966" s="52"/>
      <c r="D966" s="52"/>
      <c r="E966" s="52"/>
      <c r="F966" s="52"/>
      <c r="G966" s="52"/>
      <c r="H966" s="52"/>
    </row>
    <row r="967" spans="1:8" ht="15.75">
      <c r="A967" s="50">
        <v>40823</v>
      </c>
      <c r="B967" s="51">
        <v>3219.75</v>
      </c>
      <c r="C967" s="52"/>
      <c r="D967" s="52"/>
      <c r="E967" s="52"/>
      <c r="F967" s="52"/>
      <c r="G967" s="52"/>
      <c r="H967" s="52"/>
    </row>
    <row r="968" spans="1:8" ht="15.75">
      <c r="A968" s="50">
        <v>40826</v>
      </c>
      <c r="B968" s="51">
        <v>3317.09</v>
      </c>
      <c r="C968" s="52"/>
      <c r="D968" s="52"/>
      <c r="E968" s="52"/>
      <c r="F968" s="52"/>
      <c r="G968" s="52"/>
      <c r="H968" s="52"/>
    </row>
    <row r="969" spans="1:8" ht="15.75">
      <c r="A969" s="50">
        <v>40827</v>
      </c>
      <c r="B969" s="51">
        <v>3327.14</v>
      </c>
      <c r="C969" s="52"/>
      <c r="D969" s="52"/>
      <c r="E969" s="52"/>
      <c r="F969" s="52"/>
      <c r="G969" s="52"/>
      <c r="H969" s="52"/>
    </row>
    <row r="970" spans="1:8" ht="15.75">
      <c r="A970" s="50">
        <v>40828</v>
      </c>
      <c r="B970" s="51">
        <v>3400.59</v>
      </c>
      <c r="C970" s="52"/>
      <c r="D970" s="52"/>
      <c r="E970" s="52"/>
      <c r="F970" s="52"/>
      <c r="G970" s="52"/>
      <c r="H970" s="52"/>
    </row>
    <row r="971" spans="1:8" ht="15.75">
      <c r="A971" s="50">
        <v>40829</v>
      </c>
      <c r="B971" s="51">
        <v>3355.41</v>
      </c>
      <c r="C971" s="52"/>
      <c r="D971" s="52"/>
      <c r="E971" s="52"/>
      <c r="F971" s="52"/>
      <c r="G971" s="52"/>
      <c r="H971" s="52"/>
    </row>
    <row r="972" spans="1:8" ht="15.75">
      <c r="A972" s="50">
        <v>40830</v>
      </c>
      <c r="B972" s="51">
        <v>3385.11</v>
      </c>
      <c r="C972" s="52"/>
      <c r="D972" s="52"/>
      <c r="E972" s="52"/>
      <c r="F972" s="52"/>
      <c r="G972" s="52"/>
      <c r="H972" s="52"/>
    </row>
    <row r="973" spans="1:8" ht="15.75">
      <c r="A973" s="50">
        <v>40833</v>
      </c>
      <c r="B973" s="51">
        <v>3323.98</v>
      </c>
      <c r="C973" s="52"/>
      <c r="D973" s="52"/>
      <c r="E973" s="52"/>
      <c r="F973" s="52"/>
      <c r="G973" s="52"/>
      <c r="H973" s="52"/>
    </row>
    <row r="974" spans="1:8" ht="15.75">
      <c r="A974" s="50">
        <v>40834</v>
      </c>
      <c r="B974" s="51">
        <v>3334.18</v>
      </c>
      <c r="C974" s="52"/>
      <c r="D974" s="52"/>
      <c r="E974" s="52"/>
      <c r="F974" s="52"/>
      <c r="G974" s="52"/>
      <c r="H974" s="52"/>
    </row>
    <row r="975" spans="1:8" ht="15.75">
      <c r="A975" s="50">
        <v>40835</v>
      </c>
      <c r="B975" s="51">
        <v>3354.67</v>
      </c>
      <c r="C975" s="52"/>
      <c r="D975" s="52"/>
      <c r="E975" s="52"/>
      <c r="F975" s="52"/>
      <c r="G975" s="52"/>
      <c r="H975" s="52"/>
    </row>
    <row r="976" spans="1:8" ht="15.75">
      <c r="A976" s="50">
        <v>40836</v>
      </c>
      <c r="B976" s="51">
        <v>3271.25</v>
      </c>
      <c r="C976" s="52"/>
      <c r="D976" s="52"/>
      <c r="E976" s="52"/>
      <c r="F976" s="52"/>
      <c r="G976" s="52"/>
      <c r="H976" s="52"/>
    </row>
    <row r="977" spans="1:8" ht="15.75">
      <c r="A977" s="50">
        <v>40837</v>
      </c>
      <c r="B977" s="51">
        <v>3387.25</v>
      </c>
      <c r="C977" s="52"/>
      <c r="D977" s="52"/>
      <c r="E977" s="52"/>
      <c r="F977" s="52"/>
      <c r="G977" s="52"/>
      <c r="H977" s="52"/>
    </row>
    <row r="978" spans="1:8" ht="15.75">
      <c r="A978" s="50">
        <v>40840</v>
      </c>
      <c r="B978" s="51">
        <v>3435.08</v>
      </c>
      <c r="C978" s="52"/>
      <c r="D978" s="52"/>
      <c r="E978" s="52"/>
      <c r="F978" s="52"/>
      <c r="G978" s="52"/>
      <c r="H978" s="52"/>
    </row>
    <row r="979" spans="1:8" ht="15.75">
      <c r="A979" s="50">
        <v>40841</v>
      </c>
      <c r="B979" s="51">
        <v>3430.24</v>
      </c>
      <c r="C979" s="52"/>
      <c r="D979" s="52"/>
      <c r="E979" s="52"/>
      <c r="F979" s="52"/>
      <c r="G979" s="52"/>
      <c r="H979" s="52"/>
    </row>
    <row r="980" spans="1:8" ht="15.75">
      <c r="A980" s="50">
        <v>40842</v>
      </c>
      <c r="B980" s="51">
        <v>3412.84</v>
      </c>
      <c r="C980" s="52"/>
      <c r="D980" s="52"/>
      <c r="E980" s="52"/>
      <c r="F980" s="52"/>
      <c r="G980" s="52"/>
      <c r="H980" s="52"/>
    </row>
    <row r="981" spans="1:8" ht="15.75">
      <c r="A981" s="50">
        <v>40843</v>
      </c>
      <c r="B981" s="51">
        <v>3595.38</v>
      </c>
      <c r="C981" s="52"/>
      <c r="D981" s="52"/>
      <c r="E981" s="52"/>
      <c r="F981" s="52"/>
      <c r="G981" s="52"/>
      <c r="H981" s="52"/>
    </row>
    <row r="982" spans="1:8" ht="15.75">
      <c r="A982" s="50">
        <v>40844</v>
      </c>
      <c r="B982" s="51">
        <v>3600.11</v>
      </c>
      <c r="C982" s="52"/>
      <c r="D982" s="52"/>
      <c r="E982" s="52"/>
      <c r="F982" s="52"/>
      <c r="G982" s="52"/>
      <c r="H982" s="52"/>
    </row>
    <row r="983" spans="1:8" ht="15.75">
      <c r="A983" s="50">
        <v>40847</v>
      </c>
      <c r="B983" s="51">
        <v>3483.9</v>
      </c>
      <c r="C983" s="52"/>
      <c r="D983" s="52"/>
      <c r="E983" s="52"/>
      <c r="F983" s="52"/>
      <c r="G983" s="52"/>
      <c r="H983" s="52"/>
    </row>
    <row r="984" spans="1:8" ht="15.75">
      <c r="A984" s="50">
        <v>40848</v>
      </c>
      <c r="B984" s="51">
        <v>3309.84</v>
      </c>
      <c r="C984" s="52"/>
      <c r="D984" s="52"/>
      <c r="E984" s="52"/>
      <c r="F984" s="52"/>
      <c r="G984" s="52"/>
      <c r="H984" s="52"/>
    </row>
    <row r="985" spans="1:8" ht="15.75">
      <c r="A985" s="50">
        <v>40849</v>
      </c>
      <c r="B985" s="51">
        <v>3384.22</v>
      </c>
      <c r="C985" s="52"/>
      <c r="D985" s="52"/>
      <c r="E985" s="52"/>
      <c r="F985" s="52"/>
      <c r="G985" s="52"/>
      <c r="H985" s="52"/>
    </row>
    <row r="986" spans="1:8" ht="15.75">
      <c r="A986" s="50">
        <v>40850</v>
      </c>
      <c r="B986" s="51">
        <v>3479.27</v>
      </c>
      <c r="C986" s="52"/>
      <c r="D986" s="52"/>
      <c r="E986" s="52"/>
      <c r="F986" s="52"/>
      <c r="G986" s="52"/>
      <c r="H986" s="52"/>
    </row>
    <row r="987" spans="1:8" ht="15.75">
      <c r="A987" s="50">
        <v>40851</v>
      </c>
      <c r="B987" s="51">
        <v>3384.52</v>
      </c>
      <c r="C987" s="52"/>
      <c r="D987" s="52"/>
      <c r="E987" s="52"/>
      <c r="F987" s="52"/>
      <c r="G987" s="52"/>
      <c r="H987" s="52"/>
    </row>
    <row r="988" spans="1:8" ht="15.75">
      <c r="A988" s="50">
        <v>40854</v>
      </c>
      <c r="B988" s="51">
        <v>3363.27</v>
      </c>
      <c r="C988" s="52"/>
      <c r="D988" s="52"/>
      <c r="E988" s="52"/>
      <c r="F988" s="52"/>
      <c r="G988" s="52"/>
      <c r="H988" s="52"/>
    </row>
    <row r="989" spans="1:8" ht="15.75">
      <c r="A989" s="50">
        <v>40855</v>
      </c>
      <c r="B989" s="51">
        <v>3381.84</v>
      </c>
      <c r="C989" s="52"/>
      <c r="D989" s="52"/>
      <c r="E989" s="52"/>
      <c r="F989" s="52"/>
      <c r="G989" s="52"/>
      <c r="H989" s="52"/>
    </row>
    <row r="990" spans="1:8" ht="15.75">
      <c r="A990" s="50">
        <v>40856</v>
      </c>
      <c r="B990" s="51">
        <v>3307.02</v>
      </c>
      <c r="C990" s="52"/>
      <c r="D990" s="52"/>
      <c r="E990" s="52"/>
      <c r="F990" s="52"/>
      <c r="G990" s="52"/>
      <c r="H990" s="52"/>
    </row>
    <row r="991" spans="1:8" ht="15.75">
      <c r="A991" s="50">
        <v>40857</v>
      </c>
      <c r="B991" s="51">
        <v>3328.73</v>
      </c>
      <c r="C991" s="52"/>
      <c r="D991" s="52"/>
      <c r="E991" s="52"/>
      <c r="F991" s="52"/>
      <c r="G991" s="52"/>
      <c r="H991" s="52"/>
    </row>
    <row r="992" spans="1:8" ht="15.75">
      <c r="A992" s="50">
        <v>40858</v>
      </c>
      <c r="B992" s="51">
        <v>3436.08</v>
      </c>
      <c r="C992" s="52"/>
      <c r="D992" s="52"/>
      <c r="E992" s="52"/>
      <c r="F992" s="52"/>
      <c r="G992" s="52"/>
      <c r="H992" s="52"/>
    </row>
    <row r="993" spans="1:8" ht="15.75">
      <c r="A993" s="50">
        <v>40861</v>
      </c>
      <c r="B993" s="51">
        <v>3395.23</v>
      </c>
      <c r="C993" s="52"/>
      <c r="D993" s="52"/>
      <c r="E993" s="52"/>
      <c r="F993" s="52"/>
      <c r="G993" s="52"/>
      <c r="H993" s="52"/>
    </row>
    <row r="994" spans="1:8" ht="15.75">
      <c r="A994" s="50">
        <v>40862</v>
      </c>
      <c r="B994" s="51">
        <v>3365.79</v>
      </c>
      <c r="C994" s="52"/>
      <c r="D994" s="52"/>
      <c r="E994" s="52"/>
      <c r="F994" s="52"/>
      <c r="G994" s="52"/>
      <c r="H994" s="52"/>
    </row>
    <row r="995" spans="1:8" ht="15.75">
      <c r="A995" s="50">
        <v>40863</v>
      </c>
      <c r="B995" s="51">
        <v>3354.57</v>
      </c>
      <c r="C995" s="52"/>
      <c r="D995" s="52"/>
      <c r="E995" s="52"/>
      <c r="F995" s="52"/>
      <c r="G995" s="52"/>
      <c r="H995" s="52"/>
    </row>
    <row r="996" spans="1:8" ht="15.75">
      <c r="A996" s="50">
        <v>40864</v>
      </c>
      <c r="B996" s="51">
        <v>3318.73</v>
      </c>
      <c r="C996" s="52"/>
      <c r="D996" s="52"/>
      <c r="E996" s="52"/>
      <c r="F996" s="52"/>
      <c r="G996" s="52"/>
      <c r="H996" s="52"/>
    </row>
    <row r="997" spans="1:8" ht="15.75">
      <c r="A997" s="50">
        <v>40865</v>
      </c>
      <c r="B997" s="51">
        <v>3290.4</v>
      </c>
      <c r="C997" s="52"/>
      <c r="D997" s="52"/>
      <c r="E997" s="52"/>
      <c r="F997" s="52"/>
      <c r="G997" s="52"/>
      <c r="H997" s="52"/>
    </row>
    <row r="998" spans="1:8" ht="15.75">
      <c r="A998" s="50">
        <v>40868</v>
      </c>
      <c r="B998" s="51">
        <v>3180.21</v>
      </c>
      <c r="C998" s="52"/>
      <c r="D998" s="52"/>
      <c r="E998" s="52"/>
      <c r="F998" s="52"/>
      <c r="G998" s="52"/>
      <c r="H998" s="52"/>
    </row>
    <row r="999" spans="1:8" ht="15.75">
      <c r="A999" s="50">
        <v>40869</v>
      </c>
      <c r="B999" s="51">
        <v>3141.29</v>
      </c>
      <c r="C999" s="52"/>
      <c r="D999" s="52"/>
      <c r="E999" s="52"/>
      <c r="F999" s="52"/>
      <c r="G999" s="52"/>
      <c r="H999" s="52"/>
    </row>
    <row r="1000" spans="1:8" ht="15.75">
      <c r="A1000" s="50">
        <v>40870</v>
      </c>
      <c r="B1000" s="51">
        <v>3096.12</v>
      </c>
      <c r="C1000" s="52"/>
      <c r="D1000" s="52"/>
      <c r="E1000" s="52"/>
      <c r="F1000" s="52"/>
      <c r="G1000" s="52"/>
      <c r="H1000" s="52"/>
    </row>
    <row r="1001" spans="1:8" ht="15.75">
      <c r="A1001" s="50">
        <v>40871</v>
      </c>
      <c r="B1001" s="51">
        <v>3079.3</v>
      </c>
      <c r="C1001" s="52"/>
      <c r="D1001" s="52"/>
      <c r="E1001" s="52"/>
      <c r="F1001" s="52"/>
      <c r="G1001" s="52"/>
      <c r="H1001" s="52"/>
    </row>
    <row r="1002" spans="1:8" ht="15.75">
      <c r="A1002" s="50">
        <v>40872</v>
      </c>
      <c r="B1002" s="51">
        <v>3116.03</v>
      </c>
      <c r="C1002" s="52"/>
      <c r="D1002" s="52"/>
      <c r="E1002" s="52"/>
      <c r="F1002" s="52"/>
      <c r="G1002" s="52"/>
      <c r="H1002" s="52"/>
    </row>
    <row r="1003" spans="1:8" ht="15.75">
      <c r="A1003" s="50">
        <v>40875</v>
      </c>
      <c r="B1003" s="51">
        <v>3259.25</v>
      </c>
      <c r="C1003" s="52"/>
      <c r="D1003" s="52"/>
      <c r="E1003" s="52"/>
      <c r="F1003" s="52"/>
      <c r="G1003" s="52"/>
      <c r="H1003" s="52"/>
    </row>
    <row r="1004" spans="1:8" ht="15.75">
      <c r="A1004" s="50">
        <v>40876</v>
      </c>
      <c r="B1004" s="51">
        <v>3290.21</v>
      </c>
      <c r="C1004" s="52"/>
      <c r="D1004" s="52"/>
      <c r="E1004" s="52"/>
      <c r="F1004" s="52"/>
      <c r="G1004" s="52"/>
      <c r="H1004" s="52"/>
    </row>
    <row r="1005" spans="1:8" ht="15.75">
      <c r="A1005" s="50">
        <v>40877</v>
      </c>
      <c r="B1005" s="51">
        <v>3454.12</v>
      </c>
      <c r="C1005" s="52"/>
      <c r="D1005" s="52"/>
      <c r="E1005" s="52"/>
      <c r="F1005" s="52"/>
      <c r="G1005" s="52"/>
      <c r="H1005" s="52"/>
    </row>
    <row r="1006" spans="1:8" ht="15.75">
      <c r="A1006" s="50">
        <v>40878</v>
      </c>
      <c r="B1006" s="51">
        <v>3424.08</v>
      </c>
      <c r="C1006" s="52"/>
      <c r="D1006" s="52"/>
      <c r="E1006" s="52"/>
      <c r="F1006" s="52"/>
      <c r="G1006" s="52"/>
      <c r="H1006" s="52"/>
    </row>
    <row r="1007" spans="1:8" ht="15.75">
      <c r="A1007" s="50">
        <v>40879</v>
      </c>
      <c r="B1007" s="51">
        <v>3449.49</v>
      </c>
      <c r="C1007" s="52"/>
      <c r="D1007" s="52"/>
      <c r="E1007" s="52"/>
      <c r="F1007" s="52"/>
      <c r="G1007" s="52"/>
      <c r="H1007" s="52"/>
    </row>
    <row r="1008" spans="1:8" ht="15.75">
      <c r="A1008" s="50">
        <v>40882</v>
      </c>
      <c r="B1008" s="51">
        <v>3463.9</v>
      </c>
      <c r="C1008" s="52"/>
      <c r="D1008" s="52"/>
      <c r="E1008" s="52"/>
      <c r="F1008" s="52"/>
      <c r="G1008" s="52"/>
      <c r="H1008" s="52"/>
    </row>
    <row r="1009" spans="1:8" ht="15.75">
      <c r="A1009" s="50">
        <v>40883</v>
      </c>
      <c r="B1009" s="51">
        <v>3420.07</v>
      </c>
      <c r="C1009" s="52"/>
      <c r="D1009" s="52"/>
      <c r="E1009" s="52"/>
      <c r="F1009" s="52"/>
      <c r="G1009" s="52"/>
      <c r="H1009" s="52"/>
    </row>
    <row r="1010" spans="1:8" ht="15.75">
      <c r="A1010" s="50">
        <v>40884</v>
      </c>
      <c r="B1010" s="51">
        <v>3400.73</v>
      </c>
      <c r="C1010" s="52"/>
      <c r="D1010" s="52"/>
      <c r="E1010" s="52"/>
      <c r="F1010" s="52"/>
      <c r="G1010" s="52"/>
      <c r="H1010" s="52"/>
    </row>
    <row r="1011" spans="1:8" ht="15.75">
      <c r="A1011" s="50">
        <v>40885</v>
      </c>
      <c r="B1011" s="51">
        <v>3332.49</v>
      </c>
      <c r="C1011" s="52"/>
      <c r="D1011" s="52"/>
      <c r="E1011" s="52"/>
      <c r="F1011" s="52"/>
      <c r="G1011" s="52"/>
      <c r="H1011" s="52"/>
    </row>
    <row r="1012" spans="1:8" ht="15.75">
      <c r="A1012" s="50">
        <v>40886</v>
      </c>
      <c r="B1012" s="51">
        <v>3396.18</v>
      </c>
      <c r="C1012" s="52"/>
      <c r="D1012" s="52"/>
      <c r="E1012" s="52"/>
      <c r="F1012" s="52"/>
      <c r="G1012" s="52"/>
      <c r="H1012" s="52"/>
    </row>
    <row r="1013" spans="1:8" ht="15.75">
      <c r="A1013" s="50">
        <v>40889</v>
      </c>
      <c r="B1013" s="51">
        <v>3282</v>
      </c>
      <c r="C1013" s="52"/>
      <c r="D1013" s="52"/>
      <c r="E1013" s="52"/>
      <c r="F1013" s="52"/>
      <c r="G1013" s="52"/>
      <c r="H1013" s="52"/>
    </row>
    <row r="1014" spans="1:8" ht="15.75">
      <c r="A1014" s="50">
        <v>40890</v>
      </c>
      <c r="B1014" s="51">
        <v>3275.66</v>
      </c>
      <c r="C1014" s="52"/>
      <c r="D1014" s="52"/>
      <c r="E1014" s="52"/>
      <c r="F1014" s="52"/>
      <c r="G1014" s="52"/>
      <c r="H1014" s="52"/>
    </row>
    <row r="1015" spans="1:8" ht="15.75">
      <c r="A1015" s="50">
        <v>40891</v>
      </c>
      <c r="B1015" s="51">
        <v>3219.43</v>
      </c>
      <c r="C1015" s="52"/>
      <c r="D1015" s="52"/>
      <c r="E1015" s="52"/>
      <c r="F1015" s="52"/>
      <c r="G1015" s="52"/>
      <c r="H1015" s="52"/>
    </row>
    <row r="1016" spans="1:8" ht="15.75">
      <c r="A1016" s="50">
        <v>40892</v>
      </c>
      <c r="B1016" s="51">
        <v>3250.91</v>
      </c>
      <c r="C1016" s="52"/>
      <c r="D1016" s="52"/>
      <c r="E1016" s="52"/>
      <c r="F1016" s="52"/>
      <c r="G1016" s="52"/>
      <c r="H1016" s="52"/>
    </row>
    <row r="1017" spans="1:8" ht="15.75">
      <c r="A1017" s="50">
        <v>40893</v>
      </c>
      <c r="B1017" s="51">
        <v>3234.55</v>
      </c>
      <c r="C1017" s="52"/>
      <c r="D1017" s="52"/>
      <c r="E1017" s="52"/>
      <c r="F1017" s="52"/>
      <c r="G1017" s="52"/>
      <c r="H1017" s="52"/>
    </row>
    <row r="1018" spans="1:8" ht="15.75">
      <c r="A1018" s="50">
        <v>40896</v>
      </c>
      <c r="B1018" s="51">
        <v>3216.93</v>
      </c>
      <c r="C1018" s="52"/>
      <c r="D1018" s="52"/>
      <c r="E1018" s="52"/>
      <c r="F1018" s="52"/>
      <c r="G1018" s="52"/>
      <c r="H1018" s="52"/>
    </row>
    <row r="1019" spans="1:8" ht="15.75">
      <c r="A1019" s="50">
        <v>40897</v>
      </c>
      <c r="B1019" s="51">
        <v>3316.95</v>
      </c>
      <c r="C1019" s="52"/>
      <c r="D1019" s="52"/>
      <c r="E1019" s="52"/>
      <c r="F1019" s="52"/>
      <c r="G1019" s="52"/>
      <c r="H1019" s="52"/>
    </row>
    <row r="1020" spans="1:8" ht="15.75">
      <c r="A1020" s="50">
        <v>40898</v>
      </c>
      <c r="B1020" s="51">
        <v>3285.47</v>
      </c>
      <c r="C1020" s="52"/>
      <c r="D1020" s="52"/>
      <c r="E1020" s="52"/>
      <c r="F1020" s="52"/>
      <c r="G1020" s="52"/>
      <c r="H1020" s="52"/>
    </row>
    <row r="1021" spans="1:8" ht="15.75">
      <c r="A1021" s="50">
        <v>40899</v>
      </c>
      <c r="B1021" s="51">
        <v>3319.87</v>
      </c>
      <c r="C1021" s="52"/>
      <c r="D1021" s="52"/>
      <c r="E1021" s="52"/>
      <c r="F1021" s="52"/>
      <c r="G1021" s="52"/>
      <c r="H1021" s="52"/>
    </row>
    <row r="1022" spans="1:8" ht="15.75">
      <c r="A1022" s="50">
        <v>40900</v>
      </c>
      <c r="B1022" s="51">
        <v>3335.05</v>
      </c>
      <c r="C1022" s="52"/>
      <c r="D1022" s="52"/>
      <c r="E1022" s="52"/>
      <c r="F1022" s="52"/>
      <c r="G1022" s="52"/>
      <c r="H1022" s="52"/>
    </row>
    <row r="1023" spans="1:8" ht="15.75">
      <c r="A1023" s="50">
        <v>40904</v>
      </c>
      <c r="B1023" s="51">
        <v>3341.19</v>
      </c>
      <c r="C1023" s="52"/>
      <c r="D1023" s="52"/>
      <c r="E1023" s="52"/>
      <c r="F1023" s="52"/>
      <c r="G1023" s="52"/>
      <c r="H1023" s="52"/>
    </row>
    <row r="1024" spans="1:8" ht="15.75">
      <c r="A1024" s="50">
        <v>40905</v>
      </c>
      <c r="B1024" s="51">
        <v>3273.97</v>
      </c>
      <c r="C1024" s="52"/>
      <c r="D1024" s="52"/>
      <c r="E1024" s="52"/>
      <c r="F1024" s="52"/>
      <c r="G1024" s="52"/>
      <c r="H1024" s="52"/>
    </row>
    <row r="1025" spans="1:8" ht="15.75">
      <c r="A1025" s="50">
        <v>40906</v>
      </c>
      <c r="B1025" s="51">
        <v>3317.94</v>
      </c>
      <c r="C1025" s="52"/>
      <c r="D1025" s="52"/>
      <c r="E1025" s="52"/>
      <c r="F1025" s="52"/>
      <c r="G1025" s="52"/>
      <c r="H1025" s="52"/>
    </row>
    <row r="1026" spans="1:8" ht="15.75">
      <c r="A1026" s="50">
        <v>40907</v>
      </c>
      <c r="B1026" s="51">
        <v>3346.06</v>
      </c>
      <c r="C1026" s="52"/>
      <c r="D1026" s="52"/>
      <c r="E1026" s="52"/>
      <c r="F1026" s="52"/>
      <c r="G1026" s="52"/>
      <c r="H1026" s="52"/>
    </row>
    <row r="1027" spans="1:8" ht="15.75">
      <c r="A1027" s="50">
        <v>40910</v>
      </c>
      <c r="B1027" s="51">
        <v>3446.57</v>
      </c>
      <c r="C1027" s="52"/>
      <c r="D1027" s="52"/>
      <c r="E1027" s="52"/>
      <c r="F1027" s="52"/>
      <c r="G1027" s="52"/>
      <c r="H1027" s="52"/>
    </row>
    <row r="1028" spans="1:8" ht="15.75">
      <c r="A1028" s="50">
        <v>40911</v>
      </c>
      <c r="B1028" s="51">
        <v>3498.22</v>
      </c>
      <c r="C1028" s="52"/>
      <c r="D1028" s="52"/>
      <c r="E1028" s="52"/>
      <c r="F1028" s="52"/>
      <c r="G1028" s="52"/>
      <c r="H1028" s="52"/>
    </row>
    <row r="1029" spans="1:8" ht="15.75">
      <c r="A1029" s="50">
        <v>40912</v>
      </c>
      <c r="B1029" s="51">
        <v>3467.01</v>
      </c>
      <c r="C1029" s="52"/>
      <c r="D1029" s="52"/>
      <c r="E1029" s="52"/>
      <c r="F1029" s="52"/>
      <c r="G1029" s="52"/>
      <c r="H1029" s="52"/>
    </row>
    <row r="1030" spans="1:8" ht="15.75">
      <c r="A1030" s="50">
        <v>40913</v>
      </c>
      <c r="B1030" s="51">
        <v>3458.18</v>
      </c>
      <c r="C1030" s="52"/>
      <c r="D1030" s="52"/>
      <c r="E1030" s="52"/>
      <c r="F1030" s="52"/>
      <c r="G1030" s="52"/>
      <c r="H1030" s="52"/>
    </row>
    <row r="1031" spans="1:8" ht="15.75">
      <c r="A1031" s="50">
        <v>40914</v>
      </c>
      <c r="B1031" s="51">
        <v>3436.58</v>
      </c>
      <c r="C1031" s="52"/>
      <c r="D1031" s="52"/>
      <c r="E1031" s="52"/>
      <c r="F1031" s="52"/>
      <c r="G1031" s="52"/>
      <c r="H1031" s="52"/>
    </row>
    <row r="1032" spans="1:8" ht="15.75">
      <c r="A1032" s="50">
        <v>40917</v>
      </c>
      <c r="B1032" s="51">
        <v>3413.5</v>
      </c>
      <c r="C1032" s="52"/>
      <c r="D1032" s="52"/>
      <c r="E1032" s="52"/>
      <c r="F1032" s="52"/>
      <c r="G1032" s="52"/>
      <c r="H1032" s="52"/>
    </row>
    <row r="1033" spans="1:8" ht="15.75">
      <c r="A1033" s="50">
        <v>40918</v>
      </c>
      <c r="B1033" s="51">
        <v>3496.18</v>
      </c>
      <c r="C1033" s="52"/>
      <c r="D1033" s="52"/>
      <c r="E1033" s="52"/>
      <c r="F1033" s="52"/>
      <c r="G1033" s="52"/>
      <c r="H1033" s="52"/>
    </row>
    <row r="1034" spans="1:8" ht="15.75">
      <c r="A1034" s="50">
        <v>40919</v>
      </c>
      <c r="B1034" s="51">
        <v>3490.15</v>
      </c>
      <c r="C1034" s="52"/>
      <c r="D1034" s="52"/>
      <c r="E1034" s="52"/>
      <c r="F1034" s="52"/>
      <c r="G1034" s="52"/>
      <c r="H1034" s="52"/>
    </row>
    <row r="1035" spans="1:8" ht="15.75">
      <c r="A1035" s="50">
        <v>40920</v>
      </c>
      <c r="B1035" s="51">
        <v>3505.39</v>
      </c>
      <c r="C1035" s="52"/>
      <c r="D1035" s="52"/>
      <c r="E1035" s="52"/>
      <c r="F1035" s="52"/>
      <c r="G1035" s="52"/>
      <c r="H1035" s="52"/>
    </row>
    <row r="1036" spans="1:8" ht="15.75">
      <c r="A1036" s="50">
        <v>40921</v>
      </c>
      <c r="B1036" s="51">
        <v>3484.89</v>
      </c>
      <c r="C1036" s="52"/>
      <c r="D1036" s="52"/>
      <c r="E1036" s="52"/>
      <c r="F1036" s="52"/>
      <c r="G1036" s="52"/>
      <c r="H1036" s="52"/>
    </row>
    <row r="1037" spans="1:8" ht="15.75">
      <c r="A1037" s="50">
        <v>40924</v>
      </c>
      <c r="B1037" s="51">
        <v>3528.53</v>
      </c>
      <c r="C1037" s="52"/>
      <c r="D1037" s="52"/>
      <c r="E1037" s="52"/>
      <c r="F1037" s="52"/>
      <c r="G1037" s="52"/>
      <c r="H1037" s="52"/>
    </row>
    <row r="1038" spans="1:8" ht="15.75">
      <c r="A1038" s="50">
        <v>40925</v>
      </c>
      <c r="B1038" s="51">
        <v>3592.59</v>
      </c>
      <c r="C1038" s="52"/>
      <c r="D1038" s="52"/>
      <c r="E1038" s="52"/>
      <c r="F1038" s="52"/>
      <c r="G1038" s="52"/>
      <c r="H1038" s="52"/>
    </row>
    <row r="1039" spans="1:8" ht="15.75">
      <c r="A1039" s="50">
        <v>40926</v>
      </c>
      <c r="B1039" s="51">
        <v>3604.87</v>
      </c>
      <c r="C1039" s="52"/>
      <c r="D1039" s="52"/>
      <c r="E1039" s="52"/>
      <c r="F1039" s="52"/>
      <c r="G1039" s="52"/>
      <c r="H1039" s="52"/>
    </row>
    <row r="1040" spans="1:8" ht="15.75">
      <c r="A1040" s="50">
        <v>40927</v>
      </c>
      <c r="B1040" s="51">
        <v>3639.87</v>
      </c>
      <c r="C1040" s="52"/>
      <c r="D1040" s="52"/>
      <c r="E1040" s="52"/>
      <c r="F1040" s="52"/>
      <c r="G1040" s="52"/>
      <c r="H1040" s="52"/>
    </row>
    <row r="1041" spans="1:8" ht="15.75">
      <c r="A1041" s="50">
        <v>40928</v>
      </c>
      <c r="B1041" s="51">
        <v>3633.13</v>
      </c>
      <c r="C1041" s="52"/>
      <c r="D1041" s="52"/>
      <c r="E1041" s="52"/>
      <c r="F1041" s="52"/>
      <c r="G1041" s="52"/>
      <c r="H1041" s="52"/>
    </row>
    <row r="1042" spans="1:8" ht="15.75">
      <c r="A1042" s="50">
        <v>40931</v>
      </c>
      <c r="B1042" s="51">
        <v>3650.26</v>
      </c>
      <c r="C1042" s="52"/>
      <c r="D1042" s="52"/>
      <c r="E1042" s="52"/>
      <c r="F1042" s="52"/>
      <c r="G1042" s="52"/>
      <c r="H1042" s="52"/>
    </row>
    <row r="1043" spans="1:8" ht="15.75">
      <c r="A1043" s="50">
        <v>40932</v>
      </c>
      <c r="B1043" s="51">
        <v>3640.4</v>
      </c>
      <c r="C1043" s="52"/>
      <c r="D1043" s="52"/>
      <c r="E1043" s="52"/>
      <c r="F1043" s="52"/>
      <c r="G1043" s="52"/>
      <c r="H1043" s="52"/>
    </row>
    <row r="1044" spans="1:8" ht="15.75">
      <c r="A1044" s="50">
        <v>40933</v>
      </c>
      <c r="B1044" s="51">
        <v>3628.45</v>
      </c>
      <c r="C1044" s="52"/>
      <c r="D1044" s="52"/>
      <c r="E1044" s="52"/>
      <c r="F1044" s="52"/>
      <c r="G1044" s="52"/>
      <c r="H1044" s="52"/>
    </row>
    <row r="1045" spans="1:8" ht="15.75">
      <c r="A1045" s="50">
        <v>40934</v>
      </c>
      <c r="B1045" s="51">
        <v>3695.33</v>
      </c>
      <c r="C1045" s="52"/>
      <c r="D1045" s="52"/>
      <c r="E1045" s="52"/>
      <c r="F1045" s="52"/>
      <c r="G1045" s="52"/>
      <c r="H1045" s="52"/>
    </row>
    <row r="1046" spans="1:8" ht="15.75">
      <c r="A1046" s="50">
        <v>40935</v>
      </c>
      <c r="B1046" s="51">
        <v>3679.68</v>
      </c>
      <c r="C1046" s="52"/>
      <c r="D1046" s="52"/>
      <c r="E1046" s="52"/>
      <c r="F1046" s="52"/>
      <c r="G1046" s="52"/>
      <c r="H1046" s="52"/>
    </row>
    <row r="1047" spans="1:8" ht="15.75">
      <c r="A1047" s="50">
        <v>40938</v>
      </c>
      <c r="B1047" s="51">
        <v>3641.51</v>
      </c>
      <c r="C1047" s="52"/>
      <c r="D1047" s="52"/>
      <c r="E1047" s="52"/>
      <c r="F1047" s="52"/>
      <c r="G1047" s="52"/>
      <c r="H1047" s="52"/>
    </row>
    <row r="1048" spans="1:8" ht="15.75">
      <c r="A1048" s="50">
        <v>40939</v>
      </c>
      <c r="B1048" s="51">
        <v>3649.71</v>
      </c>
      <c r="C1048" s="52"/>
      <c r="D1048" s="52"/>
      <c r="E1048" s="52"/>
      <c r="F1048" s="52"/>
      <c r="G1048" s="52"/>
      <c r="H1048" s="52"/>
    </row>
    <row r="1049" spans="1:8" ht="15.75">
      <c r="A1049" s="50">
        <v>40940</v>
      </c>
      <c r="B1049" s="51">
        <v>3738.96</v>
      </c>
      <c r="C1049" s="52"/>
      <c r="D1049" s="52"/>
      <c r="E1049" s="52"/>
      <c r="F1049" s="52"/>
      <c r="G1049" s="52"/>
      <c r="H1049" s="52"/>
    </row>
    <row r="1050" spans="1:8" ht="15.75">
      <c r="A1050" s="50">
        <v>40941</v>
      </c>
      <c r="B1050" s="51">
        <v>3760.89</v>
      </c>
      <c r="C1050" s="52"/>
      <c r="D1050" s="52"/>
      <c r="E1050" s="52"/>
      <c r="F1050" s="52"/>
      <c r="G1050" s="52"/>
      <c r="H1050" s="52"/>
    </row>
    <row r="1051" spans="1:8" ht="15.75">
      <c r="A1051" s="50">
        <v>40942</v>
      </c>
      <c r="B1051" s="51">
        <v>3823.57</v>
      </c>
      <c r="C1051" s="52"/>
      <c r="D1051" s="52"/>
      <c r="E1051" s="52"/>
      <c r="F1051" s="52"/>
      <c r="G1051" s="52"/>
      <c r="H1051" s="52"/>
    </row>
    <row r="1052" spans="1:8" ht="15.75">
      <c r="A1052" s="50">
        <v>40945</v>
      </c>
      <c r="B1052" s="51">
        <v>3822.54</v>
      </c>
      <c r="C1052" s="52"/>
      <c r="D1052" s="52"/>
      <c r="E1052" s="52"/>
      <c r="F1052" s="52"/>
      <c r="G1052" s="52"/>
      <c r="H1052" s="52"/>
    </row>
    <row r="1053" spans="1:8" ht="15.75">
      <c r="A1053" s="50">
        <v>40946</v>
      </c>
      <c r="B1053" s="51">
        <v>3816.5</v>
      </c>
      <c r="C1053" s="52"/>
      <c r="D1053" s="52"/>
      <c r="E1053" s="52"/>
      <c r="F1053" s="52"/>
      <c r="G1053" s="52"/>
      <c r="H1053" s="52"/>
    </row>
    <row r="1054" spans="1:8" ht="15.75">
      <c r="A1054" s="50">
        <v>40947</v>
      </c>
      <c r="B1054" s="51">
        <v>3813.36</v>
      </c>
      <c r="C1054" s="52"/>
      <c r="D1054" s="52"/>
      <c r="E1054" s="52"/>
      <c r="F1054" s="52"/>
      <c r="G1054" s="52"/>
      <c r="H1054" s="52"/>
    </row>
    <row r="1055" spans="1:8" ht="15.75">
      <c r="A1055" s="50">
        <v>40948</v>
      </c>
      <c r="B1055" s="51">
        <v>3836.16</v>
      </c>
      <c r="C1055" s="52"/>
      <c r="D1055" s="52"/>
      <c r="E1055" s="52"/>
      <c r="F1055" s="52"/>
      <c r="G1055" s="52"/>
      <c r="H1055" s="52"/>
    </row>
    <row r="1056" spans="1:8" ht="15.75">
      <c r="A1056" s="50">
        <v>40949</v>
      </c>
      <c r="B1056" s="51">
        <v>3782.05</v>
      </c>
      <c r="C1056" s="52"/>
      <c r="D1056" s="52"/>
      <c r="E1056" s="52"/>
      <c r="F1056" s="52"/>
      <c r="G1056" s="52"/>
      <c r="H1056" s="52"/>
    </row>
    <row r="1057" spans="1:8" ht="15.75">
      <c r="A1057" s="50">
        <v>40952</v>
      </c>
      <c r="B1057" s="51">
        <v>3807.85</v>
      </c>
      <c r="C1057" s="52"/>
      <c r="D1057" s="52"/>
      <c r="E1057" s="52"/>
      <c r="F1057" s="52"/>
      <c r="G1057" s="52"/>
      <c r="H1057" s="52"/>
    </row>
    <row r="1058" spans="1:8" ht="15.75">
      <c r="A1058" s="50">
        <v>40953</v>
      </c>
      <c r="B1058" s="51">
        <v>3802.16</v>
      </c>
      <c r="C1058" s="52"/>
      <c r="D1058" s="52"/>
      <c r="E1058" s="52"/>
      <c r="F1058" s="52"/>
      <c r="G1058" s="52"/>
      <c r="H1058" s="52"/>
    </row>
    <row r="1059" spans="1:8" ht="15.75">
      <c r="A1059" s="50">
        <v>40954</v>
      </c>
      <c r="B1059" s="51">
        <v>3819.07</v>
      </c>
      <c r="C1059" s="52"/>
      <c r="D1059" s="52"/>
      <c r="E1059" s="52"/>
      <c r="F1059" s="52"/>
      <c r="G1059" s="52"/>
      <c r="H1059" s="52"/>
    </row>
    <row r="1060" spans="1:8" ht="15.75">
      <c r="A1060" s="50">
        <v>40955</v>
      </c>
      <c r="B1060" s="51">
        <v>3815.64</v>
      </c>
      <c r="C1060" s="52"/>
      <c r="D1060" s="52"/>
      <c r="E1060" s="52"/>
      <c r="F1060" s="52"/>
      <c r="G1060" s="52"/>
      <c r="H1060" s="52"/>
    </row>
    <row r="1061" spans="1:8" ht="15.75">
      <c r="A1061" s="50">
        <v>40956</v>
      </c>
      <c r="B1061" s="51">
        <v>3870.09</v>
      </c>
      <c r="C1061" s="52"/>
      <c r="D1061" s="52"/>
      <c r="E1061" s="52"/>
      <c r="F1061" s="52"/>
      <c r="G1061" s="52"/>
      <c r="H1061" s="52"/>
    </row>
    <row r="1062" spans="1:8" ht="15.75">
      <c r="A1062" s="50">
        <v>40959</v>
      </c>
      <c r="B1062" s="51">
        <v>3926.78</v>
      </c>
      <c r="C1062" s="52"/>
      <c r="D1062" s="52"/>
      <c r="E1062" s="52"/>
      <c r="F1062" s="52"/>
      <c r="G1062" s="52"/>
      <c r="H1062" s="52"/>
    </row>
    <row r="1063" spans="1:8" ht="15.75">
      <c r="A1063" s="50">
        <v>40960</v>
      </c>
      <c r="B1063" s="51">
        <v>3904.1</v>
      </c>
      <c r="C1063" s="52"/>
      <c r="D1063" s="52"/>
      <c r="E1063" s="52"/>
      <c r="F1063" s="52"/>
      <c r="G1063" s="52"/>
      <c r="H1063" s="52"/>
    </row>
    <row r="1064" spans="1:8" ht="15.75">
      <c r="A1064" s="50">
        <v>40961</v>
      </c>
      <c r="B1064" s="51">
        <v>3867.65</v>
      </c>
      <c r="C1064" s="52"/>
      <c r="D1064" s="52"/>
      <c r="E1064" s="52"/>
      <c r="F1064" s="52"/>
      <c r="G1064" s="52"/>
      <c r="H1064" s="52"/>
    </row>
    <row r="1065" spans="1:8" ht="15.75">
      <c r="A1065" s="50">
        <v>40962</v>
      </c>
      <c r="B1065" s="51">
        <v>3848.17</v>
      </c>
      <c r="C1065" s="52"/>
      <c r="D1065" s="52"/>
      <c r="E1065" s="52"/>
      <c r="F1065" s="52"/>
      <c r="G1065" s="52"/>
      <c r="H1065" s="52"/>
    </row>
    <row r="1066" spans="1:8" ht="15.75">
      <c r="A1066" s="50">
        <v>40963</v>
      </c>
      <c r="B1066" s="51">
        <v>3879.29</v>
      </c>
      <c r="C1066" s="52"/>
      <c r="D1066" s="52"/>
      <c r="E1066" s="52"/>
      <c r="F1066" s="52"/>
      <c r="G1066" s="52"/>
      <c r="H1066" s="52"/>
    </row>
    <row r="1067" spans="1:8" ht="15.75">
      <c r="A1067" s="50">
        <v>40966</v>
      </c>
      <c r="B1067" s="51">
        <v>3870.98</v>
      </c>
      <c r="C1067" s="52"/>
      <c r="D1067" s="52"/>
      <c r="E1067" s="52"/>
      <c r="F1067" s="52"/>
      <c r="G1067" s="52"/>
      <c r="H1067" s="52"/>
    </row>
    <row r="1068" spans="1:8" ht="15.75">
      <c r="A1068" s="50">
        <v>40967</v>
      </c>
      <c r="B1068" s="51">
        <v>3892.49</v>
      </c>
      <c r="C1068" s="52"/>
      <c r="D1068" s="52"/>
      <c r="E1068" s="52"/>
      <c r="F1068" s="52"/>
      <c r="G1068" s="52"/>
      <c r="H1068" s="52"/>
    </row>
    <row r="1069" spans="1:8" ht="15.75">
      <c r="A1069" s="50">
        <v>40968</v>
      </c>
      <c r="B1069" s="51">
        <v>3874.59</v>
      </c>
      <c r="C1069" s="52"/>
      <c r="D1069" s="52"/>
      <c r="E1069" s="52"/>
      <c r="F1069" s="52"/>
      <c r="G1069" s="52"/>
      <c r="H1069" s="52"/>
    </row>
    <row r="1070" spans="1:8" ht="15.75">
      <c r="A1070" s="50">
        <v>40969</v>
      </c>
      <c r="B1070" s="51">
        <v>3923.09</v>
      </c>
      <c r="C1070" s="52"/>
      <c r="D1070" s="52"/>
      <c r="E1070" s="52"/>
      <c r="F1070" s="52"/>
      <c r="G1070" s="52"/>
      <c r="H1070" s="52"/>
    </row>
    <row r="1071" spans="1:8" ht="15.75">
      <c r="A1071" s="50">
        <v>40970</v>
      </c>
      <c r="B1071" s="51">
        <v>3911.59</v>
      </c>
      <c r="C1071" s="52"/>
      <c r="D1071" s="52"/>
      <c r="E1071" s="52"/>
      <c r="F1071" s="52"/>
      <c r="G1071" s="52"/>
      <c r="H1071" s="52"/>
    </row>
    <row r="1072" spans="1:8" ht="15.75">
      <c r="A1072" s="50">
        <v>40973</v>
      </c>
      <c r="B1072" s="51">
        <v>3880.6</v>
      </c>
      <c r="C1072" s="52"/>
      <c r="D1072" s="52"/>
      <c r="E1072" s="52"/>
      <c r="F1072" s="52"/>
      <c r="G1072" s="52"/>
      <c r="H1072" s="52"/>
    </row>
    <row r="1073" spans="1:8" ht="15.75">
      <c r="A1073" s="50">
        <v>40974</v>
      </c>
      <c r="B1073" s="51">
        <v>3748.61</v>
      </c>
      <c r="C1073" s="52"/>
      <c r="D1073" s="52"/>
      <c r="E1073" s="52"/>
      <c r="F1073" s="52"/>
      <c r="G1073" s="52"/>
      <c r="H1073" s="52"/>
    </row>
    <row r="1074" spans="1:8" ht="15.75">
      <c r="A1074" s="50">
        <v>40975</v>
      </c>
      <c r="B1074" s="51">
        <v>3770.01</v>
      </c>
      <c r="C1074" s="52"/>
      <c r="D1074" s="52"/>
      <c r="E1074" s="52"/>
      <c r="F1074" s="52"/>
      <c r="G1074" s="52"/>
      <c r="H1074" s="52"/>
    </row>
    <row r="1075" spans="1:8" ht="15.75">
      <c r="A1075" s="50">
        <v>40976</v>
      </c>
      <c r="B1075" s="51">
        <v>3862.45</v>
      </c>
      <c r="C1075" s="52"/>
      <c r="D1075" s="52"/>
      <c r="E1075" s="52"/>
      <c r="F1075" s="52"/>
      <c r="G1075" s="52"/>
      <c r="H1075" s="52"/>
    </row>
    <row r="1076" spans="1:8" ht="15.75">
      <c r="A1076" s="50">
        <v>40977</v>
      </c>
      <c r="B1076" s="51">
        <v>3887.5</v>
      </c>
      <c r="C1076" s="52"/>
      <c r="D1076" s="52"/>
      <c r="E1076" s="52"/>
      <c r="F1076" s="52"/>
      <c r="G1076" s="52"/>
      <c r="H1076" s="52"/>
    </row>
    <row r="1077" spans="1:8" ht="15.75">
      <c r="A1077" s="50">
        <v>40980</v>
      </c>
      <c r="B1077" s="51">
        <v>3899.47</v>
      </c>
      <c r="C1077" s="52"/>
      <c r="D1077" s="52"/>
      <c r="E1077" s="52"/>
      <c r="F1077" s="52"/>
      <c r="G1077" s="52"/>
      <c r="H1077" s="52"/>
    </row>
    <row r="1078" spans="1:8" ht="15.75">
      <c r="A1078" s="50">
        <v>40981</v>
      </c>
      <c r="B1078" s="51">
        <v>3952.9</v>
      </c>
      <c r="C1078" s="52"/>
      <c r="D1078" s="52"/>
      <c r="E1078" s="52"/>
      <c r="F1078" s="52"/>
      <c r="G1078" s="52"/>
      <c r="H1078" s="52"/>
    </row>
    <row r="1079" spans="1:8" ht="15.75">
      <c r="A1079" s="50">
        <v>40982</v>
      </c>
      <c r="B1079" s="51">
        <v>4000.18</v>
      </c>
      <c r="C1079" s="52"/>
      <c r="D1079" s="52"/>
      <c r="E1079" s="52"/>
      <c r="F1079" s="52"/>
      <c r="G1079" s="52"/>
      <c r="H1079" s="52"/>
    </row>
    <row r="1080" spans="1:8" ht="15.75">
      <c r="A1080" s="50">
        <v>40983</v>
      </c>
      <c r="B1080" s="51">
        <v>4036.64</v>
      </c>
      <c r="C1080" s="52"/>
      <c r="D1080" s="52"/>
      <c r="E1080" s="52"/>
      <c r="F1080" s="52"/>
      <c r="G1080" s="52"/>
      <c r="H1080" s="52"/>
    </row>
    <row r="1081" spans="1:8" ht="15.75">
      <c r="A1081" s="50">
        <v>40984</v>
      </c>
      <c r="B1081" s="51">
        <v>4044</v>
      </c>
      <c r="C1081" s="52"/>
      <c r="D1081" s="52"/>
      <c r="E1081" s="52"/>
      <c r="F1081" s="52"/>
      <c r="G1081" s="52"/>
      <c r="H1081" s="52"/>
    </row>
    <row r="1082" spans="1:8" ht="15.75">
      <c r="A1082" s="50">
        <v>40987</v>
      </c>
      <c r="B1082" s="51">
        <v>4041.97</v>
      </c>
      <c r="C1082" s="52"/>
      <c r="D1082" s="52"/>
      <c r="E1082" s="52"/>
      <c r="F1082" s="52"/>
      <c r="G1082" s="52"/>
      <c r="H1082" s="52"/>
    </row>
    <row r="1083" spans="1:8" ht="15.75">
      <c r="A1083" s="50">
        <v>40988</v>
      </c>
      <c r="B1083" s="51">
        <v>3985.87</v>
      </c>
      <c r="C1083" s="52"/>
      <c r="D1083" s="52"/>
      <c r="E1083" s="52"/>
      <c r="F1083" s="52"/>
      <c r="G1083" s="52"/>
      <c r="H1083" s="52"/>
    </row>
    <row r="1084" spans="1:8" ht="15.75">
      <c r="A1084" s="50">
        <v>40989</v>
      </c>
      <c r="B1084" s="51">
        <v>3995.13</v>
      </c>
      <c r="C1084" s="52"/>
      <c r="D1084" s="52"/>
      <c r="E1084" s="52"/>
      <c r="F1084" s="52"/>
      <c r="G1084" s="52"/>
      <c r="H1084" s="52"/>
    </row>
    <row r="1085" spans="1:8" ht="15.75">
      <c r="A1085" s="50">
        <v>40990</v>
      </c>
      <c r="B1085" s="51">
        <v>3944.25</v>
      </c>
      <c r="C1085" s="52"/>
      <c r="D1085" s="52"/>
      <c r="E1085" s="52"/>
      <c r="F1085" s="52"/>
      <c r="G1085" s="52"/>
      <c r="H1085" s="52"/>
    </row>
    <row r="1086" spans="1:8" ht="15.75">
      <c r="A1086" s="50">
        <v>40991</v>
      </c>
      <c r="B1086" s="51">
        <v>3952.36</v>
      </c>
      <c r="C1086" s="52"/>
      <c r="D1086" s="52"/>
      <c r="E1086" s="52"/>
      <c r="F1086" s="52"/>
      <c r="G1086" s="52"/>
      <c r="H1086" s="52"/>
    </row>
    <row r="1087" spans="1:8" ht="15.75">
      <c r="A1087" s="50">
        <v>40994</v>
      </c>
      <c r="B1087" s="51">
        <v>3999.6</v>
      </c>
      <c r="C1087" s="52"/>
      <c r="D1087" s="52"/>
      <c r="E1087" s="52"/>
      <c r="F1087" s="52"/>
      <c r="G1087" s="52"/>
      <c r="H1087" s="52"/>
    </row>
    <row r="1088" spans="1:8" ht="15.75">
      <c r="A1088" s="50">
        <v>40995</v>
      </c>
      <c r="B1088" s="51">
        <v>3999.41</v>
      </c>
      <c r="C1088" s="52"/>
      <c r="D1088" s="52"/>
      <c r="E1088" s="52"/>
      <c r="F1088" s="52"/>
      <c r="G1088" s="52"/>
      <c r="H1088" s="52"/>
    </row>
    <row r="1089" spans="1:8" ht="15.75">
      <c r="A1089" s="50">
        <v>40996</v>
      </c>
      <c r="B1089" s="51">
        <v>3954.16</v>
      </c>
      <c r="C1089" s="52"/>
      <c r="D1089" s="52"/>
      <c r="E1089" s="52"/>
      <c r="F1089" s="52"/>
      <c r="G1089" s="52"/>
      <c r="H1089" s="52"/>
    </row>
    <row r="1090" spans="1:8" ht="15.75">
      <c r="A1090" s="50">
        <v>40997</v>
      </c>
      <c r="B1090" s="51">
        <v>3884.3</v>
      </c>
      <c r="C1090" s="52"/>
      <c r="D1090" s="52"/>
      <c r="E1090" s="52"/>
      <c r="F1090" s="52"/>
      <c r="G1090" s="52"/>
      <c r="H1090" s="52"/>
    </row>
    <row r="1091" spans="1:8" ht="15.75">
      <c r="A1091" s="50">
        <v>40998</v>
      </c>
      <c r="B1091" s="51">
        <v>3924.79</v>
      </c>
      <c r="C1091" s="52"/>
      <c r="D1091" s="52"/>
      <c r="E1091" s="52"/>
      <c r="F1091" s="52"/>
      <c r="G1091" s="52"/>
      <c r="H1091" s="52"/>
    </row>
    <row r="1092" spans="1:8" ht="15.75">
      <c r="A1092" s="50">
        <v>41001</v>
      </c>
      <c r="B1092" s="51">
        <v>3986.84</v>
      </c>
      <c r="C1092" s="52"/>
      <c r="D1092" s="52"/>
      <c r="E1092" s="52"/>
      <c r="F1092" s="52"/>
      <c r="G1092" s="52"/>
      <c r="H1092" s="52"/>
    </row>
    <row r="1093" spans="1:8" ht="15.75">
      <c r="A1093" s="50">
        <v>41002</v>
      </c>
      <c r="B1093" s="51">
        <v>3944.83</v>
      </c>
      <c r="C1093" s="52"/>
      <c r="D1093" s="52"/>
      <c r="E1093" s="52"/>
      <c r="F1093" s="52"/>
      <c r="G1093" s="52"/>
      <c r="H1093" s="52"/>
    </row>
    <row r="1094" spans="1:8" ht="15.75">
      <c r="A1094" s="50">
        <v>41003</v>
      </c>
      <c r="B1094" s="51">
        <v>3832.83</v>
      </c>
      <c r="C1094" s="52"/>
      <c r="D1094" s="52"/>
      <c r="E1094" s="52"/>
      <c r="F1094" s="52"/>
      <c r="G1094" s="52"/>
      <c r="H1094" s="52"/>
    </row>
    <row r="1095" spans="1:8" ht="15.75">
      <c r="A1095" s="50">
        <v>41004</v>
      </c>
      <c r="B1095" s="51">
        <v>3815.05</v>
      </c>
      <c r="C1095" s="52"/>
      <c r="D1095" s="52"/>
      <c r="E1095" s="52"/>
      <c r="F1095" s="52"/>
      <c r="G1095" s="52"/>
      <c r="H1095" s="52"/>
    </row>
    <row r="1096" spans="1:8" ht="15.75">
      <c r="A1096" s="50">
        <v>41009</v>
      </c>
      <c r="B1096" s="51">
        <v>3720.27</v>
      </c>
      <c r="C1096" s="52"/>
      <c r="D1096" s="52"/>
      <c r="E1096" s="52"/>
      <c r="F1096" s="52"/>
      <c r="G1096" s="52"/>
      <c r="H1096" s="52"/>
    </row>
    <row r="1097" spans="1:8" ht="15.75">
      <c r="A1097" s="50">
        <v>41010</v>
      </c>
      <c r="B1097" s="51">
        <v>3758.71</v>
      </c>
      <c r="C1097" s="52"/>
      <c r="D1097" s="52"/>
      <c r="E1097" s="52"/>
      <c r="F1097" s="52"/>
      <c r="G1097" s="52"/>
      <c r="H1097" s="52"/>
    </row>
    <row r="1098" spans="1:8" ht="15.75">
      <c r="A1098" s="50">
        <v>41011</v>
      </c>
      <c r="B1098" s="51">
        <v>3797.29</v>
      </c>
      <c r="C1098" s="52"/>
      <c r="D1098" s="52"/>
      <c r="E1098" s="52"/>
      <c r="F1098" s="52"/>
      <c r="G1098" s="52"/>
      <c r="H1098" s="52"/>
    </row>
    <row r="1099" spans="1:8" ht="15.75">
      <c r="A1099" s="50">
        <v>41012</v>
      </c>
      <c r="B1099" s="51">
        <v>3707.7</v>
      </c>
      <c r="C1099" s="52"/>
      <c r="D1099" s="52"/>
      <c r="E1099" s="52"/>
      <c r="F1099" s="52"/>
      <c r="G1099" s="52"/>
      <c r="H1099" s="52"/>
    </row>
    <row r="1100" spans="1:8" ht="15.75">
      <c r="A1100" s="50">
        <v>41015</v>
      </c>
      <c r="B1100" s="51">
        <v>3730.86</v>
      </c>
      <c r="C1100" s="52"/>
      <c r="D1100" s="52"/>
      <c r="E1100" s="52"/>
      <c r="F1100" s="52"/>
      <c r="G1100" s="52"/>
      <c r="H1100" s="52"/>
    </row>
    <row r="1101" spans="1:8" ht="15.75">
      <c r="A1101" s="50">
        <v>41016</v>
      </c>
      <c r="B1101" s="51">
        <v>3828.8</v>
      </c>
      <c r="C1101" s="52"/>
      <c r="D1101" s="52"/>
      <c r="E1101" s="52"/>
      <c r="F1101" s="52"/>
      <c r="G1101" s="52"/>
      <c r="H1101" s="52"/>
    </row>
    <row r="1102" spans="1:8" ht="15.75">
      <c r="A1102" s="50">
        <v>41017</v>
      </c>
      <c r="B1102" s="51">
        <v>3789.97</v>
      </c>
      <c r="C1102" s="52"/>
      <c r="D1102" s="52"/>
      <c r="E1102" s="52"/>
      <c r="F1102" s="52"/>
      <c r="G1102" s="52"/>
      <c r="H1102" s="52"/>
    </row>
    <row r="1103" spans="1:8" ht="15.75">
      <c r="A1103" s="50">
        <v>41018</v>
      </c>
      <c r="B1103" s="51">
        <v>3755.96</v>
      </c>
      <c r="C1103" s="52"/>
      <c r="D1103" s="52"/>
      <c r="E1103" s="52"/>
      <c r="F1103" s="52"/>
      <c r="G1103" s="52"/>
      <c r="H1103" s="52"/>
    </row>
    <row r="1104" spans="1:8" ht="15.75">
      <c r="A1104" s="50">
        <v>41019</v>
      </c>
      <c r="B1104" s="51">
        <v>3791.2</v>
      </c>
      <c r="C1104" s="52"/>
      <c r="D1104" s="52"/>
      <c r="E1104" s="52"/>
      <c r="F1104" s="52"/>
      <c r="G1104" s="52"/>
      <c r="H1104" s="52"/>
    </row>
    <row r="1105" spans="1:8" ht="15.75">
      <c r="A1105" s="50">
        <v>41022</v>
      </c>
      <c r="B1105" s="51">
        <v>3662.36</v>
      </c>
      <c r="C1105" s="52"/>
      <c r="D1105" s="52"/>
      <c r="E1105" s="52"/>
      <c r="F1105" s="52"/>
      <c r="G1105" s="52"/>
      <c r="H1105" s="52"/>
    </row>
    <row r="1106" spans="1:8" ht="15.75">
      <c r="A1106" s="50">
        <v>41023</v>
      </c>
      <c r="B1106" s="51">
        <v>3700.12</v>
      </c>
      <c r="C1106" s="52"/>
      <c r="D1106" s="52"/>
      <c r="E1106" s="52"/>
      <c r="F1106" s="52"/>
      <c r="G1106" s="52"/>
      <c r="H1106" s="52"/>
    </row>
    <row r="1107" spans="1:8" ht="15.75">
      <c r="A1107" s="50">
        <v>41024</v>
      </c>
      <c r="B1107" s="51">
        <v>3764.2</v>
      </c>
      <c r="C1107" s="52"/>
      <c r="D1107" s="52"/>
      <c r="E1107" s="52"/>
      <c r="F1107" s="52"/>
      <c r="G1107" s="52"/>
      <c r="H1107" s="52"/>
    </row>
    <row r="1108" spans="1:8" ht="15.75">
      <c r="A1108" s="50">
        <v>41025</v>
      </c>
      <c r="B1108" s="51">
        <v>3783.57</v>
      </c>
      <c r="C1108" s="52"/>
      <c r="D1108" s="52"/>
      <c r="E1108" s="52"/>
      <c r="F1108" s="52"/>
      <c r="G1108" s="52"/>
      <c r="H1108" s="52"/>
    </row>
    <row r="1109" spans="1:8" ht="15.75">
      <c r="A1109" s="50">
        <v>41026</v>
      </c>
      <c r="B1109" s="51">
        <v>3811.45</v>
      </c>
      <c r="C1109" s="52"/>
      <c r="D1109" s="52"/>
      <c r="E1109" s="52"/>
      <c r="F1109" s="52"/>
      <c r="G1109" s="52"/>
      <c r="H1109" s="52"/>
    </row>
    <row r="1110" spans="1:8" ht="15.75">
      <c r="A1110" s="50">
        <v>41029</v>
      </c>
      <c r="B1110" s="51">
        <v>3765.65</v>
      </c>
      <c r="C1110" s="52"/>
      <c r="D1110" s="52"/>
      <c r="E1110" s="52"/>
      <c r="F1110" s="52"/>
      <c r="G1110" s="52"/>
      <c r="H1110" s="52"/>
    </row>
    <row r="1111" spans="1:8" ht="15.75">
      <c r="A1111" s="50">
        <v>41031</v>
      </c>
      <c r="B1111" s="51">
        <v>3737.68</v>
      </c>
      <c r="C1111" s="52"/>
      <c r="D1111" s="52"/>
      <c r="E1111" s="52"/>
      <c r="F1111" s="52"/>
      <c r="G1111" s="52"/>
      <c r="H1111" s="52"/>
    </row>
    <row r="1112" spans="1:8" ht="15.75">
      <c r="A1112" s="50">
        <v>41032</v>
      </c>
      <c r="B1112" s="51">
        <v>3728.71</v>
      </c>
      <c r="C1112" s="52"/>
      <c r="D1112" s="52"/>
      <c r="E1112" s="52"/>
      <c r="F1112" s="52"/>
      <c r="G1112" s="52"/>
      <c r="H1112" s="52"/>
    </row>
    <row r="1113" spans="1:8" ht="15.75">
      <c r="A1113" s="50">
        <v>41033</v>
      </c>
      <c r="B1113" s="51">
        <v>3642.39</v>
      </c>
      <c r="C1113" s="52"/>
      <c r="D1113" s="52"/>
      <c r="E1113" s="52"/>
      <c r="F1113" s="52"/>
      <c r="G1113" s="52"/>
      <c r="H1113" s="52"/>
    </row>
    <row r="1114" spans="1:8" ht="15.75">
      <c r="A1114" s="50">
        <v>41036</v>
      </c>
      <c r="B1114" s="51">
        <v>3644.21</v>
      </c>
      <c r="C1114" s="52"/>
      <c r="D1114" s="52"/>
      <c r="E1114" s="52"/>
      <c r="F1114" s="52"/>
      <c r="G1114" s="52"/>
      <c r="H1114" s="52"/>
    </row>
    <row r="1115" spans="1:8" ht="15.75">
      <c r="A1115" s="50">
        <v>41037</v>
      </c>
      <c r="B1115" s="51">
        <v>3575.23</v>
      </c>
      <c r="C1115" s="52"/>
      <c r="D1115" s="52"/>
      <c r="E1115" s="52"/>
      <c r="F1115" s="52"/>
      <c r="G1115" s="52"/>
      <c r="H1115" s="52"/>
    </row>
    <row r="1116" spans="1:8" ht="15.75">
      <c r="A1116" s="50">
        <v>41038</v>
      </c>
      <c r="B1116" s="51">
        <v>3591.56</v>
      </c>
      <c r="C1116" s="52"/>
      <c r="D1116" s="52"/>
      <c r="E1116" s="52"/>
      <c r="F1116" s="52"/>
      <c r="G1116" s="52"/>
      <c r="H1116" s="52"/>
    </row>
    <row r="1117" spans="1:8" ht="15.75">
      <c r="A1117" s="50">
        <v>41039</v>
      </c>
      <c r="B1117" s="51">
        <v>3596.89</v>
      </c>
      <c r="C1117" s="52"/>
      <c r="D1117" s="52"/>
      <c r="E1117" s="52"/>
      <c r="F1117" s="52"/>
      <c r="G1117" s="52"/>
      <c r="H1117" s="52"/>
    </row>
    <row r="1118" spans="1:8" ht="15.75">
      <c r="A1118" s="50">
        <v>41040</v>
      </c>
      <c r="B1118" s="51">
        <v>3628.8</v>
      </c>
      <c r="C1118" s="52"/>
      <c r="D1118" s="52"/>
      <c r="E1118" s="52"/>
      <c r="F1118" s="52"/>
      <c r="G1118" s="52"/>
      <c r="H1118" s="52"/>
    </row>
    <row r="1119" spans="1:8" ht="15.75">
      <c r="A1119" s="50">
        <v>41043</v>
      </c>
      <c r="B1119" s="51">
        <v>3557.76</v>
      </c>
      <c r="C1119" s="52"/>
      <c r="D1119" s="52"/>
      <c r="E1119" s="52"/>
      <c r="F1119" s="52"/>
      <c r="G1119" s="52"/>
      <c r="H1119" s="52"/>
    </row>
    <row r="1120" spans="1:8" ht="15.75">
      <c r="A1120" s="50">
        <v>41044</v>
      </c>
      <c r="B1120" s="51">
        <v>3529.77</v>
      </c>
      <c r="C1120" s="52"/>
      <c r="D1120" s="52"/>
      <c r="E1120" s="52"/>
      <c r="F1120" s="52"/>
      <c r="G1120" s="52"/>
      <c r="H1120" s="52"/>
    </row>
    <row r="1121" spans="1:8" ht="15.75">
      <c r="A1121" s="50">
        <v>41045</v>
      </c>
      <c r="B1121" s="51">
        <v>3520.48</v>
      </c>
      <c r="C1121" s="52"/>
      <c r="D1121" s="52"/>
      <c r="E1121" s="52"/>
      <c r="F1121" s="52"/>
      <c r="G1121" s="52"/>
      <c r="H1121" s="52"/>
    </row>
    <row r="1122" spans="1:8" ht="15.75">
      <c r="A1122" s="50">
        <v>41046</v>
      </c>
      <c r="B1122" s="51">
        <v>3471.59</v>
      </c>
      <c r="C1122" s="52"/>
      <c r="D1122" s="52"/>
      <c r="E1122" s="52"/>
      <c r="F1122" s="52"/>
      <c r="G1122" s="52"/>
      <c r="H1122" s="52"/>
    </row>
    <row r="1123" spans="1:8" ht="15.75">
      <c r="A1123" s="50">
        <v>41047</v>
      </c>
      <c r="B1123" s="51">
        <v>3450.63</v>
      </c>
      <c r="C1123" s="52"/>
      <c r="D1123" s="52"/>
      <c r="E1123" s="52"/>
      <c r="F1123" s="52"/>
      <c r="G1123" s="52"/>
      <c r="H1123" s="52"/>
    </row>
    <row r="1124" spans="1:8" ht="15.75">
      <c r="A1124" s="50">
        <v>41050</v>
      </c>
      <c r="B1124" s="51">
        <v>3483.8</v>
      </c>
      <c r="C1124" s="52"/>
      <c r="D1124" s="52"/>
      <c r="E1124" s="52"/>
      <c r="F1124" s="52"/>
      <c r="G1124" s="52"/>
      <c r="H1124" s="52"/>
    </row>
    <row r="1125" spans="1:8" ht="15.75">
      <c r="A1125" s="50">
        <v>41051</v>
      </c>
      <c r="B1125" s="51">
        <v>3541.23</v>
      </c>
      <c r="C1125" s="52"/>
      <c r="D1125" s="52"/>
      <c r="E1125" s="52"/>
      <c r="F1125" s="52"/>
      <c r="G1125" s="52"/>
      <c r="H1125" s="52"/>
    </row>
    <row r="1126" spans="1:8" ht="15.75">
      <c r="A1126" s="50">
        <v>41052</v>
      </c>
      <c r="B1126" s="51">
        <v>3458.94</v>
      </c>
      <c r="C1126" s="52"/>
      <c r="D1126" s="52"/>
      <c r="E1126" s="52"/>
      <c r="F1126" s="52"/>
      <c r="G1126" s="52"/>
      <c r="H1126" s="52"/>
    </row>
    <row r="1127" spans="1:8" ht="15.75">
      <c r="A1127" s="50">
        <v>41053</v>
      </c>
      <c r="B1127" s="51">
        <v>3469.94</v>
      </c>
      <c r="C1127" s="52"/>
      <c r="D1127" s="52"/>
      <c r="E1127" s="52"/>
      <c r="F1127" s="52"/>
      <c r="G1127" s="52"/>
      <c r="H1127" s="52"/>
    </row>
    <row r="1128" spans="1:8" ht="15.75">
      <c r="A1128" s="50">
        <v>41054</v>
      </c>
      <c r="B1128" s="51">
        <v>3469.91</v>
      </c>
      <c r="C1128" s="52"/>
      <c r="D1128" s="52"/>
      <c r="E1128" s="52"/>
      <c r="F1128" s="52"/>
      <c r="G1128" s="52"/>
      <c r="H1128" s="52"/>
    </row>
    <row r="1129" spans="1:8" ht="15.75">
      <c r="A1129" s="50">
        <v>41057</v>
      </c>
      <c r="B1129" s="51">
        <v>3460.95</v>
      </c>
      <c r="C1129" s="52"/>
      <c r="D1129" s="52"/>
      <c r="E1129" s="52"/>
      <c r="F1129" s="52"/>
      <c r="G1129" s="52"/>
      <c r="H1129" s="52"/>
    </row>
    <row r="1130" spans="1:8" ht="15.75">
      <c r="A1130" s="50">
        <v>41058</v>
      </c>
      <c r="B1130" s="51">
        <v>3501.58</v>
      </c>
      <c r="C1130" s="52"/>
      <c r="D1130" s="52"/>
      <c r="E1130" s="52"/>
      <c r="F1130" s="52"/>
      <c r="G1130" s="52"/>
      <c r="H1130" s="52"/>
    </row>
    <row r="1131" spans="1:8" ht="15.75">
      <c r="A1131" s="50">
        <v>41059</v>
      </c>
      <c r="B1131" s="51">
        <v>3438.09</v>
      </c>
      <c r="C1131" s="52"/>
      <c r="D1131" s="52"/>
      <c r="E1131" s="52"/>
      <c r="F1131" s="52"/>
      <c r="G1131" s="52"/>
      <c r="H1131" s="52"/>
    </row>
    <row r="1132" spans="1:8" ht="15.75">
      <c r="A1132" s="50">
        <v>41060</v>
      </c>
      <c r="B1132" s="51">
        <v>3429.12</v>
      </c>
      <c r="C1132" s="52"/>
      <c r="D1132" s="52"/>
      <c r="E1132" s="52"/>
      <c r="F1132" s="52"/>
      <c r="G1132" s="52"/>
      <c r="H1132" s="52"/>
    </row>
    <row r="1133" spans="1:8" ht="15.75">
      <c r="A1133" s="50">
        <v>41061</v>
      </c>
      <c r="B1133" s="51">
        <v>3307.73</v>
      </c>
      <c r="C1133" s="52"/>
      <c r="D1133" s="52"/>
      <c r="E1133" s="52"/>
      <c r="F1133" s="52"/>
      <c r="G1133" s="52"/>
      <c r="H1133" s="52"/>
    </row>
    <row r="1134" spans="1:8" ht="15.75">
      <c r="A1134" s="50">
        <v>41064</v>
      </c>
      <c r="B1134" s="51">
        <v>3268.08</v>
      </c>
      <c r="C1134" s="52"/>
      <c r="D1134" s="52"/>
      <c r="E1134" s="52"/>
      <c r="F1134" s="52"/>
      <c r="G1134" s="52"/>
      <c r="H1134" s="52"/>
    </row>
    <row r="1135" spans="1:8" ht="15.75">
      <c r="A1135" s="50">
        <v>41065</v>
      </c>
      <c r="B1135" s="51">
        <v>3263.49</v>
      </c>
      <c r="C1135" s="52"/>
      <c r="D1135" s="52"/>
      <c r="E1135" s="52"/>
      <c r="F1135" s="52"/>
      <c r="G1135" s="52"/>
      <c r="H1135" s="52"/>
    </row>
    <row r="1136" spans="1:8" ht="15.75">
      <c r="A1136" s="50">
        <v>41066</v>
      </c>
      <c r="B1136" s="51">
        <v>3331.58</v>
      </c>
      <c r="C1136" s="52"/>
      <c r="D1136" s="52"/>
      <c r="E1136" s="52"/>
      <c r="F1136" s="52"/>
      <c r="G1136" s="52"/>
      <c r="H1136" s="52"/>
    </row>
    <row r="1137" spans="1:8" ht="15.75">
      <c r="A1137" s="50">
        <v>41067</v>
      </c>
      <c r="B1137" s="51">
        <v>3359.26</v>
      </c>
      <c r="C1137" s="52"/>
      <c r="D1137" s="52"/>
      <c r="E1137" s="52"/>
      <c r="F1137" s="52"/>
      <c r="G1137" s="52"/>
      <c r="H1137" s="52"/>
    </row>
    <row r="1138" spans="1:8" ht="15.75">
      <c r="A1138" s="50">
        <v>41068</v>
      </c>
      <c r="B1138" s="51">
        <v>3351.74</v>
      </c>
      <c r="C1138" s="52"/>
      <c r="D1138" s="52"/>
      <c r="E1138" s="52"/>
      <c r="F1138" s="52"/>
      <c r="G1138" s="52"/>
      <c r="H1138" s="52"/>
    </row>
    <row r="1139" spans="1:8" ht="15.75">
      <c r="A1139" s="50">
        <v>41071</v>
      </c>
      <c r="B1139" s="51">
        <v>3357.34</v>
      </c>
      <c r="C1139" s="52"/>
      <c r="D1139" s="52"/>
      <c r="E1139" s="52"/>
      <c r="F1139" s="52"/>
      <c r="G1139" s="52"/>
      <c r="H1139" s="52"/>
    </row>
    <row r="1140" spans="1:8" ht="15.75">
      <c r="A1140" s="50">
        <v>41072</v>
      </c>
      <c r="B1140" s="51">
        <v>3368.29</v>
      </c>
      <c r="C1140" s="52"/>
      <c r="D1140" s="52"/>
      <c r="E1140" s="52"/>
      <c r="F1140" s="52"/>
      <c r="G1140" s="52"/>
      <c r="H1140" s="52"/>
    </row>
    <row r="1141" spans="1:8" ht="15.75">
      <c r="A1141" s="50">
        <v>41073</v>
      </c>
      <c r="B1141" s="51">
        <v>3363.26</v>
      </c>
      <c r="C1141" s="52"/>
      <c r="D1141" s="52"/>
      <c r="E1141" s="52"/>
      <c r="F1141" s="52"/>
      <c r="G1141" s="52"/>
      <c r="H1141" s="52"/>
    </row>
    <row r="1142" spans="1:8" ht="15.75">
      <c r="A1142" s="50">
        <v>41074</v>
      </c>
      <c r="B1142" s="51">
        <v>3355.46</v>
      </c>
      <c r="C1142" s="52"/>
      <c r="D1142" s="52"/>
      <c r="E1142" s="52"/>
      <c r="F1142" s="52"/>
      <c r="G1142" s="52"/>
      <c r="H1142" s="52"/>
    </row>
    <row r="1143" spans="1:8" ht="15.75">
      <c r="A1143" s="50">
        <v>41075</v>
      </c>
      <c r="B1143" s="51">
        <v>3405.29</v>
      </c>
      <c r="C1143" s="52"/>
      <c r="D1143" s="52"/>
      <c r="E1143" s="52"/>
      <c r="F1143" s="52"/>
      <c r="G1143" s="52"/>
      <c r="H1143" s="52"/>
    </row>
    <row r="1144" spans="1:8" ht="15.75">
      <c r="A1144" s="50">
        <v>41078</v>
      </c>
      <c r="B1144" s="51">
        <v>3415.56</v>
      </c>
      <c r="C1144" s="52"/>
      <c r="D1144" s="52"/>
      <c r="E1144" s="52"/>
      <c r="F1144" s="52"/>
      <c r="G1144" s="52"/>
      <c r="H1144" s="52"/>
    </row>
    <row r="1145" spans="1:8" ht="15.75">
      <c r="A1145" s="50">
        <v>41079</v>
      </c>
      <c r="B1145" s="51">
        <v>3478.52</v>
      </c>
      <c r="C1145" s="52"/>
      <c r="D1145" s="52"/>
      <c r="E1145" s="52"/>
      <c r="F1145" s="52"/>
      <c r="G1145" s="52"/>
      <c r="H1145" s="52"/>
    </row>
    <row r="1146" spans="1:8" ht="15.75">
      <c r="A1146" s="50">
        <v>41080</v>
      </c>
      <c r="B1146" s="51">
        <v>3494.24</v>
      </c>
      <c r="C1146" s="52"/>
      <c r="D1146" s="52"/>
      <c r="E1146" s="52"/>
      <c r="F1146" s="52"/>
      <c r="G1146" s="52"/>
      <c r="H1146" s="52"/>
    </row>
    <row r="1147" spans="1:8" ht="15.75">
      <c r="A1147" s="50">
        <v>41081</v>
      </c>
      <c r="B1147" s="51">
        <v>3467.45</v>
      </c>
      <c r="C1147" s="52"/>
      <c r="D1147" s="52"/>
      <c r="E1147" s="52"/>
      <c r="F1147" s="52"/>
      <c r="G1147" s="52"/>
      <c r="H1147" s="52"/>
    </row>
    <row r="1148" spans="1:8" ht="15.75">
      <c r="A1148" s="50">
        <v>41082</v>
      </c>
      <c r="B1148" s="51">
        <v>3423.79</v>
      </c>
      <c r="C1148" s="52"/>
      <c r="D1148" s="52"/>
      <c r="E1148" s="52"/>
      <c r="F1148" s="52"/>
      <c r="G1148" s="52"/>
      <c r="H1148" s="52"/>
    </row>
    <row r="1149" spans="1:8" ht="15.75">
      <c r="A1149" s="50">
        <v>41085</v>
      </c>
      <c r="B1149" s="51">
        <v>3352.26</v>
      </c>
      <c r="C1149" s="52"/>
      <c r="D1149" s="52"/>
      <c r="E1149" s="52"/>
      <c r="F1149" s="52"/>
      <c r="G1149" s="52"/>
      <c r="H1149" s="52"/>
    </row>
    <row r="1150" spans="1:8" ht="15.75">
      <c r="A1150" s="50">
        <v>41086</v>
      </c>
      <c r="B1150" s="51">
        <v>3354.6</v>
      </c>
      <c r="C1150" s="52"/>
      <c r="D1150" s="52"/>
      <c r="E1150" s="52"/>
      <c r="F1150" s="52"/>
      <c r="G1150" s="52"/>
      <c r="H1150" s="52"/>
    </row>
    <row r="1151" spans="1:8" ht="15.75">
      <c r="A1151" s="50">
        <v>41087</v>
      </c>
      <c r="B1151" s="51">
        <v>3405.06</v>
      </c>
      <c r="C1151" s="52"/>
      <c r="D1151" s="52"/>
      <c r="E1151" s="52"/>
      <c r="F1151" s="52"/>
      <c r="G1151" s="52"/>
      <c r="H1151" s="52"/>
    </row>
    <row r="1152" spans="1:8" ht="15.75">
      <c r="A1152" s="50">
        <v>41088</v>
      </c>
      <c r="B1152" s="51">
        <v>3361.83</v>
      </c>
      <c r="C1152" s="52"/>
      <c r="D1152" s="52"/>
      <c r="E1152" s="52"/>
      <c r="F1152" s="52"/>
      <c r="G1152" s="52"/>
      <c r="H1152" s="52"/>
    </row>
    <row r="1153" spans="1:8" ht="15.75">
      <c r="A1153" s="50">
        <v>41089</v>
      </c>
      <c r="B1153" s="51">
        <v>3507.44</v>
      </c>
      <c r="C1153" s="52"/>
      <c r="D1153" s="52"/>
      <c r="E1153" s="52"/>
      <c r="F1153" s="52"/>
      <c r="G1153" s="52"/>
      <c r="H1153" s="52"/>
    </row>
    <row r="1154" spans="1:8" ht="15.75">
      <c r="A1154" s="50">
        <v>41092</v>
      </c>
      <c r="B1154" s="51">
        <v>3551.06</v>
      </c>
      <c r="C1154" s="52"/>
      <c r="D1154" s="52"/>
      <c r="E1154" s="52"/>
      <c r="F1154" s="52"/>
      <c r="G1154" s="52"/>
      <c r="H1154" s="52"/>
    </row>
    <row r="1155" spans="1:8" ht="15.75">
      <c r="A1155" s="50">
        <v>41093</v>
      </c>
      <c r="B1155" s="51">
        <v>3595.96</v>
      </c>
      <c r="C1155" s="52"/>
      <c r="D1155" s="52"/>
      <c r="E1155" s="52"/>
      <c r="F1155" s="52"/>
      <c r="G1155" s="52"/>
      <c r="H1155" s="52"/>
    </row>
    <row r="1156" spans="1:8" ht="15.75">
      <c r="A1156" s="50">
        <v>41094</v>
      </c>
      <c r="B1156" s="51">
        <v>3588.63</v>
      </c>
      <c r="C1156" s="52"/>
      <c r="D1156" s="52"/>
      <c r="E1156" s="52"/>
      <c r="F1156" s="52"/>
      <c r="G1156" s="52"/>
      <c r="H1156" s="52"/>
    </row>
    <row r="1157" spans="1:8" ht="15.75">
      <c r="A1157" s="50">
        <v>41095</v>
      </c>
      <c r="B1157" s="51">
        <v>3572.65</v>
      </c>
      <c r="C1157" s="52"/>
      <c r="D1157" s="52"/>
      <c r="E1157" s="52"/>
      <c r="F1157" s="52"/>
      <c r="G1157" s="52"/>
      <c r="H1157" s="52"/>
    </row>
    <row r="1158" spans="1:8" ht="15.75">
      <c r="A1158" s="50">
        <v>41096</v>
      </c>
      <c r="B1158" s="51">
        <v>3504.07</v>
      </c>
      <c r="C1158" s="52"/>
      <c r="D1158" s="52"/>
      <c r="E1158" s="52"/>
      <c r="F1158" s="52"/>
      <c r="G1158" s="52"/>
      <c r="H1158" s="52"/>
    </row>
    <row r="1159" spans="1:8" ht="15.75">
      <c r="A1159" s="50">
        <v>41099</v>
      </c>
      <c r="B1159" s="51">
        <v>3491.75</v>
      </c>
      <c r="C1159" s="52"/>
      <c r="D1159" s="52"/>
      <c r="E1159" s="52"/>
      <c r="F1159" s="52"/>
      <c r="G1159" s="52"/>
      <c r="H1159" s="52"/>
    </row>
    <row r="1160" spans="1:8" ht="15.75">
      <c r="A1160" s="50">
        <v>41100</v>
      </c>
      <c r="B1160" s="51">
        <v>3519.49</v>
      </c>
      <c r="C1160" s="52"/>
      <c r="D1160" s="52"/>
      <c r="E1160" s="52"/>
      <c r="F1160" s="52"/>
      <c r="G1160" s="52"/>
      <c r="H1160" s="52"/>
    </row>
    <row r="1161" spans="1:8" ht="15.75">
      <c r="A1161" s="50">
        <v>41101</v>
      </c>
      <c r="B1161" s="51">
        <v>3527.98</v>
      </c>
      <c r="C1161" s="52"/>
      <c r="D1161" s="52"/>
      <c r="E1161" s="52"/>
      <c r="F1161" s="52"/>
      <c r="G1161" s="52"/>
      <c r="H1161" s="52"/>
    </row>
    <row r="1162" spans="1:8" ht="15.75">
      <c r="A1162" s="50">
        <v>41102</v>
      </c>
      <c r="B1162" s="51">
        <v>3509.12</v>
      </c>
      <c r="C1162" s="52"/>
      <c r="D1162" s="52"/>
      <c r="E1162" s="52"/>
      <c r="F1162" s="52"/>
      <c r="G1162" s="52"/>
      <c r="H1162" s="52"/>
    </row>
    <row r="1163" spans="1:8" ht="15.75">
      <c r="A1163" s="50">
        <v>41103</v>
      </c>
      <c r="B1163" s="51">
        <v>3584.42</v>
      </c>
      <c r="C1163" s="52"/>
      <c r="D1163" s="52"/>
      <c r="E1163" s="52"/>
      <c r="F1163" s="52"/>
      <c r="G1163" s="52"/>
      <c r="H1163" s="52"/>
    </row>
    <row r="1164" spans="1:8" ht="15.75">
      <c r="A1164" s="50">
        <v>41106</v>
      </c>
      <c r="B1164" s="51">
        <v>3589.13</v>
      </c>
      <c r="C1164" s="52"/>
      <c r="D1164" s="52"/>
      <c r="E1164" s="52"/>
      <c r="F1164" s="52"/>
      <c r="G1164" s="52"/>
      <c r="H1164" s="52"/>
    </row>
    <row r="1165" spans="1:8" ht="15.75">
      <c r="A1165" s="50">
        <v>41107</v>
      </c>
      <c r="B1165" s="51">
        <v>3595.65</v>
      </c>
      <c r="C1165" s="52"/>
      <c r="D1165" s="52"/>
      <c r="E1165" s="52"/>
      <c r="F1165" s="52"/>
      <c r="G1165" s="52"/>
      <c r="H1165" s="52"/>
    </row>
    <row r="1166" spans="1:8" ht="15.75">
      <c r="A1166" s="50">
        <v>41108</v>
      </c>
      <c r="B1166" s="51">
        <v>3654.02</v>
      </c>
      <c r="C1166" s="52"/>
      <c r="D1166" s="52"/>
      <c r="E1166" s="52"/>
      <c r="F1166" s="52"/>
      <c r="G1166" s="52"/>
      <c r="H1166" s="52"/>
    </row>
    <row r="1167" spans="1:8" ht="15.75">
      <c r="A1167" s="50">
        <v>41109</v>
      </c>
      <c r="B1167" s="51">
        <v>3694.45</v>
      </c>
      <c r="C1167" s="52"/>
      <c r="D1167" s="52"/>
      <c r="E1167" s="52"/>
      <c r="F1167" s="52"/>
      <c r="G1167" s="52"/>
      <c r="H1167" s="52"/>
    </row>
    <row r="1168" spans="1:8" ht="15.75">
      <c r="A1168" s="50">
        <v>41110</v>
      </c>
      <c r="B1168" s="51">
        <v>3624.28</v>
      </c>
      <c r="C1168" s="52"/>
      <c r="D1168" s="52"/>
      <c r="E1168" s="52"/>
      <c r="F1168" s="52"/>
      <c r="G1168" s="52"/>
      <c r="H1168" s="52"/>
    </row>
    <row r="1169" spans="1:8" ht="15.75">
      <c r="A1169" s="50">
        <v>41113</v>
      </c>
      <c r="B1169" s="51">
        <v>3509.11</v>
      </c>
      <c r="C1169" s="52"/>
      <c r="D1169" s="52"/>
      <c r="E1169" s="52"/>
      <c r="F1169" s="52"/>
      <c r="G1169" s="52"/>
      <c r="H1169" s="52"/>
    </row>
    <row r="1170" spans="1:8" ht="15.75">
      <c r="A1170" s="50">
        <v>41114</v>
      </c>
      <c r="B1170" s="51">
        <v>3493.3</v>
      </c>
      <c r="C1170" s="52"/>
      <c r="D1170" s="52"/>
      <c r="E1170" s="52"/>
      <c r="F1170" s="52"/>
      <c r="G1170" s="52"/>
      <c r="H1170" s="52"/>
    </row>
    <row r="1171" spans="1:8" ht="15.75">
      <c r="A1171" s="50">
        <v>41115</v>
      </c>
      <c r="B1171" s="51">
        <v>3502.11</v>
      </c>
      <c r="C1171" s="52"/>
      <c r="D1171" s="52"/>
      <c r="E1171" s="52"/>
      <c r="F1171" s="52"/>
      <c r="G1171" s="52"/>
      <c r="H1171" s="52"/>
    </row>
    <row r="1172" spans="1:8" ht="15.75">
      <c r="A1172" s="50">
        <v>41116</v>
      </c>
      <c r="B1172" s="51">
        <v>3598.56</v>
      </c>
      <c r="C1172" s="52"/>
      <c r="D1172" s="52"/>
      <c r="E1172" s="52"/>
      <c r="F1172" s="52"/>
      <c r="G1172" s="52"/>
      <c r="H1172" s="52"/>
    </row>
    <row r="1173" spans="1:8" ht="15.75">
      <c r="A1173" s="50">
        <v>41117</v>
      </c>
      <c r="B1173" s="51">
        <v>3656.75</v>
      </c>
      <c r="C1173" s="52"/>
      <c r="D1173" s="52"/>
      <c r="E1173" s="52"/>
      <c r="F1173" s="52"/>
      <c r="G1173" s="52"/>
      <c r="H1173" s="52"/>
    </row>
    <row r="1174" spans="1:8" ht="15.75">
      <c r="A1174" s="50">
        <v>41120</v>
      </c>
      <c r="B1174" s="51">
        <v>3703.02</v>
      </c>
      <c r="C1174" s="52"/>
      <c r="D1174" s="52"/>
      <c r="E1174" s="52"/>
      <c r="F1174" s="52"/>
      <c r="G1174" s="52"/>
      <c r="H1174" s="52"/>
    </row>
    <row r="1175" spans="1:8" ht="15.75">
      <c r="A1175" s="50">
        <v>41121</v>
      </c>
      <c r="B1175" s="51">
        <v>3702.04</v>
      </c>
      <c r="C1175" s="52"/>
      <c r="D1175" s="52"/>
      <c r="E1175" s="52"/>
      <c r="F1175" s="52"/>
      <c r="G1175" s="52"/>
      <c r="H1175" s="52"/>
    </row>
    <row r="1176" spans="1:8" ht="15.75">
      <c r="A1176" s="50">
        <v>41122</v>
      </c>
      <c r="B1176" s="51">
        <v>3692.31</v>
      </c>
      <c r="C1176" s="52"/>
      <c r="D1176" s="52"/>
      <c r="E1176" s="52"/>
      <c r="F1176" s="52"/>
      <c r="G1176" s="52"/>
      <c r="H1176" s="52"/>
    </row>
    <row r="1177" spans="1:8" ht="15.75">
      <c r="A1177" s="50">
        <v>41123</v>
      </c>
      <c r="B1177" s="51">
        <v>3611.2</v>
      </c>
      <c r="C1177" s="52"/>
      <c r="D1177" s="52"/>
      <c r="E1177" s="52"/>
      <c r="F1177" s="52"/>
      <c r="G1177" s="52"/>
      <c r="H1177" s="52"/>
    </row>
    <row r="1178" spans="1:8" ht="15.75">
      <c r="A1178" s="50">
        <v>41124</v>
      </c>
      <c r="B1178" s="51">
        <v>3753.1</v>
      </c>
      <c r="C1178" s="52"/>
      <c r="D1178" s="52"/>
      <c r="E1178" s="52"/>
      <c r="F1178" s="52"/>
      <c r="G1178" s="52"/>
      <c r="H1178" s="52"/>
    </row>
    <row r="1179" spans="1:8" ht="15.75">
      <c r="A1179" s="50">
        <v>41127</v>
      </c>
      <c r="B1179" s="51">
        <v>3782.1</v>
      </c>
      <c r="C1179" s="52"/>
      <c r="D1179" s="52"/>
      <c r="E1179" s="52"/>
      <c r="F1179" s="52"/>
      <c r="G1179" s="52"/>
      <c r="H1179" s="52"/>
    </row>
    <row r="1180" spans="1:8" ht="15.75">
      <c r="A1180" s="50">
        <v>41128</v>
      </c>
      <c r="B1180" s="51">
        <v>3809.01</v>
      </c>
      <c r="C1180" s="52"/>
      <c r="D1180" s="52"/>
      <c r="E1180" s="52"/>
      <c r="F1180" s="52"/>
      <c r="G1180" s="52"/>
      <c r="H1180" s="52"/>
    </row>
    <row r="1181" spans="1:8" ht="15.75">
      <c r="A1181" s="50">
        <v>41129</v>
      </c>
      <c r="B1181" s="51">
        <v>3808.03</v>
      </c>
      <c r="C1181" s="52"/>
      <c r="D1181" s="52"/>
      <c r="E1181" s="52"/>
      <c r="F1181" s="52"/>
      <c r="G1181" s="52"/>
      <c r="H1181" s="52"/>
    </row>
    <row r="1182" spans="1:8" ht="15.75">
      <c r="A1182" s="50">
        <v>41130</v>
      </c>
      <c r="B1182" s="51">
        <v>3807.39</v>
      </c>
      <c r="C1182" s="52"/>
      <c r="D1182" s="52"/>
      <c r="E1182" s="52"/>
      <c r="F1182" s="52"/>
      <c r="G1182" s="52"/>
      <c r="H1182" s="52"/>
    </row>
    <row r="1183" spans="1:8" ht="15.75">
      <c r="A1183" s="50">
        <v>41131</v>
      </c>
      <c r="B1183" s="51">
        <v>3796.22</v>
      </c>
      <c r="C1183" s="52"/>
      <c r="D1183" s="52"/>
      <c r="E1183" s="52"/>
      <c r="F1183" s="52"/>
      <c r="G1183" s="52"/>
      <c r="H1183" s="52"/>
    </row>
    <row r="1184" spans="1:8" ht="15.75">
      <c r="A1184" s="50">
        <v>41134</v>
      </c>
      <c r="B1184" s="51">
        <v>3777.16</v>
      </c>
      <c r="C1184" s="52"/>
      <c r="D1184" s="52"/>
      <c r="E1184" s="52"/>
      <c r="F1184" s="52"/>
      <c r="G1184" s="52"/>
      <c r="H1184" s="52"/>
    </row>
    <row r="1185" spans="1:8" ht="15.75">
      <c r="A1185" s="50">
        <v>41135</v>
      </c>
      <c r="B1185" s="51">
        <v>3812.53</v>
      </c>
      <c r="C1185" s="52"/>
      <c r="D1185" s="52"/>
      <c r="E1185" s="52"/>
      <c r="F1185" s="52"/>
      <c r="G1185" s="52"/>
      <c r="H1185" s="52"/>
    </row>
    <row r="1186" spans="1:8" ht="15.75">
      <c r="A1186" s="50">
        <v>41136</v>
      </c>
      <c r="B1186" s="51">
        <v>3797.45</v>
      </c>
      <c r="C1186" s="52"/>
      <c r="D1186" s="52"/>
      <c r="E1186" s="52"/>
      <c r="F1186" s="52"/>
      <c r="G1186" s="52"/>
      <c r="H1186" s="52"/>
    </row>
    <row r="1187" spans="1:8" ht="15.75">
      <c r="A1187" s="50">
        <v>41137</v>
      </c>
      <c r="B1187" s="51">
        <v>3824.5</v>
      </c>
      <c r="C1187" s="52"/>
      <c r="D1187" s="52"/>
      <c r="E1187" s="52"/>
      <c r="F1187" s="52"/>
      <c r="G1187" s="52"/>
      <c r="H1187" s="52"/>
    </row>
    <row r="1188" spans="1:8" ht="15.75">
      <c r="A1188" s="50">
        <v>41138</v>
      </c>
      <c r="B1188" s="51">
        <v>3848.88</v>
      </c>
      <c r="C1188" s="52"/>
      <c r="D1188" s="52"/>
      <c r="E1188" s="52"/>
      <c r="F1188" s="52"/>
      <c r="G1188" s="52"/>
      <c r="H1188" s="52"/>
    </row>
    <row r="1189" spans="1:8" ht="15.75">
      <c r="A1189" s="50">
        <v>41141</v>
      </c>
      <c r="B1189" s="51">
        <v>3844.94</v>
      </c>
      <c r="C1189" s="52"/>
      <c r="D1189" s="52"/>
      <c r="E1189" s="52"/>
      <c r="F1189" s="52"/>
      <c r="G1189" s="52"/>
      <c r="H1189" s="52"/>
    </row>
    <row r="1190" spans="1:8" ht="15.75">
      <c r="A1190" s="50">
        <v>41142</v>
      </c>
      <c r="B1190" s="51">
        <v>3875.36</v>
      </c>
      <c r="C1190" s="52"/>
      <c r="D1190" s="52"/>
      <c r="E1190" s="52"/>
      <c r="F1190" s="52"/>
      <c r="G1190" s="52"/>
      <c r="H1190" s="52"/>
    </row>
    <row r="1191" spans="1:8" ht="15.75">
      <c r="A1191" s="50">
        <v>41143</v>
      </c>
      <c r="B1191" s="51">
        <v>3836.23</v>
      </c>
      <c r="C1191" s="52"/>
      <c r="D1191" s="52"/>
      <c r="E1191" s="52"/>
      <c r="F1191" s="52"/>
      <c r="G1191" s="52"/>
      <c r="H1191" s="52"/>
    </row>
    <row r="1192" spans="1:8" ht="15.75">
      <c r="A1192" s="50">
        <v>41144</v>
      </c>
      <c r="B1192" s="51">
        <v>3798.96</v>
      </c>
      <c r="C1192" s="52"/>
      <c r="D1192" s="52"/>
      <c r="E1192" s="52"/>
      <c r="F1192" s="52"/>
      <c r="G1192" s="52"/>
      <c r="H1192" s="52"/>
    </row>
    <row r="1193" spans="1:8" ht="15.75">
      <c r="A1193" s="50">
        <v>41145</v>
      </c>
      <c r="B1193" s="51">
        <v>3810.71</v>
      </c>
      <c r="C1193" s="52"/>
      <c r="D1193" s="52"/>
      <c r="E1193" s="52"/>
      <c r="F1193" s="52"/>
      <c r="G1193" s="52"/>
      <c r="H1193" s="52"/>
    </row>
    <row r="1194" spans="1:8" ht="15.75">
      <c r="A1194" s="50">
        <v>41148</v>
      </c>
      <c r="B1194" s="51">
        <v>3852.47</v>
      </c>
      <c r="C1194" s="52"/>
      <c r="D1194" s="52"/>
      <c r="E1194" s="52"/>
      <c r="F1194" s="52"/>
      <c r="G1194" s="52"/>
      <c r="H1194" s="52"/>
    </row>
    <row r="1195" spans="1:8" ht="15.75">
      <c r="A1195" s="50">
        <v>41149</v>
      </c>
      <c r="B1195" s="51">
        <v>3828</v>
      </c>
      <c r="C1195" s="52"/>
      <c r="D1195" s="52"/>
      <c r="E1195" s="52"/>
      <c r="F1195" s="52"/>
      <c r="G1195" s="52"/>
      <c r="H1195" s="52"/>
    </row>
    <row r="1196" spans="1:8" ht="15.75">
      <c r="A1196" s="50">
        <v>41150</v>
      </c>
      <c r="B1196" s="51">
        <v>3832.31</v>
      </c>
      <c r="C1196" s="52"/>
      <c r="D1196" s="52"/>
      <c r="E1196" s="52"/>
      <c r="F1196" s="52"/>
      <c r="G1196" s="52"/>
      <c r="H1196" s="52"/>
    </row>
    <row r="1197" spans="1:8" ht="15.75">
      <c r="A1197" s="50">
        <v>41151</v>
      </c>
      <c r="B1197" s="51">
        <v>3769.4</v>
      </c>
      <c r="C1197" s="52"/>
      <c r="D1197" s="52"/>
      <c r="E1197" s="52"/>
      <c r="F1197" s="52"/>
      <c r="G1197" s="52"/>
      <c r="H1197" s="52"/>
    </row>
    <row r="1198" spans="1:8" ht="15.75">
      <c r="A1198" s="50">
        <v>41152</v>
      </c>
      <c r="B1198" s="51">
        <v>3810.56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41155</v>
      </c>
      <c r="B1199" s="51">
        <v>3834.64</v>
      </c>
      <c r="C1199" s="52"/>
      <c r="D1199" s="52"/>
      <c r="E1199" s="52"/>
      <c r="F1199" s="52"/>
      <c r="G1199" s="52"/>
      <c r="H1199" s="52"/>
    </row>
    <row r="1200" spans="1:8" ht="15.75">
      <c r="A1200" s="50">
        <v>41156</v>
      </c>
      <c r="B1200" s="51">
        <v>3789.68</v>
      </c>
      <c r="C1200" s="52"/>
      <c r="D1200" s="52"/>
      <c r="E1200" s="52"/>
      <c r="F1200" s="52"/>
      <c r="G1200" s="52"/>
      <c r="H1200" s="52"/>
    </row>
    <row r="1201" spans="1:8" ht="15.75">
      <c r="A1201" s="50">
        <v>41157</v>
      </c>
      <c r="B1201" s="51">
        <v>3807.23</v>
      </c>
      <c r="C1201" s="52"/>
      <c r="D1201" s="52"/>
      <c r="E1201" s="52"/>
      <c r="F1201" s="52"/>
      <c r="G1201" s="52"/>
      <c r="H1201" s="52"/>
    </row>
    <row r="1202" spans="1:8" ht="15.75">
      <c r="A1202" s="50">
        <v>41158</v>
      </c>
      <c r="B1202" s="51">
        <v>3918</v>
      </c>
      <c r="C1202" s="52"/>
      <c r="D1202" s="52"/>
      <c r="E1202" s="52"/>
      <c r="F1202" s="52"/>
      <c r="G1202" s="52"/>
      <c r="H1202" s="52"/>
    </row>
    <row r="1203" spans="1:8" ht="15.75">
      <c r="A1203" s="50">
        <v>41159</v>
      </c>
      <c r="B1203" s="51">
        <v>3943.79</v>
      </c>
      <c r="C1203" s="52"/>
      <c r="D1203" s="52"/>
      <c r="E1203" s="52"/>
      <c r="F1203" s="52"/>
      <c r="G1203" s="52"/>
      <c r="H1203" s="52"/>
    </row>
    <row r="1204" spans="1:8" ht="15.75">
      <c r="A1204" s="50">
        <v>41162</v>
      </c>
      <c r="B1204" s="51">
        <v>3943.35</v>
      </c>
      <c r="C1204" s="52"/>
      <c r="D1204" s="52"/>
      <c r="E1204" s="52"/>
      <c r="F1204" s="52"/>
      <c r="G1204" s="52"/>
      <c r="H1204" s="52"/>
    </row>
    <row r="1205" spans="1:8" ht="15.75">
      <c r="A1205" s="50">
        <v>41163</v>
      </c>
      <c r="B1205" s="51">
        <v>3996.05</v>
      </c>
      <c r="C1205" s="52"/>
      <c r="D1205" s="52"/>
      <c r="E1205" s="52"/>
      <c r="F1205" s="52"/>
      <c r="G1205" s="52"/>
      <c r="H1205" s="52"/>
    </row>
    <row r="1206" spans="1:8" ht="15.75">
      <c r="A1206" s="50">
        <v>41164</v>
      </c>
      <c r="B1206" s="51">
        <v>4014.32</v>
      </c>
      <c r="C1206" s="52"/>
      <c r="D1206" s="52"/>
      <c r="E1206" s="52"/>
      <c r="F1206" s="52"/>
      <c r="G1206" s="52"/>
      <c r="H1206" s="52"/>
    </row>
    <row r="1207" spans="1:8" ht="15.75">
      <c r="A1207" s="50">
        <v>41165</v>
      </c>
      <c r="B1207" s="51">
        <v>3996.17</v>
      </c>
      <c r="C1207" s="52"/>
      <c r="D1207" s="52"/>
      <c r="E1207" s="52"/>
      <c r="F1207" s="52"/>
      <c r="G1207" s="52"/>
      <c r="H1207" s="52"/>
    </row>
    <row r="1208" spans="1:8" ht="15.75">
      <c r="A1208" s="50">
        <v>41166</v>
      </c>
      <c r="B1208" s="51">
        <v>4051.82</v>
      </c>
      <c r="C1208" s="52"/>
      <c r="D1208" s="52"/>
      <c r="E1208" s="52"/>
      <c r="F1208" s="52"/>
      <c r="G1208" s="52"/>
      <c r="H1208" s="52"/>
    </row>
    <row r="1209" spans="1:8" ht="15.75">
      <c r="A1209" s="50">
        <v>41169</v>
      </c>
      <c r="B1209" s="51">
        <v>4047.21</v>
      </c>
      <c r="C1209" s="52"/>
      <c r="D1209" s="52"/>
      <c r="E1209" s="52"/>
      <c r="F1209" s="52"/>
      <c r="G1209" s="52"/>
      <c r="H1209" s="52"/>
    </row>
    <row r="1210" spans="1:8" ht="15.75">
      <c r="A1210" s="50">
        <v>41170</v>
      </c>
      <c r="B1210" s="51">
        <v>4016.6</v>
      </c>
      <c r="C1210" s="52"/>
      <c r="D1210" s="52"/>
      <c r="E1210" s="52"/>
      <c r="F1210" s="52"/>
      <c r="G1210" s="52"/>
      <c r="H1210" s="52"/>
    </row>
    <row r="1211" spans="1:8" ht="15.75">
      <c r="A1211" s="50">
        <v>41171</v>
      </c>
      <c r="B1211" s="51">
        <v>4040.14</v>
      </c>
      <c r="C1211" s="52"/>
      <c r="D1211" s="52"/>
      <c r="E1211" s="52"/>
      <c r="F1211" s="52"/>
      <c r="G1211" s="52"/>
      <c r="H1211" s="52"/>
    </row>
    <row r="1212" spans="1:8" ht="15.75">
      <c r="A1212" s="50">
        <v>41172</v>
      </c>
      <c r="B1212" s="51">
        <v>4039.44</v>
      </c>
      <c r="C1212" s="52"/>
      <c r="D1212" s="52"/>
      <c r="E1212" s="52"/>
      <c r="F1212" s="52"/>
      <c r="G1212" s="52"/>
      <c r="H1212" s="52"/>
    </row>
    <row r="1213" spans="1:8" ht="15.75">
      <c r="A1213" s="50">
        <v>41173</v>
      </c>
      <c r="B1213" s="51">
        <v>4073.41</v>
      </c>
      <c r="C1213" s="52"/>
      <c r="D1213" s="52"/>
      <c r="E1213" s="52"/>
      <c r="F1213" s="52"/>
      <c r="G1213" s="52"/>
      <c r="H1213" s="52"/>
    </row>
    <row r="1214" spans="1:8" ht="15.75">
      <c r="A1214" s="50">
        <v>41176</v>
      </c>
      <c r="B1214" s="51">
        <v>4052.39</v>
      </c>
      <c r="C1214" s="52"/>
      <c r="D1214" s="52"/>
      <c r="E1214" s="52"/>
      <c r="F1214" s="52"/>
      <c r="G1214" s="52"/>
      <c r="H1214" s="52"/>
    </row>
    <row r="1215" spans="1:8" ht="15.75">
      <c r="A1215" s="50">
        <v>41177</v>
      </c>
      <c r="B1215" s="51">
        <v>4058.92</v>
      </c>
      <c r="C1215" s="52"/>
      <c r="D1215" s="52"/>
      <c r="E1215" s="52"/>
      <c r="F1215" s="52"/>
      <c r="G1215" s="52"/>
      <c r="H1215" s="52"/>
    </row>
    <row r="1216" spans="1:8" ht="15.75">
      <c r="A1216" s="50">
        <v>41178</v>
      </c>
      <c r="B1216" s="51">
        <v>3977.69</v>
      </c>
      <c r="C1216" s="52"/>
      <c r="D1216" s="52"/>
      <c r="E1216" s="52"/>
      <c r="F1216" s="52"/>
      <c r="G1216" s="52"/>
      <c r="H1216" s="52"/>
    </row>
    <row r="1217" spans="1:8" ht="15.75">
      <c r="A1217" s="50">
        <v>41179</v>
      </c>
      <c r="B1217" s="51">
        <v>3985.07</v>
      </c>
      <c r="C1217" s="52"/>
      <c r="D1217" s="52"/>
      <c r="E1217" s="52"/>
      <c r="F1217" s="52"/>
      <c r="G1217" s="52"/>
      <c r="H1217" s="52"/>
    </row>
    <row r="1218" spans="1:8" ht="15.75">
      <c r="A1218" s="50">
        <v>41180</v>
      </c>
      <c r="B1218" s="51">
        <v>3944.69</v>
      </c>
      <c r="C1218" s="52"/>
      <c r="D1218" s="52"/>
      <c r="E1218" s="52"/>
      <c r="F1218" s="52"/>
      <c r="G1218" s="52"/>
      <c r="H1218" s="52"/>
    </row>
    <row r="1219" spans="1:8" ht="15.75">
      <c r="A1219" s="50">
        <v>41183</v>
      </c>
      <c r="B1219" s="51">
        <v>4005.14</v>
      </c>
      <c r="C1219" s="52"/>
      <c r="D1219" s="52"/>
      <c r="E1219" s="52"/>
      <c r="F1219" s="52"/>
      <c r="G1219" s="52"/>
      <c r="H1219" s="52"/>
    </row>
    <row r="1220" spans="1:8" ht="15.75">
      <c r="A1220" s="50">
        <v>41184</v>
      </c>
      <c r="B1220" s="51">
        <v>3993.73</v>
      </c>
      <c r="C1220" s="52"/>
      <c r="D1220" s="52"/>
      <c r="E1220" s="52"/>
      <c r="F1220" s="52"/>
      <c r="G1220" s="52"/>
      <c r="H1220" s="52"/>
    </row>
    <row r="1221" spans="1:8" ht="15.75">
      <c r="A1221" s="50">
        <v>41185</v>
      </c>
      <c r="B1221" s="51">
        <v>4002.6</v>
      </c>
      <c r="C1221" s="52"/>
      <c r="D1221" s="52"/>
      <c r="E1221" s="52"/>
      <c r="F1221" s="52"/>
      <c r="G1221" s="52"/>
      <c r="H1221" s="52"/>
    </row>
    <row r="1222" spans="1:8" ht="15.75">
      <c r="A1222" s="50">
        <v>41186</v>
      </c>
      <c r="B1222" s="51">
        <v>3993.38</v>
      </c>
      <c r="C1222" s="52"/>
      <c r="D1222" s="52"/>
      <c r="E1222" s="52"/>
      <c r="F1222" s="52"/>
      <c r="G1222" s="52"/>
      <c r="H1222" s="52"/>
    </row>
    <row r="1223" spans="1:8" ht="15.75">
      <c r="A1223" s="50">
        <v>41187</v>
      </c>
      <c r="B1223" s="51">
        <v>4044.03</v>
      </c>
      <c r="C1223" s="52"/>
      <c r="D1223" s="52"/>
      <c r="E1223" s="52"/>
      <c r="F1223" s="52"/>
      <c r="G1223" s="52"/>
      <c r="H1223" s="52"/>
    </row>
    <row r="1224" spans="1:8" ht="15.75">
      <c r="A1224" s="50">
        <v>41190</v>
      </c>
      <c r="B1224" s="51">
        <v>3985.72</v>
      </c>
      <c r="C1224" s="52"/>
      <c r="D1224" s="52"/>
      <c r="E1224" s="52"/>
      <c r="F1224" s="52"/>
      <c r="G1224" s="52"/>
      <c r="H1224" s="52"/>
    </row>
    <row r="1225" spans="1:8" ht="15.75">
      <c r="A1225" s="50">
        <v>41191</v>
      </c>
      <c r="B1225" s="51">
        <v>3954.74</v>
      </c>
      <c r="C1225" s="52"/>
      <c r="D1225" s="52"/>
      <c r="E1225" s="52"/>
      <c r="F1225" s="52"/>
      <c r="G1225" s="52"/>
      <c r="H1225" s="52"/>
    </row>
    <row r="1226" spans="1:8" ht="15.75">
      <c r="A1226" s="50">
        <v>41192</v>
      </c>
      <c r="B1226" s="51">
        <v>3938.72</v>
      </c>
      <c r="C1226" s="52"/>
      <c r="D1226" s="52"/>
      <c r="E1226" s="52"/>
      <c r="F1226" s="52"/>
      <c r="G1226" s="52"/>
      <c r="H1226" s="52"/>
    </row>
    <row r="1227" spans="1:8" ht="15.75">
      <c r="A1227" s="50">
        <v>41193</v>
      </c>
      <c r="B1227" s="51">
        <v>3980.52</v>
      </c>
      <c r="C1227" s="52"/>
      <c r="D1227" s="52"/>
      <c r="E1227" s="52"/>
      <c r="F1227" s="52"/>
      <c r="G1227" s="52"/>
      <c r="H1227" s="52"/>
    </row>
    <row r="1228" spans="1:8" ht="15.75">
      <c r="A1228" s="50">
        <v>41194</v>
      </c>
      <c r="B1228" s="51">
        <v>3953.63</v>
      </c>
      <c r="C1228" s="52"/>
      <c r="D1228" s="52"/>
      <c r="E1228" s="52"/>
      <c r="F1228" s="52"/>
      <c r="G1228" s="52"/>
      <c r="H1228" s="52"/>
    </row>
    <row r="1229" spans="1:8" ht="15.75">
      <c r="A1229" s="50">
        <v>41197</v>
      </c>
      <c r="B1229" s="51">
        <v>3969.35</v>
      </c>
      <c r="C1229" s="52"/>
      <c r="D1229" s="52"/>
      <c r="E1229" s="52"/>
      <c r="F1229" s="52"/>
      <c r="G1229" s="52"/>
      <c r="H1229" s="52"/>
    </row>
    <row r="1230" spans="1:8" ht="15.75">
      <c r="A1230" s="50">
        <v>41198</v>
      </c>
      <c r="B1230" s="51">
        <v>4032.22</v>
      </c>
      <c r="C1230" s="52"/>
      <c r="D1230" s="52"/>
      <c r="E1230" s="52"/>
      <c r="F1230" s="52"/>
      <c r="G1230" s="52"/>
      <c r="H1230" s="52"/>
    </row>
    <row r="1231" spans="1:8" ht="15.75">
      <c r="A1231" s="50">
        <v>41199</v>
      </c>
      <c r="B1231" s="51">
        <v>4042.21</v>
      </c>
      <c r="C1231" s="52"/>
      <c r="D1231" s="52"/>
      <c r="E1231" s="52"/>
      <c r="F1231" s="52"/>
      <c r="G1231" s="52"/>
      <c r="H1231" s="52"/>
    </row>
    <row r="1232" spans="1:8" ht="15.75">
      <c r="A1232" s="50">
        <v>41200</v>
      </c>
      <c r="B1232" s="51">
        <v>4065.54</v>
      </c>
      <c r="C1232" s="52"/>
      <c r="D1232" s="52"/>
      <c r="E1232" s="52"/>
      <c r="F1232" s="52"/>
      <c r="G1232" s="52"/>
      <c r="H1232" s="52"/>
    </row>
    <row r="1233" spans="1:8" ht="15.75">
      <c r="A1233" s="50">
        <v>41201</v>
      </c>
      <c r="B1233" s="51">
        <v>4034.61</v>
      </c>
      <c r="C1233" s="52"/>
      <c r="D1233" s="52"/>
      <c r="E1233" s="52"/>
      <c r="F1233" s="52"/>
      <c r="G1233" s="52"/>
      <c r="H1233" s="52"/>
    </row>
    <row r="1234" spans="1:8" ht="15.75">
      <c r="A1234" s="50">
        <v>41204</v>
      </c>
      <c r="B1234" s="51">
        <v>4005.86</v>
      </c>
      <c r="C1234" s="52"/>
      <c r="D1234" s="52"/>
      <c r="E1234" s="52"/>
      <c r="F1234" s="52"/>
      <c r="G1234" s="52"/>
      <c r="H1234" s="52"/>
    </row>
    <row r="1235" spans="1:8" ht="15.75">
      <c r="A1235" s="50">
        <v>41205</v>
      </c>
      <c r="B1235" s="51">
        <v>3921.48</v>
      </c>
      <c r="C1235" s="52"/>
      <c r="D1235" s="52"/>
      <c r="E1235" s="52"/>
      <c r="F1235" s="52"/>
      <c r="G1235" s="52"/>
      <c r="H1235" s="52"/>
    </row>
    <row r="1236" spans="1:8" ht="15.75">
      <c r="A1236" s="50">
        <v>41206</v>
      </c>
      <c r="B1236" s="51">
        <v>3931.95</v>
      </c>
      <c r="C1236" s="52"/>
      <c r="D1236" s="52"/>
      <c r="E1236" s="52"/>
      <c r="F1236" s="52"/>
      <c r="G1236" s="52"/>
      <c r="H1236" s="52"/>
    </row>
    <row r="1237" spans="1:8" ht="15.75">
      <c r="A1237" s="50">
        <v>41207</v>
      </c>
      <c r="B1237" s="51">
        <v>3935.99</v>
      </c>
      <c r="C1237" s="52"/>
      <c r="D1237" s="52"/>
      <c r="E1237" s="52"/>
      <c r="F1237" s="52"/>
      <c r="G1237" s="52"/>
      <c r="H1237" s="52"/>
    </row>
    <row r="1238" spans="1:8" ht="15.75">
      <c r="A1238" s="50">
        <v>41208</v>
      </c>
      <c r="B1238" s="51">
        <v>3953.27</v>
      </c>
      <c r="C1238" s="52"/>
      <c r="D1238" s="52"/>
      <c r="E1238" s="52"/>
      <c r="F1238" s="52"/>
      <c r="G1238" s="52"/>
      <c r="H1238" s="52"/>
    </row>
    <row r="1239" spans="1:8" ht="15.75">
      <c r="A1239" s="50">
        <v>41211</v>
      </c>
      <c r="B1239" s="51">
        <v>3937.59</v>
      </c>
      <c r="C1239" s="52"/>
      <c r="D1239" s="52"/>
      <c r="E1239" s="52"/>
      <c r="F1239" s="52"/>
      <c r="G1239" s="52"/>
      <c r="H1239" s="52"/>
    </row>
    <row r="1240" spans="1:8" ht="15.75">
      <c r="A1240" s="50">
        <v>41212</v>
      </c>
      <c r="B1240" s="51">
        <v>3982</v>
      </c>
      <c r="C1240" s="52"/>
      <c r="D1240" s="52"/>
      <c r="E1240" s="52"/>
      <c r="F1240" s="52"/>
      <c r="G1240" s="52"/>
      <c r="H1240" s="52"/>
    </row>
    <row r="1241" spans="1:8" ht="15.75">
      <c r="A1241" s="50">
        <v>41213</v>
      </c>
      <c r="B1241" s="51">
        <v>3969.01</v>
      </c>
      <c r="C1241" s="52"/>
      <c r="D1241" s="52"/>
      <c r="E1241" s="52"/>
      <c r="F1241" s="52"/>
      <c r="G1241" s="52"/>
      <c r="H1241" s="52"/>
    </row>
    <row r="1242" spans="1:8" ht="15.75">
      <c r="A1242" s="50">
        <v>41214</v>
      </c>
      <c r="B1242" s="51">
        <v>4010.03</v>
      </c>
      <c r="C1242" s="52"/>
      <c r="D1242" s="52"/>
      <c r="E1242" s="52"/>
      <c r="F1242" s="52"/>
      <c r="G1242" s="52"/>
      <c r="H1242" s="52"/>
    </row>
    <row r="1243" spans="1:8" ht="15.75">
      <c r="A1243" s="50">
        <v>41215</v>
      </c>
      <c r="B1243" s="51">
        <v>4025.43</v>
      </c>
      <c r="C1243" s="52"/>
      <c r="D1243" s="52"/>
      <c r="E1243" s="52"/>
      <c r="F1243" s="52"/>
      <c r="G1243" s="52"/>
      <c r="H1243" s="52"/>
    </row>
    <row r="1244" spans="1:8" ht="15.75">
      <c r="A1244" s="50">
        <v>41218</v>
      </c>
      <c r="B1244" s="51">
        <v>4005</v>
      </c>
      <c r="C1244" s="52"/>
      <c r="D1244" s="52"/>
      <c r="E1244" s="52"/>
      <c r="F1244" s="52"/>
      <c r="G1244" s="52"/>
      <c r="H1244" s="52"/>
    </row>
    <row r="1245" spans="1:8" ht="15.75">
      <c r="A1245" s="50">
        <v>41219</v>
      </c>
      <c r="B1245" s="51">
        <v>4033.03</v>
      </c>
      <c r="C1245" s="52"/>
      <c r="D1245" s="52"/>
      <c r="E1245" s="52"/>
      <c r="F1245" s="52"/>
      <c r="G1245" s="52"/>
      <c r="H1245" s="52"/>
    </row>
    <row r="1246" spans="1:8" ht="15.75">
      <c r="A1246" s="50">
        <v>41220</v>
      </c>
      <c r="B1246" s="51">
        <v>3953.81</v>
      </c>
      <c r="C1246" s="52"/>
      <c r="D1246" s="52"/>
      <c r="E1246" s="52"/>
      <c r="F1246" s="52"/>
      <c r="G1246" s="52"/>
      <c r="H1246" s="52"/>
    </row>
    <row r="1247" spans="1:8" ht="15.75">
      <c r="A1247" s="50">
        <v>41221</v>
      </c>
      <c r="B1247" s="51">
        <v>3938.57</v>
      </c>
      <c r="C1247" s="52"/>
      <c r="D1247" s="52"/>
      <c r="E1247" s="52"/>
      <c r="F1247" s="52"/>
      <c r="G1247" s="52"/>
      <c r="H1247" s="52"/>
    </row>
    <row r="1248" spans="1:8" ht="15.75">
      <c r="A1248" s="50">
        <v>41222</v>
      </c>
      <c r="B1248" s="51">
        <v>3915.91</v>
      </c>
      <c r="C1248" s="52"/>
      <c r="D1248" s="52"/>
      <c r="E1248" s="52"/>
      <c r="F1248" s="52"/>
      <c r="G1248" s="52"/>
      <c r="H1248" s="52"/>
    </row>
    <row r="1249" spans="1:8" ht="15.75">
      <c r="A1249" s="50">
        <v>41225</v>
      </c>
      <c r="B1249" s="51">
        <v>3918.78</v>
      </c>
      <c r="C1249" s="52"/>
      <c r="D1249" s="52"/>
      <c r="E1249" s="52"/>
      <c r="F1249" s="52"/>
      <c r="G1249" s="52"/>
      <c r="H1249" s="52"/>
    </row>
    <row r="1250" spans="1:8" ht="15.75">
      <c r="A1250" s="50">
        <v>41226</v>
      </c>
      <c r="B1250" s="51">
        <v>3918.98</v>
      </c>
      <c r="C1250" s="52"/>
      <c r="D1250" s="52"/>
      <c r="E1250" s="52"/>
      <c r="F1250" s="52"/>
      <c r="G1250" s="52"/>
      <c r="H1250" s="52"/>
    </row>
    <row r="1251" spans="1:8" ht="15.75">
      <c r="A1251" s="50">
        <v>41227</v>
      </c>
      <c r="B1251" s="51">
        <v>3882.25</v>
      </c>
      <c r="C1251" s="52"/>
      <c r="D1251" s="52"/>
      <c r="E1251" s="52"/>
      <c r="F1251" s="52"/>
      <c r="G1251" s="52"/>
      <c r="H1251" s="52"/>
    </row>
    <row r="1252" spans="1:8" ht="15.75">
      <c r="A1252" s="50">
        <v>41228</v>
      </c>
      <c r="B1252" s="51">
        <v>3850.27</v>
      </c>
      <c r="C1252" s="52"/>
      <c r="D1252" s="52"/>
      <c r="E1252" s="52"/>
      <c r="F1252" s="52"/>
      <c r="G1252" s="52"/>
      <c r="H1252" s="52"/>
    </row>
    <row r="1253" spans="1:8" ht="15.75">
      <c r="A1253" s="50">
        <v>41229</v>
      </c>
      <c r="B1253" s="51">
        <v>3799.49</v>
      </c>
      <c r="C1253" s="52"/>
      <c r="D1253" s="52"/>
      <c r="E1253" s="52"/>
      <c r="F1253" s="52"/>
      <c r="G1253" s="52"/>
      <c r="H1253" s="52"/>
    </row>
    <row r="1254" spans="1:8" ht="15.75">
      <c r="A1254" s="50">
        <v>41232</v>
      </c>
      <c r="B1254" s="51">
        <v>3894.23</v>
      </c>
      <c r="C1254" s="52"/>
      <c r="D1254" s="52"/>
      <c r="E1254" s="52"/>
      <c r="F1254" s="52"/>
      <c r="G1254" s="52"/>
      <c r="H1254" s="52"/>
    </row>
    <row r="1255" spans="1:8" ht="15.75">
      <c r="A1255" s="50">
        <v>41233</v>
      </c>
      <c r="B1255" s="51">
        <v>3921.1</v>
      </c>
      <c r="C1255" s="52"/>
      <c r="D1255" s="52"/>
      <c r="E1255" s="52"/>
      <c r="F1255" s="52"/>
      <c r="G1255" s="52"/>
      <c r="H1255" s="52"/>
    </row>
    <row r="1256" spans="1:8" ht="15.75">
      <c r="A1256" s="50">
        <v>41234</v>
      </c>
      <c r="B1256" s="51">
        <v>3927.5</v>
      </c>
      <c r="C1256" s="52"/>
      <c r="D1256" s="52"/>
      <c r="E1256" s="52"/>
      <c r="F1256" s="52"/>
      <c r="G1256" s="52"/>
      <c r="H1256" s="52"/>
    </row>
    <row r="1257" spans="1:8" ht="15.75">
      <c r="A1257" s="50">
        <v>41235</v>
      </c>
      <c r="B1257" s="51">
        <v>3960.45</v>
      </c>
      <c r="C1257" s="52"/>
      <c r="D1257" s="52"/>
      <c r="E1257" s="52"/>
      <c r="F1257" s="52"/>
      <c r="G1257" s="52"/>
      <c r="H1257" s="52"/>
    </row>
    <row r="1258" spans="1:8" ht="15.75">
      <c r="A1258" s="50">
        <v>41236</v>
      </c>
      <c r="B1258" s="51">
        <v>3995.52</v>
      </c>
      <c r="C1258" s="52"/>
      <c r="D1258" s="52"/>
      <c r="E1258" s="52"/>
      <c r="F1258" s="52"/>
      <c r="G1258" s="52"/>
      <c r="H1258" s="52"/>
    </row>
    <row r="1259" spans="1:8" ht="15.75">
      <c r="A1259" s="50">
        <v>41239</v>
      </c>
      <c r="B1259" s="51">
        <v>3986.17</v>
      </c>
      <c r="C1259" s="52"/>
      <c r="D1259" s="52"/>
      <c r="E1259" s="52"/>
      <c r="F1259" s="52"/>
      <c r="G1259" s="52"/>
      <c r="H1259" s="52"/>
    </row>
    <row r="1260" spans="1:8" ht="15.75">
      <c r="A1260" s="50">
        <v>41240</v>
      </c>
      <c r="B1260" s="51">
        <v>4008.2</v>
      </c>
      <c r="C1260" s="52"/>
      <c r="D1260" s="52"/>
      <c r="E1260" s="52"/>
      <c r="F1260" s="52"/>
      <c r="G1260" s="52"/>
      <c r="H1260" s="52"/>
    </row>
    <row r="1261" spans="1:8" ht="15.75">
      <c r="A1261" s="50">
        <v>41241</v>
      </c>
      <c r="B1261" s="51">
        <v>4014.26</v>
      </c>
      <c r="C1261" s="52"/>
      <c r="D1261" s="52"/>
      <c r="E1261" s="52"/>
      <c r="F1261" s="52"/>
      <c r="G1261" s="52"/>
      <c r="H1261" s="52"/>
    </row>
    <row r="1262" spans="1:8" ht="15.75">
      <c r="A1262" s="50">
        <v>41242</v>
      </c>
      <c r="B1262" s="51">
        <v>4045.72</v>
      </c>
      <c r="C1262" s="52"/>
      <c r="D1262" s="52"/>
      <c r="E1262" s="52"/>
      <c r="F1262" s="52"/>
      <c r="G1262" s="52"/>
      <c r="H1262" s="52"/>
    </row>
    <row r="1263" spans="1:8" ht="15.75">
      <c r="A1263" s="50">
        <v>41243</v>
      </c>
      <c r="B1263" s="51">
        <v>4048.2</v>
      </c>
      <c r="C1263" s="52"/>
      <c r="D1263" s="52"/>
      <c r="E1263" s="52"/>
      <c r="F1263" s="52"/>
      <c r="G1263" s="52"/>
      <c r="H1263" s="52"/>
    </row>
    <row r="1264" spans="1:8" ht="15.75">
      <c r="A1264" s="50">
        <v>41246</v>
      </c>
      <c r="B1264" s="51">
        <v>4064.44</v>
      </c>
      <c r="C1264" s="52"/>
      <c r="D1264" s="52"/>
      <c r="E1264" s="52"/>
      <c r="F1264" s="52"/>
      <c r="G1264" s="52"/>
      <c r="H1264" s="52"/>
    </row>
    <row r="1265" spans="1:8" ht="15.75">
      <c r="A1265" s="50">
        <v>41247</v>
      </c>
      <c r="B1265" s="51">
        <v>4064.39</v>
      </c>
      <c r="C1265" s="52"/>
      <c r="D1265" s="52"/>
      <c r="E1265" s="52"/>
      <c r="F1265" s="52"/>
      <c r="G1265" s="52"/>
      <c r="H1265" s="52"/>
    </row>
    <row r="1266" spans="1:8" ht="15.75">
      <c r="A1266" s="50">
        <v>41248</v>
      </c>
      <c r="B1266" s="51">
        <v>4075.01</v>
      </c>
      <c r="C1266" s="52"/>
      <c r="D1266" s="52"/>
      <c r="E1266" s="52"/>
      <c r="F1266" s="52"/>
      <c r="G1266" s="52"/>
      <c r="H1266" s="52"/>
    </row>
    <row r="1267" spans="1:8" ht="15.75">
      <c r="A1267" s="50">
        <v>41249</v>
      </c>
      <c r="B1267" s="51">
        <v>4118.74</v>
      </c>
      <c r="C1267" s="52"/>
      <c r="D1267" s="52"/>
      <c r="E1267" s="52"/>
      <c r="F1267" s="52"/>
      <c r="G1267" s="52"/>
      <c r="H1267" s="52"/>
    </row>
    <row r="1268" spans="1:8" ht="15.75">
      <c r="A1268" s="50">
        <v>41250</v>
      </c>
      <c r="B1268" s="51">
        <v>4109.59</v>
      </c>
      <c r="C1268" s="52"/>
      <c r="D1268" s="52"/>
      <c r="E1268" s="52"/>
      <c r="F1268" s="52"/>
      <c r="G1268" s="52"/>
      <c r="H1268" s="52"/>
    </row>
    <row r="1269" spans="1:8" ht="15.75">
      <c r="A1269" s="50">
        <v>41253</v>
      </c>
      <c r="B1269" s="51">
        <v>4116.76</v>
      </c>
      <c r="C1269" s="52"/>
      <c r="D1269" s="52"/>
      <c r="E1269" s="52"/>
      <c r="F1269" s="52"/>
      <c r="G1269" s="52"/>
      <c r="H1269" s="52"/>
    </row>
    <row r="1270" spans="1:8" ht="15.75">
      <c r="A1270" s="50">
        <v>41254</v>
      </c>
      <c r="B1270" s="51">
        <v>4148.92</v>
      </c>
      <c r="C1270" s="52"/>
      <c r="D1270" s="52"/>
      <c r="E1270" s="52"/>
      <c r="F1270" s="52"/>
      <c r="G1270" s="52"/>
      <c r="H1270" s="52"/>
    </row>
    <row r="1271" spans="1:8" ht="15.75">
      <c r="A1271" s="50">
        <v>41255</v>
      </c>
      <c r="B1271" s="51">
        <v>4162.6099999999997</v>
      </c>
      <c r="C1271" s="52"/>
      <c r="D1271" s="52"/>
      <c r="E1271" s="52"/>
      <c r="F1271" s="52"/>
      <c r="G1271" s="52"/>
      <c r="H1271" s="52"/>
    </row>
    <row r="1272" spans="1:8" ht="15.75">
      <c r="A1272" s="50">
        <v>41256</v>
      </c>
      <c r="B1272" s="51">
        <v>4144.67</v>
      </c>
      <c r="C1272" s="52"/>
      <c r="D1272" s="52"/>
      <c r="E1272" s="52"/>
      <c r="F1272" s="52"/>
      <c r="G1272" s="52"/>
      <c r="H1272" s="52"/>
    </row>
    <row r="1273" spans="1:8" ht="15.75">
      <c r="A1273" s="50">
        <v>41257</v>
      </c>
      <c r="B1273" s="51">
        <v>4152.59</v>
      </c>
      <c r="C1273" s="52"/>
      <c r="D1273" s="52"/>
      <c r="E1273" s="52"/>
      <c r="F1273" s="52"/>
      <c r="G1273" s="52"/>
      <c r="H1273" s="52"/>
    </row>
    <row r="1274" spans="1:8" ht="15.75">
      <c r="A1274" s="50">
        <v>41260</v>
      </c>
      <c r="B1274" s="51">
        <v>4157.22</v>
      </c>
      <c r="C1274" s="52"/>
      <c r="D1274" s="52"/>
      <c r="E1274" s="52"/>
      <c r="F1274" s="52"/>
      <c r="G1274" s="52"/>
      <c r="H1274" s="52"/>
    </row>
    <row r="1275" spans="1:8" ht="15.75">
      <c r="A1275" s="50">
        <v>41261</v>
      </c>
      <c r="B1275" s="51">
        <v>4183.8100000000004</v>
      </c>
      <c r="C1275" s="52"/>
      <c r="D1275" s="52"/>
      <c r="E1275" s="52"/>
      <c r="F1275" s="52"/>
      <c r="G1275" s="52"/>
      <c r="H1275" s="52"/>
    </row>
    <row r="1276" spans="1:8" ht="15.75">
      <c r="A1276" s="50">
        <v>41262</v>
      </c>
      <c r="B1276" s="51">
        <v>4191.97</v>
      </c>
      <c r="C1276" s="52"/>
      <c r="D1276" s="52"/>
      <c r="E1276" s="52"/>
      <c r="F1276" s="52"/>
      <c r="G1276" s="52"/>
      <c r="H1276" s="52"/>
    </row>
    <row r="1277" spans="1:8" ht="15.75">
      <c r="A1277" s="50">
        <v>41263</v>
      </c>
      <c r="B1277" s="51">
        <v>4193.93</v>
      </c>
      <c r="C1277" s="52"/>
      <c r="D1277" s="52"/>
      <c r="E1277" s="52"/>
      <c r="F1277" s="52"/>
      <c r="G1277" s="52"/>
      <c r="H1277" s="52"/>
    </row>
    <row r="1278" spans="1:8" ht="15.75">
      <c r="A1278" s="50">
        <v>41264</v>
      </c>
      <c r="B1278" s="51">
        <v>4174.33</v>
      </c>
      <c r="C1278" s="52"/>
      <c r="D1278" s="52"/>
      <c r="E1278" s="52"/>
      <c r="F1278" s="52"/>
      <c r="G1278" s="52"/>
      <c r="H1278" s="52"/>
    </row>
    <row r="1279" spans="1:8" ht="15.75">
      <c r="A1279" s="50">
        <v>41270</v>
      </c>
      <c r="B1279" s="51">
        <v>4185.07</v>
      </c>
      <c r="C1279" s="52"/>
      <c r="D1279" s="52"/>
      <c r="E1279" s="52"/>
      <c r="F1279" s="52"/>
      <c r="G1279" s="52"/>
      <c r="H1279" s="52"/>
    </row>
    <row r="1280" spans="1:8" ht="15.75">
      <c r="A1280" s="50">
        <v>41271</v>
      </c>
      <c r="B1280" s="51">
        <v>4161.3</v>
      </c>
      <c r="C1280" s="52"/>
      <c r="D1280" s="52"/>
      <c r="E1280" s="52"/>
      <c r="F1280" s="52"/>
      <c r="G1280" s="52"/>
      <c r="H1280" s="52"/>
    </row>
    <row r="1281" spans="1:8" ht="15.75">
      <c r="A1281" s="50">
        <v>41276</v>
      </c>
      <c r="B1281" s="51">
        <v>4252.25</v>
      </c>
      <c r="C1281" s="52"/>
      <c r="D1281" s="52"/>
      <c r="E1281" s="52"/>
      <c r="F1281" s="52"/>
      <c r="G1281" s="52"/>
      <c r="H1281" s="52"/>
    </row>
    <row r="1282" spans="1:8" ht="15.75">
      <c r="A1282" s="50">
        <v>41277</v>
      </c>
      <c r="B1282" s="51">
        <v>4240.04</v>
      </c>
      <c r="C1282" s="52"/>
      <c r="D1282" s="52"/>
      <c r="E1282" s="52"/>
      <c r="F1282" s="52"/>
      <c r="G1282" s="52"/>
      <c r="H1282" s="52"/>
    </row>
    <row r="1283" spans="1:8" ht="15.75">
      <c r="A1283" s="50">
        <v>41278</v>
      </c>
      <c r="B1283" s="51">
        <v>4250.93</v>
      </c>
      <c r="C1283" s="52"/>
      <c r="D1283" s="52"/>
      <c r="E1283" s="52"/>
      <c r="F1283" s="52"/>
      <c r="G1283" s="52"/>
      <c r="H1283" s="52"/>
    </row>
    <row r="1284" spans="1:8" ht="15.75">
      <c r="A1284" s="50">
        <v>41281</v>
      </c>
      <c r="B1284" s="51">
        <v>4227.04</v>
      </c>
      <c r="C1284" s="52"/>
      <c r="D1284" s="52"/>
      <c r="E1284" s="52"/>
      <c r="F1284" s="52"/>
      <c r="G1284" s="52"/>
      <c r="H1284" s="52"/>
    </row>
    <row r="1285" spans="1:8" ht="15.75">
      <c r="A1285" s="50">
        <v>41282</v>
      </c>
      <c r="B1285" s="51">
        <v>4206.91</v>
      </c>
      <c r="C1285" s="52"/>
      <c r="D1285" s="52"/>
      <c r="E1285" s="52"/>
      <c r="F1285" s="52"/>
      <c r="G1285" s="52"/>
      <c r="H1285" s="52"/>
    </row>
    <row r="1286" spans="1:8" ht="15.75">
      <c r="A1286" s="50">
        <v>41283</v>
      </c>
      <c r="B1286" s="51">
        <v>4220.38</v>
      </c>
      <c r="C1286" s="52"/>
      <c r="D1286" s="52"/>
      <c r="E1286" s="52"/>
      <c r="F1286" s="52"/>
      <c r="G1286" s="52"/>
      <c r="H1286" s="52"/>
    </row>
    <row r="1287" spans="1:8" ht="15.75">
      <c r="A1287" s="50">
        <v>41284</v>
      </c>
      <c r="B1287" s="51">
        <v>4213.82</v>
      </c>
      <c r="C1287" s="52"/>
      <c r="D1287" s="52"/>
      <c r="E1287" s="52"/>
      <c r="F1287" s="52"/>
      <c r="G1287" s="52"/>
      <c r="H1287" s="52"/>
    </row>
    <row r="1288" spans="1:8" ht="15.75">
      <c r="A1288" s="50">
        <v>41285</v>
      </c>
      <c r="B1288" s="51">
        <v>4217.68</v>
      </c>
      <c r="C1288" s="52"/>
      <c r="D1288" s="52"/>
      <c r="E1288" s="52"/>
      <c r="F1288" s="52"/>
      <c r="G1288" s="52"/>
      <c r="H1288" s="52"/>
    </row>
    <row r="1289" spans="1:8" ht="15.75">
      <c r="A1289" s="50">
        <v>41288</v>
      </c>
      <c r="B1289" s="51">
        <v>4225.33</v>
      </c>
      <c r="C1289" s="52"/>
      <c r="D1289" s="52"/>
      <c r="E1289" s="52"/>
      <c r="F1289" s="52"/>
      <c r="G1289" s="52"/>
      <c r="H1289" s="52"/>
    </row>
    <row r="1290" spans="1:8" ht="15.75">
      <c r="A1290" s="50">
        <v>41289</v>
      </c>
      <c r="B1290" s="51">
        <v>4196.0200000000004</v>
      </c>
      <c r="C1290" s="52"/>
      <c r="D1290" s="52"/>
      <c r="E1290" s="52"/>
      <c r="F1290" s="52"/>
      <c r="G1290" s="52"/>
      <c r="H1290" s="52"/>
    </row>
    <row r="1291" spans="1:8" ht="15.75">
      <c r="A1291" s="50">
        <v>41290</v>
      </c>
      <c r="B1291" s="51">
        <v>4204.34</v>
      </c>
      <c r="C1291" s="52"/>
      <c r="D1291" s="52"/>
      <c r="E1291" s="52"/>
      <c r="F1291" s="52"/>
      <c r="G1291" s="52"/>
      <c r="H1291" s="52"/>
    </row>
    <row r="1292" spans="1:8" ht="15.75">
      <c r="A1292" s="50">
        <v>41291</v>
      </c>
      <c r="B1292" s="51">
        <v>4228.58</v>
      </c>
      <c r="C1292" s="52"/>
      <c r="D1292" s="52"/>
      <c r="E1292" s="52"/>
      <c r="F1292" s="52"/>
      <c r="G1292" s="52"/>
      <c r="H1292" s="52"/>
    </row>
    <row r="1293" spans="1:8" ht="15.75">
      <c r="A1293" s="50">
        <v>41292</v>
      </c>
      <c r="B1293" s="51">
        <v>4210.41</v>
      </c>
      <c r="C1293" s="52"/>
      <c r="D1293" s="52"/>
      <c r="E1293" s="52"/>
      <c r="F1293" s="52"/>
      <c r="G1293" s="52"/>
      <c r="H1293" s="52"/>
    </row>
    <row r="1294" spans="1:8" ht="15.75">
      <c r="A1294" s="50">
        <v>41295</v>
      </c>
      <c r="B1294" s="51">
        <v>4235.8999999999996</v>
      </c>
      <c r="C1294" s="52"/>
      <c r="D1294" s="52"/>
      <c r="E1294" s="52"/>
      <c r="F1294" s="52"/>
      <c r="G1294" s="52"/>
      <c r="H1294" s="52"/>
    </row>
    <row r="1295" spans="1:8" ht="15.75">
      <c r="A1295" s="50">
        <v>41296</v>
      </c>
      <c r="B1295" s="51">
        <v>4207.12</v>
      </c>
      <c r="C1295" s="52"/>
      <c r="D1295" s="52"/>
      <c r="E1295" s="52"/>
      <c r="F1295" s="52"/>
      <c r="G1295" s="52"/>
      <c r="H1295" s="52"/>
    </row>
    <row r="1296" spans="1:8" ht="15.75">
      <c r="A1296" s="50">
        <v>41297</v>
      </c>
      <c r="B1296" s="51">
        <v>4213.3100000000004</v>
      </c>
      <c r="C1296" s="52"/>
      <c r="D1296" s="52"/>
      <c r="E1296" s="52"/>
      <c r="F1296" s="52"/>
      <c r="G1296" s="52"/>
      <c r="H1296" s="52"/>
    </row>
    <row r="1297" spans="1:8" ht="15.75">
      <c r="A1297" s="50">
        <v>41298</v>
      </c>
      <c r="B1297" s="51">
        <v>4220.42</v>
      </c>
      <c r="C1297" s="52"/>
      <c r="D1297" s="52"/>
      <c r="E1297" s="52"/>
      <c r="F1297" s="52"/>
      <c r="G1297" s="52"/>
      <c r="H1297" s="52"/>
    </row>
    <row r="1298" spans="1:8" ht="15.75">
      <c r="A1298" s="50">
        <v>41299</v>
      </c>
      <c r="B1298" s="51">
        <v>4280.3599999999997</v>
      </c>
      <c r="C1298" s="52"/>
      <c r="D1298" s="52"/>
      <c r="E1298" s="52"/>
      <c r="F1298" s="52"/>
      <c r="G1298" s="52"/>
      <c r="H1298" s="52"/>
    </row>
    <row r="1299" spans="1:8" ht="15.75">
      <c r="A1299" s="50">
        <v>41302</v>
      </c>
      <c r="B1299" s="51">
        <v>4266.8100000000004</v>
      </c>
      <c r="C1299" s="52"/>
      <c r="D1299" s="52"/>
      <c r="E1299" s="52"/>
      <c r="F1299" s="52"/>
      <c r="G1299" s="52"/>
      <c r="H1299" s="52"/>
    </row>
    <row r="1300" spans="1:8" ht="15.75">
      <c r="A1300" s="50">
        <v>41303</v>
      </c>
      <c r="B1300" s="51">
        <v>4275.26</v>
      </c>
      <c r="C1300" s="52"/>
      <c r="D1300" s="52"/>
      <c r="E1300" s="52"/>
      <c r="F1300" s="52"/>
      <c r="G1300" s="52"/>
      <c r="H1300" s="52"/>
    </row>
    <row r="1301" spans="1:8" ht="15.75">
      <c r="A1301" s="50">
        <v>41304</v>
      </c>
      <c r="B1301" s="51">
        <v>4254.9399999999996</v>
      </c>
      <c r="C1301" s="52"/>
      <c r="D1301" s="52"/>
      <c r="E1301" s="52"/>
      <c r="F1301" s="52"/>
      <c r="G1301" s="52"/>
      <c r="H1301" s="52"/>
    </row>
    <row r="1302" spans="1:8" ht="15.75">
      <c r="A1302" s="50">
        <v>41305</v>
      </c>
      <c r="B1302" s="51">
        <v>4235.76</v>
      </c>
      <c r="C1302" s="52"/>
      <c r="D1302" s="52"/>
      <c r="E1302" s="52"/>
      <c r="F1302" s="52"/>
      <c r="G1302" s="52"/>
      <c r="H1302" s="52"/>
    </row>
    <row r="1303" spans="1:8" ht="15.75">
      <c r="A1303" s="50">
        <v>41306</v>
      </c>
      <c r="B1303" s="51">
        <v>4267.28</v>
      </c>
      <c r="C1303" s="52"/>
      <c r="D1303" s="52"/>
      <c r="E1303" s="52"/>
      <c r="F1303" s="52"/>
      <c r="G1303" s="52"/>
      <c r="H1303" s="52"/>
    </row>
    <row r="1304" spans="1:8" ht="15.75">
      <c r="A1304" s="50">
        <v>41309</v>
      </c>
      <c r="B1304" s="51">
        <v>4161.05</v>
      </c>
      <c r="C1304" s="52"/>
      <c r="D1304" s="52"/>
      <c r="E1304" s="52"/>
      <c r="F1304" s="52"/>
      <c r="G1304" s="52"/>
      <c r="H1304" s="52"/>
    </row>
    <row r="1305" spans="1:8" ht="15.75">
      <c r="A1305" s="50">
        <v>41310</v>
      </c>
      <c r="B1305" s="51">
        <v>4175.4399999999996</v>
      </c>
      <c r="C1305" s="52"/>
      <c r="D1305" s="52"/>
      <c r="E1305" s="52"/>
      <c r="F1305" s="52"/>
      <c r="G1305" s="52"/>
      <c r="H1305" s="52"/>
    </row>
    <row r="1306" spans="1:8" ht="15.75">
      <c r="A1306" s="50">
        <v>41311</v>
      </c>
      <c r="B1306" s="51">
        <v>4129.95</v>
      </c>
      <c r="C1306" s="52"/>
      <c r="D1306" s="52"/>
      <c r="E1306" s="52"/>
      <c r="F1306" s="52"/>
      <c r="G1306" s="52"/>
      <c r="H1306" s="52"/>
    </row>
    <row r="1307" spans="1:8" ht="15.75">
      <c r="A1307" s="50">
        <v>41312</v>
      </c>
      <c r="B1307" s="51">
        <v>4135.24</v>
      </c>
      <c r="C1307" s="52"/>
      <c r="D1307" s="52"/>
      <c r="E1307" s="52"/>
      <c r="F1307" s="52"/>
      <c r="G1307" s="52"/>
      <c r="H1307" s="52"/>
    </row>
    <row r="1308" spans="1:8" ht="15.75">
      <c r="A1308" s="50">
        <v>41313</v>
      </c>
      <c r="B1308" s="51">
        <v>4168.7700000000004</v>
      </c>
      <c r="C1308" s="52"/>
      <c r="D1308" s="52"/>
      <c r="E1308" s="52"/>
      <c r="F1308" s="52"/>
      <c r="G1308" s="52"/>
      <c r="H1308" s="52"/>
    </row>
    <row r="1309" spans="1:8" ht="15.75">
      <c r="A1309" s="50">
        <v>41316</v>
      </c>
      <c r="B1309" s="51">
        <v>4158.6499999999996</v>
      </c>
      <c r="C1309" s="52"/>
      <c r="D1309" s="52"/>
      <c r="E1309" s="52"/>
      <c r="F1309" s="52"/>
      <c r="G1309" s="52"/>
      <c r="H1309" s="52"/>
    </row>
    <row r="1310" spans="1:8" ht="15.75">
      <c r="A1310" s="50">
        <v>41317</v>
      </c>
      <c r="B1310" s="51">
        <v>4173.01</v>
      </c>
      <c r="C1310" s="52"/>
      <c r="D1310" s="52"/>
      <c r="E1310" s="52"/>
      <c r="F1310" s="52"/>
      <c r="G1310" s="52"/>
      <c r="H1310" s="52"/>
    </row>
    <row r="1311" spans="1:8" ht="15.75">
      <c r="A1311" s="50">
        <v>41318</v>
      </c>
      <c r="B1311" s="51">
        <v>4201.05</v>
      </c>
      <c r="C1311" s="52"/>
      <c r="D1311" s="52"/>
      <c r="E1311" s="52"/>
      <c r="F1311" s="52"/>
      <c r="G1311" s="52"/>
      <c r="H1311" s="52"/>
    </row>
    <row r="1312" spans="1:8" ht="15.75">
      <c r="A1312" s="50">
        <v>41319</v>
      </c>
      <c r="B1312" s="51">
        <v>4157</v>
      </c>
      <c r="C1312" s="52"/>
      <c r="D1312" s="52"/>
      <c r="E1312" s="52"/>
      <c r="F1312" s="52"/>
      <c r="G1312" s="52"/>
      <c r="H1312" s="52"/>
    </row>
    <row r="1313" spans="1:8" ht="15.75">
      <c r="A1313" s="50">
        <v>41320</v>
      </c>
      <c r="B1313" s="51">
        <v>4136.4799999999996</v>
      </c>
      <c r="C1313" s="52"/>
      <c r="D1313" s="52"/>
      <c r="E1313" s="52"/>
      <c r="F1313" s="52"/>
      <c r="G1313" s="52"/>
      <c r="H1313" s="52"/>
    </row>
    <row r="1314" spans="1:8" ht="15.75">
      <c r="A1314" s="50">
        <v>41323</v>
      </c>
      <c r="B1314" s="51">
        <v>4155.72</v>
      </c>
      <c r="C1314" s="52"/>
      <c r="D1314" s="52"/>
      <c r="E1314" s="52"/>
      <c r="F1314" s="52"/>
      <c r="G1314" s="52"/>
      <c r="H1314" s="52"/>
    </row>
    <row r="1315" spans="1:8" ht="15.75">
      <c r="A1315" s="50">
        <v>41324</v>
      </c>
      <c r="B1315" s="51">
        <v>4223.2</v>
      </c>
      <c r="C1315" s="52"/>
      <c r="D1315" s="52"/>
      <c r="E1315" s="52"/>
      <c r="F1315" s="52"/>
      <c r="G1315" s="52"/>
      <c r="H1315" s="52"/>
    </row>
    <row r="1316" spans="1:8" ht="15.75">
      <c r="A1316" s="50">
        <v>41325</v>
      </c>
      <c r="B1316" s="51">
        <v>4210.3999999999996</v>
      </c>
      <c r="C1316" s="52"/>
      <c r="D1316" s="52"/>
      <c r="E1316" s="52"/>
      <c r="F1316" s="52"/>
      <c r="G1316" s="52"/>
      <c r="H1316" s="52"/>
    </row>
    <row r="1317" spans="1:8" ht="15.75">
      <c r="A1317" s="50">
        <v>41326</v>
      </c>
      <c r="B1317" s="51">
        <v>4131.21</v>
      </c>
      <c r="C1317" s="52"/>
      <c r="D1317" s="52"/>
      <c r="E1317" s="52"/>
      <c r="F1317" s="52"/>
      <c r="G1317" s="52"/>
      <c r="H1317" s="52"/>
    </row>
    <row r="1318" spans="1:8" ht="15.75">
      <c r="A1318" s="50">
        <v>41327</v>
      </c>
      <c r="B1318" s="51">
        <v>4173.82</v>
      </c>
      <c r="C1318" s="52"/>
      <c r="D1318" s="52"/>
      <c r="E1318" s="52"/>
      <c r="F1318" s="52"/>
      <c r="G1318" s="52"/>
      <c r="H1318" s="52"/>
    </row>
    <row r="1319" spans="1:8" ht="15.75">
      <c r="A1319" s="50">
        <v>41330</v>
      </c>
      <c r="B1319" s="51">
        <v>4234.41</v>
      </c>
      <c r="C1319" s="52"/>
      <c r="D1319" s="52"/>
      <c r="E1319" s="52"/>
      <c r="F1319" s="52"/>
      <c r="G1319" s="52"/>
      <c r="H1319" s="52"/>
    </row>
    <row r="1320" spans="1:8" ht="15.75">
      <c r="A1320" s="50">
        <v>41331</v>
      </c>
      <c r="B1320" s="51">
        <v>4138.42</v>
      </c>
      <c r="C1320" s="52"/>
      <c r="D1320" s="52"/>
      <c r="E1320" s="52"/>
      <c r="F1320" s="52"/>
      <c r="G1320" s="52"/>
      <c r="H1320" s="52"/>
    </row>
    <row r="1321" spans="1:8" ht="15.75">
      <c r="A1321" s="50">
        <v>41332</v>
      </c>
      <c r="B1321" s="51">
        <v>4181.33</v>
      </c>
      <c r="C1321" s="52"/>
      <c r="D1321" s="52"/>
      <c r="E1321" s="52"/>
      <c r="F1321" s="52"/>
      <c r="G1321" s="52"/>
      <c r="H1321" s="52"/>
    </row>
    <row r="1322" spans="1:8" ht="15.75">
      <c r="A1322" s="50">
        <v>41333</v>
      </c>
      <c r="B1322" s="51">
        <v>4217.21</v>
      </c>
      <c r="C1322" s="52"/>
      <c r="D1322" s="52"/>
      <c r="E1322" s="52"/>
      <c r="F1322" s="52"/>
      <c r="G1322" s="52"/>
      <c r="H1322" s="52"/>
    </row>
    <row r="1323" spans="1:8" ht="15.75">
      <c r="A1323" s="50">
        <v>41334</v>
      </c>
      <c r="B1323" s="51">
        <v>4198.05</v>
      </c>
      <c r="C1323" s="52"/>
      <c r="D1323" s="52"/>
      <c r="E1323" s="52"/>
      <c r="F1323" s="52"/>
      <c r="G1323" s="52"/>
      <c r="H1323" s="52"/>
    </row>
    <row r="1324" spans="1:8" ht="15.75">
      <c r="A1324" s="50">
        <v>41337</v>
      </c>
      <c r="B1324" s="51">
        <v>4189.07</v>
      </c>
      <c r="C1324" s="52"/>
      <c r="D1324" s="52"/>
      <c r="E1324" s="52"/>
      <c r="F1324" s="52"/>
      <c r="G1324" s="52"/>
      <c r="H1324" s="52"/>
    </row>
    <row r="1325" spans="1:8" ht="15.75">
      <c r="A1325" s="50">
        <v>41338</v>
      </c>
      <c r="B1325" s="51">
        <v>4286.41</v>
      </c>
      <c r="C1325" s="52"/>
      <c r="D1325" s="52"/>
      <c r="E1325" s="52"/>
      <c r="F1325" s="52"/>
      <c r="G1325" s="52"/>
      <c r="H1325" s="52"/>
    </row>
    <row r="1326" spans="1:8" ht="15.75">
      <c r="A1326" s="50">
        <v>41339</v>
      </c>
      <c r="B1326" s="51">
        <v>4313.04</v>
      </c>
      <c r="C1326" s="52"/>
      <c r="D1326" s="52"/>
      <c r="E1326" s="52"/>
      <c r="F1326" s="52"/>
      <c r="G1326" s="52"/>
      <c r="H1326" s="52"/>
    </row>
    <row r="1327" spans="1:8" ht="15.75">
      <c r="A1327" s="50">
        <v>41340</v>
      </c>
      <c r="B1327" s="51">
        <v>4324.2</v>
      </c>
      <c r="C1327" s="52"/>
      <c r="D1327" s="52"/>
      <c r="E1327" s="52"/>
      <c r="F1327" s="52"/>
      <c r="G1327" s="52"/>
      <c r="H1327" s="52"/>
    </row>
    <row r="1328" spans="1:8" ht="15.75">
      <c r="A1328" s="50">
        <v>41341</v>
      </c>
      <c r="B1328" s="51">
        <v>4349.49</v>
      </c>
      <c r="C1328" s="52"/>
      <c r="D1328" s="52"/>
      <c r="E1328" s="52"/>
      <c r="F1328" s="52"/>
      <c r="G1328" s="52"/>
      <c r="H1328" s="52"/>
    </row>
    <row r="1329" spans="1:8" ht="15.75">
      <c r="A1329" s="50">
        <v>41344</v>
      </c>
      <c r="B1329" s="51">
        <v>4348.3100000000004</v>
      </c>
      <c r="C1329" s="52"/>
      <c r="D1329" s="52"/>
      <c r="E1329" s="52"/>
      <c r="F1329" s="52"/>
      <c r="G1329" s="52"/>
      <c r="H1329" s="52"/>
    </row>
    <row r="1330" spans="1:8" ht="15.75">
      <c r="A1330" s="50">
        <v>41345</v>
      </c>
      <c r="B1330" s="51">
        <v>4338.45</v>
      </c>
      <c r="C1330" s="52"/>
      <c r="D1330" s="52"/>
      <c r="E1330" s="52"/>
      <c r="F1330" s="52"/>
      <c r="G1330" s="52"/>
      <c r="H1330" s="52"/>
    </row>
    <row r="1331" spans="1:8" ht="15.75">
      <c r="A1331" s="50">
        <v>41346</v>
      </c>
      <c r="B1331" s="51">
        <v>4341.03</v>
      </c>
      <c r="C1331" s="52"/>
      <c r="D1331" s="52"/>
      <c r="E1331" s="52"/>
      <c r="F1331" s="52"/>
      <c r="G1331" s="52"/>
      <c r="H1331" s="52"/>
    </row>
    <row r="1332" spans="1:8" ht="15.75">
      <c r="A1332" s="50">
        <v>41347</v>
      </c>
      <c r="B1332" s="51">
        <v>4388.6899999999996</v>
      </c>
      <c r="C1332" s="52"/>
      <c r="D1332" s="52"/>
      <c r="E1332" s="52"/>
      <c r="F1332" s="52"/>
      <c r="G1332" s="52"/>
      <c r="H1332" s="52"/>
    </row>
    <row r="1333" spans="1:8" ht="15.75">
      <c r="A1333" s="50">
        <v>41348</v>
      </c>
      <c r="B1333" s="51">
        <v>4380.28</v>
      </c>
      <c r="C1333" s="52"/>
      <c r="D1333" s="52"/>
      <c r="E1333" s="52"/>
      <c r="F1333" s="52"/>
      <c r="G1333" s="52"/>
      <c r="H1333" s="52"/>
    </row>
    <row r="1334" spans="1:8" ht="15.75">
      <c r="A1334" s="50">
        <v>41351</v>
      </c>
      <c r="B1334" s="51">
        <v>4362.7700000000004</v>
      </c>
      <c r="C1334" s="52"/>
      <c r="D1334" s="52"/>
      <c r="E1334" s="52"/>
      <c r="F1334" s="52"/>
      <c r="G1334" s="52"/>
      <c r="H1334" s="52"/>
    </row>
    <row r="1335" spans="1:8" ht="15.75">
      <c r="A1335" s="50">
        <v>41352</v>
      </c>
      <c r="B1335" s="51">
        <v>4328.51</v>
      </c>
      <c r="C1335" s="52"/>
      <c r="D1335" s="52"/>
      <c r="E1335" s="52"/>
      <c r="F1335" s="52"/>
      <c r="G1335" s="52"/>
      <c r="H1335" s="52"/>
    </row>
    <row r="1336" spans="1:8" ht="15.75">
      <c r="A1336" s="50">
        <v>41353</v>
      </c>
      <c r="B1336" s="51">
        <v>4358.0200000000004</v>
      </c>
      <c r="C1336" s="52"/>
      <c r="D1336" s="52"/>
      <c r="E1336" s="52"/>
      <c r="F1336" s="52"/>
      <c r="G1336" s="52"/>
      <c r="H1336" s="52"/>
    </row>
    <row r="1337" spans="1:8" ht="15.75">
      <c r="A1337" s="50">
        <v>41354</v>
      </c>
      <c r="B1337" s="51">
        <v>4320.1899999999996</v>
      </c>
      <c r="C1337" s="52"/>
      <c r="D1337" s="52"/>
      <c r="E1337" s="52"/>
      <c r="F1337" s="52"/>
      <c r="G1337" s="52"/>
      <c r="H1337" s="52"/>
    </row>
    <row r="1338" spans="1:8" ht="15.75">
      <c r="A1338" s="50">
        <v>41355</v>
      </c>
      <c r="B1338" s="51">
        <v>4308.66</v>
      </c>
      <c r="C1338" s="52"/>
      <c r="D1338" s="52"/>
      <c r="E1338" s="52"/>
      <c r="F1338" s="52"/>
      <c r="G1338" s="52"/>
      <c r="H1338" s="52"/>
    </row>
    <row r="1339" spans="1:8" ht="15.75">
      <c r="A1339" s="50">
        <v>41358</v>
      </c>
      <c r="B1339" s="51">
        <v>4286.63</v>
      </c>
      <c r="C1339" s="52"/>
      <c r="D1339" s="52"/>
      <c r="E1339" s="52"/>
      <c r="F1339" s="52"/>
      <c r="G1339" s="52"/>
      <c r="H1339" s="52"/>
    </row>
    <row r="1340" spans="1:8" ht="15.75">
      <c r="A1340" s="50">
        <v>41359</v>
      </c>
      <c r="B1340" s="51">
        <v>4291.41</v>
      </c>
      <c r="C1340" s="52"/>
      <c r="D1340" s="52"/>
      <c r="E1340" s="52"/>
      <c r="F1340" s="52"/>
      <c r="G1340" s="52"/>
      <c r="H1340" s="52"/>
    </row>
    <row r="1341" spans="1:8" ht="15.75">
      <c r="A1341" s="50">
        <v>41360</v>
      </c>
      <c r="B1341" s="51">
        <v>4242.08</v>
      </c>
      <c r="C1341" s="52"/>
      <c r="D1341" s="52"/>
      <c r="E1341" s="52"/>
      <c r="F1341" s="52"/>
      <c r="G1341" s="52"/>
      <c r="H1341" s="52"/>
    </row>
    <row r="1342" spans="1:8" ht="15.75">
      <c r="A1342" s="50">
        <v>41361</v>
      </c>
      <c r="B1342" s="51">
        <v>4245.47</v>
      </c>
      <c r="C1342" s="52"/>
      <c r="D1342" s="52"/>
      <c r="E1342" s="52"/>
      <c r="F1342" s="52"/>
      <c r="G1342" s="52"/>
      <c r="H1342" s="52"/>
    </row>
    <row r="1343" spans="1:8" ht="15.75">
      <c r="A1343" s="50">
        <v>41366</v>
      </c>
      <c r="B1343" s="51">
        <v>4326.38</v>
      </c>
      <c r="C1343" s="52"/>
      <c r="D1343" s="52"/>
      <c r="E1343" s="52"/>
      <c r="F1343" s="52"/>
      <c r="G1343" s="52"/>
      <c r="H1343" s="52"/>
    </row>
    <row r="1344" spans="1:8" ht="15.75">
      <c r="A1344" s="50">
        <v>41367</v>
      </c>
      <c r="B1344" s="51">
        <v>4288.7299999999996</v>
      </c>
      <c r="C1344" s="52"/>
      <c r="D1344" s="52"/>
      <c r="E1344" s="52"/>
      <c r="F1344" s="52"/>
      <c r="G1344" s="52"/>
      <c r="H1344" s="52"/>
    </row>
    <row r="1345" spans="1:8" ht="15.75">
      <c r="A1345" s="50">
        <v>41368</v>
      </c>
      <c r="B1345" s="51">
        <v>4257.49</v>
      </c>
      <c r="C1345" s="52"/>
      <c r="D1345" s="52"/>
      <c r="E1345" s="52"/>
      <c r="F1345" s="52"/>
      <c r="G1345" s="52"/>
      <c r="H1345" s="52"/>
    </row>
    <row r="1346" spans="1:8" ht="15.75">
      <c r="A1346" s="50">
        <v>41369</v>
      </c>
      <c r="B1346" s="51">
        <v>4171.09</v>
      </c>
      <c r="C1346" s="52"/>
      <c r="D1346" s="52"/>
      <c r="E1346" s="52"/>
      <c r="F1346" s="52"/>
      <c r="G1346" s="52"/>
      <c r="H1346" s="52"/>
    </row>
    <row r="1347" spans="1:8" ht="15.75">
      <c r="A1347" s="50">
        <v>41372</v>
      </c>
      <c r="B1347" s="51">
        <v>4173.21</v>
      </c>
      <c r="C1347" s="52"/>
      <c r="D1347" s="52"/>
      <c r="E1347" s="52"/>
      <c r="F1347" s="52"/>
      <c r="G1347" s="52"/>
      <c r="H1347" s="52"/>
    </row>
    <row r="1348" spans="1:8" ht="15.75">
      <c r="A1348" s="50">
        <v>41373</v>
      </c>
      <c r="B1348" s="51">
        <v>4159.53</v>
      </c>
      <c r="C1348" s="52"/>
      <c r="D1348" s="52"/>
      <c r="E1348" s="52"/>
      <c r="F1348" s="52"/>
      <c r="G1348" s="52"/>
      <c r="H1348" s="52"/>
    </row>
    <row r="1349" spans="1:8" ht="15.75">
      <c r="A1349" s="50">
        <v>41374</v>
      </c>
      <c r="B1349" s="51">
        <v>4253.8100000000004</v>
      </c>
      <c r="C1349" s="52"/>
      <c r="D1349" s="52"/>
      <c r="E1349" s="52"/>
      <c r="F1349" s="52"/>
      <c r="G1349" s="52"/>
      <c r="H1349" s="52"/>
    </row>
    <row r="1350" spans="1:8" ht="15.75">
      <c r="A1350" s="50">
        <v>41375</v>
      </c>
      <c r="B1350" s="51">
        <v>4273.12</v>
      </c>
      <c r="C1350" s="52"/>
      <c r="D1350" s="52"/>
      <c r="E1350" s="52"/>
      <c r="F1350" s="52"/>
      <c r="G1350" s="52"/>
      <c r="H1350" s="52"/>
    </row>
    <row r="1351" spans="1:8" ht="15.75">
      <c r="A1351" s="50">
        <v>41376</v>
      </c>
      <c r="B1351" s="51">
        <v>4204.42</v>
      </c>
      <c r="C1351" s="52"/>
      <c r="D1351" s="52"/>
      <c r="E1351" s="52"/>
      <c r="F1351" s="52"/>
      <c r="G1351" s="52"/>
      <c r="H1351" s="52"/>
    </row>
    <row r="1352" spans="1:8" ht="15.75">
      <c r="A1352" s="50">
        <v>41379</v>
      </c>
      <c r="B1352" s="51">
        <v>4187.1400000000003</v>
      </c>
      <c r="C1352" s="52"/>
      <c r="D1352" s="52"/>
      <c r="E1352" s="52"/>
      <c r="F1352" s="52"/>
      <c r="G1352" s="52"/>
      <c r="H1352" s="52"/>
    </row>
    <row r="1353" spans="1:8" ht="15.75">
      <c r="A1353" s="50">
        <v>41380</v>
      </c>
      <c r="B1353" s="51">
        <v>4169.7299999999996</v>
      </c>
      <c r="C1353" s="52"/>
      <c r="D1353" s="52"/>
      <c r="E1353" s="52"/>
      <c r="F1353" s="52"/>
      <c r="G1353" s="52"/>
      <c r="H1353" s="52"/>
    </row>
    <row r="1354" spans="1:8" ht="15.75">
      <c r="A1354" s="50">
        <v>41381</v>
      </c>
      <c r="B1354" s="51">
        <v>4072.22</v>
      </c>
      <c r="C1354" s="52"/>
      <c r="D1354" s="52"/>
      <c r="E1354" s="52"/>
      <c r="F1354" s="52"/>
      <c r="G1354" s="52"/>
      <c r="H1354" s="52"/>
    </row>
    <row r="1355" spans="1:8" ht="15.75">
      <c r="A1355" s="50">
        <v>41382</v>
      </c>
      <c r="B1355" s="51">
        <v>4056.3</v>
      </c>
      <c r="C1355" s="52"/>
      <c r="D1355" s="52"/>
      <c r="E1355" s="52"/>
      <c r="F1355" s="52"/>
      <c r="G1355" s="52"/>
      <c r="H1355" s="52"/>
    </row>
    <row r="1356" spans="1:8" ht="15.75">
      <c r="A1356" s="50">
        <v>41383</v>
      </c>
      <c r="B1356" s="51">
        <v>4042.23</v>
      </c>
      <c r="C1356" s="52"/>
      <c r="D1356" s="52"/>
      <c r="E1356" s="52"/>
      <c r="F1356" s="52"/>
      <c r="G1356" s="52"/>
      <c r="H1356" s="52"/>
    </row>
    <row r="1357" spans="1:8" ht="15.75">
      <c r="A1357" s="50">
        <v>41386</v>
      </c>
      <c r="B1357" s="51">
        <v>4051.84</v>
      </c>
      <c r="C1357" s="52"/>
      <c r="D1357" s="52"/>
      <c r="E1357" s="52"/>
      <c r="F1357" s="52"/>
      <c r="G1357" s="52"/>
      <c r="H1357" s="52"/>
    </row>
    <row r="1358" spans="1:8" ht="15.75">
      <c r="A1358" s="50">
        <v>41387</v>
      </c>
      <c r="B1358" s="51">
        <v>4149.41</v>
      </c>
      <c r="C1358" s="52"/>
      <c r="D1358" s="52"/>
      <c r="E1358" s="52"/>
      <c r="F1358" s="52"/>
      <c r="G1358" s="52"/>
      <c r="H1358" s="52"/>
    </row>
    <row r="1359" spans="1:8" ht="15.75">
      <c r="A1359" s="50">
        <v>41388</v>
      </c>
      <c r="B1359" s="51">
        <v>4204.33</v>
      </c>
      <c r="C1359" s="52"/>
      <c r="D1359" s="52"/>
      <c r="E1359" s="52"/>
      <c r="F1359" s="52"/>
      <c r="G1359" s="52"/>
      <c r="H1359" s="52"/>
    </row>
    <row r="1360" spans="1:8" ht="15.75">
      <c r="A1360" s="50">
        <v>41389</v>
      </c>
      <c r="B1360" s="51">
        <v>4244.2299999999996</v>
      </c>
      <c r="C1360" s="52"/>
      <c r="D1360" s="52"/>
      <c r="E1360" s="52"/>
      <c r="F1360" s="52"/>
      <c r="G1360" s="52"/>
      <c r="H1360" s="52"/>
    </row>
    <row r="1361" spans="1:8" ht="15.75">
      <c r="A1361" s="50">
        <v>41390</v>
      </c>
      <c r="B1361" s="51">
        <v>4224.2700000000004</v>
      </c>
      <c r="C1361" s="52"/>
      <c r="D1361" s="52"/>
      <c r="E1361" s="52"/>
      <c r="F1361" s="52"/>
      <c r="G1361" s="52"/>
      <c r="H1361" s="52"/>
    </row>
    <row r="1362" spans="1:8" ht="15.75">
      <c r="A1362" s="50">
        <v>41393</v>
      </c>
      <c r="B1362" s="51">
        <v>4230.17</v>
      </c>
      <c r="C1362" s="52"/>
      <c r="D1362" s="52"/>
      <c r="E1362" s="52"/>
      <c r="F1362" s="52"/>
      <c r="G1362" s="52"/>
      <c r="H1362" s="52"/>
    </row>
    <row r="1363" spans="1:8" ht="15.75">
      <c r="A1363" s="50">
        <v>41394</v>
      </c>
      <c r="B1363" s="51">
        <v>4251.8599999999997</v>
      </c>
      <c r="C1363" s="52"/>
      <c r="D1363" s="52"/>
      <c r="E1363" s="52"/>
      <c r="F1363" s="52"/>
      <c r="G1363" s="52"/>
      <c r="H1363" s="52"/>
    </row>
    <row r="1364" spans="1:8" ht="15.75">
      <c r="A1364" s="50">
        <v>41396</v>
      </c>
      <c r="B1364" s="51">
        <v>4277.74</v>
      </c>
      <c r="C1364" s="52"/>
      <c r="D1364" s="52"/>
      <c r="E1364" s="52"/>
      <c r="F1364" s="52"/>
      <c r="G1364" s="52"/>
      <c r="H1364" s="52"/>
    </row>
    <row r="1365" spans="1:8" ht="15.75">
      <c r="A1365" s="50">
        <v>41397</v>
      </c>
      <c r="B1365" s="51">
        <v>4363.95</v>
      </c>
      <c r="C1365" s="52"/>
      <c r="D1365" s="52"/>
      <c r="E1365" s="52"/>
      <c r="F1365" s="52"/>
      <c r="G1365" s="52"/>
      <c r="H1365" s="52"/>
    </row>
    <row r="1366" spans="1:8" ht="15.75">
      <c r="A1366" s="50">
        <v>41400</v>
      </c>
      <c r="B1366" s="51">
        <v>4345.6099999999997</v>
      </c>
      <c r="C1366" s="52"/>
      <c r="D1366" s="52"/>
      <c r="E1366" s="52"/>
      <c r="F1366" s="52"/>
      <c r="G1366" s="52"/>
      <c r="H1366" s="52"/>
    </row>
    <row r="1367" spans="1:8" ht="15.75">
      <c r="A1367" s="50">
        <v>41401</v>
      </c>
      <c r="B1367" s="51">
        <v>4383.2</v>
      </c>
      <c r="C1367" s="52"/>
      <c r="D1367" s="52"/>
      <c r="E1367" s="52"/>
      <c r="F1367" s="52"/>
      <c r="G1367" s="52"/>
      <c r="H1367" s="52"/>
    </row>
    <row r="1368" spans="1:8" ht="15.75">
      <c r="A1368" s="50">
        <v>41402</v>
      </c>
      <c r="B1368" s="51">
        <v>4406.7</v>
      </c>
      <c r="C1368" s="52"/>
      <c r="D1368" s="52"/>
      <c r="E1368" s="52"/>
      <c r="F1368" s="52"/>
      <c r="G1368" s="52"/>
      <c r="H1368" s="52"/>
    </row>
    <row r="1369" spans="1:8" ht="15.75">
      <c r="A1369" s="50">
        <v>41403</v>
      </c>
      <c r="B1369" s="51">
        <v>4411.3599999999997</v>
      </c>
      <c r="C1369" s="52"/>
      <c r="D1369" s="52"/>
      <c r="E1369" s="52"/>
      <c r="F1369" s="52"/>
      <c r="G1369" s="52"/>
      <c r="H1369" s="52"/>
    </row>
    <row r="1370" spans="1:8" ht="15.75">
      <c r="A1370" s="50">
        <v>41404</v>
      </c>
      <c r="B1370" s="51">
        <v>4420.17</v>
      </c>
      <c r="C1370" s="52"/>
      <c r="D1370" s="52"/>
      <c r="E1370" s="52"/>
      <c r="F1370" s="52"/>
      <c r="G1370" s="52"/>
      <c r="H1370" s="52"/>
    </row>
    <row r="1371" spans="1:8" ht="15.75">
      <c r="A1371" s="50">
        <v>41407</v>
      </c>
      <c r="B1371" s="51">
        <v>4420.3900000000003</v>
      </c>
      <c r="C1371" s="52"/>
      <c r="D1371" s="52"/>
      <c r="E1371" s="52"/>
      <c r="F1371" s="52"/>
      <c r="G1371" s="52"/>
      <c r="H1371" s="52"/>
    </row>
    <row r="1372" spans="1:8" ht="15.75">
      <c r="A1372" s="50">
        <v>41408</v>
      </c>
      <c r="B1372" s="51">
        <v>4452.2</v>
      </c>
      <c r="C1372" s="52"/>
      <c r="D1372" s="52"/>
      <c r="E1372" s="52"/>
      <c r="F1372" s="52"/>
      <c r="G1372" s="52"/>
      <c r="H1372" s="52"/>
    </row>
    <row r="1373" spans="1:8" ht="15.75">
      <c r="A1373" s="50">
        <v>41409</v>
      </c>
      <c r="B1373" s="51">
        <v>4458.1899999999996</v>
      </c>
      <c r="C1373" s="52"/>
      <c r="D1373" s="52"/>
      <c r="E1373" s="52"/>
      <c r="F1373" s="52"/>
      <c r="G1373" s="52"/>
      <c r="H1373" s="52"/>
    </row>
    <row r="1374" spans="1:8" ht="15.75">
      <c r="A1374" s="50">
        <v>41410</v>
      </c>
      <c r="B1374" s="51">
        <v>4458.16</v>
      </c>
      <c r="C1374" s="52"/>
      <c r="D1374" s="52"/>
      <c r="E1374" s="52"/>
      <c r="F1374" s="52"/>
      <c r="G1374" s="52"/>
      <c r="H1374" s="52"/>
    </row>
    <row r="1375" spans="1:8" ht="15.75">
      <c r="A1375" s="50">
        <v>41411</v>
      </c>
      <c r="B1375" s="51">
        <v>4458.96</v>
      </c>
      <c r="C1375" s="52"/>
      <c r="D1375" s="52"/>
      <c r="E1375" s="52"/>
      <c r="F1375" s="52"/>
      <c r="G1375" s="52"/>
      <c r="H1375" s="52"/>
    </row>
    <row r="1376" spans="1:8" ht="15.75">
      <c r="A1376" s="50">
        <v>41414</v>
      </c>
      <c r="B1376" s="51">
        <v>4488.4799999999996</v>
      </c>
      <c r="C1376" s="52"/>
      <c r="D1376" s="52"/>
      <c r="E1376" s="52"/>
      <c r="F1376" s="52"/>
      <c r="G1376" s="52"/>
      <c r="H1376" s="52"/>
    </row>
    <row r="1377" spans="1:8" ht="15.75">
      <c r="A1377" s="50">
        <v>41415</v>
      </c>
      <c r="B1377" s="51">
        <v>4496.8999999999996</v>
      </c>
      <c r="C1377" s="52"/>
      <c r="D1377" s="52"/>
      <c r="E1377" s="52"/>
      <c r="F1377" s="52"/>
      <c r="G1377" s="52"/>
      <c r="H1377" s="52"/>
    </row>
    <row r="1378" spans="1:8" ht="15.75">
      <c r="A1378" s="50">
        <v>41416</v>
      </c>
      <c r="B1378" s="51">
        <v>4528.29</v>
      </c>
      <c r="C1378" s="52"/>
      <c r="D1378" s="52"/>
      <c r="E1378" s="52"/>
      <c r="F1378" s="52"/>
      <c r="G1378" s="52"/>
      <c r="H1378" s="52"/>
    </row>
    <row r="1379" spans="1:8" ht="15.75">
      <c r="A1379" s="50">
        <v>41417</v>
      </c>
      <c r="B1379" s="51">
        <v>4433.37</v>
      </c>
      <c r="C1379" s="52"/>
      <c r="D1379" s="52"/>
      <c r="E1379" s="52"/>
      <c r="F1379" s="52"/>
      <c r="G1379" s="52"/>
      <c r="H1379" s="52"/>
    </row>
    <row r="1380" spans="1:8" ht="15.75">
      <c r="A1380" s="50">
        <v>41418</v>
      </c>
      <c r="B1380" s="51">
        <v>4403.84</v>
      </c>
      <c r="C1380" s="52"/>
      <c r="D1380" s="52"/>
      <c r="E1380" s="52"/>
      <c r="F1380" s="52"/>
      <c r="G1380" s="52"/>
      <c r="H1380" s="52"/>
    </row>
    <row r="1381" spans="1:8" ht="15.75">
      <c r="A1381" s="50">
        <v>41421</v>
      </c>
      <c r="B1381" s="51">
        <v>4445.1400000000003</v>
      </c>
      <c r="C1381" s="52"/>
      <c r="D1381" s="52"/>
      <c r="E1381" s="52"/>
      <c r="F1381" s="52"/>
      <c r="G1381" s="52"/>
      <c r="H1381" s="52"/>
    </row>
    <row r="1382" spans="1:8" ht="15.75">
      <c r="A1382" s="50">
        <v>41422</v>
      </c>
      <c r="B1382" s="51">
        <v>4496.82</v>
      </c>
      <c r="C1382" s="52"/>
      <c r="D1382" s="52"/>
      <c r="E1382" s="52"/>
      <c r="F1382" s="52"/>
      <c r="G1382" s="52"/>
      <c r="H1382" s="52"/>
    </row>
    <row r="1383" spans="1:8" ht="15.75">
      <c r="A1383" s="50">
        <v>41423</v>
      </c>
      <c r="B1383" s="51">
        <v>4420.4799999999996</v>
      </c>
      <c r="C1383" s="52"/>
      <c r="D1383" s="52"/>
      <c r="E1383" s="52"/>
      <c r="F1383" s="52"/>
      <c r="G1383" s="52"/>
      <c r="H1383" s="52"/>
    </row>
    <row r="1384" spans="1:8" ht="15.75">
      <c r="A1384" s="50">
        <v>41424</v>
      </c>
      <c r="B1384" s="51">
        <v>4446.88</v>
      </c>
      <c r="C1384" s="52"/>
      <c r="D1384" s="52"/>
      <c r="E1384" s="52"/>
      <c r="F1384" s="52"/>
      <c r="G1384" s="52"/>
      <c r="H1384" s="52"/>
    </row>
    <row r="1385" spans="1:8" ht="15.75">
      <c r="A1385" s="50">
        <v>41425</v>
      </c>
      <c r="B1385" s="51">
        <v>4419.5200000000004</v>
      </c>
      <c r="C1385" s="52"/>
      <c r="D1385" s="52"/>
      <c r="E1385" s="52"/>
      <c r="F1385" s="52"/>
      <c r="G1385" s="52"/>
      <c r="H1385" s="52"/>
    </row>
    <row r="1386" spans="1:8" ht="15.75">
      <c r="A1386" s="50">
        <v>41428</v>
      </c>
      <c r="B1386" s="51">
        <v>4386.41</v>
      </c>
      <c r="C1386" s="52"/>
      <c r="D1386" s="52"/>
      <c r="E1386" s="52"/>
      <c r="F1386" s="52"/>
      <c r="G1386" s="52"/>
      <c r="H1386" s="52"/>
    </row>
    <row r="1387" spans="1:8" ht="15.75">
      <c r="A1387" s="50">
        <v>41429</v>
      </c>
      <c r="B1387" s="51">
        <v>4391.9799999999996</v>
      </c>
      <c r="C1387" s="52"/>
      <c r="D1387" s="52"/>
      <c r="E1387" s="52"/>
      <c r="F1387" s="52"/>
      <c r="G1387" s="52"/>
      <c r="H1387" s="52"/>
    </row>
    <row r="1388" spans="1:8" ht="15.75">
      <c r="A1388" s="50">
        <v>41430</v>
      </c>
      <c r="B1388" s="51">
        <v>4334.41</v>
      </c>
      <c r="C1388" s="52"/>
      <c r="D1388" s="52"/>
      <c r="E1388" s="52"/>
      <c r="F1388" s="52"/>
      <c r="G1388" s="52"/>
      <c r="H1388" s="52"/>
    </row>
    <row r="1389" spans="1:8" ht="15.75">
      <c r="A1389" s="50">
        <v>41431</v>
      </c>
      <c r="B1389" s="51">
        <v>4282.87</v>
      </c>
      <c r="C1389" s="52"/>
      <c r="D1389" s="52"/>
      <c r="E1389" s="52"/>
      <c r="F1389" s="52"/>
      <c r="G1389" s="52"/>
      <c r="H1389" s="52"/>
    </row>
    <row r="1390" spans="1:8" ht="15.75">
      <c r="A1390" s="50">
        <v>41432</v>
      </c>
      <c r="B1390" s="51">
        <v>4365.03</v>
      </c>
      <c r="C1390" s="52"/>
      <c r="D1390" s="52"/>
      <c r="E1390" s="52"/>
      <c r="F1390" s="52"/>
      <c r="G1390" s="52"/>
      <c r="H1390" s="52"/>
    </row>
    <row r="1391" spans="1:8" ht="15.75">
      <c r="A1391" s="50">
        <v>41435</v>
      </c>
      <c r="B1391" s="51">
        <v>4393.1899999999996</v>
      </c>
      <c r="C1391" s="52"/>
      <c r="D1391" s="52"/>
      <c r="E1391" s="52"/>
      <c r="F1391" s="52"/>
      <c r="G1391" s="52"/>
      <c r="H1391" s="52"/>
    </row>
    <row r="1392" spans="1:8" ht="15.75">
      <c r="A1392" s="50">
        <v>41436</v>
      </c>
      <c r="B1392" s="51">
        <v>4348.2</v>
      </c>
      <c r="C1392" s="52"/>
      <c r="D1392" s="52"/>
      <c r="E1392" s="52"/>
      <c r="F1392" s="52"/>
      <c r="G1392" s="52"/>
      <c r="H1392" s="52"/>
    </row>
    <row r="1393" spans="1:8" ht="15.75">
      <c r="A1393" s="50">
        <v>41437</v>
      </c>
      <c r="B1393" s="51">
        <v>4306.18</v>
      </c>
      <c r="C1393" s="52"/>
      <c r="D1393" s="52"/>
      <c r="E1393" s="52"/>
      <c r="F1393" s="52"/>
      <c r="G1393" s="52"/>
      <c r="H1393" s="52"/>
    </row>
    <row r="1394" spans="1:8" ht="15.75">
      <c r="A1394" s="50">
        <v>41438</v>
      </c>
      <c r="B1394" s="51">
        <v>4280.63</v>
      </c>
      <c r="C1394" s="52"/>
      <c r="D1394" s="52"/>
      <c r="E1394" s="52"/>
      <c r="F1394" s="52"/>
      <c r="G1394" s="52"/>
      <c r="H1394" s="52"/>
    </row>
    <row r="1395" spans="1:8" ht="15.75">
      <c r="A1395" s="50">
        <v>41439</v>
      </c>
      <c r="B1395" s="51">
        <v>4297.87</v>
      </c>
      <c r="C1395" s="52"/>
      <c r="D1395" s="52"/>
      <c r="E1395" s="52"/>
      <c r="F1395" s="52"/>
      <c r="G1395" s="52"/>
      <c r="H1395" s="52"/>
    </row>
    <row r="1396" spans="1:8" ht="15.75">
      <c r="A1396" s="50">
        <v>41442</v>
      </c>
      <c r="B1396" s="51">
        <v>4344.22</v>
      </c>
      <c r="C1396" s="52"/>
      <c r="D1396" s="52"/>
      <c r="E1396" s="52"/>
      <c r="F1396" s="52"/>
      <c r="G1396" s="52"/>
      <c r="H1396" s="52"/>
    </row>
    <row r="1397" spans="1:8" ht="15.75">
      <c r="A1397" s="50">
        <v>41443</v>
      </c>
      <c r="B1397" s="51">
        <v>4351.57</v>
      </c>
      <c r="C1397" s="52"/>
      <c r="D1397" s="52"/>
      <c r="E1397" s="52"/>
      <c r="F1397" s="52"/>
      <c r="G1397" s="52"/>
      <c r="H1397" s="52"/>
    </row>
    <row r="1398" spans="1:8" ht="15.75">
      <c r="A1398" s="50">
        <v>41444</v>
      </c>
      <c r="B1398" s="51">
        <v>4334.6099999999997</v>
      </c>
      <c r="C1398" s="52"/>
      <c r="D1398" s="52"/>
      <c r="E1398" s="52"/>
      <c r="F1398" s="52"/>
      <c r="G1398" s="52"/>
      <c r="H1398" s="52"/>
    </row>
    <row r="1399" spans="1:8" ht="15.75">
      <c r="A1399" s="50">
        <v>41445</v>
      </c>
      <c r="B1399" s="51">
        <v>4192.92</v>
      </c>
      <c r="C1399" s="52"/>
      <c r="D1399" s="52"/>
      <c r="E1399" s="52"/>
      <c r="F1399" s="52"/>
      <c r="G1399" s="52"/>
      <c r="H1399" s="52"/>
    </row>
    <row r="1400" spans="1:8" ht="15.75">
      <c r="A1400" s="50">
        <v>41446</v>
      </c>
      <c r="B1400" s="51">
        <v>4119.53</v>
      </c>
      <c r="C1400" s="52"/>
      <c r="D1400" s="52"/>
      <c r="E1400" s="52"/>
      <c r="F1400" s="52"/>
      <c r="G1400" s="52"/>
      <c r="H1400" s="52"/>
    </row>
    <row r="1401" spans="1:8" ht="15.75">
      <c r="A1401" s="50">
        <v>41449</v>
      </c>
      <c r="B1401" s="51">
        <v>4068.34</v>
      </c>
      <c r="C1401" s="52"/>
      <c r="D1401" s="52"/>
      <c r="E1401" s="52"/>
      <c r="F1401" s="52"/>
      <c r="G1401" s="52"/>
      <c r="H1401" s="52"/>
    </row>
    <row r="1402" spans="1:8" ht="15.75">
      <c r="A1402" s="50">
        <v>41450</v>
      </c>
      <c r="B1402" s="51">
        <v>4131.2</v>
      </c>
      <c r="C1402" s="52"/>
      <c r="D1402" s="52"/>
      <c r="E1402" s="52"/>
      <c r="F1402" s="52"/>
      <c r="G1402" s="52"/>
      <c r="H1402" s="52"/>
    </row>
    <row r="1403" spans="1:8" ht="15.75">
      <c r="A1403" s="50">
        <v>41451</v>
      </c>
      <c r="B1403" s="51">
        <v>4199.79</v>
      </c>
      <c r="C1403" s="52"/>
      <c r="D1403" s="52"/>
      <c r="E1403" s="52"/>
      <c r="F1403" s="52"/>
      <c r="G1403" s="52"/>
      <c r="H1403" s="52"/>
    </row>
    <row r="1404" spans="1:8" ht="15.75">
      <c r="A1404" s="50">
        <v>41452</v>
      </c>
      <c r="B1404" s="51">
        <v>4226.1000000000004</v>
      </c>
      <c r="C1404" s="52"/>
      <c r="D1404" s="52"/>
      <c r="E1404" s="52"/>
      <c r="F1404" s="52"/>
      <c r="G1404" s="52"/>
      <c r="H1404" s="52"/>
    </row>
    <row r="1405" spans="1:8" ht="15.75">
      <c r="A1405" s="50">
        <v>41453</v>
      </c>
      <c r="B1405" s="51">
        <v>4209.43</v>
      </c>
      <c r="C1405" s="52"/>
      <c r="D1405" s="52"/>
      <c r="E1405" s="52"/>
      <c r="F1405" s="52"/>
      <c r="G1405" s="52"/>
      <c r="H1405" s="52"/>
    </row>
    <row r="1406" spans="1:8" ht="15.75">
      <c r="A1406" s="50">
        <v>41456</v>
      </c>
      <c r="B1406" s="51">
        <v>4222.49</v>
      </c>
      <c r="C1406" s="52"/>
      <c r="D1406" s="52"/>
      <c r="E1406" s="52"/>
      <c r="F1406" s="52"/>
      <c r="G1406" s="52"/>
      <c r="H1406" s="52"/>
    </row>
    <row r="1407" spans="1:8" ht="15.75">
      <c r="A1407" s="50">
        <v>41457</v>
      </c>
      <c r="B1407" s="51">
        <v>4183.8</v>
      </c>
      <c r="C1407" s="52"/>
      <c r="D1407" s="52"/>
      <c r="E1407" s="52"/>
      <c r="F1407" s="52"/>
      <c r="G1407" s="52"/>
      <c r="H1407" s="52"/>
    </row>
    <row r="1408" spans="1:8" ht="15.75">
      <c r="A1408" s="50">
        <v>41458</v>
      </c>
      <c r="B1408" s="51">
        <v>4140.7299999999996</v>
      </c>
      <c r="C1408" s="52"/>
      <c r="D1408" s="52"/>
      <c r="E1408" s="52"/>
      <c r="F1408" s="52"/>
      <c r="G1408" s="52"/>
      <c r="H1408" s="52"/>
    </row>
    <row r="1409" spans="1:8" ht="15.75">
      <c r="A1409" s="50">
        <v>41459</v>
      </c>
      <c r="B1409" s="51">
        <v>4227.99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41460</v>
      </c>
      <c r="B1410" s="51">
        <v>4128.3900000000003</v>
      </c>
      <c r="C1410" s="52"/>
      <c r="D1410" s="52"/>
      <c r="E1410" s="52"/>
      <c r="F1410" s="52"/>
      <c r="G1410" s="52"/>
      <c r="H1410" s="52"/>
    </row>
    <row r="1411" spans="1:8" ht="15.75">
      <c r="A1411" s="50">
        <v>41463</v>
      </c>
      <c r="B1411" s="51">
        <v>4214.3500000000004</v>
      </c>
      <c r="C1411" s="52"/>
      <c r="D1411" s="52"/>
      <c r="E1411" s="52"/>
      <c r="F1411" s="52"/>
      <c r="G1411" s="52"/>
      <c r="H1411" s="52"/>
    </row>
    <row r="1412" spans="1:8" ht="15.75">
      <c r="A1412" s="50">
        <v>41464</v>
      </c>
      <c r="B1412" s="51">
        <v>4261.54</v>
      </c>
      <c r="C1412" s="52"/>
      <c r="D1412" s="52"/>
      <c r="E1412" s="52"/>
      <c r="F1412" s="52"/>
      <c r="G1412" s="52"/>
      <c r="H1412" s="52"/>
    </row>
    <row r="1413" spans="1:8" ht="15.75">
      <c r="A1413" s="50">
        <v>41465</v>
      </c>
      <c r="B1413" s="51">
        <v>4266.1499999999996</v>
      </c>
      <c r="C1413" s="52"/>
      <c r="D1413" s="52"/>
      <c r="E1413" s="52"/>
      <c r="F1413" s="52"/>
      <c r="G1413" s="52"/>
      <c r="H1413" s="52"/>
    </row>
    <row r="1414" spans="1:8" ht="15.75">
      <c r="A1414" s="50">
        <v>41466</v>
      </c>
      <c r="B1414" s="51">
        <v>4314.9799999999996</v>
      </c>
      <c r="C1414" s="52"/>
      <c r="D1414" s="52"/>
      <c r="E1414" s="52"/>
      <c r="F1414" s="52"/>
      <c r="G1414" s="52"/>
      <c r="H1414" s="52"/>
    </row>
    <row r="1415" spans="1:8" ht="15.75">
      <c r="A1415" s="50">
        <v>41467</v>
      </c>
      <c r="B1415" s="51">
        <v>4343.53</v>
      </c>
      <c r="C1415" s="52"/>
      <c r="D1415" s="52"/>
      <c r="E1415" s="52"/>
      <c r="F1415" s="52"/>
      <c r="G1415" s="52"/>
      <c r="H1415" s="52"/>
    </row>
    <row r="1416" spans="1:8" ht="15.75">
      <c r="A1416" s="50">
        <v>41470</v>
      </c>
      <c r="B1416" s="51">
        <v>4355.18</v>
      </c>
      <c r="C1416" s="52"/>
      <c r="D1416" s="52"/>
      <c r="E1416" s="52"/>
      <c r="F1416" s="52"/>
      <c r="G1416" s="52"/>
      <c r="H1416" s="52"/>
    </row>
    <row r="1417" spans="1:8" ht="15.75">
      <c r="A1417" s="50">
        <v>41471</v>
      </c>
      <c r="B1417" s="51">
        <v>4337.33</v>
      </c>
      <c r="C1417" s="52"/>
      <c r="D1417" s="52"/>
      <c r="E1417" s="52"/>
      <c r="F1417" s="52"/>
      <c r="G1417" s="52"/>
      <c r="H1417" s="52"/>
    </row>
    <row r="1418" spans="1:8" ht="15.75">
      <c r="A1418" s="50">
        <v>41472</v>
      </c>
      <c r="B1418" s="51">
        <v>4365.71</v>
      </c>
      <c r="C1418" s="52"/>
      <c r="D1418" s="52"/>
      <c r="E1418" s="52"/>
      <c r="F1418" s="52"/>
      <c r="G1418" s="52"/>
      <c r="H1418" s="52"/>
    </row>
    <row r="1419" spans="1:8" ht="15.75">
      <c r="A1419" s="50">
        <v>41473</v>
      </c>
      <c r="B1419" s="51">
        <v>4409.2700000000004</v>
      </c>
      <c r="C1419" s="52"/>
      <c r="D1419" s="52"/>
      <c r="E1419" s="52"/>
      <c r="F1419" s="52"/>
      <c r="G1419" s="52"/>
      <c r="H1419" s="52"/>
    </row>
    <row r="1420" spans="1:8" ht="15.75">
      <c r="A1420" s="50">
        <v>41474</v>
      </c>
      <c r="B1420" s="51">
        <v>4406.3599999999997</v>
      </c>
      <c r="C1420" s="52"/>
      <c r="D1420" s="52"/>
      <c r="E1420" s="52"/>
      <c r="F1420" s="52"/>
      <c r="G1420" s="52"/>
      <c r="H1420" s="52"/>
    </row>
    <row r="1421" spans="1:8" ht="15.75">
      <c r="A1421" s="50">
        <v>41477</v>
      </c>
      <c r="B1421" s="51">
        <v>4406.09</v>
      </c>
      <c r="C1421" s="52"/>
      <c r="D1421" s="52"/>
      <c r="E1421" s="52"/>
      <c r="F1421" s="52"/>
      <c r="G1421" s="52"/>
      <c r="H1421" s="52"/>
    </row>
    <row r="1422" spans="1:8" ht="15.75">
      <c r="A1422" s="50">
        <v>41478</v>
      </c>
      <c r="B1422" s="51">
        <v>4397.18</v>
      </c>
      <c r="C1422" s="52"/>
      <c r="D1422" s="52"/>
      <c r="E1422" s="52"/>
      <c r="F1422" s="52"/>
      <c r="G1422" s="52"/>
      <c r="H1422" s="52"/>
    </row>
    <row r="1423" spans="1:8" ht="15.75">
      <c r="A1423" s="50">
        <v>41479</v>
      </c>
      <c r="B1423" s="51">
        <v>4431.5</v>
      </c>
      <c r="C1423" s="52"/>
      <c r="D1423" s="52"/>
      <c r="E1423" s="52"/>
      <c r="F1423" s="52"/>
      <c r="G1423" s="52"/>
      <c r="H1423" s="52"/>
    </row>
    <row r="1424" spans="1:8" ht="15.75">
      <c r="A1424" s="50">
        <v>41480</v>
      </c>
      <c r="B1424" s="51">
        <v>4389.12</v>
      </c>
      <c r="C1424" s="52"/>
      <c r="D1424" s="52"/>
      <c r="E1424" s="52"/>
      <c r="F1424" s="52"/>
      <c r="G1424" s="52"/>
      <c r="H1424" s="52"/>
    </row>
    <row r="1425" spans="1:8" ht="15.75">
      <c r="A1425" s="50">
        <v>41481</v>
      </c>
      <c r="B1425" s="51">
        <v>4360.5200000000004</v>
      </c>
      <c r="C1425" s="52"/>
      <c r="D1425" s="52"/>
      <c r="E1425" s="52"/>
      <c r="F1425" s="52"/>
      <c r="G1425" s="52"/>
      <c r="H1425" s="52"/>
    </row>
    <row r="1426" spans="1:8" ht="15.75">
      <c r="A1426" s="50">
        <v>41484</v>
      </c>
      <c r="B1426" s="51">
        <v>4367.99</v>
      </c>
      <c r="C1426" s="52"/>
      <c r="D1426" s="52"/>
      <c r="E1426" s="52"/>
      <c r="F1426" s="52"/>
      <c r="G1426" s="52"/>
      <c r="H1426" s="52"/>
    </row>
    <row r="1427" spans="1:8" ht="15.75">
      <c r="A1427" s="50">
        <v>41485</v>
      </c>
      <c r="B1427" s="51">
        <v>4374.33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41486</v>
      </c>
      <c r="B1428" s="51">
        <v>4376.95</v>
      </c>
      <c r="C1428" s="52"/>
      <c r="D1428" s="52"/>
      <c r="E1428" s="52"/>
      <c r="F1428" s="52"/>
      <c r="G1428" s="52"/>
      <c r="H1428" s="52"/>
    </row>
    <row r="1429" spans="1:8" ht="15.75">
      <c r="A1429" s="50">
        <v>41487</v>
      </c>
      <c r="B1429" s="51">
        <v>4448.22</v>
      </c>
      <c r="C1429" s="52"/>
      <c r="D1429" s="52"/>
      <c r="E1429" s="52"/>
      <c r="F1429" s="52"/>
      <c r="G1429" s="52"/>
      <c r="H1429" s="52"/>
    </row>
    <row r="1430" spans="1:8" ht="15.75">
      <c r="A1430" s="50">
        <v>41488</v>
      </c>
      <c r="B1430" s="51">
        <v>4446.22</v>
      </c>
      <c r="C1430" s="52"/>
      <c r="D1430" s="52"/>
      <c r="E1430" s="52"/>
      <c r="F1430" s="52"/>
      <c r="G1430" s="52"/>
      <c r="H1430" s="52"/>
    </row>
    <row r="1431" spans="1:8" ht="15.75">
      <c r="A1431" s="50">
        <v>41491</v>
      </c>
      <c r="B1431" s="51">
        <v>4441.6899999999996</v>
      </c>
      <c r="C1431" s="52"/>
      <c r="D1431" s="52"/>
      <c r="E1431" s="52"/>
      <c r="F1431" s="52"/>
      <c r="G1431" s="52"/>
      <c r="H1431" s="52"/>
    </row>
    <row r="1432" spans="1:8" ht="15.75">
      <c r="A1432" s="50">
        <v>41492</v>
      </c>
      <c r="B1432" s="51">
        <v>4389.5200000000004</v>
      </c>
      <c r="C1432" s="52"/>
      <c r="D1432" s="52"/>
      <c r="E1432" s="52"/>
      <c r="F1432" s="52"/>
      <c r="G1432" s="52"/>
      <c r="H1432" s="52"/>
    </row>
    <row r="1433" spans="1:8" ht="15.75">
      <c r="A1433" s="50">
        <v>41493</v>
      </c>
      <c r="B1433" s="51">
        <v>4368.76</v>
      </c>
      <c r="C1433" s="52"/>
      <c r="D1433" s="52"/>
      <c r="E1433" s="52"/>
      <c r="F1433" s="52"/>
      <c r="G1433" s="52"/>
      <c r="H1433" s="52"/>
    </row>
    <row r="1434" spans="1:8" ht="15.75">
      <c r="A1434" s="50">
        <v>41494</v>
      </c>
      <c r="B1434" s="51">
        <v>4399.34</v>
      </c>
      <c r="C1434" s="52"/>
      <c r="D1434" s="52"/>
      <c r="E1434" s="52"/>
      <c r="F1434" s="52"/>
      <c r="G1434" s="52"/>
      <c r="H1434" s="52"/>
    </row>
    <row r="1435" spans="1:8" ht="15.75">
      <c r="A1435" s="50">
        <v>41495</v>
      </c>
      <c r="B1435" s="51">
        <v>4409.92</v>
      </c>
      <c r="C1435" s="52"/>
      <c r="D1435" s="52"/>
      <c r="E1435" s="52"/>
      <c r="F1435" s="52"/>
      <c r="G1435" s="52"/>
      <c r="H1435" s="52"/>
    </row>
    <row r="1436" spans="1:8" ht="15.75">
      <c r="A1436" s="50">
        <v>41498</v>
      </c>
      <c r="B1436" s="51">
        <v>4420.99</v>
      </c>
      <c r="C1436" s="52"/>
      <c r="D1436" s="52"/>
      <c r="E1436" s="52"/>
      <c r="F1436" s="52"/>
      <c r="G1436" s="52"/>
      <c r="H1436" s="52"/>
    </row>
    <row r="1437" spans="1:8" ht="15.75">
      <c r="A1437" s="50">
        <v>41499</v>
      </c>
      <c r="B1437" s="51">
        <v>4450.88</v>
      </c>
      <c r="C1437" s="52"/>
      <c r="D1437" s="52"/>
      <c r="E1437" s="52"/>
      <c r="F1437" s="52"/>
      <c r="G1437" s="52"/>
      <c r="H1437" s="52"/>
    </row>
    <row r="1438" spans="1:8" ht="15.75">
      <c r="A1438" s="50">
        <v>41500</v>
      </c>
      <c r="B1438" s="51">
        <v>4462.71</v>
      </c>
      <c r="C1438" s="52"/>
      <c r="D1438" s="52"/>
      <c r="E1438" s="52"/>
      <c r="F1438" s="52"/>
      <c r="G1438" s="52"/>
      <c r="H1438" s="52"/>
    </row>
    <row r="1439" spans="1:8" ht="15.75">
      <c r="A1439" s="50">
        <v>41501</v>
      </c>
      <c r="B1439" s="51">
        <v>4430</v>
      </c>
      <c r="C1439" s="52"/>
      <c r="D1439" s="52"/>
      <c r="E1439" s="52"/>
      <c r="F1439" s="52"/>
      <c r="G1439" s="52"/>
      <c r="H1439" s="52"/>
    </row>
    <row r="1440" spans="1:8" ht="15.75">
      <c r="A1440" s="50">
        <v>41502</v>
      </c>
      <c r="B1440" s="51">
        <v>4438.28</v>
      </c>
      <c r="C1440" s="52"/>
      <c r="D1440" s="52"/>
      <c r="E1440" s="52"/>
      <c r="F1440" s="52"/>
      <c r="G1440" s="52"/>
      <c r="H1440" s="52"/>
    </row>
    <row r="1441" spans="1:8" ht="15.75">
      <c r="A1441" s="50">
        <v>41505</v>
      </c>
      <c r="B1441" s="51">
        <v>4424.71</v>
      </c>
      <c r="C1441" s="52"/>
      <c r="D1441" s="52"/>
      <c r="E1441" s="52"/>
      <c r="F1441" s="52"/>
      <c r="G1441" s="52"/>
      <c r="H1441" s="52"/>
    </row>
    <row r="1442" spans="1:8" ht="15.75">
      <c r="A1442" s="50">
        <v>41506</v>
      </c>
      <c r="B1442" s="51">
        <v>4389.67</v>
      </c>
      <c r="C1442" s="52"/>
      <c r="D1442" s="52"/>
      <c r="E1442" s="52"/>
      <c r="F1442" s="52"/>
      <c r="G1442" s="52"/>
      <c r="H1442" s="52"/>
    </row>
    <row r="1443" spans="1:8" ht="15.75">
      <c r="A1443" s="50">
        <v>41507</v>
      </c>
      <c r="B1443" s="51">
        <v>4381.9399999999996</v>
      </c>
      <c r="C1443" s="52"/>
      <c r="D1443" s="52"/>
      <c r="E1443" s="52"/>
      <c r="F1443" s="52"/>
      <c r="G1443" s="52"/>
      <c r="H1443" s="52"/>
    </row>
    <row r="1444" spans="1:8" ht="15.75">
      <c r="A1444" s="50">
        <v>41508</v>
      </c>
      <c r="B1444" s="51">
        <v>4441.43</v>
      </c>
      <c r="C1444" s="52"/>
      <c r="D1444" s="52"/>
      <c r="E1444" s="52"/>
      <c r="F1444" s="52"/>
      <c r="G1444" s="52"/>
      <c r="H1444" s="52"/>
    </row>
    <row r="1445" spans="1:8" ht="15.75">
      <c r="A1445" s="50">
        <v>41509</v>
      </c>
      <c r="B1445" s="51">
        <v>4451.53</v>
      </c>
      <c r="C1445" s="52"/>
      <c r="D1445" s="52"/>
      <c r="E1445" s="52"/>
      <c r="F1445" s="52"/>
      <c r="G1445" s="52"/>
      <c r="H1445" s="52"/>
    </row>
    <row r="1446" spans="1:8" ht="15.75">
      <c r="A1446" s="50">
        <v>41512</v>
      </c>
      <c r="B1446" s="51">
        <v>4461.13</v>
      </c>
      <c r="C1446" s="52"/>
      <c r="D1446" s="52"/>
      <c r="E1446" s="52"/>
      <c r="F1446" s="52"/>
      <c r="G1446" s="52"/>
      <c r="H1446" s="52"/>
    </row>
    <row r="1447" spans="1:8" ht="15.75">
      <c r="A1447" s="50">
        <v>41513</v>
      </c>
      <c r="B1447" s="51">
        <v>4359.28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41514</v>
      </c>
      <c r="B1448" s="51">
        <v>4314.5</v>
      </c>
      <c r="C1448" s="52"/>
      <c r="D1448" s="52"/>
      <c r="E1448" s="52"/>
      <c r="F1448" s="52"/>
      <c r="G1448" s="52"/>
      <c r="H1448" s="52"/>
    </row>
    <row r="1449" spans="1:8" ht="15.75">
      <c r="A1449" s="50">
        <v>41515</v>
      </c>
      <c r="B1449" s="51">
        <v>4333.8900000000003</v>
      </c>
      <c r="C1449" s="52"/>
      <c r="D1449" s="52"/>
      <c r="E1449" s="52"/>
      <c r="F1449" s="52"/>
      <c r="G1449" s="52"/>
      <c r="H1449" s="52"/>
    </row>
    <row r="1450" spans="1:8" ht="15.75">
      <c r="A1450" s="50">
        <v>41516</v>
      </c>
      <c r="B1450" s="51">
        <v>4285.55</v>
      </c>
      <c r="C1450" s="52"/>
      <c r="D1450" s="52"/>
      <c r="E1450" s="52"/>
      <c r="F1450" s="52"/>
      <c r="G1450" s="52"/>
      <c r="H1450" s="52"/>
    </row>
    <row r="1451" spans="1:8" ht="15.75">
      <c r="A1451" s="50">
        <v>41519</v>
      </c>
      <c r="B1451" s="51">
        <v>4359.97</v>
      </c>
      <c r="C1451" s="52"/>
      <c r="D1451" s="52"/>
      <c r="E1451" s="52"/>
      <c r="F1451" s="52"/>
      <c r="G1451" s="52"/>
      <c r="H1451" s="52"/>
    </row>
    <row r="1452" spans="1:8" ht="15.75">
      <c r="A1452" s="50">
        <v>41520</v>
      </c>
      <c r="B1452" s="51">
        <v>4326.57</v>
      </c>
      <c r="C1452" s="52"/>
      <c r="D1452" s="52"/>
      <c r="E1452" s="52"/>
      <c r="F1452" s="52"/>
      <c r="G1452" s="52"/>
      <c r="H1452" s="52"/>
    </row>
    <row r="1453" spans="1:8" ht="15.75">
      <c r="A1453" s="50">
        <v>41521</v>
      </c>
      <c r="B1453" s="51">
        <v>4334.6099999999997</v>
      </c>
      <c r="C1453" s="52"/>
      <c r="D1453" s="52"/>
      <c r="E1453" s="52"/>
      <c r="F1453" s="52"/>
      <c r="G1453" s="52"/>
      <c r="H1453" s="52"/>
    </row>
    <row r="1454" spans="1:8" ht="15.75">
      <c r="A1454" s="50">
        <v>41522</v>
      </c>
      <c r="B1454" s="51">
        <v>4355.2700000000004</v>
      </c>
      <c r="C1454" s="52"/>
      <c r="D1454" s="52"/>
      <c r="E1454" s="52"/>
      <c r="F1454" s="52"/>
      <c r="G1454" s="52"/>
      <c r="H1454" s="52"/>
    </row>
    <row r="1455" spans="1:8" ht="15.75">
      <c r="A1455" s="50">
        <v>41523</v>
      </c>
      <c r="B1455" s="51">
        <v>4376.79</v>
      </c>
      <c r="C1455" s="52"/>
      <c r="D1455" s="52"/>
      <c r="E1455" s="52"/>
      <c r="F1455" s="52"/>
      <c r="G1455" s="52"/>
      <c r="H1455" s="52"/>
    </row>
    <row r="1456" spans="1:8" ht="15.75">
      <c r="A1456" s="50">
        <v>41526</v>
      </c>
      <c r="B1456" s="51">
        <v>4377.13</v>
      </c>
      <c r="C1456" s="52"/>
      <c r="D1456" s="52"/>
      <c r="E1456" s="52"/>
      <c r="F1456" s="52"/>
      <c r="G1456" s="52"/>
      <c r="H1456" s="52"/>
    </row>
    <row r="1457" spans="1:8" ht="15.75">
      <c r="A1457" s="50">
        <v>41527</v>
      </c>
      <c r="B1457" s="51">
        <v>4467.16</v>
      </c>
      <c r="C1457" s="52"/>
      <c r="D1457" s="52"/>
      <c r="E1457" s="52"/>
      <c r="F1457" s="52"/>
      <c r="G1457" s="52"/>
      <c r="H1457" s="52"/>
    </row>
    <row r="1458" spans="1:8" ht="15.75">
      <c r="A1458" s="50">
        <v>41528</v>
      </c>
      <c r="B1458" s="51">
        <v>4493.18</v>
      </c>
      <c r="C1458" s="52"/>
      <c r="D1458" s="52"/>
      <c r="E1458" s="52"/>
      <c r="F1458" s="52"/>
      <c r="G1458" s="52"/>
      <c r="H1458" s="52"/>
    </row>
    <row r="1459" spans="1:8" ht="15.75">
      <c r="A1459" s="50">
        <v>41529</v>
      </c>
      <c r="B1459" s="51">
        <v>4492.26</v>
      </c>
      <c r="C1459" s="52"/>
      <c r="D1459" s="52"/>
      <c r="E1459" s="52"/>
      <c r="F1459" s="52"/>
      <c r="G1459" s="52"/>
      <c r="H1459" s="52"/>
    </row>
    <row r="1460" spans="1:8" ht="15.75">
      <c r="A1460" s="50">
        <v>41530</v>
      </c>
      <c r="B1460" s="51">
        <v>4500.42</v>
      </c>
      <c r="C1460" s="52"/>
      <c r="D1460" s="52"/>
      <c r="E1460" s="52"/>
      <c r="F1460" s="52"/>
      <c r="G1460" s="52"/>
      <c r="H1460" s="52"/>
    </row>
    <row r="1461" spans="1:8" ht="15.75">
      <c r="A1461" s="50">
        <v>41533</v>
      </c>
      <c r="B1461" s="51">
        <v>4555.2</v>
      </c>
      <c r="C1461" s="52"/>
      <c r="D1461" s="52"/>
      <c r="E1461" s="52"/>
      <c r="F1461" s="52"/>
      <c r="G1461" s="52"/>
      <c r="H1461" s="52"/>
    </row>
    <row r="1462" spans="1:8" ht="15.75">
      <c r="A1462" s="50">
        <v>41534</v>
      </c>
      <c r="B1462" s="51">
        <v>4546.71</v>
      </c>
      <c r="C1462" s="52"/>
      <c r="D1462" s="52"/>
      <c r="E1462" s="52"/>
      <c r="F1462" s="52"/>
      <c r="G1462" s="52"/>
      <c r="H1462" s="52"/>
    </row>
    <row r="1463" spans="1:8" ht="15.75">
      <c r="A1463" s="50">
        <v>41535</v>
      </c>
      <c r="B1463" s="51">
        <v>4567.3900000000003</v>
      </c>
      <c r="C1463" s="52"/>
      <c r="D1463" s="52"/>
      <c r="E1463" s="52"/>
      <c r="F1463" s="52"/>
      <c r="G1463" s="52"/>
      <c r="H1463" s="52"/>
    </row>
    <row r="1464" spans="1:8" ht="15.75">
      <c r="A1464" s="50">
        <v>41536</v>
      </c>
      <c r="B1464" s="51">
        <v>4598.13</v>
      </c>
      <c r="C1464" s="52"/>
      <c r="D1464" s="52"/>
      <c r="E1464" s="52"/>
      <c r="F1464" s="52"/>
      <c r="G1464" s="52"/>
      <c r="H1464" s="52"/>
    </row>
    <row r="1465" spans="1:8" ht="15.75">
      <c r="A1465" s="50">
        <v>41537</v>
      </c>
      <c r="B1465" s="51">
        <v>4588.37</v>
      </c>
      <c r="C1465" s="52"/>
      <c r="D1465" s="52"/>
      <c r="E1465" s="52"/>
      <c r="F1465" s="52"/>
      <c r="G1465" s="52"/>
      <c r="H1465" s="52"/>
    </row>
    <row r="1466" spans="1:8" ht="15.75">
      <c r="A1466" s="50">
        <v>41540</v>
      </c>
      <c r="B1466" s="51">
        <v>4566.9799999999996</v>
      </c>
      <c r="C1466" s="52"/>
      <c r="D1466" s="52"/>
      <c r="E1466" s="52"/>
      <c r="F1466" s="52"/>
      <c r="G1466" s="52"/>
      <c r="H1466" s="52"/>
    </row>
    <row r="1467" spans="1:8" ht="15.75">
      <c r="A1467" s="50">
        <v>41541</v>
      </c>
      <c r="B1467" s="51">
        <v>4582.4799999999996</v>
      </c>
      <c r="C1467" s="52"/>
      <c r="D1467" s="52"/>
      <c r="E1467" s="52"/>
      <c r="F1467" s="52"/>
      <c r="G1467" s="52"/>
      <c r="H1467" s="52"/>
    </row>
    <row r="1468" spans="1:8" ht="15.75">
      <c r="A1468" s="50">
        <v>41542</v>
      </c>
      <c r="B1468" s="51">
        <v>4583.03</v>
      </c>
      <c r="C1468" s="52"/>
      <c r="D1468" s="52"/>
      <c r="E1468" s="52"/>
      <c r="F1468" s="52"/>
      <c r="G1468" s="52"/>
      <c r="H1468" s="52"/>
    </row>
    <row r="1469" spans="1:8" ht="15.75">
      <c r="A1469" s="50">
        <v>41543</v>
      </c>
      <c r="B1469" s="51">
        <v>4582.22</v>
      </c>
      <c r="C1469" s="52"/>
      <c r="D1469" s="52"/>
      <c r="E1469" s="52"/>
      <c r="F1469" s="52"/>
      <c r="G1469" s="52"/>
      <c r="H1469" s="52"/>
    </row>
    <row r="1470" spans="1:8" ht="15.75">
      <c r="A1470" s="50">
        <v>41544</v>
      </c>
      <c r="B1470" s="51">
        <v>4580.8500000000004</v>
      </c>
      <c r="C1470" s="52"/>
      <c r="D1470" s="52"/>
      <c r="E1470" s="52"/>
      <c r="F1470" s="52"/>
      <c r="G1470" s="52"/>
      <c r="H1470" s="52"/>
    </row>
    <row r="1471" spans="1:8" ht="15.75">
      <c r="A1471" s="50">
        <v>41547</v>
      </c>
      <c r="B1471" s="51">
        <v>4545.3599999999997</v>
      </c>
      <c r="C1471" s="52"/>
      <c r="D1471" s="52"/>
      <c r="E1471" s="52"/>
      <c r="F1471" s="52"/>
      <c r="G1471" s="52"/>
      <c r="H1471" s="52"/>
    </row>
    <row r="1472" spans="1:8" ht="15.75">
      <c r="A1472" s="50">
        <v>41548</v>
      </c>
      <c r="B1472" s="51">
        <v>4595.46</v>
      </c>
      <c r="C1472" s="52"/>
      <c r="D1472" s="52"/>
      <c r="E1472" s="52"/>
      <c r="F1472" s="52"/>
      <c r="G1472" s="52"/>
      <c r="H1472" s="52"/>
    </row>
    <row r="1473" spans="1:8" ht="15.75">
      <c r="A1473" s="50">
        <v>41549</v>
      </c>
      <c r="B1473" s="51">
        <v>4563.88</v>
      </c>
      <c r="C1473" s="52"/>
      <c r="D1473" s="52"/>
      <c r="E1473" s="52"/>
      <c r="F1473" s="52"/>
      <c r="G1473" s="52"/>
      <c r="H1473" s="52"/>
    </row>
    <row r="1474" spans="1:8" ht="15.75">
      <c r="A1474" s="50">
        <v>41550</v>
      </c>
      <c r="B1474" s="51">
        <v>4547.21</v>
      </c>
      <c r="C1474" s="52"/>
      <c r="D1474" s="52"/>
      <c r="E1474" s="52"/>
      <c r="F1474" s="52"/>
      <c r="G1474" s="52"/>
      <c r="H1474" s="52"/>
    </row>
    <row r="1475" spans="1:8" ht="15.75">
      <c r="A1475" s="50">
        <v>41551</v>
      </c>
      <c r="B1475" s="51">
        <v>4560.47</v>
      </c>
      <c r="C1475" s="52"/>
      <c r="D1475" s="52"/>
      <c r="E1475" s="52"/>
      <c r="F1475" s="52"/>
      <c r="G1475" s="52"/>
      <c r="H1475" s="52"/>
    </row>
    <row r="1476" spans="1:8" ht="15.75">
      <c r="A1476" s="50">
        <v>41554</v>
      </c>
      <c r="B1476" s="51">
        <v>4543.8599999999997</v>
      </c>
      <c r="C1476" s="52"/>
      <c r="D1476" s="52"/>
      <c r="E1476" s="52"/>
      <c r="F1476" s="52"/>
      <c r="G1476" s="52"/>
      <c r="H1476" s="52"/>
    </row>
    <row r="1477" spans="1:8" ht="15.75">
      <c r="A1477" s="50">
        <v>41555</v>
      </c>
      <c r="B1477" s="51">
        <v>4524.99</v>
      </c>
      <c r="C1477" s="52"/>
      <c r="D1477" s="52"/>
      <c r="E1477" s="52"/>
      <c r="F1477" s="52"/>
      <c r="G1477" s="52"/>
      <c r="H1477" s="52"/>
    </row>
    <row r="1478" spans="1:8" ht="15.75">
      <c r="A1478" s="50">
        <v>41556</v>
      </c>
      <c r="B1478" s="51">
        <v>4504.26</v>
      </c>
      <c r="C1478" s="52"/>
      <c r="D1478" s="52"/>
      <c r="E1478" s="52"/>
      <c r="F1478" s="52"/>
      <c r="G1478" s="52"/>
      <c r="H1478" s="52"/>
    </row>
    <row r="1479" spans="1:8" ht="15.75">
      <c r="A1479" s="50">
        <v>41557</v>
      </c>
      <c r="B1479" s="51">
        <v>4593.68</v>
      </c>
      <c r="C1479" s="52"/>
      <c r="D1479" s="52"/>
      <c r="E1479" s="52"/>
      <c r="F1479" s="52"/>
      <c r="G1479" s="52"/>
      <c r="H1479" s="52"/>
    </row>
    <row r="1480" spans="1:8" ht="15.75">
      <c r="A1480" s="50">
        <v>41558</v>
      </c>
      <c r="B1480" s="51">
        <v>4614.34</v>
      </c>
      <c r="C1480" s="52"/>
      <c r="D1480" s="52"/>
      <c r="E1480" s="52"/>
      <c r="F1480" s="52"/>
      <c r="G1480" s="52"/>
      <c r="H1480" s="52"/>
    </row>
    <row r="1481" spans="1:8" ht="15.75">
      <c r="A1481" s="50">
        <v>41561</v>
      </c>
      <c r="B1481" s="51">
        <v>4613.8</v>
      </c>
      <c r="C1481" s="52"/>
      <c r="D1481" s="52"/>
      <c r="E1481" s="52"/>
      <c r="F1481" s="52"/>
      <c r="G1481" s="52"/>
      <c r="H1481" s="52"/>
    </row>
    <row r="1482" spans="1:8" ht="15.75">
      <c r="A1482" s="50">
        <v>41562</v>
      </c>
      <c r="B1482" s="51">
        <v>4656.4399999999996</v>
      </c>
      <c r="C1482" s="52"/>
      <c r="D1482" s="52"/>
      <c r="E1482" s="52"/>
      <c r="F1482" s="52"/>
      <c r="G1482" s="52"/>
      <c r="H1482" s="52"/>
    </row>
    <row r="1483" spans="1:8" ht="15.75">
      <c r="A1483" s="50">
        <v>41563</v>
      </c>
      <c r="B1483" s="51">
        <v>4678.42</v>
      </c>
      <c r="C1483" s="52"/>
      <c r="D1483" s="52"/>
      <c r="E1483" s="52"/>
      <c r="F1483" s="52"/>
      <c r="G1483" s="52"/>
      <c r="H1483" s="52"/>
    </row>
    <row r="1484" spans="1:8" ht="15.75">
      <c r="A1484" s="50">
        <v>41564</v>
      </c>
      <c r="B1484" s="51">
        <v>4660.43</v>
      </c>
      <c r="C1484" s="52"/>
      <c r="D1484" s="52"/>
      <c r="E1484" s="52"/>
      <c r="F1484" s="52"/>
      <c r="G1484" s="52"/>
      <c r="H1484" s="52"/>
    </row>
    <row r="1485" spans="1:8" ht="15.75">
      <c r="A1485" s="50">
        <v>41565</v>
      </c>
      <c r="B1485" s="51">
        <v>4688.5200000000004</v>
      </c>
      <c r="C1485" s="52"/>
      <c r="D1485" s="52"/>
      <c r="E1485" s="52"/>
      <c r="F1485" s="52"/>
      <c r="G1485" s="52"/>
      <c r="H1485" s="52"/>
    </row>
    <row r="1486" spans="1:8" ht="15.75">
      <c r="A1486" s="50">
        <v>41568</v>
      </c>
      <c r="B1486" s="51">
        <v>4689.6400000000003</v>
      </c>
      <c r="C1486" s="52"/>
      <c r="D1486" s="52"/>
      <c r="E1486" s="52"/>
      <c r="F1486" s="52"/>
      <c r="G1486" s="52"/>
      <c r="H1486" s="52"/>
    </row>
    <row r="1487" spans="1:8" ht="15.75">
      <c r="A1487" s="50">
        <v>41569</v>
      </c>
      <c r="B1487" s="51">
        <v>4732.08</v>
      </c>
      <c r="C1487" s="52"/>
      <c r="D1487" s="52"/>
      <c r="E1487" s="52"/>
      <c r="F1487" s="52"/>
      <c r="G1487" s="52"/>
      <c r="H1487" s="52"/>
    </row>
    <row r="1488" spans="1:8" ht="15.75">
      <c r="A1488" s="50">
        <v>41570</v>
      </c>
      <c r="B1488" s="51">
        <v>4717.49</v>
      </c>
      <c r="C1488" s="52"/>
      <c r="D1488" s="52"/>
      <c r="E1488" s="52"/>
      <c r="F1488" s="52"/>
      <c r="G1488" s="52"/>
      <c r="H1488" s="52"/>
    </row>
    <row r="1489" spans="1:8" ht="15.75">
      <c r="A1489" s="50">
        <v>41571</v>
      </c>
      <c r="B1489" s="51">
        <v>4749.62</v>
      </c>
      <c r="C1489" s="52"/>
      <c r="D1489" s="52"/>
      <c r="E1489" s="52"/>
      <c r="F1489" s="52"/>
      <c r="G1489" s="52"/>
      <c r="H1489" s="52"/>
    </row>
    <row r="1490" spans="1:8" ht="15.75">
      <c r="A1490" s="50">
        <v>41572</v>
      </c>
      <c r="B1490" s="51">
        <v>4752.33</v>
      </c>
      <c r="C1490" s="52"/>
      <c r="D1490" s="52"/>
      <c r="E1490" s="52"/>
      <c r="F1490" s="52"/>
      <c r="G1490" s="52"/>
      <c r="H1490" s="52"/>
    </row>
    <row r="1491" spans="1:8" ht="15.75">
      <c r="A1491" s="50">
        <v>41575</v>
      </c>
      <c r="B1491" s="51">
        <v>4748.58</v>
      </c>
      <c r="C1491" s="52"/>
      <c r="D1491" s="52"/>
      <c r="E1491" s="52"/>
      <c r="F1491" s="52"/>
      <c r="G1491" s="52"/>
      <c r="H1491" s="52"/>
    </row>
    <row r="1492" spans="1:8" ht="15.75">
      <c r="A1492" s="50">
        <v>41576</v>
      </c>
      <c r="B1492" s="51">
        <v>4771.5200000000004</v>
      </c>
      <c r="C1492" s="52"/>
      <c r="D1492" s="52"/>
      <c r="E1492" s="52"/>
      <c r="F1492" s="52"/>
      <c r="G1492" s="52"/>
      <c r="H1492" s="52"/>
    </row>
    <row r="1493" spans="1:8" ht="15.75">
      <c r="A1493" s="50">
        <v>41577</v>
      </c>
      <c r="B1493" s="51">
        <v>4765.3</v>
      </c>
      <c r="C1493" s="52"/>
      <c r="D1493" s="52"/>
      <c r="E1493" s="52"/>
      <c r="F1493" s="52"/>
      <c r="G1493" s="52"/>
      <c r="H1493" s="52"/>
    </row>
    <row r="1494" spans="1:8" ht="15.75">
      <c r="A1494" s="50">
        <v>41578</v>
      </c>
      <c r="B1494" s="51">
        <v>4777.8100000000004</v>
      </c>
      <c r="C1494" s="52"/>
      <c r="D1494" s="52"/>
      <c r="E1494" s="52"/>
      <c r="F1494" s="52"/>
      <c r="G1494" s="52"/>
      <c r="H1494" s="52"/>
    </row>
    <row r="1495" spans="1:8" ht="15.75">
      <c r="A1495" s="50">
        <v>41579</v>
      </c>
      <c r="B1495" s="51">
        <v>4764.01</v>
      </c>
      <c r="C1495" s="52"/>
      <c r="D1495" s="52"/>
      <c r="E1495" s="52"/>
      <c r="F1495" s="52"/>
      <c r="G1495" s="52"/>
      <c r="H1495" s="52"/>
    </row>
    <row r="1496" spans="1:8" ht="15.75">
      <c r="A1496" s="50">
        <v>41582</v>
      </c>
      <c r="B1496" s="51">
        <v>4779.5600000000004</v>
      </c>
      <c r="C1496" s="52"/>
      <c r="D1496" s="52"/>
      <c r="E1496" s="52"/>
      <c r="F1496" s="52"/>
      <c r="G1496" s="52"/>
      <c r="H1496" s="52"/>
    </row>
    <row r="1497" spans="1:8" ht="15.75">
      <c r="A1497" s="50">
        <v>41583</v>
      </c>
      <c r="B1497" s="51">
        <v>4764.68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41584</v>
      </c>
      <c r="B1498" s="51">
        <v>4781.4799999999996</v>
      </c>
      <c r="C1498" s="52"/>
      <c r="D1498" s="52"/>
      <c r="E1498" s="52"/>
      <c r="F1498" s="52"/>
      <c r="G1498" s="52"/>
      <c r="H1498" s="52"/>
    </row>
    <row r="1499" spans="1:8" ht="15.75">
      <c r="A1499" s="50">
        <v>41585</v>
      </c>
      <c r="B1499" s="51">
        <v>4802.72</v>
      </c>
      <c r="C1499" s="52"/>
      <c r="D1499" s="52"/>
      <c r="E1499" s="52"/>
      <c r="F1499" s="52"/>
      <c r="G1499" s="52"/>
      <c r="H1499" s="52"/>
    </row>
    <row r="1500" spans="1:8" ht="15.75">
      <c r="A1500" s="50">
        <v>41586</v>
      </c>
      <c r="B1500" s="51">
        <v>4801.2700000000004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41589</v>
      </c>
      <c r="B1501" s="51">
        <v>4816.91</v>
      </c>
      <c r="C1501" s="52"/>
      <c r="D1501" s="52"/>
      <c r="E1501" s="52"/>
      <c r="F1501" s="52"/>
      <c r="G1501" s="52"/>
      <c r="H1501" s="52"/>
    </row>
    <row r="1502" spans="1:8" ht="15.75">
      <c r="A1502" s="50">
        <v>41590</v>
      </c>
      <c r="B1502" s="51">
        <v>4800.32</v>
      </c>
      <c r="C1502" s="52"/>
      <c r="D1502" s="52"/>
      <c r="E1502" s="52"/>
      <c r="F1502" s="52"/>
      <c r="G1502" s="52"/>
      <c r="H1502" s="52"/>
    </row>
    <row r="1503" spans="1:8" ht="15.75">
      <c r="A1503" s="50">
        <v>41591</v>
      </c>
      <c r="B1503" s="51">
        <v>4788.87</v>
      </c>
      <c r="C1503" s="52"/>
      <c r="D1503" s="52"/>
      <c r="E1503" s="52"/>
      <c r="F1503" s="52"/>
      <c r="G1503" s="52"/>
      <c r="H1503" s="52"/>
    </row>
    <row r="1504" spans="1:8" ht="15.75">
      <c r="A1504" s="50">
        <v>41592</v>
      </c>
      <c r="B1504" s="51">
        <v>4839.0200000000004</v>
      </c>
      <c r="C1504" s="52"/>
      <c r="D1504" s="52"/>
      <c r="E1504" s="52"/>
      <c r="F1504" s="52"/>
      <c r="G1504" s="52"/>
      <c r="H1504" s="52"/>
    </row>
    <row r="1505" spans="1:8" ht="15.75">
      <c r="A1505" s="50">
        <v>41593</v>
      </c>
      <c r="B1505" s="51">
        <v>4849.08</v>
      </c>
      <c r="C1505" s="52"/>
      <c r="D1505" s="52"/>
      <c r="E1505" s="52"/>
      <c r="F1505" s="52"/>
      <c r="G1505" s="52"/>
      <c r="H1505" s="52"/>
    </row>
    <row r="1506" spans="1:8" ht="15.75">
      <c r="A1506" s="50">
        <v>41596</v>
      </c>
      <c r="B1506" s="51">
        <v>4879.09</v>
      </c>
      <c r="C1506" s="52"/>
      <c r="D1506" s="52"/>
      <c r="E1506" s="52"/>
      <c r="F1506" s="52"/>
      <c r="G1506" s="52"/>
      <c r="H1506" s="52"/>
    </row>
    <row r="1507" spans="1:8" ht="15.75">
      <c r="A1507" s="50">
        <v>41597</v>
      </c>
      <c r="B1507" s="51">
        <v>4862.09</v>
      </c>
      <c r="C1507" s="52"/>
      <c r="D1507" s="52"/>
      <c r="E1507" s="52"/>
      <c r="F1507" s="52"/>
      <c r="G1507" s="52"/>
      <c r="H1507" s="52"/>
    </row>
    <row r="1508" spans="1:8" ht="15.75">
      <c r="A1508" s="50">
        <v>41598</v>
      </c>
      <c r="B1508" s="51">
        <v>4866.74</v>
      </c>
      <c r="C1508" s="52"/>
      <c r="D1508" s="52"/>
      <c r="E1508" s="52"/>
      <c r="F1508" s="52"/>
      <c r="G1508" s="52"/>
      <c r="H1508" s="52"/>
    </row>
    <row r="1509" spans="1:8" ht="15.75">
      <c r="A1509" s="50">
        <v>41599</v>
      </c>
      <c r="B1509" s="51">
        <v>4863.57</v>
      </c>
      <c r="C1509" s="52"/>
      <c r="D1509" s="52"/>
      <c r="E1509" s="52"/>
      <c r="F1509" s="52"/>
      <c r="G1509" s="52"/>
      <c r="H1509" s="52"/>
    </row>
    <row r="1510" spans="1:8" ht="15.75">
      <c r="A1510" s="50">
        <v>41600</v>
      </c>
      <c r="B1510" s="51">
        <v>4875.71</v>
      </c>
      <c r="C1510" s="52"/>
      <c r="D1510" s="52"/>
      <c r="E1510" s="52"/>
      <c r="F1510" s="52"/>
      <c r="G1510" s="52"/>
      <c r="H1510" s="52"/>
    </row>
    <row r="1511" spans="1:8" ht="15.75">
      <c r="A1511" s="50">
        <v>41603</v>
      </c>
      <c r="B1511" s="51">
        <v>4918.5</v>
      </c>
      <c r="C1511" s="52"/>
      <c r="D1511" s="52"/>
      <c r="E1511" s="52"/>
      <c r="F1511" s="52"/>
      <c r="G1511" s="52"/>
      <c r="H1511" s="52"/>
    </row>
    <row r="1512" spans="1:8" ht="15.75">
      <c r="A1512" s="50">
        <v>41604</v>
      </c>
      <c r="B1512" s="51">
        <v>4913.28</v>
      </c>
      <c r="C1512" s="52"/>
      <c r="D1512" s="52"/>
      <c r="E1512" s="52"/>
      <c r="F1512" s="52"/>
      <c r="G1512" s="52"/>
      <c r="H1512" s="52"/>
    </row>
    <row r="1513" spans="1:8" ht="15.75">
      <c r="A1513" s="50">
        <v>41605</v>
      </c>
      <c r="B1513" s="51">
        <v>4945.57</v>
      </c>
      <c r="C1513" s="52"/>
      <c r="D1513" s="52"/>
      <c r="E1513" s="52"/>
      <c r="F1513" s="52"/>
      <c r="G1513" s="52"/>
      <c r="H1513" s="52"/>
    </row>
    <row r="1514" spans="1:8" ht="15.75">
      <c r="A1514" s="50">
        <v>41606</v>
      </c>
      <c r="B1514" s="51">
        <v>4964.74</v>
      </c>
      <c r="C1514" s="52"/>
      <c r="D1514" s="52"/>
      <c r="E1514" s="52"/>
      <c r="F1514" s="52"/>
      <c r="G1514" s="52"/>
      <c r="H1514" s="52"/>
    </row>
    <row r="1515" spans="1:8" ht="15.75">
      <c r="A1515" s="50">
        <v>41607</v>
      </c>
      <c r="B1515" s="51">
        <v>4974.22</v>
      </c>
      <c r="C1515" s="52"/>
      <c r="D1515" s="52"/>
      <c r="E1515" s="52"/>
      <c r="F1515" s="52"/>
      <c r="G1515" s="52"/>
      <c r="H1515" s="52"/>
    </row>
    <row r="1516" spans="1:8" ht="15.75">
      <c r="A1516" s="50">
        <v>41610</v>
      </c>
      <c r="B1516" s="51">
        <v>4972.45</v>
      </c>
      <c r="C1516" s="52"/>
      <c r="D1516" s="52"/>
      <c r="E1516" s="52"/>
      <c r="F1516" s="52"/>
      <c r="G1516" s="52"/>
      <c r="H1516" s="52"/>
    </row>
    <row r="1517" spans="1:8" ht="15.75">
      <c r="A1517" s="50">
        <v>41611</v>
      </c>
      <c r="B1517" s="51">
        <v>4878.0200000000004</v>
      </c>
      <c r="C1517" s="52"/>
      <c r="D1517" s="52"/>
      <c r="E1517" s="52"/>
      <c r="F1517" s="52"/>
      <c r="G1517" s="52"/>
      <c r="H1517" s="52"/>
    </row>
    <row r="1518" spans="1:8" ht="15.75">
      <c r="A1518" s="50">
        <v>41612</v>
      </c>
      <c r="B1518" s="51">
        <v>4834.24</v>
      </c>
      <c r="C1518" s="52"/>
      <c r="D1518" s="52"/>
      <c r="E1518" s="52"/>
      <c r="F1518" s="52"/>
      <c r="G1518" s="52"/>
      <c r="H1518" s="52"/>
    </row>
    <row r="1519" spans="1:8" ht="15.75">
      <c r="A1519" s="50">
        <v>41613</v>
      </c>
      <c r="B1519" s="51">
        <v>4804.79</v>
      </c>
      <c r="C1519" s="52"/>
      <c r="D1519" s="52"/>
      <c r="E1519" s="52"/>
      <c r="F1519" s="52"/>
      <c r="G1519" s="52"/>
      <c r="H1519" s="52"/>
    </row>
    <row r="1520" spans="1:8" ht="15.75">
      <c r="A1520" s="50">
        <v>41614</v>
      </c>
      <c r="B1520" s="51">
        <v>4851.05</v>
      </c>
      <c r="C1520" s="52"/>
      <c r="D1520" s="52"/>
      <c r="E1520" s="52"/>
      <c r="F1520" s="52"/>
      <c r="G1520" s="52"/>
      <c r="H1520" s="52"/>
    </row>
    <row r="1521" spans="1:8" ht="15.75">
      <c r="A1521" s="50">
        <v>41617</v>
      </c>
      <c r="B1521" s="51">
        <v>4863.09</v>
      </c>
      <c r="C1521" s="52"/>
      <c r="D1521" s="52"/>
      <c r="E1521" s="52"/>
      <c r="F1521" s="52"/>
      <c r="G1521" s="52"/>
      <c r="H1521" s="52"/>
    </row>
    <row r="1522" spans="1:8" ht="15.75">
      <c r="A1522" s="50">
        <v>41618</v>
      </c>
      <c r="B1522" s="51">
        <v>4820.3900000000003</v>
      </c>
      <c r="C1522" s="52"/>
      <c r="D1522" s="52"/>
      <c r="E1522" s="52"/>
      <c r="F1522" s="52"/>
      <c r="G1522" s="52"/>
      <c r="H1522" s="52"/>
    </row>
    <row r="1523" spans="1:8" ht="15.75">
      <c r="A1523" s="50">
        <v>41619</v>
      </c>
      <c r="B1523" s="51">
        <v>4800.6499999999996</v>
      </c>
      <c r="C1523" s="52"/>
      <c r="D1523" s="52"/>
      <c r="E1523" s="52"/>
      <c r="F1523" s="52"/>
      <c r="G1523" s="52"/>
      <c r="H1523" s="52"/>
    </row>
    <row r="1524" spans="1:8" ht="15.75">
      <c r="A1524" s="50">
        <v>41620</v>
      </c>
      <c r="B1524" s="51">
        <v>4768.8599999999997</v>
      </c>
      <c r="C1524" s="52"/>
      <c r="D1524" s="52"/>
      <c r="E1524" s="52"/>
      <c r="F1524" s="52"/>
      <c r="G1524" s="52"/>
      <c r="H1524" s="52"/>
    </row>
    <row r="1525" spans="1:8" ht="15.75">
      <c r="A1525" s="50">
        <v>41621</v>
      </c>
      <c r="B1525" s="51">
        <v>4763.28</v>
      </c>
      <c r="C1525" s="52"/>
      <c r="D1525" s="52"/>
      <c r="E1525" s="52"/>
      <c r="F1525" s="52"/>
      <c r="G1525" s="52"/>
      <c r="H1525" s="52"/>
    </row>
    <row r="1526" spans="1:8" ht="15.75">
      <c r="A1526" s="50">
        <v>41624</v>
      </c>
      <c r="B1526" s="51">
        <v>4846.37</v>
      </c>
      <c r="C1526" s="52"/>
      <c r="D1526" s="52"/>
      <c r="E1526" s="52"/>
      <c r="F1526" s="52"/>
      <c r="G1526" s="52"/>
      <c r="H1526" s="52"/>
    </row>
    <row r="1527" spans="1:8" ht="15.75">
      <c r="A1527" s="50">
        <v>41625</v>
      </c>
      <c r="B1527" s="51">
        <v>4804.8900000000003</v>
      </c>
      <c r="C1527" s="52"/>
      <c r="D1527" s="52"/>
      <c r="E1527" s="52"/>
      <c r="F1527" s="52"/>
      <c r="G1527" s="52"/>
      <c r="H1527" s="52"/>
    </row>
    <row r="1528" spans="1:8" ht="15.75">
      <c r="A1528" s="50">
        <v>41626</v>
      </c>
      <c r="B1528" s="51">
        <v>4855.99</v>
      </c>
      <c r="C1528" s="52"/>
      <c r="D1528" s="52"/>
      <c r="E1528" s="52"/>
      <c r="F1528" s="52"/>
      <c r="G1528" s="52"/>
      <c r="H1528" s="52"/>
    </row>
    <row r="1529" spans="1:8" ht="15.75">
      <c r="A1529" s="50">
        <v>41627</v>
      </c>
      <c r="B1529" s="51">
        <v>4937.43</v>
      </c>
      <c r="C1529" s="52"/>
      <c r="D1529" s="52"/>
      <c r="E1529" s="52"/>
      <c r="F1529" s="52"/>
      <c r="G1529" s="52"/>
      <c r="H1529" s="52"/>
    </row>
    <row r="1530" spans="1:8" ht="15.75">
      <c r="A1530" s="50">
        <v>41628</v>
      </c>
      <c r="B1530" s="51">
        <v>4971.51</v>
      </c>
      <c r="C1530" s="52"/>
      <c r="D1530" s="52"/>
      <c r="E1530" s="52"/>
      <c r="F1530" s="52"/>
      <c r="G1530" s="52"/>
      <c r="H1530" s="52"/>
    </row>
    <row r="1531" spans="1:8" ht="15.75">
      <c r="A1531" s="50">
        <v>41631</v>
      </c>
      <c r="B1531" s="51">
        <v>5018.3900000000003</v>
      </c>
      <c r="C1531" s="52"/>
      <c r="D1531" s="52"/>
      <c r="E1531" s="52"/>
      <c r="F1531" s="52"/>
      <c r="G1531" s="52"/>
      <c r="H1531" s="52"/>
    </row>
    <row r="1532" spans="1:8" ht="15.75">
      <c r="A1532" s="50">
        <v>41635</v>
      </c>
      <c r="B1532" s="51">
        <v>5071.58</v>
      </c>
      <c r="C1532" s="52"/>
      <c r="D1532" s="52"/>
      <c r="E1532" s="52"/>
      <c r="F1532" s="52"/>
      <c r="G1532" s="52"/>
      <c r="H1532" s="52"/>
    </row>
    <row r="1533" spans="1:8" ht="15.75">
      <c r="A1533" s="50">
        <v>41638</v>
      </c>
      <c r="B1533" s="51">
        <v>5051.8900000000003</v>
      </c>
      <c r="C1533" s="52"/>
      <c r="D1533" s="52"/>
      <c r="E1533" s="52"/>
      <c r="F1533" s="52"/>
      <c r="G1533" s="52"/>
      <c r="H1533" s="52"/>
    </row>
    <row r="1534" spans="1:8" ht="15.75">
      <c r="A1534" s="50">
        <v>41641</v>
      </c>
      <c r="B1534" s="51">
        <v>4971.4399999999996</v>
      </c>
      <c r="C1534" s="52"/>
      <c r="D1534" s="52"/>
      <c r="E1534" s="52"/>
      <c r="F1534" s="52"/>
      <c r="G1534" s="52"/>
      <c r="H1534" s="52"/>
    </row>
    <row r="1535" spans="1:8" ht="15.75">
      <c r="A1535" s="50">
        <v>41642</v>
      </c>
      <c r="B1535" s="51">
        <v>4990</v>
      </c>
      <c r="C1535" s="52"/>
      <c r="D1535" s="52"/>
      <c r="E1535" s="52"/>
      <c r="F1535" s="52"/>
      <c r="G1535" s="52"/>
      <c r="H1535" s="52"/>
    </row>
    <row r="1536" spans="1:8" ht="15.75">
      <c r="A1536" s="50">
        <v>41645</v>
      </c>
      <c r="B1536" s="51">
        <v>4986.22</v>
      </c>
      <c r="C1536" s="52"/>
      <c r="D1536" s="52"/>
      <c r="E1536" s="52"/>
      <c r="F1536" s="52"/>
      <c r="G1536" s="52"/>
      <c r="H1536" s="52"/>
    </row>
    <row r="1537" spans="1:8" ht="15.75">
      <c r="A1537" s="50">
        <v>41646</v>
      </c>
      <c r="B1537" s="51">
        <v>5027.58</v>
      </c>
      <c r="C1537" s="52"/>
      <c r="D1537" s="52"/>
      <c r="E1537" s="52"/>
      <c r="F1537" s="52"/>
      <c r="G1537" s="52"/>
      <c r="H1537" s="52"/>
    </row>
    <row r="1538" spans="1:8" ht="15.75">
      <c r="A1538" s="50">
        <v>41647</v>
      </c>
      <c r="B1538" s="51">
        <v>5023.16</v>
      </c>
      <c r="C1538" s="52"/>
      <c r="D1538" s="52"/>
      <c r="E1538" s="52"/>
      <c r="F1538" s="52"/>
      <c r="G1538" s="52"/>
      <c r="H1538" s="52"/>
    </row>
    <row r="1539" spans="1:8" ht="15.75">
      <c r="A1539" s="50">
        <v>41648</v>
      </c>
      <c r="B1539" s="51">
        <v>4982.84</v>
      </c>
      <c r="C1539" s="52"/>
      <c r="D1539" s="52"/>
      <c r="E1539" s="52"/>
      <c r="F1539" s="52"/>
      <c r="G1539" s="52"/>
      <c r="H1539" s="52"/>
    </row>
    <row r="1540" spans="1:8" ht="15.75">
      <c r="A1540" s="50">
        <v>41649</v>
      </c>
      <c r="B1540" s="51">
        <v>5010.1499999999996</v>
      </c>
      <c r="C1540" s="52"/>
      <c r="D1540" s="52"/>
      <c r="E1540" s="52"/>
      <c r="F1540" s="52"/>
      <c r="G1540" s="52"/>
      <c r="H1540" s="52"/>
    </row>
    <row r="1541" spans="1:8" ht="15.75">
      <c r="A1541" s="50">
        <v>41652</v>
      </c>
      <c r="B1541" s="51">
        <v>5029.68</v>
      </c>
      <c r="C1541" s="52"/>
      <c r="D1541" s="52"/>
      <c r="E1541" s="52"/>
      <c r="F1541" s="52"/>
      <c r="G1541" s="52"/>
      <c r="H1541" s="52"/>
    </row>
    <row r="1542" spans="1:8" ht="15.75">
      <c r="A1542" s="50">
        <v>41653</v>
      </c>
      <c r="B1542" s="51">
        <v>5045.7299999999996</v>
      </c>
      <c r="C1542" s="52"/>
      <c r="D1542" s="52"/>
      <c r="E1542" s="52"/>
      <c r="F1542" s="52"/>
      <c r="G1542" s="52"/>
      <c r="H1542" s="52"/>
    </row>
    <row r="1543" spans="1:8" ht="15.75">
      <c r="A1543" s="50">
        <v>41654</v>
      </c>
      <c r="B1543" s="51">
        <v>5147.96</v>
      </c>
      <c r="C1543" s="52"/>
      <c r="D1543" s="52"/>
      <c r="E1543" s="52"/>
      <c r="F1543" s="52"/>
      <c r="G1543" s="52"/>
      <c r="H1543" s="52"/>
    </row>
    <row r="1544" spans="1:8" ht="15.75">
      <c r="A1544" s="50">
        <v>41655</v>
      </c>
      <c r="B1544" s="51">
        <v>5139.4399999999996</v>
      </c>
      <c r="C1544" s="52"/>
      <c r="D1544" s="52"/>
      <c r="E1544" s="52"/>
      <c r="F1544" s="52"/>
      <c r="G1544" s="52"/>
      <c r="H1544" s="52"/>
    </row>
    <row r="1545" spans="1:8" ht="15.75">
      <c r="A1545" s="50">
        <v>41656</v>
      </c>
      <c r="B1545" s="51">
        <v>5152.8</v>
      </c>
      <c r="C1545" s="52"/>
      <c r="D1545" s="52"/>
      <c r="E1545" s="52"/>
      <c r="F1545" s="52"/>
      <c r="G1545" s="52"/>
      <c r="H1545" s="52"/>
    </row>
    <row r="1546" spans="1:8" ht="15.75">
      <c r="A1546" s="50">
        <v>41659</v>
      </c>
      <c r="B1546" s="51">
        <v>5138.49</v>
      </c>
      <c r="C1546" s="52"/>
      <c r="D1546" s="52"/>
      <c r="E1546" s="52"/>
      <c r="F1546" s="52"/>
      <c r="G1546" s="52"/>
      <c r="H1546" s="52"/>
    </row>
    <row r="1547" spans="1:8" ht="15.75">
      <c r="A1547" s="50">
        <v>41660</v>
      </c>
      <c r="B1547" s="51">
        <v>5146</v>
      </c>
      <c r="C1547" s="52"/>
      <c r="D1547" s="52"/>
      <c r="E1547" s="52"/>
      <c r="F1547" s="52"/>
      <c r="G1547" s="52"/>
      <c r="H1547" s="52"/>
    </row>
    <row r="1548" spans="1:8" ht="15.75">
      <c r="A1548" s="50">
        <v>41661</v>
      </c>
      <c r="B1548" s="51">
        <v>5140.71</v>
      </c>
      <c r="C1548" s="52"/>
      <c r="D1548" s="52"/>
      <c r="E1548" s="52"/>
      <c r="F1548" s="52"/>
      <c r="G1548" s="52"/>
      <c r="H1548" s="52"/>
    </row>
    <row r="1549" spans="1:8" ht="15.75">
      <c r="A1549" s="50">
        <v>41662</v>
      </c>
      <c r="B1549" s="51">
        <v>5093.6099999999997</v>
      </c>
      <c r="C1549" s="52"/>
      <c r="D1549" s="52"/>
      <c r="E1549" s="52"/>
      <c r="F1549" s="52"/>
      <c r="G1549" s="52"/>
      <c r="H1549" s="52"/>
    </row>
    <row r="1550" spans="1:8" ht="15.75">
      <c r="A1550" s="50">
        <v>41663</v>
      </c>
      <c r="B1550" s="51">
        <v>4967.1899999999996</v>
      </c>
      <c r="C1550" s="52"/>
      <c r="D1550" s="52"/>
      <c r="E1550" s="52"/>
      <c r="F1550" s="52"/>
      <c r="G1550" s="52"/>
      <c r="H1550" s="52"/>
    </row>
    <row r="1551" spans="1:8" ht="15.75">
      <c r="A1551" s="50">
        <v>41666</v>
      </c>
      <c r="B1551" s="51">
        <v>4944.5600000000004</v>
      </c>
      <c r="C1551" s="52"/>
      <c r="D1551" s="52"/>
      <c r="E1551" s="52"/>
      <c r="F1551" s="52"/>
      <c r="G1551" s="52"/>
      <c r="H1551" s="52"/>
    </row>
    <row r="1552" spans="1:8" ht="15.75">
      <c r="A1552" s="50">
        <v>41667</v>
      </c>
      <c r="B1552" s="51">
        <v>4975.07</v>
      </c>
      <c r="C1552" s="52"/>
      <c r="D1552" s="52"/>
      <c r="E1552" s="52"/>
      <c r="F1552" s="52"/>
      <c r="G1552" s="52"/>
      <c r="H1552" s="52"/>
    </row>
    <row r="1553" spans="1:8" ht="15.75">
      <c r="A1553" s="50">
        <v>41668</v>
      </c>
      <c r="B1553" s="51">
        <v>4923.28</v>
      </c>
      <c r="C1553" s="52"/>
      <c r="D1553" s="52"/>
      <c r="E1553" s="52"/>
      <c r="F1553" s="52"/>
      <c r="G1553" s="52"/>
      <c r="H1553" s="52"/>
    </row>
    <row r="1554" spans="1:8" ht="15.75">
      <c r="A1554" s="50">
        <v>41669</v>
      </c>
      <c r="B1554" s="51">
        <v>4942.82</v>
      </c>
      <c r="C1554" s="52"/>
      <c r="D1554" s="52"/>
      <c r="E1554" s="52"/>
      <c r="F1554" s="52"/>
      <c r="G1554" s="52"/>
      <c r="H1554" s="52"/>
    </row>
    <row r="1555" spans="1:8" ht="15.75">
      <c r="A1555" s="50">
        <v>41670</v>
      </c>
      <c r="B1555" s="51">
        <v>4907.42</v>
      </c>
      <c r="C1555" s="52"/>
      <c r="D1555" s="52"/>
      <c r="E1555" s="52"/>
      <c r="F1555" s="52"/>
      <c r="G1555" s="52"/>
      <c r="H1555" s="52"/>
    </row>
    <row r="1556" spans="1:8" ht="15.75">
      <c r="A1556" s="50">
        <v>41673</v>
      </c>
      <c r="B1556" s="51">
        <v>4844.17</v>
      </c>
      <c r="C1556" s="52"/>
      <c r="D1556" s="52"/>
      <c r="E1556" s="52"/>
      <c r="F1556" s="52"/>
      <c r="G1556" s="52"/>
      <c r="H1556" s="52"/>
    </row>
    <row r="1557" spans="1:8" ht="15.75">
      <c r="A1557" s="50">
        <v>41674</v>
      </c>
      <c r="B1557" s="51">
        <v>4813.3100000000004</v>
      </c>
      <c r="C1557" s="52"/>
      <c r="D1557" s="52"/>
      <c r="E1557" s="52"/>
      <c r="F1557" s="52"/>
      <c r="G1557" s="52"/>
      <c r="H1557" s="52"/>
    </row>
    <row r="1558" spans="1:8" ht="15.75">
      <c r="A1558" s="50">
        <v>41675</v>
      </c>
      <c r="B1558" s="51">
        <v>4807.1400000000003</v>
      </c>
      <c r="C1558" s="52"/>
      <c r="D1558" s="52"/>
      <c r="E1558" s="52"/>
      <c r="F1558" s="52"/>
      <c r="G1558" s="52"/>
      <c r="H1558" s="52"/>
    </row>
    <row r="1559" spans="1:8" ht="15.75">
      <c r="A1559" s="50">
        <v>41676</v>
      </c>
      <c r="B1559" s="51">
        <v>4881.18</v>
      </c>
      <c r="C1559" s="52"/>
      <c r="D1559" s="52"/>
      <c r="E1559" s="52"/>
      <c r="F1559" s="52"/>
      <c r="G1559" s="52"/>
      <c r="H1559" s="52"/>
    </row>
    <row r="1560" spans="1:8" ht="15.75">
      <c r="A1560" s="50">
        <v>41677</v>
      </c>
      <c r="B1560" s="51">
        <v>4905.1000000000004</v>
      </c>
      <c r="C1560" s="52"/>
      <c r="D1560" s="52"/>
      <c r="E1560" s="52"/>
      <c r="F1560" s="52"/>
      <c r="G1560" s="52"/>
      <c r="H1560" s="52"/>
    </row>
    <row r="1561" spans="1:8" ht="15.75">
      <c r="A1561" s="50">
        <v>41680</v>
      </c>
      <c r="B1561" s="51">
        <v>4898.74</v>
      </c>
      <c r="C1561" s="52"/>
      <c r="D1561" s="52"/>
      <c r="E1561" s="52"/>
      <c r="F1561" s="52"/>
      <c r="G1561" s="52"/>
      <c r="H1561" s="52"/>
    </row>
    <row r="1562" spans="1:8" ht="15.75">
      <c r="A1562" s="50">
        <v>41681</v>
      </c>
      <c r="B1562" s="51">
        <v>4998.5200000000004</v>
      </c>
      <c r="C1562" s="52"/>
      <c r="D1562" s="52"/>
      <c r="E1562" s="52"/>
      <c r="F1562" s="52"/>
      <c r="G1562" s="52"/>
      <c r="H1562" s="52"/>
    </row>
    <row r="1563" spans="1:8" ht="15.75">
      <c r="A1563" s="50">
        <v>41682</v>
      </c>
      <c r="B1563" s="51">
        <v>5030.8500000000004</v>
      </c>
      <c r="C1563" s="52"/>
      <c r="D1563" s="52"/>
      <c r="E1563" s="52"/>
      <c r="F1563" s="52"/>
      <c r="G1563" s="52"/>
      <c r="H1563" s="52"/>
    </row>
    <row r="1564" spans="1:8" ht="15.75">
      <c r="A1564" s="50">
        <v>41683</v>
      </c>
      <c r="B1564" s="51">
        <v>5060.8900000000003</v>
      </c>
      <c r="C1564" s="52"/>
      <c r="D1564" s="52"/>
      <c r="E1564" s="52"/>
      <c r="F1564" s="52"/>
      <c r="G1564" s="52"/>
      <c r="H1564" s="52"/>
    </row>
    <row r="1565" spans="1:8" ht="15.75">
      <c r="A1565" s="50">
        <v>41684</v>
      </c>
      <c r="B1565" s="51">
        <v>5094.66</v>
      </c>
      <c r="C1565" s="52"/>
      <c r="D1565" s="52"/>
      <c r="E1565" s="52"/>
      <c r="F1565" s="52"/>
      <c r="G1565" s="52"/>
      <c r="H1565" s="52"/>
    </row>
    <row r="1566" spans="1:8" ht="15.75">
      <c r="A1566" s="50">
        <v>41687</v>
      </c>
      <c r="B1566" s="51">
        <v>5091.62</v>
      </c>
      <c r="C1566" s="52"/>
      <c r="D1566" s="52"/>
      <c r="E1566" s="52"/>
      <c r="F1566" s="52"/>
      <c r="G1566" s="52"/>
      <c r="H1566" s="52"/>
    </row>
    <row r="1567" spans="1:8" ht="15.75">
      <c r="A1567" s="50">
        <v>41688</v>
      </c>
      <c r="B1567" s="51">
        <v>5093.32</v>
      </c>
      <c r="C1567" s="52"/>
      <c r="D1567" s="52"/>
      <c r="E1567" s="52"/>
      <c r="F1567" s="52"/>
      <c r="G1567" s="52"/>
      <c r="H1567" s="52"/>
    </row>
    <row r="1568" spans="1:8" ht="15.75">
      <c r="A1568" s="50">
        <v>41689</v>
      </c>
      <c r="B1568" s="51">
        <v>5093.3999999999996</v>
      </c>
      <c r="C1568" s="52"/>
      <c r="D1568" s="52"/>
      <c r="E1568" s="52"/>
      <c r="F1568" s="52"/>
      <c r="G1568" s="52"/>
      <c r="H1568" s="52"/>
    </row>
    <row r="1569" spans="1:8" ht="15.75">
      <c r="A1569" s="50">
        <v>41690</v>
      </c>
      <c r="B1569" s="51">
        <v>5071.6400000000003</v>
      </c>
      <c r="C1569" s="52"/>
      <c r="D1569" s="52"/>
      <c r="E1569" s="52"/>
      <c r="F1569" s="52"/>
      <c r="G1569" s="52"/>
      <c r="H1569" s="52"/>
    </row>
    <row r="1570" spans="1:8" ht="15.75">
      <c r="A1570" s="50">
        <v>41691</v>
      </c>
      <c r="B1570" s="51">
        <v>5091.8</v>
      </c>
      <c r="C1570" s="52"/>
      <c r="D1570" s="52"/>
      <c r="E1570" s="52"/>
      <c r="F1570" s="52"/>
      <c r="G1570" s="52"/>
      <c r="H1570" s="52"/>
    </row>
    <row r="1571" spans="1:8" ht="15.75">
      <c r="A1571" s="50">
        <v>41694</v>
      </c>
      <c r="B1571" s="51">
        <v>5119.16</v>
      </c>
      <c r="C1571" s="52"/>
      <c r="D1571" s="52"/>
      <c r="E1571" s="52"/>
      <c r="F1571" s="52"/>
      <c r="G1571" s="52"/>
      <c r="H1571" s="52"/>
    </row>
    <row r="1572" spans="1:8" ht="15.75">
      <c r="A1572" s="50">
        <v>41695</v>
      </c>
      <c r="B1572" s="51">
        <v>5113.91</v>
      </c>
      <c r="C1572" s="52"/>
      <c r="D1572" s="52"/>
      <c r="E1572" s="52"/>
      <c r="F1572" s="52"/>
      <c r="G1572" s="52"/>
      <c r="H1572" s="52"/>
    </row>
    <row r="1573" spans="1:8" ht="15.75">
      <c r="A1573" s="50">
        <v>41696</v>
      </c>
      <c r="B1573" s="51">
        <v>5094.0200000000004</v>
      </c>
      <c r="C1573" s="52"/>
      <c r="D1573" s="52"/>
      <c r="E1573" s="52"/>
      <c r="F1573" s="52"/>
      <c r="G1573" s="52"/>
      <c r="H1573" s="52"/>
    </row>
    <row r="1574" spans="1:8" ht="15.75">
      <c r="A1574" s="50">
        <v>41697</v>
      </c>
      <c r="B1574" s="51">
        <v>5055.3100000000004</v>
      </c>
      <c r="C1574" s="52"/>
      <c r="D1574" s="52"/>
      <c r="E1574" s="52"/>
      <c r="F1574" s="52"/>
      <c r="G1574" s="52"/>
      <c r="H1574" s="52"/>
    </row>
    <row r="1575" spans="1:8" ht="15.75">
      <c r="A1575" s="50">
        <v>41698</v>
      </c>
      <c r="B1575" s="51">
        <v>5110.05</v>
      </c>
      <c r="C1575" s="52"/>
      <c r="D1575" s="52"/>
      <c r="E1575" s="52"/>
      <c r="F1575" s="52"/>
      <c r="G1575" s="52"/>
      <c r="H1575" s="52"/>
    </row>
    <row r="1576" spans="1:8" ht="15.75">
      <c r="A1576" s="50">
        <v>41701</v>
      </c>
      <c r="B1576" s="51">
        <v>4934.4399999999996</v>
      </c>
      <c r="C1576" s="52"/>
      <c r="D1576" s="52"/>
      <c r="E1576" s="52"/>
      <c r="F1576" s="52"/>
      <c r="G1576" s="52"/>
      <c r="H1576" s="52"/>
    </row>
    <row r="1577" spans="1:8" ht="15.75">
      <c r="A1577" s="50">
        <v>41702</v>
      </c>
      <c r="B1577" s="51">
        <v>5055.8100000000004</v>
      </c>
      <c r="C1577" s="52"/>
      <c r="D1577" s="52"/>
      <c r="E1577" s="52"/>
      <c r="F1577" s="52"/>
      <c r="G1577" s="52"/>
      <c r="H1577" s="52"/>
    </row>
    <row r="1578" spans="1:8" ht="15.75">
      <c r="A1578" s="50">
        <v>41703</v>
      </c>
      <c r="B1578" s="51">
        <v>5030.8599999999997</v>
      </c>
      <c r="C1578" s="52"/>
      <c r="D1578" s="52"/>
      <c r="E1578" s="52"/>
      <c r="F1578" s="52"/>
      <c r="G1578" s="52"/>
      <c r="H1578" s="52"/>
    </row>
    <row r="1579" spans="1:8" ht="15.75">
      <c r="A1579" s="50">
        <v>41704</v>
      </c>
      <c r="B1579" s="51">
        <v>5031.3100000000004</v>
      </c>
      <c r="C1579" s="52"/>
      <c r="D1579" s="52"/>
      <c r="E1579" s="52"/>
      <c r="F1579" s="52"/>
      <c r="G1579" s="52"/>
      <c r="H1579" s="52"/>
    </row>
    <row r="1580" spans="1:8" ht="15.75">
      <c r="A1580" s="50">
        <v>41705</v>
      </c>
      <c r="B1580" s="51">
        <v>4930.12</v>
      </c>
      <c r="C1580" s="52"/>
      <c r="D1580" s="52"/>
      <c r="E1580" s="52"/>
      <c r="F1580" s="52"/>
      <c r="G1580" s="52"/>
      <c r="H1580" s="52"/>
    </row>
    <row r="1581" spans="1:8" ht="15.75">
      <c r="A1581" s="50">
        <v>41708</v>
      </c>
      <c r="B1581" s="51">
        <v>4885.18</v>
      </c>
      <c r="C1581" s="52"/>
      <c r="D1581" s="52"/>
      <c r="E1581" s="52"/>
      <c r="F1581" s="52"/>
      <c r="G1581" s="52"/>
      <c r="H1581" s="52"/>
    </row>
    <row r="1582" spans="1:8" ht="15.75">
      <c r="A1582" s="50">
        <v>41709</v>
      </c>
      <c r="B1582" s="51">
        <v>4907.38</v>
      </c>
      <c r="C1582" s="52"/>
      <c r="D1582" s="52"/>
      <c r="E1582" s="52"/>
      <c r="F1582" s="52"/>
      <c r="G1582" s="52"/>
      <c r="H1582" s="52"/>
    </row>
    <row r="1583" spans="1:8" ht="15.75">
      <c r="A1583" s="50">
        <v>41710</v>
      </c>
      <c r="B1583" s="51">
        <v>4844.72</v>
      </c>
      <c r="C1583" s="52"/>
      <c r="D1583" s="52"/>
      <c r="E1583" s="52"/>
      <c r="F1583" s="52"/>
      <c r="G1583" s="52"/>
      <c r="H1583" s="52"/>
    </row>
    <row r="1584" spans="1:8" ht="15.75">
      <c r="A1584" s="50">
        <v>41711</v>
      </c>
      <c r="B1584" s="51">
        <v>4754.6099999999997</v>
      </c>
      <c r="C1584" s="52"/>
      <c r="D1584" s="52"/>
      <c r="E1584" s="52"/>
      <c r="F1584" s="52"/>
      <c r="G1584" s="52"/>
      <c r="H1584" s="52"/>
    </row>
    <row r="1585" spans="1:8" ht="15.75">
      <c r="A1585" s="50">
        <v>41712</v>
      </c>
      <c r="B1585" s="51">
        <v>4774.84</v>
      </c>
      <c r="C1585" s="52"/>
      <c r="D1585" s="52"/>
      <c r="E1585" s="52"/>
      <c r="F1585" s="52"/>
      <c r="G1585" s="52"/>
      <c r="H1585" s="52"/>
    </row>
    <row r="1586" spans="1:8" ht="15.75">
      <c r="A1586" s="50">
        <v>41715</v>
      </c>
      <c r="B1586" s="51">
        <v>4840.17</v>
      </c>
      <c r="C1586" s="52"/>
      <c r="D1586" s="52"/>
      <c r="E1586" s="52"/>
      <c r="F1586" s="52"/>
      <c r="G1586" s="52"/>
      <c r="H1586" s="52"/>
    </row>
    <row r="1587" spans="1:8" ht="15.75">
      <c r="A1587" s="50">
        <v>41716</v>
      </c>
      <c r="B1587" s="51">
        <v>4872.6000000000004</v>
      </c>
      <c r="C1587" s="52"/>
      <c r="D1587" s="52"/>
      <c r="E1587" s="52"/>
      <c r="F1587" s="52"/>
      <c r="G1587" s="52"/>
      <c r="H1587" s="52"/>
    </row>
    <row r="1588" spans="1:8" ht="15.75">
      <c r="A1588" s="50">
        <v>41717</v>
      </c>
      <c r="B1588" s="51">
        <v>4890.92</v>
      </c>
      <c r="C1588" s="52"/>
      <c r="D1588" s="52"/>
      <c r="E1588" s="52"/>
      <c r="F1588" s="52"/>
      <c r="G1588" s="52"/>
      <c r="H1588" s="52"/>
    </row>
    <row r="1589" spans="1:8" ht="15.75">
      <c r="A1589" s="50">
        <v>41718</v>
      </c>
      <c r="B1589" s="51">
        <v>4900.67</v>
      </c>
      <c r="C1589" s="52"/>
      <c r="D1589" s="52"/>
      <c r="E1589" s="52"/>
      <c r="F1589" s="52"/>
      <c r="G1589" s="52"/>
      <c r="H1589" s="52"/>
    </row>
    <row r="1590" spans="1:8" ht="15.75">
      <c r="A1590" s="50">
        <v>41719</v>
      </c>
      <c r="B1590" s="51">
        <v>4925.22</v>
      </c>
      <c r="C1590" s="52"/>
      <c r="D1590" s="52"/>
      <c r="E1590" s="52"/>
      <c r="F1590" s="52"/>
      <c r="G1590" s="52"/>
      <c r="H1590" s="52"/>
    </row>
    <row r="1591" spans="1:8" ht="15.75">
      <c r="A1591" s="50">
        <v>41722</v>
      </c>
      <c r="B1591" s="51">
        <v>4843.95</v>
      </c>
      <c r="C1591" s="52"/>
      <c r="D1591" s="52"/>
      <c r="E1591" s="52"/>
      <c r="F1591" s="52"/>
      <c r="G1591" s="52"/>
      <c r="H1591" s="52"/>
    </row>
    <row r="1592" spans="1:8" ht="15.75">
      <c r="A1592" s="50">
        <v>41723</v>
      </c>
      <c r="B1592" s="51">
        <v>4922.83</v>
      </c>
      <c r="C1592" s="52"/>
      <c r="D1592" s="52"/>
      <c r="E1592" s="52"/>
      <c r="F1592" s="52"/>
      <c r="G1592" s="52"/>
      <c r="H1592" s="52"/>
    </row>
    <row r="1593" spans="1:8" ht="15.75">
      <c r="A1593" s="50">
        <v>41724</v>
      </c>
      <c r="B1593" s="51">
        <v>4980.91</v>
      </c>
      <c r="C1593" s="52"/>
      <c r="D1593" s="52"/>
      <c r="E1593" s="52"/>
      <c r="F1593" s="52"/>
      <c r="G1593" s="52"/>
      <c r="H1593" s="52"/>
    </row>
    <row r="1594" spans="1:8" ht="15.75">
      <c r="A1594" s="50">
        <v>41725</v>
      </c>
      <c r="B1594" s="51">
        <v>4982.29</v>
      </c>
      <c r="C1594" s="52"/>
      <c r="D1594" s="52"/>
      <c r="E1594" s="52"/>
      <c r="F1594" s="52"/>
      <c r="G1594" s="52"/>
      <c r="H1594" s="52"/>
    </row>
    <row r="1595" spans="1:8" ht="15.75">
      <c r="A1595" s="50">
        <v>41726</v>
      </c>
      <c r="B1595" s="51">
        <v>5053.9799999999996</v>
      </c>
      <c r="C1595" s="52"/>
      <c r="D1595" s="52"/>
      <c r="E1595" s="52"/>
      <c r="F1595" s="52"/>
      <c r="G1595" s="52"/>
      <c r="H1595" s="52"/>
    </row>
    <row r="1596" spans="1:8" ht="15.75">
      <c r="A1596" s="50">
        <v>41729</v>
      </c>
      <c r="B1596" s="51">
        <v>5037.49</v>
      </c>
      <c r="C1596" s="52"/>
      <c r="D1596" s="52"/>
      <c r="E1596" s="52"/>
      <c r="F1596" s="52"/>
      <c r="G1596" s="52"/>
      <c r="H1596" s="52"/>
    </row>
    <row r="1597" spans="1:8" ht="15.75">
      <c r="A1597" s="50">
        <v>41730</v>
      </c>
      <c r="B1597" s="51">
        <v>5062.6899999999996</v>
      </c>
      <c r="C1597" s="52"/>
      <c r="D1597" s="52"/>
      <c r="E1597" s="52"/>
      <c r="F1597" s="52"/>
      <c r="G1597" s="52"/>
      <c r="H1597" s="52"/>
    </row>
    <row r="1598" spans="1:8" ht="15.75">
      <c r="A1598" s="50">
        <v>41731</v>
      </c>
      <c r="B1598" s="51">
        <v>5073.05</v>
      </c>
      <c r="C1598" s="52"/>
      <c r="D1598" s="52"/>
      <c r="E1598" s="52"/>
      <c r="F1598" s="52"/>
      <c r="G1598" s="52"/>
      <c r="H1598" s="52"/>
    </row>
    <row r="1599" spans="1:8" ht="15.75">
      <c r="A1599" s="50">
        <v>41732</v>
      </c>
      <c r="B1599" s="51">
        <v>5075.92</v>
      </c>
      <c r="C1599" s="52"/>
      <c r="D1599" s="52"/>
      <c r="E1599" s="52"/>
      <c r="F1599" s="52"/>
      <c r="G1599" s="52"/>
      <c r="H1599" s="52"/>
    </row>
    <row r="1600" spans="1:8" ht="15.75">
      <c r="A1600" s="50">
        <v>41733</v>
      </c>
      <c r="B1600" s="51">
        <v>5111.22</v>
      </c>
      <c r="C1600" s="52"/>
      <c r="D1600" s="52"/>
      <c r="E1600" s="52"/>
      <c r="F1600" s="52"/>
      <c r="G1600" s="52"/>
      <c r="H1600" s="52"/>
    </row>
    <row r="1601" spans="1:8" ht="15.75">
      <c r="A1601" s="50">
        <v>41736</v>
      </c>
      <c r="B1601" s="51">
        <v>5012.43</v>
      </c>
      <c r="C1601" s="52"/>
      <c r="D1601" s="52"/>
      <c r="E1601" s="52"/>
      <c r="F1601" s="52"/>
      <c r="G1601" s="52"/>
      <c r="H1601" s="52"/>
    </row>
    <row r="1602" spans="1:8" ht="15.75">
      <c r="A1602" s="50">
        <v>41737</v>
      </c>
      <c r="B1602" s="51">
        <v>5001.8500000000004</v>
      </c>
      <c r="C1602" s="52"/>
      <c r="D1602" s="52"/>
      <c r="E1602" s="52"/>
      <c r="F1602" s="52"/>
      <c r="G1602" s="52"/>
      <c r="H1602" s="52"/>
    </row>
    <row r="1603" spans="1:8" ht="15.75">
      <c r="A1603" s="50">
        <v>41738</v>
      </c>
      <c r="B1603" s="51">
        <v>5010.05</v>
      </c>
      <c r="C1603" s="52"/>
      <c r="D1603" s="52"/>
      <c r="E1603" s="52"/>
      <c r="F1603" s="52"/>
      <c r="G1603" s="52"/>
      <c r="H1603" s="52"/>
    </row>
    <row r="1604" spans="1:8" ht="15.75">
      <c r="A1604" s="50">
        <v>41739</v>
      </c>
      <c r="B1604" s="51">
        <v>4968.9399999999996</v>
      </c>
      <c r="C1604" s="52"/>
      <c r="D1604" s="52"/>
      <c r="E1604" s="52"/>
      <c r="F1604" s="52"/>
      <c r="G1604" s="52"/>
      <c r="H1604" s="52"/>
    </row>
    <row r="1605" spans="1:8" ht="15.75">
      <c r="A1605" s="50">
        <v>41740</v>
      </c>
      <c r="B1605" s="51">
        <v>4895.79</v>
      </c>
      <c r="C1605" s="52"/>
      <c r="D1605" s="52"/>
      <c r="E1605" s="52"/>
      <c r="F1605" s="52"/>
      <c r="G1605" s="52"/>
      <c r="H1605" s="52"/>
    </row>
    <row r="1606" spans="1:8" ht="15.75">
      <c r="A1606" s="50">
        <v>41743</v>
      </c>
      <c r="B1606" s="51">
        <v>4908.33</v>
      </c>
      <c r="C1606" s="52"/>
      <c r="D1606" s="52"/>
      <c r="E1606" s="52"/>
      <c r="F1606" s="52"/>
      <c r="G1606" s="52"/>
      <c r="H1606" s="52"/>
    </row>
    <row r="1607" spans="1:8" ht="15.75">
      <c r="A1607" s="50">
        <v>41744</v>
      </c>
      <c r="B1607" s="51">
        <v>4821.58</v>
      </c>
      <c r="C1607" s="52"/>
      <c r="D1607" s="52"/>
      <c r="E1607" s="52"/>
      <c r="F1607" s="52"/>
      <c r="G1607" s="52"/>
      <c r="H1607" s="52"/>
    </row>
    <row r="1608" spans="1:8" ht="15.75">
      <c r="A1608" s="50">
        <v>41745</v>
      </c>
      <c r="B1608" s="51">
        <v>4897.2700000000004</v>
      </c>
      <c r="C1608" s="52"/>
      <c r="D1608" s="52"/>
      <c r="E1608" s="52"/>
      <c r="F1608" s="52"/>
      <c r="G1608" s="52"/>
      <c r="H1608" s="52"/>
    </row>
    <row r="1609" spans="1:8" ht="15.75">
      <c r="A1609" s="50">
        <v>41746</v>
      </c>
      <c r="B1609" s="51">
        <v>4942.3500000000004</v>
      </c>
      <c r="C1609" s="52"/>
      <c r="D1609" s="52"/>
      <c r="E1609" s="52"/>
      <c r="F1609" s="52"/>
      <c r="G1609" s="52"/>
      <c r="H1609" s="52"/>
    </row>
    <row r="1610" spans="1:8" ht="15.75">
      <c r="A1610" s="50">
        <v>41751</v>
      </c>
      <c r="B1610" s="51">
        <v>5041.8900000000003</v>
      </c>
      <c r="C1610" s="52"/>
      <c r="D1610" s="52"/>
      <c r="E1610" s="52"/>
      <c r="F1610" s="52"/>
      <c r="G1610" s="52"/>
      <c r="H1610" s="52"/>
    </row>
    <row r="1611" spans="1:8" ht="15.75">
      <c r="A1611" s="50">
        <v>41752</v>
      </c>
      <c r="B1611" s="51">
        <v>5012.62</v>
      </c>
      <c r="C1611" s="52"/>
      <c r="D1611" s="52"/>
      <c r="E1611" s="52"/>
      <c r="F1611" s="52"/>
      <c r="G1611" s="52"/>
      <c r="H1611" s="52"/>
    </row>
    <row r="1612" spans="1:8" ht="15.75">
      <c r="A1612" s="50">
        <v>41753</v>
      </c>
      <c r="B1612" s="51">
        <v>5015.0600000000004</v>
      </c>
      <c r="C1612" s="52"/>
      <c r="D1612" s="52"/>
      <c r="E1612" s="52"/>
      <c r="F1612" s="52"/>
      <c r="G1612" s="52"/>
      <c r="H1612" s="52"/>
    </row>
    <row r="1613" spans="1:8" ht="15.75">
      <c r="A1613" s="50">
        <v>41754</v>
      </c>
      <c r="B1613" s="51">
        <v>4937.82</v>
      </c>
      <c r="C1613" s="52"/>
      <c r="D1613" s="52"/>
      <c r="E1613" s="52"/>
      <c r="F1613" s="52"/>
      <c r="G1613" s="52"/>
      <c r="H1613" s="52"/>
    </row>
    <row r="1614" spans="1:8" ht="15.75">
      <c r="A1614" s="50">
        <v>41757</v>
      </c>
      <c r="B1614" s="51">
        <v>4959.59</v>
      </c>
      <c r="C1614" s="52"/>
      <c r="D1614" s="52"/>
      <c r="E1614" s="52"/>
      <c r="F1614" s="52"/>
      <c r="G1614" s="52"/>
      <c r="H1614" s="52"/>
    </row>
    <row r="1615" spans="1:8" ht="15.75">
      <c r="A1615" s="50">
        <v>41758</v>
      </c>
      <c r="B1615" s="51">
        <v>5031.97</v>
      </c>
      <c r="C1615" s="52"/>
      <c r="D1615" s="52"/>
      <c r="E1615" s="52"/>
      <c r="F1615" s="52"/>
      <c r="G1615" s="52"/>
      <c r="H1615" s="52"/>
    </row>
    <row r="1616" spans="1:8" ht="15.75">
      <c r="A1616" s="50">
        <v>41759</v>
      </c>
      <c r="B1616" s="51">
        <v>5030.34</v>
      </c>
      <c r="C1616" s="52"/>
      <c r="D1616" s="52"/>
      <c r="E1616" s="52"/>
      <c r="F1616" s="52"/>
      <c r="G1616" s="52"/>
      <c r="H1616" s="52"/>
    </row>
    <row r="1617" spans="1:8" ht="15.75">
      <c r="A1617" s="50">
        <v>41761</v>
      </c>
      <c r="B1617" s="51">
        <v>4991.62</v>
      </c>
      <c r="C1617" s="52"/>
      <c r="D1617" s="52"/>
      <c r="E1617" s="52"/>
      <c r="F1617" s="52"/>
      <c r="G1617" s="52"/>
      <c r="H1617" s="52"/>
    </row>
    <row r="1618" spans="1:8" ht="15.75">
      <c r="A1618" s="50">
        <v>41764</v>
      </c>
      <c r="B1618" s="51">
        <v>4962.33</v>
      </c>
      <c r="C1618" s="52"/>
      <c r="D1618" s="52"/>
      <c r="E1618" s="52"/>
      <c r="F1618" s="52"/>
      <c r="G1618" s="52"/>
      <c r="H1618" s="52"/>
    </row>
    <row r="1619" spans="1:8" ht="15.75">
      <c r="A1619" s="50">
        <v>41765</v>
      </c>
      <c r="B1619" s="51">
        <v>4930.13</v>
      </c>
      <c r="C1619" s="52"/>
      <c r="D1619" s="52"/>
      <c r="E1619" s="52"/>
      <c r="F1619" s="52"/>
      <c r="G1619" s="52"/>
      <c r="H1619" s="52"/>
    </row>
    <row r="1620" spans="1:8" ht="15.75">
      <c r="A1620" s="50">
        <v>41766</v>
      </c>
      <c r="B1620" s="51">
        <v>4958.1000000000004</v>
      </c>
      <c r="C1620" s="52"/>
      <c r="D1620" s="52"/>
      <c r="E1620" s="52"/>
      <c r="F1620" s="52"/>
      <c r="G1620" s="52"/>
      <c r="H1620" s="52"/>
    </row>
    <row r="1621" spans="1:8" ht="15.75">
      <c r="A1621" s="50">
        <v>41767</v>
      </c>
      <c r="B1621" s="51">
        <v>4987.17</v>
      </c>
      <c r="C1621" s="52"/>
      <c r="D1621" s="52"/>
      <c r="E1621" s="52"/>
      <c r="F1621" s="52"/>
      <c r="G1621" s="52"/>
      <c r="H1621" s="52"/>
    </row>
    <row r="1622" spans="1:8" ht="15.75">
      <c r="A1622" s="50">
        <v>41768</v>
      </c>
      <c r="B1622" s="51">
        <v>4971.88</v>
      </c>
      <c r="C1622" s="52"/>
      <c r="D1622" s="52"/>
      <c r="E1622" s="52"/>
      <c r="F1622" s="52"/>
      <c r="G1622" s="52"/>
      <c r="H1622" s="52"/>
    </row>
    <row r="1623" spans="1:8" ht="15.75">
      <c r="A1623" s="50">
        <v>41771</v>
      </c>
      <c r="B1623" s="51">
        <v>5033.97</v>
      </c>
      <c r="C1623" s="52"/>
      <c r="D1623" s="52"/>
      <c r="E1623" s="52"/>
      <c r="F1623" s="52"/>
      <c r="G1623" s="52"/>
      <c r="H1623" s="52"/>
    </row>
    <row r="1624" spans="1:8" ht="15.75">
      <c r="A1624" s="50">
        <v>41772</v>
      </c>
      <c r="B1624" s="51">
        <v>5061.1499999999996</v>
      </c>
      <c r="C1624" s="52"/>
      <c r="D1624" s="52"/>
      <c r="E1624" s="52"/>
      <c r="F1624" s="52"/>
      <c r="G1624" s="52"/>
      <c r="H1624" s="52"/>
    </row>
    <row r="1625" spans="1:8" ht="15.75">
      <c r="A1625" s="50">
        <v>41773</v>
      </c>
      <c r="B1625" s="51">
        <v>5057.33</v>
      </c>
      <c r="C1625" s="52"/>
      <c r="D1625" s="52"/>
      <c r="E1625" s="52"/>
      <c r="F1625" s="52"/>
      <c r="G1625" s="52"/>
      <c r="H1625" s="52"/>
    </row>
    <row r="1626" spans="1:8" ht="15.75">
      <c r="A1626" s="50">
        <v>41774</v>
      </c>
      <c r="B1626" s="51">
        <v>5005.8999999999996</v>
      </c>
      <c r="C1626" s="52"/>
      <c r="D1626" s="52"/>
      <c r="E1626" s="52"/>
      <c r="F1626" s="52"/>
      <c r="G1626" s="52"/>
      <c r="H1626" s="52"/>
    </row>
    <row r="1627" spans="1:8" ht="15.75">
      <c r="A1627" s="50">
        <v>41775</v>
      </c>
      <c r="B1627" s="51">
        <v>4973.99</v>
      </c>
      <c r="C1627" s="52"/>
      <c r="D1627" s="52"/>
      <c r="E1627" s="52"/>
      <c r="F1627" s="52"/>
      <c r="G1627" s="52"/>
      <c r="H1627" s="52"/>
    </row>
    <row r="1628" spans="1:8" ht="15.75">
      <c r="A1628" s="50">
        <v>41778</v>
      </c>
      <c r="B1628" s="51">
        <v>4988.29</v>
      </c>
      <c r="C1628" s="52"/>
      <c r="D1628" s="52"/>
      <c r="E1628" s="52"/>
      <c r="F1628" s="52"/>
      <c r="G1628" s="52"/>
      <c r="H1628" s="52"/>
    </row>
    <row r="1629" spans="1:8" ht="15.75">
      <c r="A1629" s="50">
        <v>41779</v>
      </c>
      <c r="B1629" s="51">
        <v>4977.67</v>
      </c>
      <c r="C1629" s="52"/>
      <c r="D1629" s="52"/>
      <c r="E1629" s="52"/>
      <c r="F1629" s="52"/>
      <c r="G1629" s="52"/>
      <c r="H1629" s="52"/>
    </row>
    <row r="1630" spans="1:8" ht="15.75">
      <c r="A1630" s="50">
        <v>41780</v>
      </c>
      <c r="B1630" s="51">
        <v>5004.45</v>
      </c>
      <c r="C1630" s="52"/>
      <c r="D1630" s="52"/>
      <c r="E1630" s="52"/>
      <c r="F1630" s="52"/>
      <c r="G1630" s="52"/>
      <c r="H1630" s="52"/>
    </row>
    <row r="1631" spans="1:8" ht="15.75">
      <c r="A1631" s="50">
        <v>41781</v>
      </c>
      <c r="B1631" s="51">
        <v>5010.72</v>
      </c>
      <c r="C1631" s="52"/>
      <c r="D1631" s="52"/>
      <c r="E1631" s="52"/>
      <c r="F1631" s="52"/>
      <c r="G1631" s="52"/>
      <c r="H1631" s="52"/>
    </row>
    <row r="1632" spans="1:8" ht="15.75">
      <c r="A1632" s="50">
        <v>41782</v>
      </c>
      <c r="B1632" s="51">
        <v>5030.01</v>
      </c>
      <c r="C1632" s="52"/>
      <c r="D1632" s="52"/>
      <c r="E1632" s="52"/>
      <c r="F1632" s="52"/>
      <c r="G1632" s="52"/>
      <c r="H1632" s="52"/>
    </row>
    <row r="1633" spans="1:8" ht="15.75">
      <c r="A1633" s="50">
        <v>41785</v>
      </c>
      <c r="B1633" s="51">
        <v>5094.3900000000003</v>
      </c>
      <c r="C1633" s="52"/>
      <c r="D1633" s="52"/>
      <c r="E1633" s="52"/>
      <c r="F1633" s="52"/>
      <c r="G1633" s="52"/>
      <c r="H1633" s="52"/>
    </row>
    <row r="1634" spans="1:8" ht="15.75">
      <c r="A1634" s="50">
        <v>41786</v>
      </c>
      <c r="B1634" s="51">
        <v>5119.1899999999996</v>
      </c>
      <c r="C1634" s="52"/>
      <c r="D1634" s="52"/>
      <c r="E1634" s="52"/>
      <c r="F1634" s="52"/>
      <c r="G1634" s="52"/>
      <c r="H1634" s="52"/>
    </row>
    <row r="1635" spans="1:8" ht="15.75">
      <c r="A1635" s="50">
        <v>41787</v>
      </c>
      <c r="B1635" s="51">
        <v>5113.63</v>
      </c>
      <c r="C1635" s="52"/>
      <c r="D1635" s="52"/>
      <c r="E1635" s="52"/>
      <c r="F1635" s="52"/>
      <c r="G1635" s="52"/>
      <c r="H1635" s="52"/>
    </row>
    <row r="1636" spans="1:8" ht="15.75">
      <c r="A1636" s="50">
        <v>41788</v>
      </c>
      <c r="B1636" s="51">
        <v>5113.3900000000003</v>
      </c>
      <c r="C1636" s="52"/>
      <c r="D1636" s="52"/>
      <c r="E1636" s="52"/>
      <c r="F1636" s="52"/>
      <c r="G1636" s="52"/>
      <c r="H1636" s="52"/>
    </row>
    <row r="1637" spans="1:8" ht="15.75">
      <c r="A1637" s="50">
        <v>41789</v>
      </c>
      <c r="B1637" s="51">
        <v>5115.54</v>
      </c>
      <c r="C1637" s="52"/>
      <c r="D1637" s="52"/>
      <c r="E1637" s="52"/>
      <c r="F1637" s="52"/>
      <c r="G1637" s="52"/>
      <c r="H1637" s="52"/>
    </row>
    <row r="1638" spans="1:8" ht="15.75">
      <c r="A1638" s="50">
        <v>41792</v>
      </c>
      <c r="B1638" s="51">
        <v>5119.1400000000003</v>
      </c>
      <c r="C1638" s="52"/>
      <c r="D1638" s="52"/>
      <c r="E1638" s="52"/>
      <c r="F1638" s="52"/>
      <c r="G1638" s="52"/>
      <c r="H1638" s="52"/>
    </row>
    <row r="1639" spans="1:8" ht="15.75">
      <c r="A1639" s="50">
        <v>41793</v>
      </c>
      <c r="B1639" s="51">
        <v>5103.38</v>
      </c>
      <c r="C1639" s="52"/>
      <c r="D1639" s="52"/>
      <c r="E1639" s="52"/>
      <c r="F1639" s="52"/>
      <c r="G1639" s="52"/>
      <c r="H1639" s="52"/>
    </row>
    <row r="1640" spans="1:8" ht="15.75">
      <c r="A1640" s="50">
        <v>41794</v>
      </c>
      <c r="B1640" s="51">
        <v>5107.05</v>
      </c>
      <c r="C1640" s="52"/>
      <c r="D1640" s="52"/>
      <c r="E1640" s="52"/>
      <c r="F1640" s="52"/>
      <c r="G1640" s="52"/>
      <c r="H1640" s="52"/>
    </row>
    <row r="1641" spans="1:8" ht="15.75">
      <c r="A1641" s="50">
        <v>41795</v>
      </c>
      <c r="B1641" s="51">
        <v>5117.92</v>
      </c>
      <c r="C1641" s="52"/>
      <c r="D1641" s="52"/>
      <c r="E1641" s="52"/>
      <c r="F1641" s="52"/>
      <c r="G1641" s="52"/>
      <c r="H1641" s="52"/>
    </row>
    <row r="1642" spans="1:8" ht="15.75">
      <c r="A1642" s="50">
        <v>41796</v>
      </c>
      <c r="B1642" s="51">
        <v>5138.2299999999996</v>
      </c>
      <c r="C1642" s="52"/>
      <c r="D1642" s="52"/>
      <c r="E1642" s="52"/>
      <c r="F1642" s="52"/>
      <c r="G1642" s="52"/>
      <c r="H1642" s="52"/>
    </row>
    <row r="1643" spans="1:8" ht="15.75">
      <c r="A1643" s="50">
        <v>41799</v>
      </c>
      <c r="B1643" s="51">
        <v>5149.29</v>
      </c>
      <c r="C1643" s="52"/>
      <c r="D1643" s="52"/>
      <c r="E1643" s="52"/>
      <c r="F1643" s="52"/>
      <c r="G1643" s="52"/>
      <c r="H1643" s="52"/>
    </row>
    <row r="1644" spans="1:8" ht="15.75">
      <c r="A1644" s="50">
        <v>41800</v>
      </c>
      <c r="B1644" s="51">
        <v>5159.66</v>
      </c>
      <c r="C1644" s="52"/>
      <c r="D1644" s="52"/>
      <c r="E1644" s="52"/>
      <c r="F1644" s="52"/>
      <c r="G1644" s="52"/>
      <c r="H1644" s="52"/>
    </row>
    <row r="1645" spans="1:8" ht="15.75">
      <c r="A1645" s="50">
        <v>41801</v>
      </c>
      <c r="B1645" s="51">
        <v>5119.01</v>
      </c>
      <c r="C1645" s="52"/>
      <c r="D1645" s="52"/>
      <c r="E1645" s="52"/>
      <c r="F1645" s="52"/>
      <c r="G1645" s="52"/>
      <c r="H1645" s="52"/>
    </row>
    <row r="1646" spans="1:8" ht="15.75">
      <c r="A1646" s="50">
        <v>41802</v>
      </c>
      <c r="B1646" s="51">
        <v>5113.3599999999997</v>
      </c>
      <c r="C1646" s="52"/>
      <c r="D1646" s="52"/>
      <c r="E1646" s="52"/>
      <c r="F1646" s="52"/>
      <c r="G1646" s="52"/>
      <c r="H1646" s="52"/>
    </row>
    <row r="1647" spans="1:8" ht="15.75">
      <c r="A1647" s="50">
        <v>41803</v>
      </c>
      <c r="B1647" s="51">
        <v>5100.0200000000004</v>
      </c>
      <c r="C1647" s="52"/>
      <c r="D1647" s="52"/>
      <c r="E1647" s="52"/>
      <c r="F1647" s="52"/>
      <c r="G1647" s="52"/>
      <c r="H1647" s="52"/>
    </row>
    <row r="1648" spans="1:8" ht="15.75">
      <c r="A1648" s="50">
        <v>41806</v>
      </c>
      <c r="B1648" s="51">
        <v>5085.26</v>
      </c>
      <c r="C1648" s="52"/>
      <c r="D1648" s="52"/>
      <c r="E1648" s="52"/>
      <c r="F1648" s="52"/>
      <c r="G1648" s="52"/>
      <c r="H1648" s="52"/>
    </row>
    <row r="1649" spans="1:8" ht="15.75">
      <c r="A1649" s="50">
        <v>41807</v>
      </c>
      <c r="B1649" s="51">
        <v>5103.9399999999996</v>
      </c>
      <c r="C1649" s="52"/>
      <c r="D1649" s="52"/>
      <c r="E1649" s="52"/>
      <c r="F1649" s="52"/>
      <c r="G1649" s="52"/>
      <c r="H1649" s="52"/>
    </row>
    <row r="1650" spans="1:8" ht="15.75">
      <c r="A1650" s="50">
        <v>41808</v>
      </c>
      <c r="B1650" s="51">
        <v>5108.95</v>
      </c>
      <c r="C1650" s="52"/>
      <c r="D1650" s="52"/>
      <c r="E1650" s="52"/>
      <c r="F1650" s="52"/>
      <c r="G1650" s="52"/>
      <c r="H1650" s="52"/>
    </row>
    <row r="1651" spans="1:8" ht="15.75">
      <c r="A1651" s="50">
        <v>41809</v>
      </c>
      <c r="B1651" s="51">
        <v>5146.74</v>
      </c>
      <c r="C1651" s="52"/>
      <c r="D1651" s="52"/>
      <c r="E1651" s="52"/>
      <c r="F1651" s="52"/>
      <c r="G1651" s="52"/>
      <c r="H1651" s="52"/>
    </row>
    <row r="1652" spans="1:8" ht="15.75">
      <c r="A1652" s="50">
        <v>41810</v>
      </c>
      <c r="B1652" s="51">
        <v>5138.18</v>
      </c>
      <c r="C1652" s="52"/>
      <c r="D1652" s="52"/>
      <c r="E1652" s="52"/>
      <c r="F1652" s="52"/>
      <c r="G1652" s="52"/>
      <c r="H1652" s="52"/>
    </row>
    <row r="1653" spans="1:8" ht="15.75">
      <c r="A1653" s="50">
        <v>41813</v>
      </c>
      <c r="B1653" s="51">
        <v>5104.0600000000004</v>
      </c>
      <c r="C1653" s="52"/>
      <c r="D1653" s="52"/>
      <c r="E1653" s="52"/>
      <c r="F1653" s="52"/>
      <c r="G1653" s="52"/>
      <c r="H1653" s="52"/>
    </row>
    <row r="1654" spans="1:8" ht="15.75">
      <c r="A1654" s="50">
        <v>41814</v>
      </c>
      <c r="B1654" s="51">
        <v>5112.8900000000003</v>
      </c>
      <c r="C1654" s="52"/>
      <c r="D1654" s="52"/>
      <c r="E1654" s="52"/>
      <c r="F1654" s="52"/>
      <c r="G1654" s="52"/>
      <c r="H1654" s="52"/>
    </row>
    <row r="1655" spans="1:8" ht="15.75">
      <c r="A1655" s="50">
        <v>41815</v>
      </c>
      <c r="B1655" s="51">
        <v>5076.71</v>
      </c>
      <c r="C1655" s="52"/>
      <c r="D1655" s="52"/>
      <c r="E1655" s="52"/>
      <c r="F1655" s="52"/>
      <c r="G1655" s="52"/>
      <c r="H1655" s="52"/>
    </row>
    <row r="1656" spans="1:8" ht="15.75">
      <c r="A1656" s="50">
        <v>41816</v>
      </c>
      <c r="B1656" s="51">
        <v>5044.37</v>
      </c>
      <c r="C1656" s="52"/>
      <c r="D1656" s="52"/>
      <c r="E1656" s="52"/>
      <c r="F1656" s="52"/>
      <c r="G1656" s="52"/>
      <c r="H1656" s="52"/>
    </row>
    <row r="1657" spans="1:8" ht="15.75">
      <c r="A1657" s="50">
        <v>41817</v>
      </c>
      <c r="B1657" s="51">
        <v>5049.6499999999996</v>
      </c>
      <c r="C1657" s="52"/>
      <c r="D1657" s="52"/>
      <c r="E1657" s="52"/>
      <c r="F1657" s="52"/>
      <c r="G1657" s="52"/>
      <c r="H1657" s="52"/>
    </row>
    <row r="1658" spans="1:8" ht="15.75">
      <c r="A1658" s="50">
        <v>41820</v>
      </c>
      <c r="B1658" s="51">
        <v>5058.8599999999997</v>
      </c>
      <c r="C1658" s="52"/>
      <c r="D1658" s="52"/>
      <c r="E1658" s="52"/>
      <c r="F1658" s="52"/>
      <c r="G1658" s="52"/>
      <c r="H1658" s="52"/>
    </row>
    <row r="1659" spans="1:8" ht="15.75">
      <c r="A1659" s="50">
        <v>41821</v>
      </c>
      <c r="B1659" s="51">
        <v>5094.54</v>
      </c>
      <c r="C1659" s="52"/>
      <c r="D1659" s="52"/>
      <c r="E1659" s="52"/>
      <c r="F1659" s="52"/>
      <c r="G1659" s="52"/>
      <c r="H1659" s="52"/>
    </row>
    <row r="1660" spans="1:8" ht="15.75">
      <c r="A1660" s="50">
        <v>41822</v>
      </c>
      <c r="B1660" s="51">
        <v>5099.1000000000004</v>
      </c>
      <c r="C1660" s="52"/>
      <c r="D1660" s="52"/>
      <c r="E1660" s="52"/>
      <c r="F1660" s="52"/>
      <c r="G1660" s="52"/>
      <c r="H1660" s="52"/>
    </row>
    <row r="1661" spans="1:8" ht="15.75">
      <c r="A1661" s="50">
        <v>41823</v>
      </c>
      <c r="B1661" s="51">
        <v>5159.8900000000003</v>
      </c>
      <c r="C1661" s="52"/>
      <c r="D1661" s="52"/>
      <c r="E1661" s="52"/>
      <c r="F1661" s="52"/>
      <c r="G1661" s="52"/>
      <c r="H1661" s="52"/>
    </row>
    <row r="1662" spans="1:8" ht="15.75">
      <c r="A1662" s="50">
        <v>41824</v>
      </c>
      <c r="B1662" s="51">
        <v>5149.41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41827</v>
      </c>
      <c r="B1663" s="51">
        <v>5096.42</v>
      </c>
      <c r="C1663" s="52"/>
      <c r="D1663" s="52"/>
      <c r="E1663" s="52"/>
      <c r="F1663" s="52"/>
      <c r="G1663" s="52"/>
      <c r="H1663" s="52"/>
    </row>
    <row r="1664" spans="1:8" ht="15.75">
      <c r="A1664" s="50">
        <v>41828</v>
      </c>
      <c r="B1664" s="51">
        <v>5027.79</v>
      </c>
      <c r="C1664" s="52"/>
      <c r="D1664" s="52"/>
      <c r="E1664" s="52"/>
      <c r="F1664" s="52"/>
      <c r="G1664" s="52"/>
      <c r="H1664" s="52"/>
    </row>
    <row r="1665" spans="1:8" ht="15.75">
      <c r="A1665" s="50">
        <v>41829</v>
      </c>
      <c r="B1665" s="51">
        <v>5046.07</v>
      </c>
      <c r="C1665" s="52"/>
      <c r="D1665" s="52"/>
      <c r="E1665" s="52"/>
      <c r="F1665" s="52"/>
      <c r="G1665" s="52"/>
      <c r="H1665" s="52"/>
    </row>
    <row r="1666" spans="1:8" ht="15.75">
      <c r="A1666" s="50">
        <v>41830</v>
      </c>
      <c r="B1666" s="51">
        <v>4969.38</v>
      </c>
      <c r="C1666" s="52"/>
      <c r="D1666" s="52"/>
      <c r="E1666" s="52"/>
      <c r="F1666" s="52"/>
      <c r="G1666" s="52"/>
      <c r="H1666" s="52"/>
    </row>
    <row r="1667" spans="1:8" ht="15.75">
      <c r="A1667" s="50">
        <v>41831</v>
      </c>
      <c r="B1667" s="51">
        <v>4973.09</v>
      </c>
      <c r="C1667" s="52"/>
      <c r="D1667" s="52"/>
      <c r="E1667" s="52"/>
      <c r="F1667" s="52"/>
      <c r="G1667" s="52"/>
      <c r="H1667" s="52"/>
    </row>
    <row r="1668" spans="1:8" ht="15.75">
      <c r="A1668" s="50">
        <v>41834</v>
      </c>
      <c r="B1668" s="51">
        <v>5033.1099999999997</v>
      </c>
      <c r="C1668" s="52"/>
      <c r="D1668" s="52"/>
      <c r="E1668" s="52"/>
      <c r="F1668" s="52"/>
      <c r="G1668" s="52"/>
      <c r="H1668" s="52"/>
    </row>
    <row r="1669" spans="1:8" ht="15.75">
      <c r="A1669" s="50">
        <v>41835</v>
      </c>
      <c r="B1669" s="51">
        <v>5000.3900000000003</v>
      </c>
      <c r="C1669" s="52"/>
      <c r="D1669" s="52"/>
      <c r="E1669" s="52"/>
      <c r="F1669" s="52"/>
      <c r="G1669" s="52"/>
      <c r="H1669" s="52"/>
    </row>
    <row r="1670" spans="1:8" ht="15.75">
      <c r="A1670" s="50">
        <v>41836</v>
      </c>
      <c r="B1670" s="51">
        <v>5072.34</v>
      </c>
      <c r="C1670" s="52"/>
      <c r="D1670" s="52"/>
      <c r="E1670" s="52"/>
      <c r="F1670" s="52"/>
      <c r="G1670" s="52"/>
      <c r="H1670" s="52"/>
    </row>
    <row r="1671" spans="1:8" ht="15.75">
      <c r="A1671" s="50">
        <v>41837</v>
      </c>
      <c r="B1671" s="51">
        <v>5018.12</v>
      </c>
      <c r="C1671" s="52"/>
      <c r="D1671" s="52"/>
      <c r="E1671" s="52"/>
      <c r="F1671" s="52"/>
      <c r="G1671" s="52"/>
      <c r="H1671" s="52"/>
    </row>
    <row r="1672" spans="1:8" ht="15.75">
      <c r="A1672" s="50">
        <v>41838</v>
      </c>
      <c r="B1672" s="51">
        <v>5000.7</v>
      </c>
      <c r="C1672" s="52"/>
      <c r="D1672" s="52"/>
      <c r="E1672" s="52"/>
      <c r="F1672" s="52"/>
      <c r="G1672" s="52"/>
      <c r="H1672" s="52"/>
    </row>
    <row r="1673" spans="1:8" ht="15.75">
      <c r="A1673" s="50">
        <v>41841</v>
      </c>
      <c r="B1673" s="51">
        <v>4945.16</v>
      </c>
      <c r="C1673" s="52"/>
      <c r="D1673" s="52"/>
      <c r="E1673" s="52"/>
      <c r="F1673" s="52"/>
      <c r="G1673" s="52"/>
      <c r="H1673" s="52"/>
    </row>
    <row r="1674" spans="1:8" ht="15.75">
      <c r="A1674" s="50">
        <v>41842</v>
      </c>
      <c r="B1674" s="51">
        <v>5008.0600000000004</v>
      </c>
      <c r="C1674" s="52"/>
      <c r="D1674" s="52"/>
      <c r="E1674" s="52"/>
      <c r="F1674" s="52"/>
      <c r="G1674" s="52"/>
      <c r="H1674" s="52"/>
    </row>
    <row r="1675" spans="1:8" ht="15.75">
      <c r="A1675" s="50">
        <v>41843</v>
      </c>
      <c r="B1675" s="51">
        <v>5017.96</v>
      </c>
      <c r="C1675" s="52"/>
      <c r="D1675" s="52"/>
      <c r="E1675" s="52"/>
      <c r="F1675" s="52"/>
      <c r="G1675" s="52"/>
      <c r="H1675" s="52"/>
    </row>
    <row r="1676" spans="1:8" ht="15.75">
      <c r="A1676" s="50">
        <v>41844</v>
      </c>
      <c r="B1676" s="51">
        <v>5038.8</v>
      </c>
      <c r="C1676" s="52"/>
      <c r="D1676" s="52"/>
      <c r="E1676" s="52"/>
      <c r="F1676" s="52"/>
      <c r="G1676" s="52"/>
      <c r="H1676" s="52"/>
    </row>
    <row r="1677" spans="1:8" ht="15.75">
      <c r="A1677" s="50">
        <v>41845</v>
      </c>
      <c r="B1677" s="51">
        <v>4961.6000000000004</v>
      </c>
      <c r="C1677" s="52"/>
      <c r="D1677" s="52"/>
      <c r="E1677" s="52"/>
      <c r="F1677" s="52"/>
      <c r="G1677" s="52"/>
      <c r="H1677" s="52"/>
    </row>
    <row r="1678" spans="1:8" ht="15.75">
      <c r="A1678" s="50">
        <v>41848</v>
      </c>
      <c r="B1678" s="51">
        <v>4938.01</v>
      </c>
      <c r="C1678" s="52"/>
      <c r="D1678" s="52"/>
      <c r="E1678" s="52"/>
      <c r="F1678" s="52"/>
      <c r="G1678" s="52"/>
      <c r="H1678" s="52"/>
    </row>
    <row r="1679" spans="1:8" ht="15.75">
      <c r="A1679" s="50">
        <v>41849</v>
      </c>
      <c r="B1679" s="51">
        <v>4966.55</v>
      </c>
      <c r="C1679" s="52"/>
      <c r="D1679" s="52"/>
      <c r="E1679" s="52"/>
      <c r="F1679" s="52"/>
      <c r="G1679" s="52"/>
      <c r="H1679" s="52"/>
    </row>
    <row r="1680" spans="1:8" ht="15.75">
      <c r="A1680" s="50">
        <v>41850</v>
      </c>
      <c r="B1680" s="51">
        <v>4935.7</v>
      </c>
      <c r="C1680" s="52"/>
      <c r="D1680" s="52"/>
      <c r="E1680" s="52"/>
      <c r="F1680" s="52"/>
      <c r="G1680" s="52"/>
      <c r="H1680" s="52"/>
    </row>
    <row r="1681" spans="1:8" ht="15.75">
      <c r="A1681" s="50">
        <v>41851</v>
      </c>
      <c r="B1681" s="51">
        <v>4839.91</v>
      </c>
      <c r="C1681" s="52"/>
      <c r="D1681" s="52"/>
      <c r="E1681" s="52"/>
      <c r="F1681" s="52"/>
      <c r="G1681" s="52"/>
      <c r="H1681" s="52"/>
    </row>
    <row r="1682" spans="1:8" ht="15.75">
      <c r="A1682" s="50">
        <v>41852</v>
      </c>
      <c r="B1682" s="51">
        <v>4738.3500000000004</v>
      </c>
      <c r="C1682" s="52"/>
      <c r="D1682" s="52"/>
      <c r="E1682" s="52"/>
      <c r="F1682" s="52"/>
      <c r="G1682" s="52"/>
      <c r="H1682" s="52"/>
    </row>
    <row r="1683" spans="1:8" ht="15.75">
      <c r="A1683" s="50">
        <v>41855</v>
      </c>
      <c r="B1683" s="51">
        <v>4709.57</v>
      </c>
      <c r="C1683" s="52"/>
      <c r="D1683" s="52"/>
      <c r="E1683" s="52"/>
      <c r="F1683" s="52"/>
      <c r="G1683" s="52"/>
      <c r="H1683" s="52"/>
    </row>
    <row r="1684" spans="1:8" ht="15.75">
      <c r="A1684" s="50">
        <v>41856</v>
      </c>
      <c r="B1684" s="51">
        <v>4727.88</v>
      </c>
      <c r="C1684" s="52"/>
      <c r="D1684" s="52"/>
      <c r="E1684" s="52"/>
      <c r="F1684" s="52"/>
      <c r="G1684" s="52"/>
      <c r="H1684" s="52"/>
    </row>
    <row r="1685" spans="1:8" ht="15.75">
      <c r="A1685" s="50">
        <v>41857</v>
      </c>
      <c r="B1685" s="51">
        <v>4697.17</v>
      </c>
      <c r="C1685" s="52"/>
      <c r="D1685" s="52"/>
      <c r="E1685" s="52"/>
      <c r="F1685" s="52"/>
      <c r="G1685" s="52"/>
      <c r="H1685" s="52"/>
    </row>
    <row r="1686" spans="1:8" ht="15.75">
      <c r="A1686" s="50">
        <v>41858</v>
      </c>
      <c r="B1686" s="51">
        <v>4650.32</v>
      </c>
      <c r="C1686" s="52"/>
      <c r="D1686" s="52"/>
      <c r="E1686" s="52"/>
      <c r="F1686" s="52"/>
      <c r="G1686" s="52"/>
      <c r="H1686" s="52"/>
    </row>
    <row r="1687" spans="1:8" ht="15.75">
      <c r="A1687" s="50">
        <v>41859</v>
      </c>
      <c r="B1687" s="51">
        <v>4635.07</v>
      </c>
      <c r="C1687" s="52"/>
      <c r="D1687" s="52"/>
      <c r="E1687" s="52"/>
      <c r="F1687" s="52"/>
      <c r="G1687" s="52"/>
      <c r="H1687" s="52"/>
    </row>
    <row r="1688" spans="1:8" ht="15.75">
      <c r="A1688" s="50">
        <v>41862</v>
      </c>
      <c r="B1688" s="51">
        <v>4723.26</v>
      </c>
      <c r="C1688" s="52"/>
      <c r="D1688" s="52"/>
      <c r="E1688" s="52"/>
      <c r="F1688" s="52"/>
      <c r="G1688" s="52"/>
      <c r="H1688" s="52"/>
    </row>
    <row r="1689" spans="1:8" ht="15.75">
      <c r="A1689" s="50">
        <v>41863</v>
      </c>
      <c r="B1689" s="51">
        <v>4666.01</v>
      </c>
      <c r="C1689" s="52"/>
      <c r="D1689" s="52"/>
      <c r="E1689" s="52"/>
      <c r="F1689" s="52"/>
      <c r="G1689" s="52"/>
      <c r="H1689" s="52"/>
    </row>
    <row r="1690" spans="1:8" ht="15.75">
      <c r="A1690" s="50">
        <v>41864</v>
      </c>
      <c r="B1690" s="51">
        <v>4732.59</v>
      </c>
      <c r="C1690" s="52"/>
      <c r="D1690" s="52"/>
      <c r="E1690" s="52"/>
      <c r="F1690" s="52"/>
      <c r="G1690" s="52"/>
      <c r="H1690" s="52"/>
    </row>
    <row r="1691" spans="1:8" ht="15.75">
      <c r="A1691" s="50">
        <v>41865</v>
      </c>
      <c r="B1691" s="51">
        <v>4746.08</v>
      </c>
      <c r="C1691" s="52"/>
      <c r="D1691" s="52"/>
      <c r="E1691" s="52"/>
      <c r="F1691" s="52"/>
      <c r="G1691" s="52"/>
      <c r="H1691" s="52"/>
    </row>
    <row r="1692" spans="1:8" ht="15.75">
      <c r="A1692" s="50">
        <v>41866</v>
      </c>
      <c r="B1692" s="51">
        <v>4677.91</v>
      </c>
      <c r="C1692" s="52"/>
      <c r="D1692" s="52"/>
      <c r="E1692" s="52"/>
      <c r="F1692" s="52"/>
      <c r="G1692" s="52"/>
      <c r="H1692" s="52"/>
    </row>
    <row r="1693" spans="1:8" ht="15.75">
      <c r="A1693" s="50">
        <v>41869</v>
      </c>
      <c r="B1693" s="51">
        <v>4756.49</v>
      </c>
      <c r="C1693" s="52"/>
      <c r="D1693" s="52"/>
      <c r="E1693" s="52"/>
      <c r="F1693" s="52"/>
      <c r="G1693" s="52"/>
      <c r="H1693" s="52"/>
    </row>
    <row r="1694" spans="1:8" ht="15.75">
      <c r="A1694" s="50">
        <v>41870</v>
      </c>
      <c r="B1694" s="51">
        <v>4802.25</v>
      </c>
      <c r="C1694" s="52"/>
      <c r="D1694" s="52"/>
      <c r="E1694" s="52"/>
      <c r="F1694" s="52"/>
      <c r="G1694" s="52"/>
      <c r="H1694" s="52"/>
    </row>
    <row r="1695" spans="1:8" ht="15.75">
      <c r="A1695" s="50">
        <v>41871</v>
      </c>
      <c r="B1695" s="51">
        <v>4792.1099999999997</v>
      </c>
      <c r="C1695" s="52"/>
      <c r="D1695" s="52"/>
      <c r="E1695" s="52"/>
      <c r="F1695" s="52"/>
      <c r="G1695" s="52"/>
      <c r="H1695" s="52"/>
    </row>
    <row r="1696" spans="1:8" ht="15.75">
      <c r="A1696" s="50">
        <v>41872</v>
      </c>
      <c r="B1696" s="51">
        <v>4836.8500000000004</v>
      </c>
      <c r="C1696" s="52"/>
      <c r="D1696" s="52"/>
      <c r="E1696" s="52"/>
      <c r="F1696" s="52"/>
      <c r="G1696" s="52"/>
      <c r="H1696" s="52"/>
    </row>
    <row r="1697" spans="1:8" ht="15.75">
      <c r="A1697" s="50">
        <v>41873</v>
      </c>
      <c r="B1697" s="51">
        <v>4804.76</v>
      </c>
      <c r="C1697" s="52"/>
      <c r="D1697" s="52"/>
      <c r="E1697" s="52"/>
      <c r="F1697" s="52"/>
      <c r="G1697" s="52"/>
      <c r="H1697" s="52"/>
    </row>
    <row r="1698" spans="1:8" ht="15.75">
      <c r="A1698" s="50">
        <v>41876</v>
      </c>
      <c r="B1698" s="51">
        <v>4892.7299999999996</v>
      </c>
      <c r="C1698" s="52"/>
      <c r="D1698" s="52"/>
      <c r="E1698" s="52"/>
      <c r="F1698" s="52"/>
      <c r="G1698" s="52"/>
      <c r="H1698" s="52"/>
    </row>
    <row r="1699" spans="1:8" ht="15.75">
      <c r="A1699" s="50">
        <v>41877</v>
      </c>
      <c r="B1699" s="51">
        <v>4932.8599999999997</v>
      </c>
      <c r="C1699" s="52"/>
      <c r="D1699" s="52"/>
      <c r="E1699" s="52"/>
      <c r="F1699" s="52"/>
      <c r="G1699" s="52"/>
      <c r="H1699" s="52"/>
    </row>
    <row r="1700" spans="1:8" ht="15.75">
      <c r="A1700" s="50">
        <v>41878</v>
      </c>
      <c r="B1700" s="51">
        <v>4923.37</v>
      </c>
      <c r="C1700" s="52"/>
      <c r="D1700" s="52"/>
      <c r="E1700" s="52"/>
      <c r="F1700" s="52"/>
      <c r="G1700" s="52"/>
      <c r="H1700" s="52"/>
    </row>
    <row r="1701" spans="1:8" ht="15.75">
      <c r="A1701" s="50">
        <v>41879</v>
      </c>
      <c r="B1701" s="51">
        <v>4868.24</v>
      </c>
      <c r="C1701" s="52"/>
      <c r="D1701" s="52"/>
      <c r="E1701" s="52"/>
      <c r="F1701" s="52"/>
      <c r="G1701" s="52"/>
      <c r="H1701" s="52"/>
    </row>
    <row r="1702" spans="1:8" ht="15.75">
      <c r="A1702" s="50">
        <v>41880</v>
      </c>
      <c r="B1702" s="51">
        <v>4872.16</v>
      </c>
      <c r="C1702" s="52"/>
      <c r="D1702" s="52"/>
      <c r="E1702" s="52"/>
      <c r="F1702" s="52"/>
      <c r="G1702" s="52"/>
      <c r="H1702" s="52"/>
    </row>
    <row r="1703" spans="1:8" ht="15.75">
      <c r="A1703" s="50">
        <v>41883</v>
      </c>
      <c r="B1703" s="51">
        <v>4876.72</v>
      </c>
      <c r="C1703" s="52"/>
      <c r="D1703" s="52"/>
      <c r="E1703" s="52"/>
      <c r="F1703" s="52"/>
      <c r="G1703" s="52"/>
      <c r="H1703" s="52"/>
    </row>
    <row r="1704" spans="1:8" ht="15.75">
      <c r="A1704" s="50">
        <v>41884</v>
      </c>
      <c r="B1704" s="51">
        <v>4891.12</v>
      </c>
      <c r="C1704" s="52"/>
      <c r="D1704" s="52"/>
      <c r="E1704" s="52"/>
      <c r="F1704" s="52"/>
      <c r="G1704" s="52"/>
      <c r="H1704" s="52"/>
    </row>
    <row r="1705" spans="1:8" ht="15.75">
      <c r="A1705" s="50">
        <v>41885</v>
      </c>
      <c r="B1705" s="51">
        <v>4952.59</v>
      </c>
      <c r="C1705" s="52"/>
      <c r="D1705" s="52"/>
      <c r="E1705" s="52"/>
      <c r="F1705" s="52"/>
      <c r="G1705" s="52"/>
      <c r="H1705" s="52"/>
    </row>
    <row r="1706" spans="1:8" ht="15.75">
      <c r="A1706" s="50">
        <v>41886</v>
      </c>
      <c r="B1706" s="51">
        <v>5002.88</v>
      </c>
      <c r="C1706" s="52"/>
      <c r="D1706" s="52"/>
      <c r="E1706" s="52"/>
      <c r="F1706" s="52"/>
      <c r="G1706" s="52"/>
      <c r="H1706" s="52"/>
    </row>
    <row r="1707" spans="1:8" ht="15.75">
      <c r="A1707" s="50">
        <v>41887</v>
      </c>
      <c r="B1707" s="51">
        <v>5014.59</v>
      </c>
      <c r="C1707" s="52"/>
      <c r="D1707" s="52"/>
      <c r="E1707" s="52"/>
      <c r="F1707" s="52"/>
      <c r="G1707" s="52"/>
      <c r="H1707" s="52"/>
    </row>
    <row r="1708" spans="1:8" ht="15.75">
      <c r="A1708" s="50">
        <v>41890</v>
      </c>
      <c r="B1708" s="51">
        <v>5020.26</v>
      </c>
      <c r="C1708" s="52"/>
      <c r="D1708" s="52"/>
      <c r="E1708" s="52"/>
      <c r="F1708" s="52"/>
      <c r="G1708" s="52"/>
      <c r="H1708" s="52"/>
    </row>
    <row r="1709" spans="1:8" ht="15.75">
      <c r="A1709" s="50">
        <v>41891</v>
      </c>
      <c r="B1709" s="51">
        <v>4995.91</v>
      </c>
      <c r="C1709" s="52"/>
      <c r="D1709" s="52"/>
      <c r="E1709" s="52"/>
      <c r="F1709" s="52"/>
      <c r="G1709" s="52"/>
      <c r="H1709" s="52"/>
    </row>
    <row r="1710" spans="1:8" ht="15.75">
      <c r="A1710" s="50">
        <v>41892</v>
      </c>
      <c r="B1710" s="51">
        <v>4990.49</v>
      </c>
      <c r="C1710" s="52"/>
      <c r="D1710" s="52"/>
      <c r="E1710" s="52"/>
      <c r="F1710" s="52"/>
      <c r="G1710" s="52"/>
      <c r="H1710" s="52"/>
    </row>
    <row r="1711" spans="1:8" ht="15.75">
      <c r="A1711" s="50">
        <v>41893</v>
      </c>
      <c r="B1711" s="51">
        <v>4985.92</v>
      </c>
      <c r="C1711" s="52"/>
      <c r="D1711" s="52"/>
      <c r="E1711" s="52"/>
      <c r="F1711" s="52"/>
      <c r="G1711" s="52"/>
      <c r="H1711" s="52"/>
    </row>
    <row r="1712" spans="1:8" ht="15.75">
      <c r="A1712" s="50">
        <v>41894</v>
      </c>
      <c r="B1712" s="51">
        <v>4965.26</v>
      </c>
      <c r="C1712" s="52"/>
      <c r="D1712" s="52"/>
      <c r="E1712" s="52"/>
      <c r="F1712" s="52"/>
      <c r="G1712" s="52"/>
      <c r="H1712" s="52"/>
    </row>
    <row r="1713" spans="1:8" ht="15.75">
      <c r="A1713" s="50">
        <v>41897</v>
      </c>
      <c r="B1713" s="51">
        <v>4969.63</v>
      </c>
      <c r="C1713" s="52"/>
      <c r="D1713" s="52"/>
      <c r="E1713" s="52"/>
      <c r="F1713" s="52"/>
      <c r="G1713" s="52"/>
      <c r="H1713" s="52"/>
    </row>
    <row r="1714" spans="1:8" ht="15.75">
      <c r="A1714" s="50">
        <v>41898</v>
      </c>
      <c r="B1714" s="51">
        <v>4955.8999999999996</v>
      </c>
      <c r="C1714" s="52"/>
      <c r="D1714" s="52"/>
      <c r="E1714" s="52"/>
      <c r="F1714" s="52"/>
      <c r="G1714" s="52"/>
      <c r="H1714" s="52"/>
    </row>
    <row r="1715" spans="1:8" ht="15.75">
      <c r="A1715" s="50">
        <v>41899</v>
      </c>
      <c r="B1715" s="51">
        <v>4970.6000000000004</v>
      </c>
      <c r="C1715" s="52"/>
      <c r="D1715" s="52"/>
      <c r="E1715" s="52"/>
      <c r="F1715" s="52"/>
      <c r="G1715" s="52"/>
      <c r="H1715" s="52"/>
    </row>
    <row r="1716" spans="1:8" ht="15.75">
      <c r="A1716" s="50">
        <v>41900</v>
      </c>
      <c r="B1716" s="51">
        <v>5040.8900000000003</v>
      </c>
      <c r="C1716" s="52"/>
      <c r="D1716" s="52"/>
      <c r="E1716" s="52"/>
      <c r="F1716" s="52"/>
      <c r="G1716" s="52"/>
      <c r="H1716" s="52"/>
    </row>
    <row r="1717" spans="1:8" ht="15.75">
      <c r="A1717" s="50">
        <v>41901</v>
      </c>
      <c r="B1717" s="51">
        <v>5041.47</v>
      </c>
      <c r="C1717" s="52"/>
      <c r="D1717" s="52"/>
      <c r="E1717" s="52"/>
      <c r="F1717" s="52"/>
      <c r="G1717" s="52"/>
      <c r="H1717" s="52"/>
    </row>
    <row r="1718" spans="1:8" ht="15.75">
      <c r="A1718" s="50">
        <v>41904</v>
      </c>
      <c r="B1718" s="51">
        <v>5015.8900000000003</v>
      </c>
      <c r="C1718" s="52"/>
      <c r="D1718" s="52"/>
      <c r="E1718" s="52"/>
      <c r="F1718" s="52"/>
      <c r="G1718" s="52"/>
      <c r="H1718" s="52"/>
    </row>
    <row r="1719" spans="1:8" ht="15.75">
      <c r="A1719" s="50">
        <v>41905</v>
      </c>
      <c r="B1719" s="51">
        <v>4936.3999999999996</v>
      </c>
      <c r="C1719" s="52"/>
      <c r="D1719" s="52"/>
      <c r="E1719" s="52"/>
      <c r="F1719" s="52"/>
      <c r="G1719" s="52"/>
      <c r="H1719" s="52"/>
    </row>
    <row r="1720" spans="1:8" ht="15.75">
      <c r="A1720" s="50">
        <v>41906</v>
      </c>
      <c r="B1720" s="51">
        <v>4970.84</v>
      </c>
      <c r="C1720" s="52"/>
      <c r="D1720" s="52"/>
      <c r="E1720" s="52"/>
      <c r="F1720" s="52"/>
      <c r="G1720" s="52"/>
      <c r="H1720" s="52"/>
    </row>
    <row r="1721" spans="1:8" ht="15.75">
      <c r="A1721" s="50">
        <v>41907</v>
      </c>
      <c r="B1721" s="51">
        <v>4892.66</v>
      </c>
      <c r="C1721" s="52"/>
      <c r="D1721" s="52"/>
      <c r="E1721" s="52"/>
      <c r="F1721" s="52"/>
      <c r="G1721" s="52"/>
      <c r="H1721" s="52"/>
    </row>
    <row r="1722" spans="1:8" ht="15.75">
      <c r="A1722" s="50">
        <v>41908</v>
      </c>
      <c r="B1722" s="51">
        <v>4882.6499999999996</v>
      </c>
      <c r="C1722" s="52"/>
      <c r="D1722" s="52"/>
      <c r="E1722" s="52"/>
      <c r="F1722" s="52"/>
      <c r="G1722" s="52"/>
      <c r="H1722" s="52"/>
    </row>
    <row r="1723" spans="1:8" ht="15.75">
      <c r="A1723" s="50">
        <v>41911</v>
      </c>
      <c r="B1723" s="51">
        <v>4847.8500000000004</v>
      </c>
      <c r="C1723" s="52"/>
      <c r="D1723" s="52"/>
      <c r="E1723" s="52"/>
      <c r="F1723" s="52"/>
      <c r="G1723" s="52"/>
      <c r="H1723" s="52"/>
    </row>
    <row r="1724" spans="1:8" ht="15.75">
      <c r="A1724" s="50">
        <v>41912</v>
      </c>
      <c r="B1724" s="51">
        <v>4874.28</v>
      </c>
      <c r="C1724" s="52"/>
      <c r="D1724" s="52"/>
      <c r="E1724" s="52"/>
      <c r="F1724" s="52"/>
      <c r="G1724" s="52"/>
      <c r="H1724" s="52"/>
    </row>
    <row r="1725" spans="1:8" ht="15.75">
      <c r="A1725" s="50">
        <v>41913</v>
      </c>
      <c r="B1725" s="51">
        <v>4826.8100000000004</v>
      </c>
      <c r="C1725" s="52"/>
      <c r="D1725" s="52"/>
      <c r="E1725" s="52"/>
      <c r="F1725" s="52"/>
      <c r="G1725" s="52"/>
      <c r="H1725" s="52"/>
    </row>
    <row r="1726" spans="1:8" ht="15.75">
      <c r="A1726" s="50">
        <v>41914</v>
      </c>
      <c r="B1726" s="51">
        <v>4730.9399999999996</v>
      </c>
      <c r="C1726" s="52"/>
      <c r="D1726" s="52"/>
      <c r="E1726" s="52"/>
      <c r="F1726" s="52"/>
      <c r="G1726" s="52"/>
      <c r="H1726" s="52"/>
    </row>
    <row r="1727" spans="1:8" ht="15.75">
      <c r="A1727" s="50">
        <v>41918</v>
      </c>
      <c r="B1727" s="51">
        <v>4738.0600000000004</v>
      </c>
      <c r="C1727" s="52"/>
      <c r="D1727" s="52"/>
      <c r="E1727" s="52"/>
      <c r="F1727" s="52"/>
      <c r="G1727" s="52"/>
      <c r="H1727" s="52"/>
    </row>
    <row r="1728" spans="1:8" ht="15.75">
      <c r="A1728" s="50">
        <v>41919</v>
      </c>
      <c r="B1728" s="51">
        <v>4674.62</v>
      </c>
      <c r="C1728" s="52"/>
      <c r="D1728" s="52"/>
      <c r="E1728" s="52"/>
      <c r="F1728" s="52"/>
      <c r="G1728" s="52"/>
      <c r="H1728" s="52"/>
    </row>
    <row r="1729" spans="1:8" ht="15.75">
      <c r="A1729" s="50">
        <v>41920</v>
      </c>
      <c r="B1729" s="51">
        <v>4627.87</v>
      </c>
      <c r="C1729" s="52"/>
      <c r="D1729" s="52"/>
      <c r="E1729" s="52"/>
      <c r="F1729" s="52"/>
      <c r="G1729" s="52"/>
      <c r="H1729" s="52"/>
    </row>
    <row r="1730" spans="1:8" ht="15.75">
      <c r="A1730" s="50">
        <v>41921</v>
      </c>
      <c r="B1730" s="51">
        <v>4632.8599999999997</v>
      </c>
      <c r="C1730" s="52"/>
      <c r="D1730" s="52"/>
      <c r="E1730" s="52"/>
      <c r="F1730" s="52"/>
      <c r="G1730" s="52"/>
      <c r="H1730" s="52"/>
    </row>
    <row r="1731" spans="1:8" ht="15.75">
      <c r="A1731" s="50">
        <v>41922</v>
      </c>
      <c r="B1731" s="51">
        <v>4521.62</v>
      </c>
      <c r="C1731" s="52"/>
      <c r="D1731" s="52"/>
      <c r="E1731" s="52"/>
      <c r="F1731" s="52"/>
      <c r="G1731" s="52"/>
      <c r="H1731" s="52"/>
    </row>
    <row r="1732" spans="1:8" ht="15.75">
      <c r="A1732" s="50">
        <v>41925</v>
      </c>
      <c r="B1732" s="51">
        <v>4533.7700000000004</v>
      </c>
      <c r="C1732" s="52"/>
      <c r="D1732" s="52"/>
      <c r="E1732" s="52"/>
      <c r="F1732" s="52"/>
      <c r="G1732" s="52"/>
      <c r="H1732" s="52"/>
    </row>
    <row r="1733" spans="1:8" ht="15.75">
      <c r="A1733" s="50">
        <v>41926</v>
      </c>
      <c r="B1733" s="51">
        <v>4540.3500000000004</v>
      </c>
      <c r="C1733" s="52"/>
      <c r="D1733" s="52"/>
      <c r="E1733" s="52"/>
      <c r="F1733" s="52"/>
      <c r="G1733" s="52"/>
      <c r="H1733" s="52"/>
    </row>
    <row r="1734" spans="1:8" ht="15.75">
      <c r="A1734" s="50">
        <v>41927</v>
      </c>
      <c r="B1734" s="51">
        <v>4410.05</v>
      </c>
      <c r="C1734" s="52"/>
      <c r="D1734" s="52"/>
      <c r="E1734" s="52"/>
      <c r="F1734" s="52"/>
      <c r="G1734" s="52"/>
      <c r="H1734" s="52"/>
    </row>
    <row r="1735" spans="1:8" ht="15.75">
      <c r="A1735" s="50">
        <v>41928</v>
      </c>
      <c r="B1735" s="51">
        <v>4415.68</v>
      </c>
      <c r="C1735" s="52"/>
      <c r="D1735" s="52"/>
      <c r="E1735" s="52"/>
      <c r="F1735" s="52"/>
      <c r="G1735" s="52"/>
      <c r="H1735" s="52"/>
    </row>
    <row r="1736" spans="1:8" ht="15.75">
      <c r="A1736" s="50">
        <v>41929</v>
      </c>
      <c r="B1736" s="51">
        <v>4553.24</v>
      </c>
      <c r="C1736" s="52"/>
      <c r="D1736" s="52"/>
      <c r="E1736" s="52"/>
      <c r="F1736" s="52"/>
      <c r="G1736" s="52"/>
      <c r="H1736" s="52"/>
    </row>
    <row r="1737" spans="1:8" ht="15.75">
      <c r="A1737" s="50">
        <v>41932</v>
      </c>
      <c r="B1737" s="51">
        <v>4485.07</v>
      </c>
      <c r="C1737" s="52"/>
      <c r="D1737" s="52"/>
      <c r="E1737" s="52"/>
      <c r="F1737" s="52"/>
      <c r="G1737" s="52"/>
      <c r="H1737" s="52"/>
    </row>
    <row r="1738" spans="1:8" ht="15.75">
      <c r="A1738" s="50">
        <v>41933</v>
      </c>
      <c r="B1738" s="51">
        <v>4572.12</v>
      </c>
      <c r="C1738" s="52"/>
      <c r="D1738" s="52"/>
      <c r="E1738" s="52"/>
      <c r="F1738" s="52"/>
      <c r="G1738" s="52"/>
      <c r="H1738" s="52"/>
    </row>
    <row r="1739" spans="1:8" ht="15.75">
      <c r="A1739" s="50">
        <v>41934</v>
      </c>
      <c r="B1739" s="51">
        <v>4599.4799999999996</v>
      </c>
      <c r="C1739" s="52"/>
      <c r="D1739" s="52"/>
      <c r="E1739" s="52"/>
      <c r="F1739" s="52"/>
      <c r="G1739" s="52"/>
      <c r="H1739" s="52"/>
    </row>
    <row r="1740" spans="1:8" ht="15.75">
      <c r="A1740" s="50">
        <v>41935</v>
      </c>
      <c r="B1740" s="51">
        <v>4654.6099999999997</v>
      </c>
      <c r="C1740" s="52"/>
      <c r="D1740" s="52"/>
      <c r="E1740" s="52"/>
      <c r="F1740" s="52"/>
      <c r="G1740" s="52"/>
      <c r="H1740" s="52"/>
    </row>
    <row r="1741" spans="1:8" ht="15.75">
      <c r="A1741" s="50">
        <v>41936</v>
      </c>
      <c r="B1741" s="51">
        <v>4623.99</v>
      </c>
      <c r="C1741" s="52"/>
      <c r="D1741" s="52"/>
      <c r="E1741" s="52"/>
      <c r="F1741" s="52"/>
      <c r="G1741" s="52"/>
      <c r="H1741" s="52"/>
    </row>
    <row r="1742" spans="1:8" ht="15.75">
      <c r="A1742" s="50">
        <v>41939</v>
      </c>
      <c r="B1742" s="51">
        <v>4580.17</v>
      </c>
      <c r="C1742" s="52"/>
      <c r="D1742" s="52"/>
      <c r="E1742" s="52"/>
      <c r="F1742" s="52"/>
      <c r="G1742" s="52"/>
      <c r="H1742" s="52"/>
    </row>
    <row r="1743" spans="1:8" ht="15.75">
      <c r="A1743" s="50">
        <v>41940</v>
      </c>
      <c r="B1743" s="51">
        <v>4665.3500000000004</v>
      </c>
      <c r="C1743" s="52"/>
      <c r="D1743" s="52"/>
      <c r="E1743" s="52"/>
      <c r="F1743" s="52"/>
      <c r="G1743" s="52"/>
      <c r="H1743" s="52"/>
    </row>
    <row r="1744" spans="1:8" ht="15.75">
      <c r="A1744" s="50">
        <v>41941</v>
      </c>
      <c r="B1744" s="51">
        <v>4672.88</v>
      </c>
      <c r="C1744" s="52"/>
      <c r="D1744" s="52"/>
      <c r="E1744" s="52"/>
      <c r="F1744" s="52"/>
      <c r="G1744" s="52"/>
      <c r="H1744" s="52"/>
    </row>
    <row r="1745" spans="1:8" ht="15.75">
      <c r="A1745" s="50">
        <v>41942</v>
      </c>
      <c r="B1745" s="51">
        <v>4689.3500000000004</v>
      </c>
      <c r="C1745" s="52"/>
      <c r="D1745" s="52"/>
      <c r="E1745" s="52"/>
      <c r="F1745" s="52"/>
      <c r="G1745" s="52"/>
      <c r="H1745" s="52"/>
    </row>
    <row r="1746" spans="1:8" ht="15.75">
      <c r="A1746" s="50">
        <v>41943</v>
      </c>
      <c r="B1746" s="51">
        <v>4798.4399999999996</v>
      </c>
      <c r="C1746" s="52"/>
      <c r="D1746" s="52"/>
      <c r="E1746" s="52"/>
      <c r="F1746" s="52"/>
      <c r="G1746" s="52"/>
      <c r="H1746" s="52"/>
    </row>
    <row r="1747" spans="1:8" ht="15.75">
      <c r="A1747" s="50">
        <v>41946</v>
      </c>
      <c r="B1747" s="51">
        <v>4759.7700000000004</v>
      </c>
      <c r="C1747" s="52"/>
      <c r="D1747" s="52"/>
      <c r="E1747" s="52"/>
      <c r="F1747" s="52"/>
      <c r="G1747" s="52"/>
      <c r="H1747" s="52"/>
    </row>
    <row r="1748" spans="1:8" ht="15.75">
      <c r="A1748" s="50">
        <v>41947</v>
      </c>
      <c r="B1748" s="51">
        <v>4715.92</v>
      </c>
      <c r="C1748" s="52"/>
      <c r="D1748" s="52"/>
      <c r="E1748" s="52"/>
      <c r="F1748" s="52"/>
      <c r="G1748" s="52"/>
      <c r="H1748" s="52"/>
    </row>
    <row r="1749" spans="1:8" ht="15.75">
      <c r="A1749" s="50">
        <v>41948</v>
      </c>
      <c r="B1749" s="51">
        <v>4792.58</v>
      </c>
      <c r="C1749" s="52"/>
      <c r="D1749" s="52"/>
      <c r="E1749" s="52"/>
      <c r="F1749" s="52"/>
      <c r="G1749" s="52"/>
      <c r="H1749" s="52"/>
    </row>
    <row r="1750" spans="1:8" ht="15.75">
      <c r="A1750" s="50">
        <v>41949</v>
      </c>
      <c r="B1750" s="51">
        <v>4824.4399999999996</v>
      </c>
      <c r="C1750" s="52"/>
      <c r="D1750" s="52"/>
      <c r="E1750" s="52"/>
      <c r="F1750" s="52"/>
      <c r="G1750" s="52"/>
      <c r="H1750" s="52"/>
    </row>
    <row r="1751" spans="1:8" ht="15.75">
      <c r="A1751" s="50">
        <v>41950</v>
      </c>
      <c r="B1751" s="51">
        <v>4780.41</v>
      </c>
      <c r="C1751" s="52"/>
      <c r="D1751" s="52"/>
      <c r="E1751" s="52"/>
      <c r="F1751" s="52"/>
      <c r="G1751" s="52"/>
      <c r="H1751" s="52"/>
    </row>
    <row r="1752" spans="1:8" ht="15.75">
      <c r="A1752" s="50">
        <v>41953</v>
      </c>
      <c r="B1752" s="51">
        <v>4811.3</v>
      </c>
      <c r="C1752" s="52"/>
      <c r="D1752" s="52"/>
      <c r="E1752" s="52"/>
      <c r="F1752" s="52"/>
      <c r="G1752" s="52"/>
      <c r="H1752" s="52"/>
    </row>
    <row r="1753" spans="1:8" ht="15.75">
      <c r="A1753" s="50">
        <v>41954</v>
      </c>
      <c r="B1753" s="51">
        <v>4820.13</v>
      </c>
      <c r="C1753" s="52"/>
      <c r="D1753" s="52"/>
      <c r="E1753" s="52"/>
      <c r="F1753" s="52"/>
      <c r="G1753" s="52"/>
      <c r="H1753" s="52"/>
    </row>
    <row r="1754" spans="1:8" ht="15.75">
      <c r="A1754" s="50">
        <v>41955</v>
      </c>
      <c r="B1754" s="51">
        <v>4738.8</v>
      </c>
      <c r="C1754" s="52"/>
      <c r="D1754" s="52"/>
      <c r="E1754" s="52"/>
      <c r="F1754" s="52"/>
      <c r="G1754" s="52"/>
      <c r="H1754" s="52"/>
    </row>
    <row r="1755" spans="1:8" ht="15.75">
      <c r="A1755" s="50">
        <v>41956</v>
      </c>
      <c r="B1755" s="51">
        <v>4758.12</v>
      </c>
      <c r="C1755" s="52"/>
      <c r="D1755" s="52"/>
      <c r="E1755" s="52"/>
      <c r="F1755" s="52"/>
      <c r="G1755" s="52"/>
      <c r="H1755" s="52"/>
    </row>
    <row r="1756" spans="1:8" ht="15.75">
      <c r="A1756" s="50">
        <v>41957</v>
      </c>
      <c r="B1756" s="51">
        <v>4760.3999999999996</v>
      </c>
      <c r="C1756" s="52"/>
      <c r="D1756" s="52"/>
      <c r="E1756" s="52"/>
      <c r="F1756" s="52"/>
      <c r="G1756" s="52"/>
      <c r="H1756" s="52"/>
    </row>
    <row r="1757" spans="1:8" ht="15.75">
      <c r="A1757" s="50">
        <v>41960</v>
      </c>
      <c r="B1757" s="51">
        <v>4787.88</v>
      </c>
      <c r="C1757" s="52"/>
      <c r="D1757" s="52"/>
      <c r="E1757" s="52"/>
      <c r="F1757" s="52"/>
      <c r="G1757" s="52"/>
      <c r="H1757" s="52"/>
    </row>
    <row r="1758" spans="1:8" ht="15.75">
      <c r="A1758" s="50">
        <v>41961</v>
      </c>
      <c r="B1758" s="51">
        <v>4865.1499999999996</v>
      </c>
      <c r="C1758" s="52"/>
      <c r="D1758" s="52"/>
      <c r="E1758" s="52"/>
      <c r="F1758" s="52"/>
      <c r="G1758" s="52"/>
      <c r="H1758" s="52"/>
    </row>
    <row r="1759" spans="1:8" ht="15.75">
      <c r="A1759" s="50">
        <v>41962</v>
      </c>
      <c r="B1759" s="51">
        <v>4873.5200000000004</v>
      </c>
      <c r="C1759" s="52"/>
      <c r="D1759" s="52"/>
      <c r="E1759" s="52"/>
      <c r="F1759" s="52"/>
      <c r="G1759" s="52"/>
      <c r="H1759" s="52"/>
    </row>
    <row r="1760" spans="1:8" ht="15.75">
      <c r="A1760" s="50">
        <v>41963</v>
      </c>
      <c r="B1760" s="51">
        <v>4879.26</v>
      </c>
      <c r="C1760" s="52"/>
      <c r="D1760" s="52"/>
      <c r="E1760" s="52"/>
      <c r="F1760" s="52"/>
      <c r="G1760" s="52"/>
      <c r="H1760" s="52"/>
    </row>
    <row r="1761" spans="1:8" ht="15.75">
      <c r="A1761" s="50">
        <v>41964</v>
      </c>
      <c r="B1761" s="51">
        <v>5007.1499999999996</v>
      </c>
      <c r="C1761" s="52"/>
      <c r="D1761" s="52"/>
      <c r="E1761" s="52"/>
      <c r="F1761" s="52"/>
      <c r="G1761" s="52"/>
      <c r="H1761" s="52"/>
    </row>
    <row r="1762" spans="1:8" ht="15.75">
      <c r="A1762" s="50">
        <v>41967</v>
      </c>
      <c r="B1762" s="51">
        <v>5034.41</v>
      </c>
      <c r="C1762" s="52"/>
      <c r="D1762" s="52"/>
      <c r="E1762" s="52"/>
      <c r="F1762" s="52"/>
      <c r="G1762" s="52"/>
      <c r="H1762" s="52"/>
    </row>
    <row r="1763" spans="1:8" ht="15.75">
      <c r="A1763" s="50">
        <v>41968</v>
      </c>
      <c r="B1763" s="51">
        <v>5073.34</v>
      </c>
      <c r="C1763" s="52"/>
      <c r="D1763" s="52"/>
      <c r="E1763" s="52"/>
      <c r="F1763" s="52"/>
      <c r="G1763" s="52"/>
      <c r="H1763" s="52"/>
    </row>
    <row r="1764" spans="1:8" ht="15.75">
      <c r="A1764" s="50">
        <v>41969</v>
      </c>
      <c r="B1764" s="51">
        <v>5101.3</v>
      </c>
      <c r="C1764" s="52"/>
      <c r="D1764" s="52"/>
      <c r="E1764" s="52"/>
      <c r="F1764" s="52"/>
      <c r="G1764" s="52"/>
      <c r="H1764" s="52"/>
    </row>
    <row r="1765" spans="1:8" ht="15.75">
      <c r="A1765" s="50">
        <v>41970</v>
      </c>
      <c r="B1765" s="51">
        <v>5131.82</v>
      </c>
      <c r="C1765" s="52"/>
      <c r="D1765" s="52"/>
      <c r="E1765" s="52"/>
      <c r="F1765" s="52"/>
      <c r="G1765" s="52"/>
      <c r="H1765" s="52"/>
    </row>
    <row r="1766" spans="1:8" ht="15.75">
      <c r="A1766" s="50">
        <v>41971</v>
      </c>
      <c r="B1766" s="51">
        <v>5134.8900000000003</v>
      </c>
      <c r="C1766" s="52"/>
      <c r="D1766" s="52"/>
      <c r="E1766" s="52"/>
      <c r="F1766" s="52"/>
      <c r="G1766" s="52"/>
      <c r="H1766" s="52"/>
    </row>
    <row r="1767" spans="1:8" ht="15.75">
      <c r="A1767" s="50">
        <v>41974</v>
      </c>
      <c r="B1767" s="51">
        <v>5125.9799999999996</v>
      </c>
      <c r="C1767" s="52"/>
      <c r="D1767" s="52"/>
      <c r="E1767" s="52"/>
      <c r="F1767" s="52"/>
      <c r="G1767" s="52"/>
      <c r="H1767" s="52"/>
    </row>
    <row r="1768" spans="1:8" ht="15.75">
      <c r="A1768" s="50">
        <v>41975</v>
      </c>
      <c r="B1768" s="51">
        <v>5110.83</v>
      </c>
      <c r="C1768" s="52"/>
      <c r="D1768" s="52"/>
      <c r="E1768" s="52"/>
      <c r="F1768" s="52"/>
      <c r="G1768" s="52"/>
      <c r="H1768" s="52"/>
    </row>
    <row r="1769" spans="1:8" ht="15.75">
      <c r="A1769" s="50">
        <v>41976</v>
      </c>
      <c r="B1769" s="51">
        <v>5130.2299999999996</v>
      </c>
      <c r="C1769" s="52"/>
      <c r="D1769" s="52"/>
      <c r="E1769" s="52"/>
      <c r="F1769" s="52"/>
      <c r="G1769" s="52"/>
      <c r="H1769" s="52"/>
    </row>
    <row r="1770" spans="1:8" ht="15.75">
      <c r="A1770" s="50">
        <v>41977</v>
      </c>
      <c r="B1770" s="51">
        <v>5068.2700000000004</v>
      </c>
      <c r="C1770" s="52"/>
      <c r="D1770" s="52"/>
      <c r="E1770" s="52"/>
      <c r="F1770" s="52"/>
      <c r="G1770" s="52"/>
      <c r="H1770" s="52"/>
    </row>
    <row r="1771" spans="1:8" ht="15.75">
      <c r="A1771" s="50">
        <v>41978</v>
      </c>
      <c r="B1771" s="51">
        <v>5189.5600000000004</v>
      </c>
      <c r="C1771" s="52"/>
      <c r="D1771" s="52"/>
      <c r="E1771" s="52"/>
      <c r="F1771" s="52"/>
      <c r="G1771" s="52"/>
      <c r="H1771" s="52"/>
    </row>
    <row r="1772" spans="1:8" ht="15.75">
      <c r="A1772" s="50">
        <v>41981</v>
      </c>
      <c r="B1772" s="51">
        <v>5152.46</v>
      </c>
      <c r="C1772" s="52"/>
      <c r="D1772" s="52"/>
      <c r="E1772" s="52"/>
      <c r="F1772" s="52"/>
      <c r="G1772" s="52"/>
      <c r="H1772" s="52"/>
    </row>
    <row r="1773" spans="1:8" ht="15.75">
      <c r="A1773" s="50">
        <v>41982</v>
      </c>
      <c r="B1773" s="51">
        <v>5038.62</v>
      </c>
      <c r="C1773" s="52"/>
      <c r="D1773" s="52"/>
      <c r="E1773" s="52"/>
      <c r="F1773" s="52"/>
      <c r="G1773" s="52"/>
      <c r="H1773" s="52"/>
    </row>
    <row r="1774" spans="1:8" ht="15.75">
      <c r="A1774" s="50">
        <v>41983</v>
      </c>
      <c r="B1774" s="51">
        <v>5041.71</v>
      </c>
      <c r="C1774" s="52"/>
      <c r="D1774" s="52"/>
      <c r="E1774" s="52"/>
      <c r="F1774" s="52"/>
      <c r="G1774" s="52"/>
      <c r="H1774" s="52"/>
    </row>
    <row r="1775" spans="1:8" ht="15.75">
      <c r="A1775" s="50">
        <v>41984</v>
      </c>
      <c r="B1775" s="51">
        <v>5074.0200000000004</v>
      </c>
      <c r="C1775" s="52"/>
      <c r="D1775" s="52"/>
      <c r="E1775" s="52"/>
      <c r="F1775" s="52"/>
      <c r="G1775" s="52"/>
      <c r="H1775" s="52"/>
    </row>
    <row r="1776" spans="1:8" ht="15.75">
      <c r="A1776" s="50">
        <v>41985</v>
      </c>
      <c r="B1776" s="51">
        <v>4936.24</v>
      </c>
      <c r="C1776" s="52"/>
      <c r="D1776" s="52"/>
      <c r="E1776" s="52"/>
      <c r="F1776" s="52"/>
      <c r="G1776" s="52"/>
      <c r="H1776" s="52"/>
    </row>
    <row r="1777" spans="1:8" ht="15.75">
      <c r="A1777" s="50">
        <v>41988</v>
      </c>
      <c r="B1777" s="51">
        <v>4802.1099999999997</v>
      </c>
      <c r="C1777" s="52"/>
      <c r="D1777" s="52"/>
      <c r="E1777" s="52"/>
      <c r="F1777" s="52"/>
      <c r="G1777" s="52"/>
      <c r="H1777" s="52"/>
    </row>
    <row r="1778" spans="1:8" ht="15.75">
      <c r="A1778" s="50">
        <v>41989</v>
      </c>
      <c r="B1778" s="51">
        <v>4920.38</v>
      </c>
      <c r="C1778" s="52"/>
      <c r="D1778" s="52"/>
      <c r="E1778" s="52"/>
      <c r="F1778" s="52"/>
      <c r="G1778" s="52"/>
      <c r="H1778" s="52"/>
    </row>
    <row r="1779" spans="1:8" ht="15.75">
      <c r="A1779" s="50">
        <v>41990</v>
      </c>
      <c r="B1779" s="51">
        <v>4910.3599999999997</v>
      </c>
      <c r="C1779" s="52"/>
      <c r="D1779" s="52"/>
      <c r="E1779" s="52"/>
      <c r="F1779" s="52"/>
      <c r="G1779" s="52"/>
      <c r="H1779" s="52"/>
    </row>
    <row r="1780" spans="1:8" ht="15.75">
      <c r="A1780" s="50">
        <v>41991</v>
      </c>
      <c r="B1780" s="51">
        <v>5047.54</v>
      </c>
      <c r="C1780" s="52"/>
      <c r="D1780" s="52"/>
      <c r="E1780" s="52"/>
      <c r="F1780" s="52"/>
      <c r="G1780" s="52"/>
      <c r="H1780" s="52"/>
    </row>
    <row r="1781" spans="1:8" ht="15.75">
      <c r="A1781" s="50">
        <v>41992</v>
      </c>
      <c r="B1781" s="51">
        <v>5035.1400000000003</v>
      </c>
      <c r="C1781" s="52"/>
      <c r="D1781" s="52"/>
      <c r="E1781" s="52"/>
      <c r="F1781" s="52"/>
      <c r="G1781" s="52"/>
      <c r="H1781" s="52"/>
    </row>
    <row r="1782" spans="1:8" ht="15.75">
      <c r="A1782" s="50">
        <v>41995</v>
      </c>
      <c r="B1782" s="51">
        <v>5075.68</v>
      </c>
      <c r="C1782" s="52"/>
      <c r="D1782" s="52"/>
      <c r="E1782" s="52"/>
      <c r="F1782" s="52"/>
      <c r="G1782" s="52"/>
      <c r="H1782" s="52"/>
    </row>
    <row r="1783" spans="1:8" ht="15.75">
      <c r="A1783" s="50">
        <v>41996</v>
      </c>
      <c r="B1783" s="51">
        <v>5104.67</v>
      </c>
      <c r="C1783" s="52"/>
      <c r="D1783" s="52"/>
      <c r="E1783" s="52"/>
      <c r="F1783" s="52"/>
      <c r="G1783" s="52"/>
      <c r="H1783" s="52"/>
    </row>
    <row r="1784" spans="1:8" ht="15.75">
      <c r="A1784" s="50">
        <v>42002</v>
      </c>
      <c r="B1784" s="51">
        <v>5107.26</v>
      </c>
      <c r="C1784" s="52"/>
      <c r="D1784" s="52"/>
      <c r="E1784" s="52"/>
      <c r="F1784" s="52"/>
      <c r="G1784" s="52"/>
      <c r="H1784" s="52"/>
    </row>
    <row r="1785" spans="1:8" ht="15.75">
      <c r="A1785" s="50">
        <v>42003</v>
      </c>
      <c r="B1785" s="51">
        <v>5044.71</v>
      </c>
      <c r="C1785" s="52"/>
      <c r="D1785" s="52"/>
      <c r="E1785" s="52"/>
      <c r="F1785" s="52"/>
      <c r="G1785" s="52"/>
      <c r="H1785" s="52"/>
    </row>
    <row r="1786" spans="1:8" ht="15.75">
      <c r="A1786" s="50">
        <v>42006</v>
      </c>
      <c r="B1786" s="51">
        <v>5023.7</v>
      </c>
      <c r="C1786" s="52"/>
      <c r="D1786" s="52"/>
      <c r="E1786" s="52"/>
      <c r="F1786" s="52"/>
      <c r="G1786" s="52"/>
      <c r="H1786" s="52"/>
    </row>
    <row r="1787" spans="1:8" ht="15.75">
      <c r="A1787" s="50">
        <v>42009</v>
      </c>
      <c r="B1787" s="51">
        <v>4873.7</v>
      </c>
      <c r="C1787" s="52"/>
      <c r="D1787" s="52"/>
      <c r="E1787" s="52"/>
      <c r="F1787" s="52"/>
      <c r="G1787" s="52"/>
      <c r="H1787" s="52"/>
    </row>
    <row r="1788" spans="1:8" ht="15.75">
      <c r="A1788" s="50">
        <v>42010</v>
      </c>
      <c r="B1788" s="51">
        <v>4871.8999999999996</v>
      </c>
      <c r="C1788" s="52"/>
      <c r="D1788" s="52"/>
      <c r="E1788" s="52"/>
      <c r="F1788" s="52"/>
      <c r="G1788" s="52"/>
      <c r="H1788" s="52"/>
    </row>
    <row r="1789" spans="1:8" ht="15.75">
      <c r="A1789" s="50">
        <v>42011</v>
      </c>
      <c r="B1789" s="51">
        <v>4896.8599999999997</v>
      </c>
      <c r="C1789" s="52"/>
      <c r="D1789" s="52"/>
      <c r="E1789" s="52"/>
      <c r="F1789" s="52"/>
      <c r="G1789" s="52"/>
      <c r="H1789" s="52"/>
    </row>
    <row r="1790" spans="1:8" ht="15.75">
      <c r="A1790" s="50">
        <v>42012</v>
      </c>
      <c r="B1790" s="51">
        <v>5061.2</v>
      </c>
      <c r="C1790" s="52"/>
      <c r="D1790" s="52"/>
      <c r="E1790" s="52"/>
      <c r="F1790" s="52"/>
      <c r="G1790" s="52"/>
      <c r="H1790" s="52"/>
    </row>
    <row r="1791" spans="1:8" ht="15.75">
      <c r="A1791" s="50">
        <v>42013</v>
      </c>
      <c r="B1791" s="51">
        <v>4963.8999999999996</v>
      </c>
      <c r="C1791" s="52"/>
      <c r="D1791" s="52"/>
      <c r="E1791" s="52"/>
      <c r="F1791" s="52"/>
      <c r="G1791" s="52"/>
      <c r="H1791" s="52"/>
    </row>
    <row r="1792" spans="1:8" ht="15.75">
      <c r="A1792" s="50">
        <v>42016</v>
      </c>
      <c r="B1792" s="51">
        <v>5032.54</v>
      </c>
      <c r="C1792" s="52"/>
      <c r="D1792" s="52"/>
      <c r="E1792" s="52"/>
      <c r="F1792" s="52"/>
      <c r="G1792" s="52"/>
      <c r="H1792" s="52"/>
    </row>
    <row r="1793" spans="1:8" ht="15.75">
      <c r="A1793" s="50">
        <v>42017</v>
      </c>
      <c r="B1793" s="51">
        <v>5114.3900000000003</v>
      </c>
      <c r="C1793" s="52"/>
      <c r="D1793" s="52"/>
      <c r="E1793" s="52"/>
      <c r="F1793" s="52"/>
      <c r="G1793" s="52"/>
      <c r="H1793" s="52"/>
    </row>
    <row r="1794" spans="1:8" ht="15.75">
      <c r="A1794" s="50">
        <v>42018</v>
      </c>
      <c r="B1794" s="51">
        <v>5050.6400000000003</v>
      </c>
      <c r="C1794" s="52"/>
      <c r="D1794" s="52"/>
      <c r="E1794" s="52"/>
      <c r="F1794" s="52"/>
      <c r="G1794" s="52"/>
      <c r="H1794" s="52"/>
    </row>
    <row r="1795" spans="1:8" ht="15.75">
      <c r="A1795" s="50">
        <v>42019</v>
      </c>
      <c r="B1795" s="51">
        <v>5161.5200000000004</v>
      </c>
      <c r="C1795" s="52"/>
      <c r="D1795" s="52"/>
      <c r="E1795" s="52"/>
      <c r="F1795" s="52"/>
      <c r="G1795" s="52"/>
      <c r="H1795" s="52"/>
    </row>
    <row r="1796" spans="1:8" ht="15.75">
      <c r="A1796" s="50">
        <v>42020</v>
      </c>
      <c r="B1796" s="51">
        <v>5231.0600000000004</v>
      </c>
      <c r="C1796" s="52"/>
      <c r="D1796" s="52"/>
      <c r="E1796" s="52"/>
      <c r="F1796" s="52"/>
      <c r="G1796" s="52"/>
      <c r="H1796" s="52"/>
    </row>
    <row r="1797" spans="1:8" ht="15.75">
      <c r="A1797" s="50">
        <v>42023</v>
      </c>
      <c r="B1797" s="51">
        <v>5269.43</v>
      </c>
      <c r="C1797" s="52"/>
      <c r="D1797" s="52"/>
      <c r="E1797" s="52"/>
      <c r="F1797" s="52"/>
      <c r="G1797" s="52"/>
      <c r="H1797" s="52"/>
    </row>
    <row r="1798" spans="1:8" ht="15.75">
      <c r="A1798" s="50">
        <v>42024</v>
      </c>
      <c r="B1798" s="51">
        <v>5277.03</v>
      </c>
      <c r="C1798" s="52"/>
      <c r="D1798" s="52"/>
      <c r="E1798" s="52"/>
      <c r="F1798" s="52"/>
      <c r="G1798" s="52"/>
      <c r="H1798" s="52"/>
    </row>
    <row r="1799" spans="1:8" ht="15.75">
      <c r="A1799" s="50">
        <v>42025</v>
      </c>
      <c r="B1799" s="51">
        <v>5298.69</v>
      </c>
      <c r="C1799" s="52"/>
      <c r="D1799" s="52"/>
      <c r="E1799" s="52"/>
      <c r="F1799" s="52"/>
      <c r="G1799" s="52"/>
      <c r="H1799" s="52"/>
    </row>
    <row r="1800" spans="1:8" ht="15.75">
      <c r="A1800" s="50">
        <v>42026</v>
      </c>
      <c r="B1800" s="51">
        <v>5368.86</v>
      </c>
      <c r="C1800" s="52"/>
      <c r="D1800" s="52"/>
      <c r="E1800" s="52"/>
      <c r="F1800" s="52"/>
      <c r="G1800" s="52"/>
      <c r="H1800" s="52"/>
    </row>
    <row r="1801" spans="1:8" ht="15.75">
      <c r="A1801" s="50">
        <v>42027</v>
      </c>
      <c r="B1801" s="51">
        <v>5478.94</v>
      </c>
      <c r="C1801" s="52"/>
      <c r="D1801" s="52"/>
      <c r="E1801" s="52"/>
      <c r="F1801" s="52"/>
      <c r="G1801" s="52"/>
      <c r="H1801" s="52"/>
    </row>
    <row r="1802" spans="1:8" ht="15.75">
      <c r="A1802" s="50">
        <v>42030</v>
      </c>
      <c r="B1802" s="51">
        <v>5555.46</v>
      </c>
      <c r="C1802" s="52"/>
      <c r="D1802" s="52"/>
      <c r="E1802" s="52"/>
      <c r="F1802" s="52"/>
      <c r="G1802" s="52"/>
      <c r="H1802" s="52"/>
    </row>
    <row r="1803" spans="1:8" ht="15.75">
      <c r="A1803" s="50">
        <v>42031</v>
      </c>
      <c r="B1803" s="51">
        <v>5468.13</v>
      </c>
      <c r="C1803" s="52"/>
      <c r="D1803" s="52"/>
      <c r="E1803" s="52"/>
      <c r="F1803" s="52"/>
      <c r="G1803" s="52"/>
      <c r="H1803" s="52"/>
    </row>
    <row r="1804" spans="1:8" ht="15.75">
      <c r="A1804" s="50">
        <v>42032</v>
      </c>
      <c r="B1804" s="51">
        <v>5494.55</v>
      </c>
      <c r="C1804" s="52"/>
      <c r="D1804" s="52"/>
      <c r="E1804" s="52"/>
      <c r="F1804" s="52"/>
      <c r="G1804" s="52"/>
      <c r="H1804" s="52"/>
    </row>
    <row r="1805" spans="1:8" ht="15.75">
      <c r="A1805" s="50">
        <v>42033</v>
      </c>
      <c r="B1805" s="51">
        <v>5508.63</v>
      </c>
      <c r="C1805" s="52"/>
      <c r="D1805" s="52"/>
      <c r="E1805" s="52"/>
      <c r="F1805" s="52"/>
      <c r="G1805" s="52"/>
      <c r="H1805" s="52"/>
    </row>
    <row r="1806" spans="1:8" ht="15.75">
      <c r="A1806" s="50">
        <v>42034</v>
      </c>
      <c r="B1806" s="51">
        <v>5486.32</v>
      </c>
      <c r="C1806" s="52"/>
      <c r="D1806" s="52"/>
      <c r="E1806" s="52"/>
      <c r="F1806" s="52"/>
      <c r="G1806" s="52"/>
      <c r="H1806" s="52"/>
    </row>
    <row r="1807" spans="1:8" ht="15.75">
      <c r="A1807" s="50">
        <v>42037</v>
      </c>
      <c r="B1807" s="51">
        <v>5554.5</v>
      </c>
      <c r="C1807" s="52"/>
      <c r="D1807" s="52"/>
      <c r="E1807" s="52"/>
      <c r="F1807" s="52"/>
      <c r="G1807" s="52"/>
      <c r="H1807" s="52"/>
    </row>
    <row r="1808" spans="1:8" ht="15.75">
      <c r="A1808" s="50">
        <v>42038</v>
      </c>
      <c r="B1808" s="51">
        <v>5586.67</v>
      </c>
      <c r="C1808" s="52"/>
      <c r="D1808" s="52"/>
      <c r="E1808" s="52"/>
      <c r="F1808" s="52"/>
      <c r="G1808" s="52"/>
      <c r="H1808" s="52"/>
    </row>
    <row r="1809" spans="1:8" ht="15.75">
      <c r="A1809" s="50">
        <v>42039</v>
      </c>
      <c r="B1809" s="51">
        <v>5597.23</v>
      </c>
      <c r="C1809" s="52"/>
      <c r="D1809" s="52"/>
      <c r="E1809" s="52"/>
      <c r="F1809" s="52"/>
      <c r="G1809" s="52"/>
      <c r="H1809" s="52"/>
    </row>
    <row r="1810" spans="1:8" ht="15.75">
      <c r="A1810" s="50">
        <v>42040</v>
      </c>
      <c r="B1810" s="51">
        <v>5594.06</v>
      </c>
      <c r="C1810" s="52"/>
      <c r="D1810" s="52"/>
      <c r="E1810" s="52"/>
      <c r="F1810" s="52"/>
      <c r="G1810" s="52"/>
      <c r="H1810" s="52"/>
    </row>
    <row r="1811" spans="1:8" ht="15.75">
      <c r="A1811" s="50">
        <v>42041</v>
      </c>
      <c r="B1811" s="51">
        <v>5563.87</v>
      </c>
      <c r="C1811" s="52"/>
      <c r="D1811" s="52"/>
      <c r="E1811" s="52"/>
      <c r="F1811" s="52"/>
      <c r="G1811" s="52"/>
      <c r="H1811" s="52"/>
    </row>
    <row r="1812" spans="1:8" ht="15.75">
      <c r="A1812" s="50">
        <v>42044</v>
      </c>
      <c r="B1812" s="51">
        <v>5469.98</v>
      </c>
      <c r="C1812" s="52"/>
      <c r="D1812" s="52"/>
      <c r="E1812" s="52"/>
      <c r="F1812" s="52"/>
      <c r="G1812" s="52"/>
      <c r="H1812" s="52"/>
    </row>
    <row r="1813" spans="1:8" ht="15.75">
      <c r="A1813" s="50">
        <v>42045</v>
      </c>
      <c r="B1813" s="51">
        <v>5516.38</v>
      </c>
      <c r="C1813" s="52"/>
      <c r="D1813" s="52"/>
      <c r="E1813" s="52"/>
      <c r="F1813" s="52"/>
      <c r="G1813" s="52"/>
      <c r="H1813" s="52"/>
    </row>
    <row r="1814" spans="1:8" ht="15.75">
      <c r="A1814" s="50">
        <v>42046</v>
      </c>
      <c r="B1814" s="51">
        <v>5515.52</v>
      </c>
      <c r="C1814" s="52"/>
      <c r="D1814" s="52"/>
      <c r="E1814" s="52"/>
      <c r="F1814" s="52"/>
      <c r="G1814" s="52"/>
      <c r="H1814" s="52"/>
    </row>
    <row r="1815" spans="1:8" ht="15.75">
      <c r="A1815" s="50">
        <v>42047</v>
      </c>
      <c r="B1815" s="51">
        <v>5601.7</v>
      </c>
      <c r="C1815" s="52"/>
      <c r="D1815" s="52"/>
      <c r="E1815" s="52"/>
      <c r="F1815" s="52"/>
      <c r="G1815" s="52"/>
      <c r="H1815" s="52"/>
    </row>
    <row r="1816" spans="1:8" ht="15.75">
      <c r="A1816" s="50">
        <v>42048</v>
      </c>
      <c r="B1816" s="51">
        <v>5622.7</v>
      </c>
      <c r="C1816" s="52"/>
      <c r="D1816" s="52"/>
      <c r="E1816" s="52"/>
      <c r="F1816" s="52"/>
      <c r="G1816" s="52"/>
      <c r="H1816" s="52"/>
    </row>
    <row r="1817" spans="1:8" ht="15.75">
      <c r="A1817" s="50">
        <v>42051</v>
      </c>
      <c r="B1817" s="51">
        <v>5602.15</v>
      </c>
      <c r="C1817" s="52"/>
      <c r="D1817" s="52"/>
      <c r="E1817" s="52"/>
      <c r="F1817" s="52"/>
      <c r="G1817" s="52"/>
      <c r="H1817" s="52"/>
    </row>
    <row r="1818" spans="1:8" ht="15.75">
      <c r="A1818" s="50">
        <v>42052</v>
      </c>
      <c r="B1818" s="51">
        <v>5587.89</v>
      </c>
      <c r="C1818" s="52"/>
      <c r="D1818" s="52"/>
      <c r="E1818" s="52"/>
      <c r="F1818" s="52"/>
      <c r="G1818" s="52"/>
      <c r="H1818" s="52"/>
    </row>
    <row r="1819" spans="1:8" ht="15.75">
      <c r="A1819" s="50">
        <v>42053</v>
      </c>
      <c r="B1819" s="51">
        <v>5621.3</v>
      </c>
      <c r="C1819" s="52"/>
      <c r="D1819" s="52"/>
      <c r="E1819" s="52"/>
      <c r="F1819" s="52"/>
      <c r="G1819" s="52"/>
      <c r="H1819" s="52"/>
    </row>
    <row r="1820" spans="1:8" ht="15.75">
      <c r="A1820" s="50">
        <v>42054</v>
      </c>
      <c r="B1820" s="51">
        <v>5642.27</v>
      </c>
      <c r="C1820" s="52"/>
      <c r="D1820" s="52"/>
      <c r="E1820" s="52"/>
      <c r="F1820" s="52"/>
      <c r="G1820" s="52"/>
      <c r="H1820" s="52"/>
    </row>
    <row r="1821" spans="1:8" ht="15.75">
      <c r="A1821" s="50">
        <v>42055</v>
      </c>
      <c r="B1821" s="51">
        <v>5667.3</v>
      </c>
      <c r="C1821" s="52"/>
      <c r="D1821" s="52"/>
      <c r="E1821" s="52"/>
      <c r="F1821" s="52"/>
      <c r="G1821" s="52"/>
      <c r="H1821" s="52"/>
    </row>
    <row r="1822" spans="1:8" ht="15.75">
      <c r="A1822" s="50">
        <v>42058</v>
      </c>
      <c r="B1822" s="51">
        <v>5708.51</v>
      </c>
      <c r="C1822" s="52"/>
      <c r="D1822" s="52"/>
      <c r="E1822" s="52"/>
      <c r="F1822" s="52"/>
      <c r="G1822" s="52"/>
      <c r="H1822" s="52"/>
    </row>
    <row r="1823" spans="1:8" ht="15.75">
      <c r="A1823" s="50">
        <v>42059</v>
      </c>
      <c r="B1823" s="51">
        <v>5746.94</v>
      </c>
      <c r="C1823" s="52"/>
      <c r="D1823" s="52"/>
      <c r="E1823" s="52"/>
      <c r="F1823" s="52"/>
      <c r="G1823" s="52"/>
      <c r="H1823" s="52"/>
    </row>
    <row r="1824" spans="1:8" ht="15.75">
      <c r="A1824" s="50">
        <v>42060</v>
      </c>
      <c r="B1824" s="51">
        <v>5749.19</v>
      </c>
      <c r="C1824" s="52"/>
      <c r="D1824" s="52"/>
      <c r="E1824" s="52"/>
      <c r="F1824" s="52"/>
      <c r="G1824" s="52"/>
      <c r="H1824" s="52"/>
    </row>
    <row r="1825" spans="1:8" ht="15.75">
      <c r="A1825" s="50">
        <v>42061</v>
      </c>
      <c r="B1825" s="51">
        <v>5809.31</v>
      </c>
      <c r="C1825" s="52"/>
      <c r="D1825" s="52"/>
      <c r="E1825" s="52"/>
      <c r="F1825" s="52"/>
      <c r="G1825" s="52"/>
      <c r="H1825" s="52"/>
    </row>
    <row r="1826" spans="1:8" ht="15.75">
      <c r="A1826" s="50">
        <v>42062</v>
      </c>
      <c r="B1826" s="51">
        <v>5847.48</v>
      </c>
      <c r="C1826" s="52"/>
      <c r="D1826" s="52"/>
      <c r="E1826" s="52"/>
      <c r="F1826" s="52"/>
      <c r="G1826" s="52"/>
      <c r="H1826" s="52"/>
    </row>
    <row r="1827" spans="1:8" ht="15.75">
      <c r="A1827" s="50">
        <v>42065</v>
      </c>
      <c r="B1827" s="51">
        <v>5852.15</v>
      </c>
      <c r="C1827" s="52"/>
      <c r="D1827" s="52"/>
      <c r="E1827" s="52"/>
      <c r="F1827" s="52"/>
      <c r="G1827" s="52"/>
      <c r="H1827" s="52"/>
    </row>
    <row r="1828" spans="1:8" ht="15.75">
      <c r="A1828" s="50">
        <v>42066</v>
      </c>
      <c r="B1828" s="51">
        <v>5785.4</v>
      </c>
      <c r="C1828" s="52"/>
      <c r="D1828" s="52"/>
      <c r="E1828" s="52"/>
      <c r="F1828" s="52"/>
      <c r="G1828" s="52"/>
      <c r="H1828" s="52"/>
    </row>
    <row r="1829" spans="1:8" ht="15.75">
      <c r="A1829" s="50">
        <v>42067</v>
      </c>
      <c r="B1829" s="51">
        <v>5841.91</v>
      </c>
      <c r="C1829" s="52"/>
      <c r="D1829" s="52"/>
      <c r="E1829" s="52"/>
      <c r="F1829" s="52"/>
      <c r="G1829" s="52"/>
      <c r="H1829" s="52"/>
    </row>
    <row r="1830" spans="1:8" ht="15.75">
      <c r="A1830" s="50">
        <v>42068</v>
      </c>
      <c r="B1830" s="51">
        <v>5900.13</v>
      </c>
      <c r="C1830" s="52"/>
      <c r="D1830" s="52"/>
      <c r="E1830" s="52"/>
      <c r="F1830" s="52"/>
      <c r="G1830" s="52"/>
      <c r="H1830" s="52"/>
    </row>
    <row r="1831" spans="1:8" ht="15.75">
      <c r="A1831" s="50">
        <v>42069</v>
      </c>
      <c r="B1831" s="51">
        <v>5924.29</v>
      </c>
      <c r="C1831" s="52"/>
      <c r="D1831" s="52"/>
      <c r="E1831" s="52"/>
      <c r="F1831" s="52"/>
      <c r="G1831" s="52"/>
      <c r="H1831" s="52"/>
    </row>
    <row r="1832" spans="1:8" ht="15.75">
      <c r="A1832" s="50">
        <v>42072</v>
      </c>
      <c r="B1832" s="51">
        <v>5940.28</v>
      </c>
      <c r="C1832" s="52"/>
      <c r="D1832" s="52"/>
      <c r="E1832" s="52"/>
      <c r="F1832" s="52"/>
      <c r="G1832" s="52"/>
      <c r="H1832" s="52"/>
    </row>
    <row r="1833" spans="1:8" ht="15.75">
      <c r="A1833" s="50">
        <v>42073</v>
      </c>
      <c r="B1833" s="51">
        <v>5898.3</v>
      </c>
      <c r="C1833" s="52"/>
      <c r="D1833" s="52"/>
      <c r="E1833" s="52"/>
      <c r="F1833" s="52"/>
      <c r="G1833" s="52"/>
      <c r="H1833" s="52"/>
    </row>
    <row r="1834" spans="1:8" ht="15.75">
      <c r="A1834" s="50">
        <v>42074</v>
      </c>
      <c r="B1834" s="51">
        <v>6054.98</v>
      </c>
      <c r="C1834" s="52"/>
      <c r="D1834" s="52"/>
      <c r="E1834" s="52"/>
      <c r="F1834" s="52"/>
      <c r="G1834" s="52"/>
      <c r="H1834" s="52"/>
    </row>
    <row r="1835" spans="1:8" ht="15.75">
      <c r="A1835" s="50">
        <v>42075</v>
      </c>
      <c r="B1835" s="51">
        <v>6051.61</v>
      </c>
      <c r="C1835" s="52"/>
      <c r="D1835" s="52"/>
      <c r="E1835" s="52"/>
      <c r="F1835" s="52"/>
      <c r="G1835" s="52"/>
      <c r="H1835" s="52"/>
    </row>
    <row r="1836" spans="1:8" ht="15.75">
      <c r="A1836" s="50">
        <v>42076</v>
      </c>
      <c r="B1836" s="51">
        <v>6103.97</v>
      </c>
      <c r="C1836" s="52"/>
      <c r="D1836" s="52"/>
      <c r="E1836" s="52"/>
      <c r="F1836" s="52"/>
      <c r="G1836" s="52"/>
      <c r="H1836" s="52"/>
    </row>
    <row r="1837" spans="1:8" ht="15.75">
      <c r="A1837" s="50">
        <v>42079</v>
      </c>
      <c r="B1837" s="51">
        <v>6240.43</v>
      </c>
      <c r="C1837" s="52"/>
      <c r="D1837" s="52"/>
      <c r="E1837" s="52"/>
      <c r="F1837" s="52"/>
      <c r="G1837" s="52"/>
      <c r="H1837" s="52"/>
    </row>
    <row r="1838" spans="1:8" ht="15.75">
      <c r="A1838" s="50">
        <v>42080</v>
      </c>
      <c r="B1838" s="51">
        <v>6144.56</v>
      </c>
      <c r="C1838" s="52"/>
      <c r="D1838" s="52"/>
      <c r="E1838" s="52"/>
      <c r="F1838" s="52"/>
      <c r="G1838" s="52"/>
      <c r="H1838" s="52"/>
    </row>
    <row r="1839" spans="1:8" ht="15.75">
      <c r="A1839" s="50">
        <v>42081</v>
      </c>
      <c r="B1839" s="51">
        <v>6114.55</v>
      </c>
      <c r="C1839" s="52"/>
      <c r="D1839" s="52"/>
      <c r="E1839" s="52"/>
      <c r="F1839" s="52"/>
      <c r="G1839" s="52"/>
      <c r="H1839" s="52"/>
    </row>
    <row r="1840" spans="1:8" ht="15.75">
      <c r="A1840" s="50">
        <v>42082</v>
      </c>
      <c r="B1840" s="51">
        <v>6103.27</v>
      </c>
      <c r="C1840" s="52"/>
      <c r="D1840" s="52"/>
      <c r="E1840" s="52"/>
      <c r="F1840" s="52"/>
      <c r="G1840" s="52"/>
      <c r="H1840" s="52"/>
    </row>
    <row r="1841" spans="1:8" ht="15.75">
      <c r="A1841" s="50">
        <v>42083</v>
      </c>
      <c r="B1841" s="51">
        <v>6175.31</v>
      </c>
      <c r="C1841" s="52"/>
      <c r="D1841" s="52"/>
      <c r="E1841" s="52"/>
      <c r="F1841" s="52"/>
      <c r="G1841" s="52"/>
      <c r="H1841" s="52"/>
    </row>
    <row r="1842" spans="1:8" ht="15.75">
      <c r="A1842" s="50">
        <v>42086</v>
      </c>
      <c r="B1842" s="51">
        <v>6101.69</v>
      </c>
      <c r="C1842" s="52"/>
      <c r="D1842" s="52"/>
      <c r="E1842" s="52"/>
      <c r="F1842" s="52"/>
      <c r="G1842" s="52"/>
      <c r="H1842" s="52"/>
    </row>
    <row r="1843" spans="1:8" ht="15.75">
      <c r="A1843" s="50">
        <v>42087</v>
      </c>
      <c r="B1843" s="51">
        <v>6158.04</v>
      </c>
      <c r="C1843" s="52"/>
      <c r="D1843" s="52"/>
      <c r="E1843" s="52"/>
      <c r="F1843" s="52"/>
      <c r="G1843" s="52"/>
      <c r="H1843" s="52"/>
    </row>
    <row r="1844" spans="1:8" ht="15.75">
      <c r="A1844" s="50">
        <v>42088</v>
      </c>
      <c r="B1844" s="51">
        <v>6086.04</v>
      </c>
      <c r="C1844" s="52"/>
      <c r="D1844" s="52"/>
      <c r="E1844" s="52"/>
      <c r="F1844" s="52"/>
      <c r="G1844" s="52"/>
      <c r="H1844" s="52"/>
    </row>
    <row r="1845" spans="1:8" ht="15.75">
      <c r="A1845" s="50">
        <v>42089</v>
      </c>
      <c r="B1845" s="51">
        <v>6074.94</v>
      </c>
      <c r="C1845" s="52"/>
      <c r="D1845" s="52"/>
      <c r="E1845" s="52"/>
      <c r="F1845" s="52"/>
      <c r="G1845" s="52"/>
      <c r="H1845" s="52"/>
    </row>
    <row r="1846" spans="1:8" ht="15.75">
      <c r="A1846" s="50">
        <v>42090</v>
      </c>
      <c r="B1846" s="51">
        <v>6087.58</v>
      </c>
      <c r="C1846" s="52"/>
      <c r="D1846" s="52"/>
      <c r="E1846" s="52"/>
      <c r="F1846" s="52"/>
      <c r="G1846" s="52"/>
      <c r="H1846" s="52"/>
    </row>
    <row r="1847" spans="1:8" ht="15.75">
      <c r="A1847" s="50">
        <v>42093</v>
      </c>
      <c r="B1847" s="51">
        <v>6199.23</v>
      </c>
      <c r="C1847" s="52"/>
      <c r="D1847" s="52"/>
      <c r="E1847" s="52"/>
      <c r="F1847" s="52"/>
      <c r="G1847" s="52"/>
      <c r="H1847" s="52"/>
    </row>
    <row r="1848" spans="1:8" ht="15.75">
      <c r="A1848" s="50">
        <v>42094</v>
      </c>
      <c r="B1848" s="51">
        <v>6137.77</v>
      </c>
      <c r="C1848" s="52"/>
      <c r="D1848" s="52"/>
      <c r="E1848" s="52"/>
      <c r="F1848" s="52"/>
      <c r="G1848" s="52"/>
      <c r="H1848" s="52"/>
    </row>
    <row r="1849" spans="1:8" ht="15.75">
      <c r="A1849" s="50">
        <v>42095</v>
      </c>
      <c r="B1849" s="51">
        <v>6155.38</v>
      </c>
      <c r="C1849" s="52"/>
      <c r="D1849" s="52"/>
      <c r="E1849" s="52"/>
      <c r="F1849" s="52"/>
      <c r="G1849" s="52"/>
      <c r="H1849" s="52"/>
    </row>
    <row r="1850" spans="1:8" ht="15.75">
      <c r="A1850" s="50">
        <v>42096</v>
      </c>
      <c r="B1850" s="51">
        <v>6122.63</v>
      </c>
      <c r="C1850" s="52"/>
      <c r="D1850" s="52"/>
      <c r="E1850" s="52"/>
      <c r="F1850" s="52"/>
      <c r="G1850" s="52"/>
      <c r="H1850" s="52"/>
    </row>
    <row r="1851" spans="1:8" ht="15.75">
      <c r="A1851" s="50">
        <v>42101</v>
      </c>
      <c r="B1851" s="51">
        <v>6202.82</v>
      </c>
      <c r="C1851" s="52"/>
      <c r="D1851" s="52"/>
      <c r="E1851" s="52"/>
      <c r="F1851" s="52"/>
      <c r="G1851" s="52"/>
      <c r="H1851" s="52"/>
    </row>
    <row r="1852" spans="1:8" ht="15.75">
      <c r="A1852" s="50">
        <v>42102</v>
      </c>
      <c r="B1852" s="51">
        <v>6158.06</v>
      </c>
      <c r="C1852" s="52"/>
      <c r="D1852" s="52"/>
      <c r="E1852" s="52"/>
      <c r="F1852" s="52"/>
      <c r="G1852" s="52"/>
      <c r="H1852" s="52"/>
    </row>
    <row r="1853" spans="1:8" ht="15.75">
      <c r="A1853" s="50">
        <v>42103</v>
      </c>
      <c r="B1853" s="51">
        <v>6224.8</v>
      </c>
      <c r="C1853" s="52"/>
      <c r="D1853" s="52"/>
      <c r="E1853" s="52"/>
      <c r="F1853" s="52"/>
      <c r="G1853" s="52"/>
      <c r="H1853" s="52"/>
    </row>
    <row r="1854" spans="1:8" ht="15.75">
      <c r="A1854" s="50">
        <v>42104</v>
      </c>
      <c r="B1854" s="51">
        <v>6331.39</v>
      </c>
      <c r="C1854" s="52"/>
      <c r="D1854" s="52"/>
      <c r="E1854" s="52"/>
      <c r="F1854" s="52"/>
      <c r="G1854" s="52"/>
      <c r="H1854" s="52"/>
    </row>
    <row r="1855" spans="1:8" ht="15.75">
      <c r="A1855" s="50">
        <v>42107</v>
      </c>
      <c r="B1855" s="51">
        <v>6313.01</v>
      </c>
      <c r="C1855" s="52"/>
      <c r="D1855" s="52"/>
      <c r="E1855" s="52"/>
      <c r="F1855" s="52"/>
      <c r="G1855" s="52"/>
      <c r="H1855" s="52"/>
    </row>
    <row r="1856" spans="1:8" ht="15.75">
      <c r="A1856" s="50">
        <v>42108</v>
      </c>
      <c r="B1856" s="51">
        <v>6254.8</v>
      </c>
      <c r="C1856" s="52"/>
      <c r="D1856" s="52"/>
      <c r="E1856" s="52"/>
      <c r="F1856" s="52"/>
      <c r="G1856" s="52"/>
      <c r="H1856" s="52"/>
    </row>
    <row r="1857" spans="1:8" ht="15.75">
      <c r="A1857" s="50">
        <v>42109</v>
      </c>
      <c r="B1857" s="51">
        <v>6256.66</v>
      </c>
      <c r="C1857" s="52"/>
      <c r="D1857" s="52"/>
      <c r="E1857" s="52"/>
      <c r="F1857" s="52"/>
      <c r="G1857" s="52"/>
      <c r="H1857" s="52"/>
    </row>
    <row r="1858" spans="1:8" ht="15.75">
      <c r="A1858" s="50">
        <v>42110</v>
      </c>
      <c r="B1858" s="51">
        <v>6137.51</v>
      </c>
      <c r="C1858" s="52"/>
      <c r="D1858" s="52"/>
      <c r="E1858" s="52"/>
      <c r="F1858" s="52"/>
      <c r="G1858" s="52"/>
      <c r="H1858" s="52"/>
    </row>
    <row r="1859" spans="1:8" ht="15.75">
      <c r="A1859" s="50">
        <v>42111</v>
      </c>
      <c r="B1859" s="51">
        <v>5978.82</v>
      </c>
      <c r="C1859" s="52"/>
      <c r="D1859" s="52"/>
      <c r="E1859" s="52"/>
      <c r="F1859" s="52"/>
      <c r="G1859" s="52"/>
      <c r="H1859" s="52"/>
    </row>
    <row r="1860" spans="1:8" ht="15.75">
      <c r="A1860" s="50">
        <v>42114</v>
      </c>
      <c r="B1860" s="51">
        <v>6081.89</v>
      </c>
      <c r="C1860" s="52"/>
      <c r="D1860" s="52"/>
      <c r="E1860" s="52"/>
      <c r="F1860" s="52"/>
      <c r="G1860" s="52"/>
      <c r="H1860" s="52"/>
    </row>
    <row r="1861" spans="1:8" ht="15.75">
      <c r="A1861" s="50">
        <v>42115</v>
      </c>
      <c r="B1861" s="51">
        <v>6106.2</v>
      </c>
      <c r="C1861" s="52"/>
      <c r="D1861" s="52"/>
      <c r="E1861" s="52"/>
      <c r="F1861" s="52"/>
      <c r="G1861" s="52"/>
      <c r="H1861" s="52"/>
    </row>
    <row r="1862" spans="1:8" ht="15.75">
      <c r="A1862" s="50">
        <v>42116</v>
      </c>
      <c r="B1862" s="51">
        <v>6069.16</v>
      </c>
      <c r="C1862" s="52"/>
      <c r="D1862" s="52"/>
      <c r="E1862" s="52"/>
      <c r="F1862" s="52"/>
      <c r="G1862" s="52"/>
      <c r="H1862" s="52"/>
    </row>
    <row r="1863" spans="1:8" ht="15.75">
      <c r="A1863" s="50">
        <v>42117</v>
      </c>
      <c r="B1863" s="51">
        <v>5995.68</v>
      </c>
      <c r="C1863" s="52"/>
      <c r="D1863" s="52"/>
      <c r="E1863" s="52"/>
      <c r="F1863" s="52"/>
      <c r="G1863" s="52"/>
      <c r="H1863" s="52"/>
    </row>
    <row r="1864" spans="1:8" ht="15.75">
      <c r="A1864" s="50">
        <v>42118</v>
      </c>
      <c r="B1864" s="51">
        <v>6030.09</v>
      </c>
      <c r="C1864" s="52"/>
      <c r="D1864" s="52"/>
      <c r="E1864" s="52"/>
      <c r="F1864" s="52"/>
      <c r="G1864" s="52"/>
      <c r="H1864" s="52"/>
    </row>
    <row r="1865" spans="1:8" ht="15.75">
      <c r="A1865" s="50">
        <v>42121</v>
      </c>
      <c r="B1865" s="51">
        <v>6146.65</v>
      </c>
      <c r="C1865" s="52"/>
      <c r="D1865" s="52"/>
      <c r="E1865" s="52"/>
      <c r="F1865" s="52"/>
      <c r="G1865" s="52"/>
      <c r="H1865" s="52"/>
    </row>
    <row r="1866" spans="1:8" ht="15.75">
      <c r="A1866" s="50">
        <v>42122</v>
      </c>
      <c r="B1866" s="51">
        <v>6030.29</v>
      </c>
      <c r="C1866" s="52"/>
      <c r="D1866" s="52"/>
      <c r="E1866" s="52"/>
      <c r="F1866" s="52"/>
      <c r="G1866" s="52"/>
      <c r="H1866" s="52"/>
    </row>
    <row r="1867" spans="1:8" ht="15.75">
      <c r="A1867" s="50">
        <v>42123</v>
      </c>
      <c r="B1867" s="51">
        <v>5836.72</v>
      </c>
      <c r="C1867" s="52"/>
      <c r="D1867" s="52"/>
      <c r="E1867" s="52"/>
      <c r="F1867" s="52"/>
      <c r="G1867" s="52"/>
      <c r="H1867" s="52"/>
    </row>
    <row r="1868" spans="1:8" ht="15.75">
      <c r="A1868" s="50">
        <v>42124</v>
      </c>
      <c r="B1868" s="51">
        <v>5847.84</v>
      </c>
      <c r="C1868" s="52"/>
      <c r="D1868" s="52"/>
      <c r="E1868" s="52"/>
      <c r="F1868" s="52"/>
      <c r="G1868" s="52"/>
      <c r="H1868" s="52"/>
    </row>
    <row r="1869" spans="1:8" ht="15.75">
      <c r="A1869" s="50">
        <v>42128</v>
      </c>
      <c r="B1869" s="51">
        <v>5913.55</v>
      </c>
      <c r="C1869" s="52"/>
      <c r="D1869" s="52"/>
      <c r="E1869" s="52"/>
      <c r="F1869" s="52"/>
      <c r="G1869" s="52"/>
      <c r="H1869" s="52"/>
    </row>
    <row r="1870" spans="1:8" ht="15.75">
      <c r="A1870" s="50">
        <v>42129</v>
      </c>
      <c r="B1870" s="51">
        <v>5765.02</v>
      </c>
      <c r="C1870" s="52"/>
      <c r="D1870" s="52"/>
      <c r="E1870" s="52"/>
      <c r="F1870" s="52"/>
      <c r="G1870" s="52"/>
      <c r="H1870" s="52"/>
    </row>
    <row r="1871" spans="1:8" ht="15.75">
      <c r="A1871" s="50">
        <v>42130</v>
      </c>
      <c r="B1871" s="51">
        <v>5771.74</v>
      </c>
      <c r="C1871" s="52"/>
      <c r="D1871" s="52"/>
      <c r="E1871" s="52"/>
      <c r="F1871" s="52"/>
      <c r="G1871" s="52"/>
      <c r="H1871" s="52"/>
    </row>
    <row r="1872" spans="1:8" ht="15.75">
      <c r="A1872" s="50">
        <v>42131</v>
      </c>
      <c r="B1872" s="51">
        <v>5781.61</v>
      </c>
      <c r="C1872" s="52"/>
      <c r="D1872" s="52"/>
      <c r="E1872" s="52"/>
      <c r="F1872" s="52"/>
      <c r="G1872" s="52"/>
      <c r="H1872" s="52"/>
    </row>
    <row r="1873" spans="1:8" ht="15.75">
      <c r="A1873" s="50">
        <v>42132</v>
      </c>
      <c r="B1873" s="51">
        <v>5925.62</v>
      </c>
      <c r="C1873" s="52"/>
      <c r="D1873" s="52"/>
      <c r="E1873" s="52"/>
      <c r="F1873" s="52"/>
      <c r="G1873" s="52"/>
      <c r="H1873" s="52"/>
    </row>
    <row r="1874" spans="1:8" ht="15.75">
      <c r="A1874" s="50">
        <v>42135</v>
      </c>
      <c r="B1874" s="51">
        <v>5907.5</v>
      </c>
      <c r="C1874" s="52"/>
      <c r="D1874" s="52"/>
      <c r="E1874" s="52"/>
      <c r="F1874" s="52"/>
      <c r="G1874" s="52"/>
      <c r="H1874" s="52"/>
    </row>
    <row r="1875" spans="1:8" ht="15.75">
      <c r="A1875" s="50">
        <v>42136</v>
      </c>
      <c r="B1875" s="51">
        <v>5806.09</v>
      </c>
      <c r="C1875" s="52"/>
      <c r="D1875" s="52"/>
      <c r="E1875" s="52"/>
      <c r="F1875" s="52"/>
      <c r="G1875" s="52"/>
      <c r="H1875" s="52"/>
    </row>
    <row r="1876" spans="1:8" ht="15.75">
      <c r="A1876" s="50">
        <v>42137</v>
      </c>
      <c r="B1876" s="51">
        <v>5740.26</v>
      </c>
      <c r="C1876" s="52"/>
      <c r="D1876" s="52"/>
      <c r="E1876" s="52"/>
      <c r="F1876" s="52"/>
      <c r="G1876" s="52"/>
      <c r="H1876" s="52"/>
    </row>
    <row r="1877" spans="1:8" ht="15.75">
      <c r="A1877" s="50">
        <v>42138</v>
      </c>
      <c r="B1877" s="51">
        <v>5836.83</v>
      </c>
      <c r="C1877" s="52"/>
      <c r="D1877" s="52"/>
      <c r="E1877" s="52"/>
      <c r="F1877" s="52"/>
      <c r="G1877" s="52"/>
      <c r="H1877" s="52"/>
    </row>
    <row r="1878" spans="1:8" ht="15.75">
      <c r="A1878" s="50">
        <v>42139</v>
      </c>
      <c r="B1878" s="51">
        <v>5780.15</v>
      </c>
      <c r="C1878" s="52"/>
      <c r="D1878" s="52"/>
      <c r="E1878" s="52"/>
      <c r="F1878" s="52"/>
      <c r="G1878" s="52"/>
      <c r="H1878" s="52"/>
    </row>
    <row r="1879" spans="1:8" ht="15.75">
      <c r="A1879" s="50">
        <v>42142</v>
      </c>
      <c r="B1879" s="51">
        <v>5854.69</v>
      </c>
      <c r="C1879" s="52"/>
      <c r="D1879" s="52"/>
      <c r="E1879" s="52"/>
      <c r="F1879" s="52"/>
      <c r="G1879" s="52"/>
      <c r="H1879" s="52"/>
    </row>
    <row r="1880" spans="1:8" ht="15.75">
      <c r="A1880" s="50">
        <v>42143</v>
      </c>
      <c r="B1880" s="51">
        <v>5985.3</v>
      </c>
      <c r="C1880" s="52"/>
      <c r="D1880" s="52"/>
      <c r="E1880" s="52"/>
      <c r="F1880" s="52"/>
      <c r="G1880" s="52"/>
      <c r="H1880" s="52"/>
    </row>
    <row r="1881" spans="1:8" ht="15.75">
      <c r="A1881" s="50">
        <v>42144</v>
      </c>
      <c r="B1881" s="51">
        <v>5981.81</v>
      </c>
      <c r="C1881" s="52"/>
      <c r="D1881" s="52"/>
      <c r="E1881" s="52"/>
      <c r="F1881" s="52"/>
      <c r="G1881" s="52"/>
      <c r="H1881" s="52"/>
    </row>
    <row r="1882" spans="1:8" ht="15.75">
      <c r="A1882" s="50">
        <v>42145</v>
      </c>
      <c r="B1882" s="51">
        <v>5982.56</v>
      </c>
      <c r="C1882" s="52"/>
      <c r="D1882" s="52"/>
      <c r="E1882" s="52"/>
      <c r="F1882" s="52"/>
      <c r="G1882" s="52"/>
      <c r="H1882" s="52"/>
    </row>
    <row r="1883" spans="1:8" ht="15.75">
      <c r="A1883" s="50">
        <v>42146</v>
      </c>
      <c r="B1883" s="51">
        <v>5941.78</v>
      </c>
      <c r="C1883" s="52"/>
      <c r="D1883" s="52"/>
      <c r="E1883" s="52"/>
      <c r="F1883" s="52"/>
      <c r="G1883" s="52"/>
      <c r="H1883" s="52"/>
    </row>
    <row r="1884" spans="1:8" ht="15.75">
      <c r="A1884" s="50">
        <v>42150</v>
      </c>
      <c r="B1884" s="51">
        <v>5846.48</v>
      </c>
      <c r="C1884" s="52"/>
      <c r="D1884" s="52"/>
      <c r="E1884" s="52"/>
      <c r="F1884" s="52"/>
      <c r="G1884" s="52"/>
      <c r="H1884" s="52"/>
    </row>
    <row r="1885" spans="1:8" ht="15.75">
      <c r="A1885" s="50">
        <v>42151</v>
      </c>
      <c r="B1885" s="51">
        <v>5920.18</v>
      </c>
      <c r="C1885" s="52"/>
      <c r="D1885" s="52"/>
      <c r="E1885" s="52"/>
      <c r="F1885" s="52"/>
      <c r="G1885" s="52"/>
      <c r="H1885" s="52"/>
    </row>
    <row r="1886" spans="1:8" ht="15.75">
      <c r="A1886" s="50">
        <v>42152</v>
      </c>
      <c r="B1886" s="51">
        <v>5858.81</v>
      </c>
      <c r="C1886" s="52"/>
      <c r="D1886" s="52"/>
      <c r="E1886" s="52"/>
      <c r="F1886" s="52"/>
      <c r="G1886" s="52"/>
      <c r="H1886" s="52"/>
    </row>
    <row r="1887" spans="1:8" ht="15.75">
      <c r="A1887" s="50">
        <v>42153</v>
      </c>
      <c r="B1887" s="51">
        <v>5726.71</v>
      </c>
      <c r="C1887" s="52"/>
      <c r="D1887" s="52"/>
      <c r="E1887" s="52"/>
      <c r="F1887" s="52"/>
      <c r="G1887" s="52"/>
      <c r="H1887" s="52"/>
    </row>
    <row r="1888" spans="1:8" ht="15.75">
      <c r="A1888" s="50">
        <v>42156</v>
      </c>
      <c r="B1888" s="51">
        <v>5738.02</v>
      </c>
      <c r="C1888" s="52"/>
      <c r="D1888" s="52"/>
      <c r="E1888" s="52"/>
      <c r="F1888" s="52"/>
      <c r="G1888" s="52"/>
      <c r="H1888" s="52"/>
    </row>
    <row r="1889" spans="1:8" ht="15.75">
      <c r="A1889" s="50">
        <v>42157</v>
      </c>
      <c r="B1889" s="51">
        <v>5684.13</v>
      </c>
      <c r="C1889" s="52"/>
      <c r="D1889" s="52"/>
      <c r="E1889" s="52"/>
      <c r="F1889" s="52"/>
      <c r="G1889" s="52"/>
      <c r="H1889" s="52"/>
    </row>
    <row r="1890" spans="1:8" ht="15.75">
      <c r="A1890" s="50">
        <v>42158</v>
      </c>
      <c r="B1890" s="51">
        <v>5729.7</v>
      </c>
      <c r="C1890" s="52"/>
      <c r="D1890" s="52"/>
      <c r="E1890" s="52"/>
      <c r="F1890" s="52"/>
      <c r="G1890" s="52"/>
      <c r="H1890" s="52"/>
    </row>
    <row r="1891" spans="1:8" ht="15.75">
      <c r="A1891" s="50">
        <v>42159</v>
      </c>
      <c r="B1891" s="51">
        <v>5690.09</v>
      </c>
      <c r="C1891" s="52"/>
      <c r="D1891" s="52"/>
      <c r="E1891" s="52"/>
      <c r="F1891" s="52"/>
      <c r="G1891" s="52"/>
      <c r="H1891" s="52"/>
    </row>
    <row r="1892" spans="1:8" ht="15.75">
      <c r="A1892" s="50">
        <v>42160</v>
      </c>
      <c r="B1892" s="51">
        <v>5617.99</v>
      </c>
      <c r="C1892" s="52"/>
      <c r="D1892" s="52"/>
      <c r="E1892" s="52"/>
      <c r="F1892" s="52"/>
      <c r="G1892" s="52"/>
      <c r="H1892" s="52"/>
    </row>
    <row r="1893" spans="1:8" ht="15.75">
      <c r="A1893" s="50">
        <v>42163</v>
      </c>
      <c r="B1893" s="51">
        <v>5551.76</v>
      </c>
      <c r="C1893" s="52"/>
      <c r="D1893" s="52"/>
      <c r="E1893" s="52"/>
      <c r="F1893" s="52"/>
      <c r="G1893" s="52"/>
      <c r="H1893" s="52"/>
    </row>
    <row r="1894" spans="1:8" ht="15.75">
      <c r="A1894" s="50">
        <v>42164</v>
      </c>
      <c r="B1894" s="51">
        <v>5519.77</v>
      </c>
      <c r="C1894" s="52"/>
      <c r="D1894" s="52"/>
      <c r="E1894" s="52"/>
      <c r="F1894" s="52"/>
      <c r="G1894" s="52"/>
      <c r="H1894" s="52"/>
    </row>
    <row r="1895" spans="1:8" ht="15.75">
      <c r="A1895" s="50">
        <v>42165</v>
      </c>
      <c r="B1895" s="51">
        <v>5652.16</v>
      </c>
      <c r="C1895" s="52"/>
      <c r="D1895" s="52"/>
      <c r="E1895" s="52"/>
      <c r="F1895" s="52"/>
      <c r="G1895" s="52"/>
      <c r="H1895" s="52"/>
    </row>
    <row r="1896" spans="1:8" ht="15.75">
      <c r="A1896" s="50">
        <v>42166</v>
      </c>
      <c r="B1896" s="51">
        <v>5685.83</v>
      </c>
      <c r="C1896" s="52"/>
      <c r="D1896" s="52"/>
      <c r="E1896" s="52"/>
      <c r="F1896" s="52"/>
      <c r="G1896" s="52"/>
      <c r="H1896" s="52"/>
    </row>
    <row r="1897" spans="1:8" ht="15.75">
      <c r="A1897" s="50">
        <v>42167</v>
      </c>
      <c r="B1897" s="51">
        <v>5617.47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42170</v>
      </c>
      <c r="B1898" s="51">
        <v>5511.33</v>
      </c>
      <c r="C1898" s="52"/>
      <c r="D1898" s="52"/>
      <c r="E1898" s="52"/>
      <c r="F1898" s="52"/>
      <c r="G1898" s="52"/>
      <c r="H1898" s="52"/>
    </row>
    <row r="1899" spans="1:8" ht="15.75">
      <c r="A1899" s="50">
        <v>42171</v>
      </c>
      <c r="B1899" s="51">
        <v>5541.14</v>
      </c>
      <c r="C1899" s="52"/>
      <c r="D1899" s="52"/>
      <c r="E1899" s="52"/>
      <c r="F1899" s="52"/>
      <c r="G1899" s="52"/>
      <c r="H1899" s="52"/>
    </row>
    <row r="1900" spans="1:8" ht="15.75">
      <c r="A1900" s="50">
        <v>42172</v>
      </c>
      <c r="B1900" s="51">
        <v>5508.02</v>
      </c>
      <c r="C1900" s="52"/>
      <c r="D1900" s="52"/>
      <c r="E1900" s="52"/>
      <c r="F1900" s="52"/>
      <c r="G1900" s="52"/>
      <c r="H1900" s="52"/>
    </row>
    <row r="1901" spans="1:8" ht="15.75">
      <c r="A1901" s="50">
        <v>42173</v>
      </c>
      <c r="B1901" s="51">
        <v>5569.34</v>
      </c>
      <c r="C1901" s="52"/>
      <c r="D1901" s="52"/>
      <c r="E1901" s="52"/>
      <c r="F1901" s="52"/>
      <c r="G1901" s="52"/>
      <c r="H1901" s="52"/>
    </row>
    <row r="1902" spans="1:8" ht="15.75">
      <c r="A1902" s="50">
        <v>42174</v>
      </c>
      <c r="B1902" s="51">
        <v>5539.36</v>
      </c>
      <c r="C1902" s="52"/>
      <c r="D1902" s="52"/>
      <c r="E1902" s="52"/>
      <c r="F1902" s="52"/>
      <c r="G1902" s="52"/>
      <c r="H1902" s="52"/>
    </row>
    <row r="1903" spans="1:8" ht="15.75">
      <c r="A1903" s="50">
        <v>42177</v>
      </c>
      <c r="B1903" s="51">
        <v>5750.3</v>
      </c>
      <c r="C1903" s="52"/>
      <c r="D1903" s="52"/>
      <c r="E1903" s="52"/>
      <c r="F1903" s="52"/>
      <c r="G1903" s="52"/>
      <c r="H1903" s="52"/>
    </row>
    <row r="1904" spans="1:8" ht="15.75">
      <c r="A1904" s="50">
        <v>42178</v>
      </c>
      <c r="B1904" s="51">
        <v>5791.46</v>
      </c>
      <c r="C1904" s="52"/>
      <c r="D1904" s="52"/>
      <c r="E1904" s="52"/>
      <c r="F1904" s="52"/>
      <c r="G1904" s="52"/>
      <c r="H1904" s="52"/>
    </row>
    <row r="1905" spans="1:8" ht="15.75">
      <c r="A1905" s="50">
        <v>42179</v>
      </c>
      <c r="B1905" s="51">
        <v>5755.7</v>
      </c>
      <c r="C1905" s="52"/>
      <c r="D1905" s="52"/>
      <c r="E1905" s="52"/>
      <c r="F1905" s="52"/>
      <c r="G1905" s="52"/>
      <c r="H1905" s="52"/>
    </row>
    <row r="1906" spans="1:8" ht="15.75">
      <c r="A1906" s="50">
        <v>42180</v>
      </c>
      <c r="B1906" s="51">
        <v>5756.63</v>
      </c>
      <c r="C1906" s="52"/>
      <c r="D1906" s="52"/>
      <c r="E1906" s="52"/>
      <c r="F1906" s="52"/>
      <c r="G1906" s="52"/>
      <c r="H1906" s="52"/>
    </row>
    <row r="1907" spans="1:8" ht="15.75">
      <c r="A1907" s="50">
        <v>42181</v>
      </c>
      <c r="B1907" s="51">
        <v>5766.32</v>
      </c>
      <c r="C1907" s="52"/>
      <c r="D1907" s="52"/>
      <c r="E1907" s="52"/>
      <c r="F1907" s="52"/>
      <c r="G1907" s="52"/>
      <c r="H1907" s="52"/>
    </row>
    <row r="1908" spans="1:8" ht="15.75">
      <c r="A1908" s="50">
        <v>42184</v>
      </c>
      <c r="B1908" s="51">
        <v>5560.98</v>
      </c>
      <c r="C1908" s="52"/>
      <c r="D1908" s="52"/>
      <c r="E1908" s="52"/>
      <c r="F1908" s="52"/>
      <c r="G1908" s="52"/>
      <c r="H1908" s="52"/>
    </row>
    <row r="1909" spans="1:8" ht="15.75">
      <c r="A1909" s="50">
        <v>42185</v>
      </c>
      <c r="B1909" s="51">
        <v>5491.63</v>
      </c>
      <c r="C1909" s="52"/>
      <c r="D1909" s="52"/>
      <c r="E1909" s="52"/>
      <c r="F1909" s="52"/>
      <c r="G1909" s="52"/>
      <c r="H1909" s="52"/>
    </row>
    <row r="1910" spans="1:8" ht="15.75">
      <c r="A1910" s="50">
        <v>42186</v>
      </c>
      <c r="B1910" s="51">
        <v>5609.81</v>
      </c>
      <c r="C1910" s="52"/>
      <c r="D1910" s="52"/>
      <c r="E1910" s="52"/>
      <c r="F1910" s="52"/>
      <c r="G1910" s="52"/>
      <c r="H1910" s="52"/>
    </row>
    <row r="1911" spans="1:8" ht="15.75">
      <c r="A1911" s="50">
        <v>42187</v>
      </c>
      <c r="B1911" s="51">
        <v>5569.09</v>
      </c>
      <c r="C1911" s="52"/>
      <c r="D1911" s="52"/>
      <c r="E1911" s="52"/>
      <c r="F1911" s="52"/>
      <c r="G1911" s="52"/>
      <c r="H1911" s="52"/>
    </row>
    <row r="1912" spans="1:8" ht="15.75">
      <c r="A1912" s="50">
        <v>42188</v>
      </c>
      <c r="B1912" s="51">
        <v>5548.54</v>
      </c>
      <c r="C1912" s="52"/>
      <c r="D1912" s="52"/>
      <c r="E1912" s="52"/>
      <c r="F1912" s="52"/>
      <c r="G1912" s="52"/>
      <c r="H1912" s="52"/>
    </row>
    <row r="1913" spans="1:8" ht="15.75">
      <c r="A1913" s="50">
        <v>42191</v>
      </c>
      <c r="B1913" s="51">
        <v>5464.36</v>
      </c>
      <c r="C1913" s="52"/>
      <c r="D1913" s="52"/>
      <c r="E1913" s="52"/>
      <c r="F1913" s="52"/>
      <c r="G1913" s="52"/>
      <c r="H1913" s="52"/>
    </row>
    <row r="1914" spans="1:8" ht="15.75">
      <c r="A1914" s="50">
        <v>42192</v>
      </c>
      <c r="B1914" s="51">
        <v>5357.06</v>
      </c>
      <c r="C1914" s="52"/>
      <c r="D1914" s="52"/>
      <c r="E1914" s="52"/>
      <c r="F1914" s="52"/>
      <c r="G1914" s="52"/>
      <c r="H1914" s="52"/>
    </row>
    <row r="1915" spans="1:8" ht="15.75">
      <c r="A1915" s="50">
        <v>42193</v>
      </c>
      <c r="B1915" s="51">
        <v>5392.45</v>
      </c>
      <c r="C1915" s="52"/>
      <c r="D1915" s="52"/>
      <c r="E1915" s="52"/>
      <c r="F1915" s="52"/>
      <c r="G1915" s="52"/>
      <c r="H1915" s="52"/>
    </row>
    <row r="1916" spans="1:8" ht="15.75">
      <c r="A1916" s="50">
        <v>42194</v>
      </c>
      <c r="B1916" s="51">
        <v>5517.44</v>
      </c>
      <c r="C1916" s="52"/>
      <c r="D1916" s="52"/>
      <c r="E1916" s="52"/>
      <c r="F1916" s="52"/>
      <c r="G1916" s="52"/>
      <c r="H1916" s="52"/>
    </row>
    <row r="1917" spans="1:8" ht="15.75">
      <c r="A1917" s="50">
        <v>42195</v>
      </c>
      <c r="B1917" s="51">
        <v>5677.61</v>
      </c>
      <c r="C1917" s="52"/>
      <c r="D1917" s="52"/>
      <c r="E1917" s="52"/>
      <c r="F1917" s="52"/>
      <c r="G1917" s="52"/>
      <c r="H1917" s="52"/>
    </row>
    <row r="1918" spans="1:8" ht="15.75">
      <c r="A1918" s="50">
        <v>42198</v>
      </c>
      <c r="B1918" s="51">
        <v>5762.28</v>
      </c>
      <c r="C1918" s="52"/>
      <c r="D1918" s="52"/>
      <c r="E1918" s="52"/>
      <c r="F1918" s="52"/>
      <c r="G1918" s="52"/>
      <c r="H1918" s="52"/>
    </row>
    <row r="1919" spans="1:8" ht="15.75">
      <c r="A1919" s="50">
        <v>42199</v>
      </c>
      <c r="B1919" s="51">
        <v>5778.59</v>
      </c>
      <c r="C1919" s="52"/>
      <c r="D1919" s="52"/>
      <c r="E1919" s="52"/>
      <c r="F1919" s="52"/>
      <c r="G1919" s="52"/>
      <c r="H1919" s="52"/>
    </row>
    <row r="1920" spans="1:8" ht="15.75">
      <c r="A1920" s="50">
        <v>42200</v>
      </c>
      <c r="B1920" s="51">
        <v>5790.01</v>
      </c>
      <c r="C1920" s="52"/>
      <c r="D1920" s="52"/>
      <c r="E1920" s="52"/>
      <c r="F1920" s="52"/>
      <c r="G1920" s="52"/>
      <c r="H1920" s="52"/>
    </row>
    <row r="1921" spans="1:8" ht="15.75">
      <c r="A1921" s="50">
        <v>42201</v>
      </c>
      <c r="B1921" s="51">
        <v>5878.87</v>
      </c>
      <c r="C1921" s="52"/>
      <c r="D1921" s="52"/>
      <c r="E1921" s="52"/>
      <c r="F1921" s="52"/>
      <c r="G1921" s="52"/>
      <c r="H1921" s="52"/>
    </row>
    <row r="1922" spans="1:8" ht="15.75">
      <c r="A1922" s="50">
        <v>42202</v>
      </c>
      <c r="B1922" s="51">
        <v>5857.13</v>
      </c>
      <c r="C1922" s="52"/>
      <c r="D1922" s="52"/>
      <c r="E1922" s="52"/>
      <c r="F1922" s="52"/>
      <c r="G1922" s="52"/>
      <c r="H1922" s="52"/>
    </row>
    <row r="1923" spans="1:8" ht="15.75">
      <c r="A1923" s="50">
        <v>42205</v>
      </c>
      <c r="B1923" s="51">
        <v>5888.39</v>
      </c>
      <c r="C1923" s="52"/>
      <c r="D1923" s="52"/>
      <c r="E1923" s="52"/>
      <c r="F1923" s="52"/>
      <c r="G1923" s="52"/>
      <c r="H1923" s="52"/>
    </row>
    <row r="1924" spans="1:8" ht="15.75">
      <c r="A1924" s="50">
        <v>42206</v>
      </c>
      <c r="B1924" s="51">
        <v>5822.7</v>
      </c>
      <c r="C1924" s="52"/>
      <c r="D1924" s="52"/>
      <c r="E1924" s="52"/>
      <c r="F1924" s="52"/>
      <c r="G1924" s="52"/>
      <c r="H1924" s="52"/>
    </row>
    <row r="1925" spans="1:8" ht="15.75">
      <c r="A1925" s="50">
        <v>42207</v>
      </c>
      <c r="B1925" s="51">
        <v>5780.48</v>
      </c>
      <c r="C1925" s="52"/>
      <c r="D1925" s="52"/>
      <c r="E1925" s="52"/>
      <c r="F1925" s="52"/>
      <c r="G1925" s="52"/>
      <c r="H1925" s="52"/>
    </row>
    <row r="1926" spans="1:8" ht="15.75">
      <c r="A1926" s="50">
        <v>42208</v>
      </c>
      <c r="B1926" s="51">
        <v>5776.19</v>
      </c>
      <c r="C1926" s="52"/>
      <c r="D1926" s="52"/>
      <c r="E1926" s="52"/>
      <c r="F1926" s="52"/>
      <c r="G1926" s="52"/>
      <c r="H1926" s="52"/>
    </row>
    <row r="1927" spans="1:8" ht="15.75">
      <c r="A1927" s="50">
        <v>42209</v>
      </c>
      <c r="B1927" s="51">
        <v>5693.57</v>
      </c>
      <c r="C1927" s="52"/>
      <c r="D1927" s="52"/>
      <c r="E1927" s="52"/>
      <c r="F1927" s="52"/>
      <c r="G1927" s="52"/>
      <c r="H1927" s="52"/>
    </row>
    <row r="1928" spans="1:8" ht="15.75">
      <c r="A1928" s="50">
        <v>42212</v>
      </c>
      <c r="B1928" s="51">
        <v>5547.54</v>
      </c>
      <c r="C1928" s="52"/>
      <c r="D1928" s="52"/>
      <c r="E1928" s="52"/>
      <c r="F1928" s="52"/>
      <c r="G1928" s="52"/>
      <c r="H1928" s="52"/>
    </row>
    <row r="1929" spans="1:8" ht="15.75">
      <c r="A1929" s="50">
        <v>42213</v>
      </c>
      <c r="B1929" s="51">
        <v>5606.5</v>
      </c>
      <c r="C1929" s="52"/>
      <c r="D1929" s="52"/>
      <c r="E1929" s="52"/>
      <c r="F1929" s="52"/>
      <c r="G1929" s="52"/>
      <c r="H1929" s="52"/>
    </row>
    <row r="1930" spans="1:8" ht="15.75">
      <c r="A1930" s="50">
        <v>42214</v>
      </c>
      <c r="B1930" s="51">
        <v>5625.54</v>
      </c>
      <c r="C1930" s="52"/>
      <c r="D1930" s="52"/>
      <c r="E1930" s="52"/>
      <c r="F1930" s="52"/>
      <c r="G1930" s="52"/>
      <c r="H1930" s="52"/>
    </row>
    <row r="1931" spans="1:8" ht="15.75">
      <c r="A1931" s="50">
        <v>42215</v>
      </c>
      <c r="B1931" s="51">
        <v>5648.26</v>
      </c>
      <c r="C1931" s="52"/>
      <c r="D1931" s="52"/>
      <c r="E1931" s="52"/>
      <c r="F1931" s="52"/>
      <c r="G1931" s="52"/>
      <c r="H1931" s="52"/>
    </row>
    <row r="1932" spans="1:8" ht="15.75">
      <c r="A1932" s="50">
        <v>42216</v>
      </c>
      <c r="B1932" s="51">
        <v>5674.27</v>
      </c>
      <c r="C1932" s="52"/>
      <c r="D1932" s="52"/>
      <c r="E1932" s="52"/>
      <c r="F1932" s="52"/>
      <c r="G1932" s="52"/>
      <c r="H1932" s="52"/>
    </row>
    <row r="1933" spans="1:8" ht="15.75">
      <c r="A1933" s="50">
        <v>42219</v>
      </c>
      <c r="B1933" s="51">
        <v>5741.88</v>
      </c>
      <c r="C1933" s="52"/>
      <c r="D1933" s="52"/>
      <c r="E1933" s="52"/>
      <c r="F1933" s="52"/>
      <c r="G1933" s="52"/>
      <c r="H1933" s="52"/>
    </row>
    <row r="1934" spans="1:8" ht="15.75">
      <c r="A1934" s="50">
        <v>42220</v>
      </c>
      <c r="B1934" s="51">
        <v>5748.07</v>
      </c>
      <c r="C1934" s="52"/>
      <c r="D1934" s="52"/>
      <c r="E1934" s="52"/>
      <c r="F1934" s="52"/>
      <c r="G1934" s="52"/>
      <c r="H1934" s="52"/>
    </row>
    <row r="1935" spans="1:8" ht="15.75">
      <c r="A1935" s="50">
        <v>42221</v>
      </c>
      <c r="B1935" s="51">
        <v>5838.5</v>
      </c>
      <c r="C1935" s="52"/>
      <c r="D1935" s="52"/>
      <c r="E1935" s="52"/>
      <c r="F1935" s="52"/>
      <c r="G1935" s="52"/>
      <c r="H1935" s="52"/>
    </row>
    <row r="1936" spans="1:8" ht="15.75">
      <c r="A1936" s="50">
        <v>42222</v>
      </c>
      <c r="B1936" s="51">
        <v>5812.81</v>
      </c>
      <c r="C1936" s="52"/>
      <c r="D1936" s="52"/>
      <c r="E1936" s="52"/>
      <c r="F1936" s="52"/>
      <c r="G1936" s="52"/>
      <c r="H1936" s="52"/>
    </row>
    <row r="1937" spans="1:8" ht="15.75">
      <c r="A1937" s="50">
        <v>42223</v>
      </c>
      <c r="B1937" s="51">
        <v>5765.51</v>
      </c>
      <c r="C1937" s="52"/>
      <c r="D1937" s="52"/>
      <c r="E1937" s="52"/>
      <c r="F1937" s="52"/>
      <c r="G1937" s="52"/>
      <c r="H1937" s="52"/>
    </row>
    <row r="1938" spans="1:8" ht="15.75">
      <c r="A1938" s="50">
        <v>42226</v>
      </c>
      <c r="B1938" s="51">
        <v>5822.69</v>
      </c>
      <c r="C1938" s="52"/>
      <c r="D1938" s="52"/>
      <c r="E1938" s="52"/>
      <c r="F1938" s="52"/>
      <c r="G1938" s="52"/>
      <c r="H1938" s="52"/>
    </row>
    <row r="1939" spans="1:8" ht="15.75">
      <c r="A1939" s="50">
        <v>42227</v>
      </c>
      <c r="B1939" s="51">
        <v>5666.58</v>
      </c>
      <c r="C1939" s="52"/>
      <c r="D1939" s="52"/>
      <c r="E1939" s="52"/>
      <c r="F1939" s="52"/>
      <c r="G1939" s="52"/>
      <c r="H1939" s="52"/>
    </row>
    <row r="1940" spans="1:8" ht="15.75">
      <c r="A1940" s="50">
        <v>42228</v>
      </c>
      <c r="B1940" s="51">
        <v>5481.41</v>
      </c>
      <c r="C1940" s="52"/>
      <c r="D1940" s="52"/>
      <c r="E1940" s="52"/>
      <c r="F1940" s="52"/>
      <c r="G1940" s="52"/>
      <c r="H1940" s="52"/>
    </row>
    <row r="1941" spans="1:8" ht="15.75">
      <c r="A1941" s="50">
        <v>42229</v>
      </c>
      <c r="B1941" s="51">
        <v>5526.58</v>
      </c>
      <c r="C1941" s="52"/>
      <c r="D1941" s="52"/>
      <c r="E1941" s="52"/>
      <c r="F1941" s="52"/>
      <c r="G1941" s="52"/>
      <c r="H1941" s="52"/>
    </row>
    <row r="1942" spans="1:8" ht="15.75">
      <c r="A1942" s="50">
        <v>42230</v>
      </c>
      <c r="B1942" s="51">
        <v>5511.78</v>
      </c>
      <c r="C1942" s="52"/>
      <c r="D1942" s="52"/>
      <c r="E1942" s="52"/>
      <c r="F1942" s="52"/>
      <c r="G1942" s="52"/>
      <c r="H1942" s="52"/>
    </row>
    <row r="1943" spans="1:8" ht="15.75">
      <c r="A1943" s="50">
        <v>42233</v>
      </c>
      <c r="B1943" s="51">
        <v>5489.3</v>
      </c>
      <c r="C1943" s="52"/>
      <c r="D1943" s="52"/>
      <c r="E1943" s="52"/>
      <c r="F1943" s="52"/>
      <c r="G1943" s="52"/>
      <c r="H1943" s="52"/>
    </row>
    <row r="1944" spans="1:8" ht="15.75">
      <c r="A1944" s="50">
        <v>42234</v>
      </c>
      <c r="B1944" s="51">
        <v>5477.05</v>
      </c>
      <c r="C1944" s="52"/>
      <c r="D1944" s="52"/>
      <c r="E1944" s="52"/>
      <c r="F1944" s="52"/>
      <c r="G1944" s="52"/>
      <c r="H1944" s="52"/>
    </row>
    <row r="1945" spans="1:8" ht="15.75">
      <c r="A1945" s="50">
        <v>42235</v>
      </c>
      <c r="B1945" s="51">
        <v>5359.76</v>
      </c>
      <c r="C1945" s="52"/>
      <c r="D1945" s="52"/>
      <c r="E1945" s="52"/>
      <c r="F1945" s="52"/>
      <c r="G1945" s="52"/>
      <c r="H1945" s="52"/>
    </row>
    <row r="1946" spans="1:8" ht="15.75">
      <c r="A1946" s="50">
        <v>42236</v>
      </c>
      <c r="B1946" s="51">
        <v>5234.34</v>
      </c>
      <c r="C1946" s="52"/>
      <c r="D1946" s="52"/>
      <c r="E1946" s="52"/>
      <c r="F1946" s="52"/>
      <c r="G1946" s="52"/>
      <c r="H1946" s="52"/>
    </row>
    <row r="1947" spans="1:8" ht="15.75">
      <c r="A1947" s="50">
        <v>42237</v>
      </c>
      <c r="B1947" s="51">
        <v>5079.97</v>
      </c>
      <c r="C1947" s="52"/>
      <c r="D1947" s="52"/>
      <c r="E1947" s="52"/>
      <c r="F1947" s="52"/>
      <c r="G1947" s="52"/>
      <c r="H1947" s="52"/>
    </row>
    <row r="1948" spans="1:8" ht="15.75">
      <c r="A1948" s="50">
        <v>42240</v>
      </c>
      <c r="B1948" s="51">
        <v>4841.09</v>
      </c>
      <c r="C1948" s="52"/>
      <c r="D1948" s="52"/>
      <c r="E1948" s="52"/>
      <c r="F1948" s="52"/>
      <c r="G1948" s="52"/>
      <c r="H1948" s="52"/>
    </row>
    <row r="1949" spans="1:8" ht="15.75">
      <c r="A1949" s="50">
        <v>42241</v>
      </c>
      <c r="B1949" s="51">
        <v>5081.78</v>
      </c>
      <c r="C1949" s="52"/>
      <c r="D1949" s="52"/>
      <c r="E1949" s="52"/>
      <c r="F1949" s="52"/>
      <c r="G1949" s="52"/>
      <c r="H1949" s="52"/>
    </row>
    <row r="1950" spans="1:8" ht="15.75">
      <c r="A1950" s="50">
        <v>42242</v>
      </c>
      <c r="B1950" s="51">
        <v>5016.2</v>
      </c>
      <c r="C1950" s="52"/>
      <c r="D1950" s="52"/>
      <c r="E1950" s="52"/>
      <c r="F1950" s="52"/>
      <c r="G1950" s="52"/>
      <c r="H1950" s="52"/>
    </row>
    <row r="1951" spans="1:8" ht="15.75">
      <c r="A1951" s="50">
        <v>42243</v>
      </c>
      <c r="B1951" s="51">
        <v>5175.8500000000004</v>
      </c>
      <c r="C1951" s="52"/>
      <c r="D1951" s="52"/>
      <c r="E1951" s="52"/>
      <c r="F1951" s="52"/>
      <c r="G1951" s="52"/>
      <c r="H1951" s="52"/>
    </row>
    <row r="1952" spans="1:8" ht="15.75">
      <c r="A1952" s="50">
        <v>42244</v>
      </c>
      <c r="B1952" s="51">
        <v>5167.28</v>
      </c>
      <c r="C1952" s="52"/>
      <c r="D1952" s="52"/>
      <c r="E1952" s="52"/>
      <c r="F1952" s="52"/>
      <c r="G1952" s="52"/>
      <c r="H1952" s="52"/>
    </row>
    <row r="1953" spans="1:8" ht="15.75">
      <c r="A1953" s="50">
        <v>42247</v>
      </c>
      <c r="B1953" s="51">
        <v>5147.68</v>
      </c>
      <c r="C1953" s="52"/>
      <c r="D1953" s="52"/>
      <c r="E1953" s="52"/>
      <c r="F1953" s="52"/>
      <c r="G1953" s="52"/>
      <c r="H1953" s="52"/>
    </row>
    <row r="1954" spans="1:8" ht="15.75">
      <c r="A1954" s="50">
        <v>42248</v>
      </c>
      <c r="B1954" s="51">
        <v>5025.3</v>
      </c>
      <c r="C1954" s="52"/>
      <c r="D1954" s="52"/>
      <c r="E1954" s="52"/>
      <c r="F1954" s="52"/>
      <c r="G1954" s="52"/>
      <c r="H1954" s="52"/>
    </row>
    <row r="1955" spans="1:8" ht="15.75">
      <c r="A1955" s="50">
        <v>42249</v>
      </c>
      <c r="B1955" s="51">
        <v>5041.6000000000004</v>
      </c>
      <c r="C1955" s="52"/>
      <c r="D1955" s="52"/>
      <c r="E1955" s="52"/>
      <c r="F1955" s="52"/>
      <c r="G1955" s="52"/>
      <c r="H1955" s="52"/>
    </row>
    <row r="1956" spans="1:8" ht="15.75">
      <c r="A1956" s="50">
        <v>42250</v>
      </c>
      <c r="B1956" s="51">
        <v>5176.97</v>
      </c>
      <c r="C1956" s="52"/>
      <c r="D1956" s="52"/>
      <c r="E1956" s="52"/>
      <c r="F1956" s="52"/>
      <c r="G1956" s="52"/>
      <c r="H1956" s="52"/>
    </row>
    <row r="1957" spans="1:8" ht="15.75">
      <c r="A1957" s="50">
        <v>42251</v>
      </c>
      <c r="B1957" s="51">
        <v>5036.58</v>
      </c>
      <c r="C1957" s="52"/>
      <c r="D1957" s="52"/>
      <c r="E1957" s="52"/>
      <c r="F1957" s="52"/>
      <c r="G1957" s="52"/>
      <c r="H1957" s="52"/>
    </row>
    <row r="1958" spans="1:8" ht="15.75">
      <c r="A1958" s="50">
        <v>42254</v>
      </c>
      <c r="B1958" s="51">
        <v>5071.9799999999996</v>
      </c>
      <c r="C1958" s="52"/>
      <c r="D1958" s="52"/>
      <c r="E1958" s="52"/>
      <c r="F1958" s="52"/>
      <c r="G1958" s="52"/>
      <c r="H1958" s="52"/>
    </row>
    <row r="1959" spans="1:8" ht="15.75">
      <c r="A1959" s="50">
        <v>42255</v>
      </c>
      <c r="B1959" s="51">
        <v>5153.6499999999996</v>
      </c>
      <c r="C1959" s="52"/>
      <c r="D1959" s="52"/>
      <c r="E1959" s="52"/>
      <c r="F1959" s="52"/>
      <c r="G1959" s="52"/>
      <c r="H1959" s="52"/>
    </row>
    <row r="1960" spans="1:8" ht="15.75">
      <c r="A1960" s="50">
        <v>42256</v>
      </c>
      <c r="B1960" s="51">
        <v>5169.58</v>
      </c>
      <c r="C1960" s="52"/>
      <c r="D1960" s="52"/>
      <c r="E1960" s="52"/>
      <c r="F1960" s="52"/>
      <c r="G1960" s="52"/>
      <c r="H1960" s="52"/>
    </row>
    <row r="1961" spans="1:8" ht="15.75">
      <c r="A1961" s="50">
        <v>42257</v>
      </c>
      <c r="B1961" s="51">
        <v>5123.08</v>
      </c>
      <c r="C1961" s="52"/>
      <c r="D1961" s="52"/>
      <c r="E1961" s="52"/>
      <c r="F1961" s="52"/>
      <c r="G1961" s="52"/>
      <c r="H1961" s="52"/>
    </row>
    <row r="1962" spans="1:8" ht="15.75">
      <c r="A1962" s="50">
        <v>42258</v>
      </c>
      <c r="B1962" s="51">
        <v>5079.4799999999996</v>
      </c>
      <c r="C1962" s="52"/>
      <c r="D1962" s="52"/>
      <c r="E1962" s="52"/>
      <c r="F1962" s="52"/>
      <c r="G1962" s="52"/>
      <c r="H1962" s="52"/>
    </row>
    <row r="1963" spans="1:8" ht="15.75">
      <c r="A1963" s="50">
        <v>42261</v>
      </c>
      <c r="B1963" s="51">
        <v>5083.59</v>
      </c>
      <c r="C1963" s="52"/>
      <c r="D1963" s="52"/>
      <c r="E1963" s="52"/>
      <c r="F1963" s="52"/>
      <c r="G1963" s="52"/>
      <c r="H1963" s="52"/>
    </row>
    <row r="1964" spans="1:8" ht="15.75">
      <c r="A1964" s="50">
        <v>42262</v>
      </c>
      <c r="B1964" s="51">
        <v>5111.88</v>
      </c>
      <c r="C1964" s="52"/>
      <c r="D1964" s="52"/>
      <c r="E1964" s="52"/>
      <c r="F1964" s="52"/>
      <c r="G1964" s="52"/>
      <c r="H1964" s="52"/>
    </row>
    <row r="1965" spans="1:8" ht="15.75">
      <c r="A1965" s="50">
        <v>42263</v>
      </c>
      <c r="B1965" s="51">
        <v>5131.5</v>
      </c>
      <c r="C1965" s="52"/>
      <c r="D1965" s="52"/>
      <c r="E1965" s="52"/>
      <c r="F1965" s="52"/>
      <c r="G1965" s="52"/>
      <c r="H1965" s="52"/>
    </row>
    <row r="1966" spans="1:8" ht="15.75">
      <c r="A1966" s="50">
        <v>42264</v>
      </c>
      <c r="B1966" s="51">
        <v>5132.68</v>
      </c>
      <c r="C1966" s="52"/>
      <c r="D1966" s="52"/>
      <c r="E1966" s="52"/>
      <c r="F1966" s="52"/>
      <c r="G1966" s="52"/>
      <c r="H1966" s="52"/>
    </row>
    <row r="1967" spans="1:8" ht="15.75">
      <c r="A1967" s="50">
        <v>42265</v>
      </c>
      <c r="B1967" s="51">
        <v>4975.43</v>
      </c>
      <c r="C1967" s="52"/>
      <c r="D1967" s="52"/>
      <c r="E1967" s="52"/>
      <c r="F1967" s="52"/>
      <c r="G1967" s="52"/>
      <c r="H1967" s="52"/>
    </row>
    <row r="1968" spans="1:8" ht="15.75">
      <c r="A1968" s="50">
        <v>42268</v>
      </c>
      <c r="B1968" s="51">
        <v>4991.66</v>
      </c>
      <c r="C1968" s="52"/>
      <c r="D1968" s="52"/>
      <c r="E1968" s="52"/>
      <c r="F1968" s="52"/>
      <c r="G1968" s="52"/>
      <c r="H1968" s="52"/>
    </row>
    <row r="1969" spans="1:8" ht="15.75">
      <c r="A1969" s="50">
        <v>42269</v>
      </c>
      <c r="B1969" s="51">
        <v>4802.08</v>
      </c>
      <c r="C1969" s="52"/>
      <c r="D1969" s="52"/>
      <c r="E1969" s="52"/>
      <c r="F1969" s="52"/>
      <c r="G1969" s="52"/>
      <c r="H1969" s="52"/>
    </row>
    <row r="1970" spans="1:8" ht="15.75">
      <c r="A1970" s="50">
        <v>42270</v>
      </c>
      <c r="B1970" s="51">
        <v>4823.13</v>
      </c>
      <c r="C1970" s="52"/>
      <c r="D1970" s="52"/>
      <c r="E1970" s="52"/>
      <c r="F1970" s="52"/>
      <c r="G1970" s="52"/>
      <c r="H1970" s="52"/>
    </row>
    <row r="1971" spans="1:8" ht="15.75">
      <c r="A1971" s="50">
        <v>42271</v>
      </c>
      <c r="B1971" s="51">
        <v>4730.3100000000004</v>
      </c>
      <c r="C1971" s="52"/>
      <c r="D1971" s="52"/>
      <c r="E1971" s="52"/>
      <c r="F1971" s="52"/>
      <c r="G1971" s="52"/>
      <c r="H1971" s="52"/>
    </row>
    <row r="1972" spans="1:8" ht="15.75">
      <c r="A1972" s="50">
        <v>42272</v>
      </c>
      <c r="B1972" s="51">
        <v>4861.22</v>
      </c>
      <c r="C1972" s="52"/>
      <c r="D1972" s="52"/>
      <c r="E1972" s="52"/>
      <c r="F1972" s="52"/>
      <c r="G1972" s="52"/>
      <c r="H1972" s="52"/>
    </row>
    <row r="1973" spans="1:8" ht="15.75">
      <c r="A1973" s="50">
        <v>42275</v>
      </c>
      <c r="B1973" s="51">
        <v>4758.37</v>
      </c>
      <c r="C1973" s="52"/>
      <c r="D1973" s="52"/>
      <c r="E1973" s="52"/>
      <c r="F1973" s="52"/>
      <c r="G1973" s="52"/>
      <c r="H1973" s="52"/>
    </row>
    <row r="1974" spans="1:8" ht="15.75">
      <c r="A1974" s="50">
        <v>42276</v>
      </c>
      <c r="B1974" s="51">
        <v>4741.74</v>
      </c>
      <c r="C1974" s="52"/>
      <c r="D1974" s="52"/>
      <c r="E1974" s="52"/>
      <c r="F1974" s="52"/>
      <c r="G1974" s="52"/>
      <c r="H1974" s="52"/>
    </row>
    <row r="1975" spans="1:8" ht="15.75">
      <c r="A1975" s="50">
        <v>42277</v>
      </c>
      <c r="B1975" s="51">
        <v>4847.12</v>
      </c>
      <c r="C1975" s="52"/>
      <c r="D1975" s="52"/>
      <c r="E1975" s="52"/>
      <c r="F1975" s="52"/>
      <c r="G1975" s="52"/>
      <c r="H1975" s="52"/>
    </row>
    <row r="1976" spans="1:8" ht="15.75">
      <c r="A1976" s="50">
        <v>42278</v>
      </c>
      <c r="B1976" s="51">
        <v>4771.26</v>
      </c>
      <c r="C1976" s="52"/>
      <c r="D1976" s="52"/>
      <c r="E1976" s="52"/>
      <c r="F1976" s="52"/>
      <c r="G1976" s="52"/>
      <c r="H1976" s="52"/>
    </row>
    <row r="1977" spans="1:8" ht="15.75">
      <c r="A1977" s="50">
        <v>42279</v>
      </c>
      <c r="B1977" s="51">
        <v>4793.25</v>
      </c>
      <c r="C1977" s="52"/>
      <c r="D1977" s="52"/>
      <c r="E1977" s="52"/>
      <c r="F1977" s="52"/>
      <c r="G1977" s="52"/>
      <c r="H1977" s="52"/>
    </row>
    <row r="1978" spans="1:8" ht="15.75">
      <c r="A1978" s="50">
        <v>42282</v>
      </c>
      <c r="B1978" s="51">
        <v>4924.57</v>
      </c>
      <c r="C1978" s="52"/>
      <c r="D1978" s="52"/>
      <c r="E1978" s="52"/>
      <c r="F1978" s="52"/>
      <c r="G1978" s="52"/>
      <c r="H1978" s="52"/>
    </row>
    <row r="1979" spans="1:8" ht="15.75">
      <c r="A1979" s="50">
        <v>42283</v>
      </c>
      <c r="B1979" s="51">
        <v>4968.74</v>
      </c>
      <c r="C1979" s="52"/>
      <c r="D1979" s="52"/>
      <c r="E1979" s="52"/>
      <c r="F1979" s="52"/>
      <c r="G1979" s="52"/>
      <c r="H1979" s="52"/>
    </row>
    <row r="1980" spans="1:8" ht="15.75">
      <c r="A1980" s="50">
        <v>42284</v>
      </c>
      <c r="B1980" s="51">
        <v>5002.6499999999996</v>
      </c>
      <c r="C1980" s="52"/>
      <c r="D1980" s="52"/>
      <c r="E1980" s="52"/>
      <c r="F1980" s="52"/>
      <c r="G1980" s="52"/>
      <c r="H1980" s="52"/>
    </row>
    <row r="1981" spans="1:8" ht="15.75">
      <c r="A1981" s="50">
        <v>42285</v>
      </c>
      <c r="B1981" s="51">
        <v>5014.0200000000004</v>
      </c>
      <c r="C1981" s="52"/>
      <c r="D1981" s="52"/>
      <c r="E1981" s="52"/>
      <c r="F1981" s="52"/>
      <c r="G1981" s="52"/>
      <c r="H1981" s="52"/>
    </row>
    <row r="1982" spans="1:8" ht="15.75">
      <c r="A1982" s="50">
        <v>42286</v>
      </c>
      <c r="B1982" s="51">
        <v>5065.97</v>
      </c>
      <c r="C1982" s="52"/>
      <c r="D1982" s="52"/>
      <c r="E1982" s="52"/>
      <c r="F1982" s="52"/>
      <c r="G1982" s="52"/>
      <c r="H1982" s="52"/>
    </row>
    <row r="1983" spans="1:8" ht="15.75">
      <c r="A1983" s="50">
        <v>42289</v>
      </c>
      <c r="B1983" s="51">
        <v>5077.62</v>
      </c>
      <c r="C1983" s="52"/>
      <c r="D1983" s="52"/>
      <c r="E1983" s="52"/>
      <c r="F1983" s="52"/>
      <c r="G1983" s="52"/>
      <c r="H1983" s="52"/>
    </row>
    <row r="1984" spans="1:8" ht="15.75">
      <c r="A1984" s="50">
        <v>42290</v>
      </c>
      <c r="B1984" s="51">
        <v>5033.96</v>
      </c>
      <c r="C1984" s="52"/>
      <c r="D1984" s="52"/>
      <c r="E1984" s="52"/>
      <c r="F1984" s="52"/>
      <c r="G1984" s="52"/>
      <c r="H1984" s="52"/>
    </row>
    <row r="1985" spans="1:8" ht="15.75">
      <c r="A1985" s="50">
        <v>42291</v>
      </c>
      <c r="B1985" s="51">
        <v>4975.2700000000004</v>
      </c>
      <c r="C1985" s="52"/>
      <c r="D1985" s="52"/>
      <c r="E1985" s="52"/>
      <c r="F1985" s="52"/>
      <c r="G1985" s="52"/>
      <c r="H1985" s="52"/>
    </row>
    <row r="1986" spans="1:8" ht="15.75">
      <c r="A1986" s="50">
        <v>42292</v>
      </c>
      <c r="B1986" s="51">
        <v>5050.01</v>
      </c>
      <c r="C1986" s="52"/>
      <c r="D1986" s="52"/>
      <c r="E1986" s="52"/>
      <c r="F1986" s="52"/>
      <c r="G1986" s="52"/>
      <c r="H1986" s="52"/>
    </row>
    <row r="1987" spans="1:8" ht="15.75">
      <c r="A1987" s="50">
        <v>42293</v>
      </c>
      <c r="B1987" s="51">
        <v>5069.8900000000003</v>
      </c>
      <c r="C1987" s="52"/>
      <c r="D1987" s="52"/>
      <c r="E1987" s="52"/>
      <c r="F1987" s="52"/>
      <c r="G1987" s="52"/>
      <c r="H1987" s="52"/>
    </row>
    <row r="1988" spans="1:8" ht="15.75">
      <c r="A1988" s="50">
        <v>42296</v>
      </c>
      <c r="B1988" s="51">
        <v>5099.9399999999996</v>
      </c>
      <c r="C1988" s="52"/>
      <c r="D1988" s="52"/>
      <c r="E1988" s="52"/>
      <c r="F1988" s="52"/>
      <c r="G1988" s="52"/>
      <c r="H1988" s="52"/>
    </row>
    <row r="1989" spans="1:8" ht="15.75">
      <c r="A1989" s="50">
        <v>42297</v>
      </c>
      <c r="B1989" s="51">
        <v>5091.6000000000004</v>
      </c>
      <c r="C1989" s="52"/>
      <c r="D1989" s="52"/>
      <c r="E1989" s="52"/>
      <c r="F1989" s="52"/>
      <c r="G1989" s="52"/>
      <c r="H1989" s="52"/>
    </row>
    <row r="1990" spans="1:8" ht="15.75">
      <c r="A1990" s="50">
        <v>42298</v>
      </c>
      <c r="B1990" s="51">
        <v>5136.96</v>
      </c>
      <c r="C1990" s="52"/>
      <c r="D1990" s="52"/>
      <c r="E1990" s="52"/>
      <c r="F1990" s="52"/>
      <c r="G1990" s="52"/>
      <c r="H1990" s="52"/>
    </row>
    <row r="1991" spans="1:8" ht="15.75">
      <c r="A1991" s="50">
        <v>42299</v>
      </c>
      <c r="B1991" s="51">
        <v>5264.35</v>
      </c>
      <c r="C1991" s="52"/>
      <c r="D1991" s="52"/>
      <c r="E1991" s="52"/>
      <c r="F1991" s="52"/>
      <c r="G1991" s="52"/>
      <c r="H1991" s="52"/>
    </row>
    <row r="1992" spans="1:8" ht="15.75">
      <c r="A1992" s="50">
        <v>42300</v>
      </c>
      <c r="B1992" s="51">
        <v>5416.16</v>
      </c>
      <c r="C1992" s="52"/>
      <c r="D1992" s="52"/>
      <c r="E1992" s="52"/>
      <c r="F1992" s="52"/>
      <c r="G1992" s="52"/>
      <c r="H1992" s="52"/>
    </row>
    <row r="1993" spans="1:8" ht="15.75">
      <c r="A1993" s="50">
        <v>42303</v>
      </c>
      <c r="B1993" s="51">
        <v>5419.57</v>
      </c>
      <c r="C1993" s="52"/>
      <c r="D1993" s="52"/>
      <c r="E1993" s="52"/>
      <c r="F1993" s="52"/>
      <c r="G1993" s="52"/>
      <c r="H1993" s="52"/>
    </row>
    <row r="1994" spans="1:8" ht="15.75">
      <c r="A1994" s="50">
        <v>42304</v>
      </c>
      <c r="B1994" s="51">
        <v>5364.8</v>
      </c>
      <c r="C1994" s="52"/>
      <c r="D1994" s="52"/>
      <c r="E1994" s="52"/>
      <c r="F1994" s="52"/>
      <c r="G1994" s="52"/>
      <c r="H1994" s="52"/>
    </row>
    <row r="1995" spans="1:8" ht="15.75">
      <c r="A1995" s="50">
        <v>42305</v>
      </c>
      <c r="B1995" s="51">
        <v>5434.93</v>
      </c>
      <c r="C1995" s="52"/>
      <c r="D1995" s="52"/>
      <c r="E1995" s="52"/>
      <c r="F1995" s="52"/>
      <c r="G1995" s="52"/>
      <c r="H1995" s="52"/>
    </row>
    <row r="1996" spans="1:8" ht="15.75">
      <c r="A1996" s="50">
        <v>42306</v>
      </c>
      <c r="B1996" s="51">
        <v>5419.32</v>
      </c>
      <c r="C1996" s="52"/>
      <c r="D1996" s="52"/>
      <c r="E1996" s="52"/>
      <c r="F1996" s="52"/>
      <c r="G1996" s="52"/>
      <c r="H1996" s="52"/>
    </row>
    <row r="1997" spans="1:8" ht="15.75">
      <c r="A1997" s="50">
        <v>42307</v>
      </c>
      <c r="B1997" s="51">
        <v>5444.06</v>
      </c>
      <c r="C1997" s="52"/>
      <c r="D1997" s="52"/>
      <c r="E1997" s="52"/>
      <c r="F1997" s="52"/>
      <c r="G1997" s="52"/>
      <c r="H1997" s="52"/>
    </row>
    <row r="1998" spans="1:8" ht="15.75">
      <c r="A1998" s="50">
        <v>42310</v>
      </c>
      <c r="B1998" s="51">
        <v>5494.49</v>
      </c>
      <c r="C1998" s="52"/>
      <c r="D1998" s="52"/>
      <c r="E1998" s="52"/>
      <c r="F1998" s="52"/>
      <c r="G1998" s="52"/>
      <c r="H1998" s="52"/>
    </row>
    <row r="1999" spans="1:8" ht="15.75">
      <c r="A1999" s="50">
        <v>42311</v>
      </c>
      <c r="B1999" s="51">
        <v>5494.74</v>
      </c>
      <c r="C1999" s="52"/>
      <c r="D1999" s="52"/>
      <c r="E1999" s="52"/>
      <c r="F1999" s="52"/>
      <c r="G1999" s="52"/>
      <c r="H1999" s="52"/>
    </row>
    <row r="2000" spans="1:8" ht="15.75">
      <c r="A2000" s="50">
        <v>42312</v>
      </c>
      <c r="B2000" s="51">
        <v>5441.59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42313</v>
      </c>
      <c r="B2001" s="51">
        <v>5462.92</v>
      </c>
      <c r="C2001" s="52"/>
      <c r="D2001" s="52"/>
      <c r="E2001" s="52"/>
      <c r="F2001" s="52"/>
      <c r="G2001" s="52"/>
      <c r="H2001" s="52"/>
    </row>
    <row r="2002" spans="1:8" ht="15.75">
      <c r="A2002" s="50">
        <v>42314</v>
      </c>
      <c r="B2002" s="51">
        <v>5513.24</v>
      </c>
      <c r="C2002" s="52"/>
      <c r="D2002" s="52"/>
      <c r="E2002" s="52"/>
      <c r="F2002" s="52"/>
      <c r="G2002" s="52"/>
      <c r="H2002" s="52"/>
    </row>
    <row r="2003" spans="1:8" ht="15.75">
      <c r="A2003" s="50">
        <v>42317</v>
      </c>
      <c r="B2003" s="51">
        <v>5426.65</v>
      </c>
      <c r="C2003" s="52"/>
      <c r="D2003" s="52"/>
      <c r="E2003" s="52"/>
      <c r="F2003" s="52"/>
      <c r="G2003" s="52"/>
      <c r="H2003" s="52"/>
    </row>
    <row r="2004" spans="1:8" ht="15.75">
      <c r="A2004" s="50">
        <v>42318</v>
      </c>
      <c r="B2004" s="51">
        <v>5435.21</v>
      </c>
      <c r="C2004" s="52"/>
      <c r="D2004" s="52"/>
      <c r="E2004" s="52"/>
      <c r="F2004" s="52"/>
      <c r="G2004" s="52"/>
      <c r="H2004" s="52"/>
    </row>
    <row r="2005" spans="1:8" ht="15.75">
      <c r="A2005" s="50">
        <v>42319</v>
      </c>
      <c r="B2005" s="51">
        <v>5473.02</v>
      </c>
      <c r="C2005" s="52"/>
      <c r="D2005" s="52"/>
      <c r="E2005" s="52"/>
      <c r="F2005" s="52"/>
      <c r="G2005" s="52"/>
      <c r="H2005" s="52"/>
    </row>
    <row r="2006" spans="1:8" ht="15.75">
      <c r="A2006" s="50">
        <v>42320</v>
      </c>
      <c r="B2006" s="51">
        <v>5410.18</v>
      </c>
      <c r="C2006" s="52"/>
      <c r="D2006" s="52"/>
      <c r="E2006" s="52"/>
      <c r="F2006" s="52"/>
      <c r="G2006" s="52"/>
      <c r="H2006" s="52"/>
    </row>
    <row r="2007" spans="1:8" ht="15.75">
      <c r="A2007" s="50">
        <v>42321</v>
      </c>
      <c r="B2007" s="51">
        <v>5372.94</v>
      </c>
      <c r="C2007" s="52"/>
      <c r="D2007" s="52"/>
      <c r="E2007" s="52"/>
      <c r="F2007" s="52"/>
      <c r="G2007" s="52"/>
      <c r="H2007" s="52"/>
    </row>
    <row r="2008" spans="1:8" ht="15.75">
      <c r="A2008" s="50">
        <v>42324</v>
      </c>
      <c r="B2008" s="51">
        <v>5375.36</v>
      </c>
      <c r="C2008" s="52"/>
      <c r="D2008" s="52"/>
      <c r="E2008" s="52"/>
      <c r="F2008" s="52"/>
      <c r="G2008" s="52"/>
      <c r="H2008" s="52"/>
    </row>
    <row r="2009" spans="1:8" ht="15.75">
      <c r="A2009" s="50">
        <v>42325</v>
      </c>
      <c r="B2009" s="51">
        <v>5504.71</v>
      </c>
      <c r="C2009" s="52"/>
      <c r="D2009" s="52"/>
      <c r="E2009" s="52"/>
      <c r="F2009" s="52"/>
      <c r="G2009" s="52"/>
      <c r="H2009" s="52"/>
    </row>
    <row r="2010" spans="1:8" ht="15.75">
      <c r="A2010" s="50">
        <v>42326</v>
      </c>
      <c r="B2010" s="51">
        <v>5499.15</v>
      </c>
      <c r="C2010" s="52"/>
      <c r="D2010" s="52"/>
      <c r="E2010" s="52"/>
      <c r="F2010" s="52"/>
      <c r="G2010" s="52"/>
      <c r="H2010" s="52"/>
    </row>
    <row r="2011" spans="1:8" ht="15.75">
      <c r="A2011" s="50">
        <v>42327</v>
      </c>
      <c r="B2011" s="51">
        <v>5562.11</v>
      </c>
      <c r="C2011" s="52"/>
      <c r="D2011" s="52"/>
      <c r="E2011" s="52"/>
      <c r="F2011" s="52"/>
      <c r="G2011" s="52"/>
      <c r="H2011" s="52"/>
    </row>
    <row r="2012" spans="1:8" ht="15.75">
      <c r="A2012" s="50">
        <v>42328</v>
      </c>
      <c r="B2012" s="51">
        <v>5579.37</v>
      </c>
      <c r="C2012" s="52"/>
      <c r="D2012" s="52"/>
      <c r="E2012" s="52"/>
      <c r="F2012" s="52"/>
      <c r="G2012" s="52"/>
      <c r="H2012" s="52"/>
    </row>
    <row r="2013" spans="1:8" ht="15.75">
      <c r="A2013" s="50">
        <v>42331</v>
      </c>
      <c r="B2013" s="51">
        <v>5565.56</v>
      </c>
      <c r="C2013" s="52"/>
      <c r="D2013" s="52"/>
      <c r="E2013" s="52"/>
      <c r="F2013" s="52"/>
      <c r="G2013" s="52"/>
      <c r="H2013" s="52"/>
    </row>
    <row r="2014" spans="1:8" ht="15.75">
      <c r="A2014" s="50">
        <v>42332</v>
      </c>
      <c r="B2014" s="51">
        <v>5486.13</v>
      </c>
      <c r="C2014" s="52"/>
      <c r="D2014" s="52"/>
      <c r="E2014" s="52"/>
      <c r="F2014" s="52"/>
      <c r="G2014" s="52"/>
      <c r="H2014" s="52"/>
    </row>
    <row r="2015" spans="1:8" ht="15.75">
      <c r="A2015" s="50">
        <v>42333</v>
      </c>
      <c r="B2015" s="51">
        <v>5604.31</v>
      </c>
      <c r="C2015" s="52"/>
      <c r="D2015" s="52"/>
      <c r="E2015" s="52"/>
      <c r="F2015" s="52"/>
      <c r="G2015" s="52"/>
      <c r="H2015" s="52"/>
    </row>
    <row r="2016" spans="1:8" ht="15.75">
      <c r="A2016" s="50">
        <v>42334</v>
      </c>
      <c r="B2016" s="51">
        <v>5680.19</v>
      </c>
      <c r="C2016" s="52"/>
      <c r="D2016" s="52"/>
      <c r="E2016" s="52"/>
      <c r="F2016" s="52"/>
      <c r="G2016" s="52"/>
      <c r="H2016" s="52"/>
    </row>
    <row r="2017" spans="1:8" ht="15.75">
      <c r="A2017" s="50">
        <v>42335</v>
      </c>
      <c r="B2017" s="51">
        <v>5666.64</v>
      </c>
      <c r="C2017" s="52"/>
      <c r="D2017" s="52"/>
      <c r="E2017" s="52"/>
      <c r="F2017" s="52"/>
      <c r="G2017" s="52"/>
      <c r="H2017" s="52"/>
    </row>
    <row r="2018" spans="1:8" ht="15.75">
      <c r="A2018" s="50">
        <v>42338</v>
      </c>
      <c r="B2018" s="51">
        <v>5711.03</v>
      </c>
      <c r="C2018" s="52"/>
      <c r="D2018" s="52"/>
      <c r="E2018" s="52"/>
      <c r="F2018" s="52"/>
      <c r="G2018" s="52"/>
      <c r="H2018" s="52"/>
    </row>
    <row r="2019" spans="1:8" ht="15.75">
      <c r="A2019" s="50">
        <v>42339</v>
      </c>
      <c r="B2019" s="51">
        <v>5650.32</v>
      </c>
      <c r="C2019" s="52"/>
      <c r="D2019" s="52"/>
      <c r="E2019" s="52"/>
      <c r="F2019" s="52"/>
      <c r="G2019" s="52"/>
      <c r="H2019" s="52"/>
    </row>
    <row r="2020" spans="1:8" ht="15.75">
      <c r="A2020" s="50">
        <v>42340</v>
      </c>
      <c r="B2020" s="51">
        <v>5614.59</v>
      </c>
      <c r="C2020" s="52"/>
      <c r="D2020" s="52"/>
      <c r="E2020" s="52"/>
      <c r="F2020" s="52"/>
      <c r="G2020" s="52"/>
      <c r="H2020" s="52"/>
    </row>
    <row r="2021" spans="1:8" ht="15.75">
      <c r="A2021" s="50">
        <v>42341</v>
      </c>
      <c r="B2021" s="51">
        <v>5413.5</v>
      </c>
      <c r="C2021" s="52"/>
      <c r="D2021" s="52"/>
      <c r="E2021" s="52"/>
      <c r="F2021" s="52"/>
      <c r="G2021" s="52"/>
      <c r="H2021" s="52"/>
    </row>
    <row r="2022" spans="1:8" ht="15.75">
      <c r="A2022" s="50">
        <v>42342</v>
      </c>
      <c r="B2022" s="51">
        <v>5394.86</v>
      </c>
      <c r="C2022" s="52"/>
      <c r="D2022" s="52"/>
      <c r="E2022" s="52"/>
      <c r="F2022" s="52"/>
      <c r="G2022" s="52"/>
      <c r="H2022" s="52"/>
    </row>
    <row r="2023" spans="1:8" ht="15.75">
      <c r="A2023" s="50">
        <v>42345</v>
      </c>
      <c r="B2023" s="51">
        <v>5462.09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42346</v>
      </c>
      <c r="B2024" s="51">
        <v>5355.47</v>
      </c>
      <c r="C2024" s="52"/>
      <c r="D2024" s="52"/>
      <c r="E2024" s="52"/>
      <c r="F2024" s="52"/>
      <c r="G2024" s="52"/>
      <c r="H2024" s="52"/>
    </row>
    <row r="2025" spans="1:8" ht="15.75">
      <c r="A2025" s="50">
        <v>42347</v>
      </c>
      <c r="B2025" s="51">
        <v>5314.78</v>
      </c>
      <c r="C2025" s="52"/>
      <c r="D2025" s="52"/>
      <c r="E2025" s="52"/>
      <c r="F2025" s="52"/>
      <c r="G2025" s="52"/>
      <c r="H2025" s="52"/>
    </row>
    <row r="2026" spans="1:8" ht="15.75">
      <c r="A2026" s="50">
        <v>42348</v>
      </c>
      <c r="B2026" s="51">
        <v>5318.01</v>
      </c>
      <c r="C2026" s="52"/>
      <c r="D2026" s="52"/>
      <c r="E2026" s="52"/>
      <c r="F2026" s="52"/>
      <c r="G2026" s="52"/>
      <c r="H2026" s="52"/>
    </row>
    <row r="2027" spans="1:8" ht="15.75">
      <c r="A2027" s="50">
        <v>42349</v>
      </c>
      <c r="B2027" s="51">
        <v>5188.12</v>
      </c>
      <c r="C2027" s="52"/>
      <c r="D2027" s="52"/>
      <c r="E2027" s="52"/>
      <c r="F2027" s="52"/>
      <c r="G2027" s="52"/>
      <c r="H2027" s="52"/>
    </row>
    <row r="2028" spans="1:8" ht="15.75">
      <c r="A2028" s="50">
        <v>42352</v>
      </c>
      <c r="B2028" s="51">
        <v>5087.41</v>
      </c>
      <c r="C2028" s="52"/>
      <c r="D2028" s="52"/>
      <c r="E2028" s="52"/>
      <c r="F2028" s="52"/>
      <c r="G2028" s="52"/>
      <c r="H2028" s="52"/>
    </row>
    <row r="2029" spans="1:8" ht="15.75">
      <c r="A2029" s="50">
        <v>42353</v>
      </c>
      <c r="B2029" s="51">
        <v>5243.47</v>
      </c>
      <c r="C2029" s="52"/>
      <c r="D2029" s="52"/>
      <c r="E2029" s="52"/>
      <c r="F2029" s="52"/>
      <c r="G2029" s="52"/>
      <c r="H2029" s="52"/>
    </row>
    <row r="2030" spans="1:8" ht="15.75">
      <c r="A2030" s="50">
        <v>42354</v>
      </c>
      <c r="B2030" s="51">
        <v>5252.95</v>
      </c>
      <c r="C2030" s="52"/>
      <c r="D2030" s="52"/>
      <c r="E2030" s="52"/>
      <c r="F2030" s="52"/>
      <c r="G2030" s="52"/>
      <c r="H2030" s="52"/>
    </row>
    <row r="2031" spans="1:8" ht="15.75">
      <c r="A2031" s="50">
        <v>42355</v>
      </c>
      <c r="B2031" s="51">
        <v>5387.85</v>
      </c>
      <c r="C2031" s="52"/>
      <c r="D2031" s="52"/>
      <c r="E2031" s="52"/>
      <c r="F2031" s="52"/>
      <c r="G2031" s="52"/>
      <c r="H2031" s="52"/>
    </row>
    <row r="2032" spans="1:8" ht="15.75">
      <c r="A2032" s="50">
        <v>42356</v>
      </c>
      <c r="B2032" s="51">
        <v>5322.66</v>
      </c>
      <c r="C2032" s="52"/>
      <c r="D2032" s="52"/>
      <c r="E2032" s="52"/>
      <c r="F2032" s="52"/>
      <c r="G2032" s="52"/>
      <c r="H2032" s="52"/>
    </row>
    <row r="2033" spans="1:8" ht="15.75">
      <c r="A2033" s="50">
        <v>42359</v>
      </c>
      <c r="B2033" s="51">
        <v>5267.26</v>
      </c>
      <c r="C2033" s="52"/>
      <c r="D2033" s="52"/>
      <c r="E2033" s="52"/>
      <c r="F2033" s="52"/>
      <c r="G2033" s="52"/>
      <c r="H2033" s="52"/>
    </row>
    <row r="2034" spans="1:8" ht="15.75">
      <c r="A2034" s="50">
        <v>42360</v>
      </c>
      <c r="B2034" s="51">
        <v>5262.73</v>
      </c>
      <c r="C2034" s="52"/>
      <c r="D2034" s="52"/>
      <c r="E2034" s="52"/>
      <c r="F2034" s="52"/>
      <c r="G2034" s="52"/>
      <c r="H2034" s="52"/>
    </row>
    <row r="2035" spans="1:8" ht="15.75">
      <c r="A2035" s="50">
        <v>42361</v>
      </c>
      <c r="B2035" s="51">
        <v>5382.6</v>
      </c>
      <c r="C2035" s="52"/>
      <c r="D2035" s="52"/>
      <c r="E2035" s="52"/>
      <c r="F2035" s="52"/>
      <c r="G2035" s="52"/>
      <c r="H2035" s="52"/>
    </row>
    <row r="2036" spans="1:8" ht="15.75">
      <c r="A2036" s="50">
        <v>42366</v>
      </c>
      <c r="B2036" s="51">
        <v>5345.6</v>
      </c>
      <c r="C2036" s="52"/>
      <c r="D2036" s="52"/>
      <c r="E2036" s="52"/>
      <c r="F2036" s="52"/>
      <c r="G2036" s="52"/>
      <c r="H2036" s="52"/>
    </row>
    <row r="2037" spans="1:8" ht="15.75">
      <c r="A2037" s="50">
        <v>42367</v>
      </c>
      <c r="B2037" s="51">
        <v>5449.08</v>
      </c>
      <c r="C2037" s="52"/>
      <c r="D2037" s="52"/>
      <c r="E2037" s="52"/>
      <c r="F2037" s="52"/>
      <c r="G2037" s="52"/>
      <c r="H2037" s="52"/>
    </row>
    <row r="2038" spans="1:8" ht="15.75">
      <c r="A2038" s="50">
        <v>42368</v>
      </c>
      <c r="B2038" s="51">
        <v>5390.31</v>
      </c>
      <c r="C2038" s="52"/>
      <c r="D2038" s="52"/>
      <c r="E2038" s="52"/>
      <c r="F2038" s="52"/>
      <c r="G2038" s="52"/>
      <c r="H2038" s="52"/>
    </row>
    <row r="2039" spans="1:8" ht="15.75">
      <c r="A2039" s="50">
        <v>42373</v>
      </c>
      <c r="B2039" s="51">
        <v>5159.72</v>
      </c>
      <c r="C2039" s="52"/>
      <c r="D2039" s="52"/>
      <c r="E2039" s="52"/>
      <c r="F2039" s="52"/>
      <c r="G2039" s="52"/>
      <c r="H2039" s="52"/>
    </row>
    <row r="2040" spans="1:8" ht="15.75">
      <c r="A2040" s="50">
        <v>42374</v>
      </c>
      <c r="B2040" s="51">
        <v>5173.09</v>
      </c>
      <c r="C2040" s="52"/>
      <c r="D2040" s="52"/>
      <c r="E2040" s="52"/>
      <c r="F2040" s="52"/>
      <c r="G2040" s="52"/>
      <c r="H2040" s="52"/>
    </row>
    <row r="2041" spans="1:8" ht="15.75">
      <c r="A2041" s="50">
        <v>42375</v>
      </c>
      <c r="B2041" s="51">
        <v>5124.8900000000003</v>
      </c>
      <c r="C2041" s="52"/>
      <c r="D2041" s="52"/>
      <c r="E2041" s="52"/>
      <c r="F2041" s="52"/>
      <c r="G2041" s="52"/>
      <c r="H2041" s="52"/>
    </row>
    <row r="2042" spans="1:8" ht="15.75">
      <c r="A2042" s="50">
        <v>42376</v>
      </c>
      <c r="B2042" s="51">
        <v>5007.3900000000003</v>
      </c>
      <c r="C2042" s="52"/>
      <c r="D2042" s="52"/>
      <c r="E2042" s="52"/>
      <c r="F2042" s="52"/>
      <c r="G2042" s="52"/>
      <c r="H2042" s="52"/>
    </row>
    <row r="2043" spans="1:8" ht="15.75">
      <c r="A2043" s="50">
        <v>42377</v>
      </c>
      <c r="B2043" s="51">
        <v>4941.91</v>
      </c>
      <c r="C2043" s="52"/>
      <c r="D2043" s="52"/>
      <c r="E2043" s="52"/>
      <c r="F2043" s="52"/>
      <c r="G2043" s="52"/>
      <c r="H2043" s="52"/>
    </row>
    <row r="2044" spans="1:8" ht="15.75">
      <c r="A2044" s="50">
        <v>42380</v>
      </c>
      <c r="B2044" s="51">
        <v>4929.7299999999996</v>
      </c>
      <c r="C2044" s="52"/>
      <c r="D2044" s="52"/>
      <c r="E2044" s="52"/>
      <c r="F2044" s="52"/>
      <c r="G2044" s="52"/>
      <c r="H2044" s="52"/>
    </row>
    <row r="2045" spans="1:8" ht="15.75">
      <c r="A2045" s="50">
        <v>42381</v>
      </c>
      <c r="B2045" s="51">
        <v>5010.1899999999996</v>
      </c>
      <c r="C2045" s="52"/>
      <c r="D2045" s="52"/>
      <c r="E2045" s="52"/>
      <c r="F2045" s="52"/>
      <c r="G2045" s="52"/>
      <c r="H2045" s="52"/>
    </row>
    <row r="2046" spans="1:8" ht="15.75">
      <c r="A2046" s="50">
        <v>42382</v>
      </c>
      <c r="B2046" s="51">
        <v>4997.91</v>
      </c>
      <c r="C2046" s="52"/>
      <c r="D2046" s="52"/>
      <c r="E2046" s="52"/>
      <c r="F2046" s="52"/>
      <c r="G2046" s="52"/>
      <c r="H2046" s="52"/>
    </row>
    <row r="2047" spans="1:8" ht="15.75">
      <c r="A2047" s="50">
        <v>42383</v>
      </c>
      <c r="B2047" s="51">
        <v>4914.24</v>
      </c>
      <c r="C2047" s="52"/>
      <c r="D2047" s="52"/>
      <c r="E2047" s="52"/>
      <c r="F2047" s="52"/>
      <c r="G2047" s="52"/>
      <c r="H2047" s="52"/>
    </row>
    <row r="2048" spans="1:8" ht="15.75">
      <c r="A2048" s="50">
        <v>42384</v>
      </c>
      <c r="B2048" s="51">
        <v>4789.34</v>
      </c>
      <c r="C2048" s="52"/>
      <c r="D2048" s="52"/>
      <c r="E2048" s="52"/>
      <c r="F2048" s="52"/>
      <c r="G2048" s="52"/>
      <c r="H2048" s="52"/>
    </row>
    <row r="2049" spans="1:8" ht="15.75">
      <c r="A2049" s="50">
        <v>42387</v>
      </c>
      <c r="B2049" s="51">
        <v>4777.59</v>
      </c>
      <c r="C2049" s="52"/>
      <c r="D2049" s="52"/>
      <c r="E2049" s="52"/>
      <c r="F2049" s="52"/>
      <c r="G2049" s="52"/>
      <c r="H2049" s="52"/>
    </row>
    <row r="2050" spans="1:8" ht="15.75">
      <c r="A2050" s="50">
        <v>42388</v>
      </c>
      <c r="B2050" s="51">
        <v>4849.0200000000004</v>
      </c>
      <c r="C2050" s="52"/>
      <c r="D2050" s="52"/>
      <c r="E2050" s="52"/>
      <c r="F2050" s="52"/>
      <c r="G2050" s="52"/>
      <c r="H2050" s="52"/>
    </row>
    <row r="2051" spans="1:8" ht="15.75">
      <c r="A2051" s="50">
        <v>42389</v>
      </c>
      <c r="B2051" s="51">
        <v>4712.25</v>
      </c>
      <c r="C2051" s="52"/>
      <c r="D2051" s="52"/>
      <c r="E2051" s="52"/>
      <c r="F2051" s="52"/>
      <c r="G2051" s="52"/>
      <c r="H2051" s="52"/>
    </row>
    <row r="2052" spans="1:8" ht="15.75">
      <c r="A2052" s="50">
        <v>42390</v>
      </c>
      <c r="B2052" s="51">
        <v>4803.83</v>
      </c>
      <c r="C2052" s="52"/>
      <c r="D2052" s="52"/>
      <c r="E2052" s="52"/>
      <c r="F2052" s="52"/>
      <c r="G2052" s="52"/>
      <c r="H2052" s="52"/>
    </row>
    <row r="2053" spans="1:8" ht="15.75">
      <c r="A2053" s="50">
        <v>42391</v>
      </c>
      <c r="B2053" s="51">
        <v>4899.53</v>
      </c>
      <c r="C2053" s="52"/>
      <c r="D2053" s="52"/>
      <c r="E2053" s="52"/>
      <c r="F2053" s="52"/>
      <c r="G2053" s="52"/>
      <c r="H2053" s="52"/>
    </row>
    <row r="2054" spans="1:8" ht="15.75">
      <c r="A2054" s="50">
        <v>42394</v>
      </c>
      <c r="B2054" s="51">
        <v>4885.1099999999997</v>
      </c>
      <c r="C2054" s="52"/>
      <c r="D2054" s="52"/>
      <c r="E2054" s="52"/>
      <c r="F2054" s="52"/>
      <c r="G2054" s="52"/>
      <c r="H2054" s="52"/>
    </row>
    <row r="2055" spans="1:8" ht="15.75">
      <c r="A2055" s="50">
        <v>42395</v>
      </c>
      <c r="B2055" s="51">
        <v>4928.57</v>
      </c>
      <c r="C2055" s="52"/>
      <c r="D2055" s="52"/>
      <c r="E2055" s="52"/>
      <c r="F2055" s="52"/>
      <c r="G2055" s="52"/>
      <c r="H2055" s="52"/>
    </row>
    <row r="2056" spans="1:8" ht="15.75">
      <c r="A2056" s="50">
        <v>42396</v>
      </c>
      <c r="B2056" s="51">
        <v>4941.03</v>
      </c>
      <c r="C2056" s="52"/>
      <c r="D2056" s="52"/>
      <c r="E2056" s="52"/>
      <c r="F2056" s="52"/>
      <c r="G2056" s="52"/>
      <c r="H2056" s="52"/>
    </row>
    <row r="2057" spans="1:8" ht="15.75">
      <c r="A2057" s="50">
        <v>42397</v>
      </c>
      <c r="B2057" s="51">
        <v>4820.3599999999997</v>
      </c>
      <c r="C2057" s="52"/>
      <c r="D2057" s="52"/>
      <c r="E2057" s="52"/>
      <c r="F2057" s="52"/>
      <c r="G2057" s="52"/>
      <c r="H2057" s="52"/>
    </row>
    <row r="2058" spans="1:8" ht="15.75">
      <c r="A2058" s="50">
        <v>42398</v>
      </c>
      <c r="B2058" s="51">
        <v>4899.58</v>
      </c>
      <c r="C2058" s="52"/>
      <c r="D2058" s="52"/>
      <c r="E2058" s="52"/>
      <c r="F2058" s="52"/>
      <c r="G2058" s="52"/>
      <c r="H2058" s="52"/>
    </row>
    <row r="2059" spans="1:8" ht="15.75">
      <c r="A2059" s="50">
        <v>42401</v>
      </c>
      <c r="B2059" s="51">
        <v>4879.1400000000003</v>
      </c>
      <c r="C2059" s="52"/>
      <c r="D2059" s="52"/>
      <c r="E2059" s="52"/>
      <c r="F2059" s="52"/>
      <c r="G2059" s="52"/>
      <c r="H2059" s="52"/>
    </row>
    <row r="2060" spans="1:8" ht="15.75">
      <c r="A2060" s="50">
        <v>42402</v>
      </c>
      <c r="B2060" s="51">
        <v>4790.71</v>
      </c>
      <c r="C2060" s="52"/>
      <c r="D2060" s="52"/>
      <c r="E2060" s="52"/>
      <c r="F2060" s="52"/>
      <c r="G2060" s="52"/>
      <c r="H2060" s="52"/>
    </row>
    <row r="2061" spans="1:8" ht="15.75">
      <c r="A2061" s="50">
        <v>42403</v>
      </c>
      <c r="B2061" s="51">
        <v>4717.5600000000004</v>
      </c>
      <c r="C2061" s="52"/>
      <c r="D2061" s="52"/>
      <c r="E2061" s="52"/>
      <c r="F2061" s="52"/>
      <c r="G2061" s="52"/>
      <c r="H2061" s="52"/>
    </row>
    <row r="2062" spans="1:8" ht="15.75">
      <c r="A2062" s="50">
        <v>42404</v>
      </c>
      <c r="B2062" s="51">
        <v>4696.68</v>
      </c>
      <c r="C2062" s="52"/>
      <c r="D2062" s="52"/>
      <c r="E2062" s="52"/>
      <c r="F2062" s="52"/>
      <c r="G2062" s="52"/>
      <c r="H2062" s="52"/>
    </row>
    <row r="2063" spans="1:8" ht="15.75">
      <c r="A2063" s="50">
        <v>42405</v>
      </c>
      <c r="B2063" s="51">
        <v>4643.04</v>
      </c>
      <c r="C2063" s="52"/>
      <c r="D2063" s="52"/>
      <c r="E2063" s="52"/>
      <c r="F2063" s="52"/>
      <c r="G2063" s="52"/>
      <c r="H2063" s="52"/>
    </row>
    <row r="2064" spans="1:8" ht="15.75">
      <c r="A2064" s="50">
        <v>42408</v>
      </c>
      <c r="B2064" s="51">
        <v>4489.46</v>
      </c>
      <c r="C2064" s="52"/>
      <c r="D2064" s="52"/>
      <c r="E2064" s="52"/>
      <c r="F2064" s="52"/>
      <c r="G2064" s="52"/>
      <c r="H2064" s="52"/>
    </row>
    <row r="2065" spans="1:8" ht="15.75">
      <c r="A2065" s="50">
        <v>42409</v>
      </c>
      <c r="B2065" s="51">
        <v>4439.43</v>
      </c>
      <c r="C2065" s="52"/>
      <c r="D2065" s="52"/>
      <c r="E2065" s="52"/>
      <c r="F2065" s="52"/>
      <c r="G2065" s="52"/>
      <c r="H2065" s="52"/>
    </row>
    <row r="2066" spans="1:8" ht="15.75">
      <c r="A2066" s="50">
        <v>42410</v>
      </c>
      <c r="B2066" s="51">
        <v>4508.5600000000004</v>
      </c>
      <c r="C2066" s="52"/>
      <c r="D2066" s="52"/>
      <c r="E2066" s="52"/>
      <c r="F2066" s="52"/>
      <c r="G2066" s="52"/>
      <c r="H2066" s="52"/>
    </row>
    <row r="2067" spans="1:8" ht="15.75">
      <c r="A2067" s="50">
        <v>42411</v>
      </c>
      <c r="B2067" s="51">
        <v>4376.46</v>
      </c>
      <c r="C2067" s="52"/>
      <c r="D2067" s="52"/>
      <c r="E2067" s="52"/>
      <c r="F2067" s="52"/>
      <c r="G2067" s="52"/>
      <c r="H2067" s="52"/>
    </row>
    <row r="2068" spans="1:8" ht="15.75">
      <c r="A2068" s="50">
        <v>42412</v>
      </c>
      <c r="B2068" s="51">
        <v>4483.8599999999997</v>
      </c>
      <c r="C2068" s="52"/>
      <c r="D2068" s="52"/>
      <c r="E2068" s="52"/>
      <c r="F2068" s="52"/>
      <c r="G2068" s="52"/>
      <c r="H2068" s="52"/>
    </row>
    <row r="2069" spans="1:8" ht="15.75">
      <c r="A2069" s="50">
        <v>42415</v>
      </c>
      <c r="B2069" s="51">
        <v>4603.6400000000003</v>
      </c>
      <c r="C2069" s="52"/>
      <c r="D2069" s="52"/>
      <c r="E2069" s="52"/>
      <c r="F2069" s="52"/>
      <c r="G2069" s="52"/>
      <c r="H2069" s="52"/>
    </row>
    <row r="2070" spans="1:8" ht="15.75">
      <c r="A2070" s="50">
        <v>42416</v>
      </c>
      <c r="B2070" s="51">
        <v>4567.68</v>
      </c>
      <c r="C2070" s="52"/>
      <c r="D2070" s="52"/>
      <c r="E2070" s="52"/>
      <c r="F2070" s="52"/>
      <c r="G2070" s="52"/>
      <c r="H2070" s="52"/>
    </row>
    <row r="2071" spans="1:8" ht="15.75">
      <c r="A2071" s="50">
        <v>42417</v>
      </c>
      <c r="B2071" s="51">
        <v>4688.68</v>
      </c>
      <c r="C2071" s="52"/>
      <c r="D2071" s="52"/>
      <c r="E2071" s="52"/>
      <c r="F2071" s="52"/>
      <c r="G2071" s="52"/>
      <c r="H2071" s="52"/>
    </row>
    <row r="2072" spans="1:8" ht="15.75">
      <c r="A2072" s="50">
        <v>42418</v>
      </c>
      <c r="B2072" s="51">
        <v>4731.97</v>
      </c>
      <c r="C2072" s="52"/>
      <c r="D2072" s="52"/>
      <c r="E2072" s="52"/>
      <c r="F2072" s="52"/>
      <c r="G2072" s="52"/>
      <c r="H2072" s="52"/>
    </row>
    <row r="2073" spans="1:8" ht="15.75">
      <c r="A2073" s="50">
        <v>42419</v>
      </c>
      <c r="B2073" s="51">
        <v>4692.75</v>
      </c>
      <c r="C2073" s="52"/>
      <c r="D2073" s="52"/>
      <c r="E2073" s="52"/>
      <c r="F2073" s="52"/>
      <c r="G2073" s="52"/>
      <c r="H2073" s="52"/>
    </row>
    <row r="2074" spans="1:8" ht="15.75">
      <c r="A2074" s="50">
        <v>42422</v>
      </c>
      <c r="B2074" s="51">
        <v>4785.4399999999996</v>
      </c>
      <c r="C2074" s="52"/>
      <c r="D2074" s="52"/>
      <c r="E2074" s="52"/>
      <c r="F2074" s="52"/>
      <c r="G2074" s="52"/>
      <c r="H2074" s="52"/>
    </row>
    <row r="2075" spans="1:8" ht="15.75">
      <c r="A2075" s="50">
        <v>42423</v>
      </c>
      <c r="B2075" s="51">
        <v>4707.05</v>
      </c>
      <c r="C2075" s="52"/>
      <c r="D2075" s="52"/>
      <c r="E2075" s="52"/>
      <c r="F2075" s="52"/>
      <c r="G2075" s="52"/>
      <c r="H2075" s="52"/>
    </row>
    <row r="2076" spans="1:8" ht="15.75">
      <c r="A2076" s="50">
        <v>42424</v>
      </c>
      <c r="B2076" s="51">
        <v>4582.68</v>
      </c>
      <c r="C2076" s="52"/>
      <c r="D2076" s="52"/>
      <c r="E2076" s="52"/>
      <c r="F2076" s="52"/>
      <c r="G2076" s="52"/>
      <c r="H2076" s="52"/>
    </row>
    <row r="2077" spans="1:8" ht="15.75">
      <c r="A2077" s="50">
        <v>42425</v>
      </c>
      <c r="B2077" s="51">
        <v>4664.4799999999996</v>
      </c>
      <c r="C2077" s="52"/>
      <c r="D2077" s="52"/>
      <c r="E2077" s="52"/>
      <c r="F2077" s="52"/>
      <c r="G2077" s="52"/>
      <c r="H2077" s="52"/>
    </row>
    <row r="2078" spans="1:8" ht="15.75">
      <c r="A2078" s="50">
        <v>42426</v>
      </c>
      <c r="B2078" s="51">
        <v>4755.2700000000004</v>
      </c>
      <c r="C2078" s="52"/>
      <c r="D2078" s="52"/>
      <c r="E2078" s="52"/>
      <c r="F2078" s="52"/>
      <c r="G2078" s="52"/>
      <c r="H2078" s="52"/>
    </row>
    <row r="2079" spans="1:8" ht="15.75">
      <c r="A2079" s="50">
        <v>42429</v>
      </c>
      <c r="B2079" s="51">
        <v>4746.42</v>
      </c>
      <c r="C2079" s="52"/>
      <c r="D2079" s="52"/>
      <c r="E2079" s="52"/>
      <c r="F2079" s="52"/>
      <c r="G2079" s="52"/>
      <c r="H2079" s="52"/>
    </row>
    <row r="2080" spans="1:8" ht="15.75">
      <c r="A2080" s="50">
        <v>42430</v>
      </c>
      <c r="B2080" s="51">
        <v>4857.32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42431</v>
      </c>
      <c r="B2081" s="51">
        <v>4887.1000000000004</v>
      </c>
      <c r="C2081" s="52"/>
      <c r="D2081" s="52"/>
      <c r="E2081" s="52"/>
      <c r="F2081" s="52"/>
      <c r="G2081" s="52"/>
      <c r="H2081" s="52"/>
    </row>
    <row r="2082" spans="1:8" ht="15.75">
      <c r="A2082" s="50">
        <v>42432</v>
      </c>
      <c r="B2082" s="51">
        <v>4874.58</v>
      </c>
      <c r="C2082" s="52"/>
      <c r="D2082" s="52"/>
      <c r="E2082" s="52"/>
      <c r="F2082" s="52"/>
      <c r="G2082" s="52"/>
      <c r="H2082" s="52"/>
    </row>
    <row r="2083" spans="1:8" ht="15.75">
      <c r="A2083" s="50">
        <v>42433</v>
      </c>
      <c r="B2083" s="51">
        <v>4910.49</v>
      </c>
      <c r="C2083" s="52"/>
      <c r="D2083" s="52"/>
      <c r="E2083" s="52"/>
      <c r="F2083" s="52"/>
      <c r="G2083" s="52"/>
      <c r="H2083" s="52"/>
    </row>
    <row r="2084" spans="1:8" ht="15.75">
      <c r="A2084" s="50">
        <v>42436</v>
      </c>
      <c r="B2084" s="51">
        <v>4887.8900000000003</v>
      </c>
      <c r="C2084" s="52"/>
      <c r="D2084" s="52"/>
      <c r="E2084" s="52"/>
      <c r="F2084" s="52"/>
      <c r="G2084" s="52"/>
      <c r="H2084" s="52"/>
    </row>
    <row r="2085" spans="1:8" ht="15.75">
      <c r="A2085" s="50">
        <v>42437</v>
      </c>
      <c r="B2085" s="51">
        <v>4844.83</v>
      </c>
      <c r="C2085" s="52"/>
      <c r="D2085" s="52"/>
      <c r="E2085" s="52"/>
      <c r="F2085" s="52"/>
      <c r="G2085" s="52"/>
      <c r="H2085" s="52"/>
    </row>
    <row r="2086" spans="1:8" ht="15.75">
      <c r="A2086" s="50">
        <v>42438</v>
      </c>
      <c r="B2086" s="51">
        <v>4859.8599999999997</v>
      </c>
      <c r="C2086" s="52"/>
      <c r="D2086" s="52"/>
      <c r="E2086" s="52"/>
      <c r="F2086" s="52"/>
      <c r="G2086" s="52"/>
      <c r="H2086" s="52"/>
    </row>
    <row r="2087" spans="1:8" ht="15.75">
      <c r="A2087" s="50">
        <v>42439</v>
      </c>
      <c r="B2087" s="51">
        <v>4747.51</v>
      </c>
      <c r="C2087" s="52"/>
      <c r="D2087" s="52"/>
      <c r="E2087" s="52"/>
      <c r="F2087" s="52"/>
      <c r="G2087" s="52"/>
      <c r="H2087" s="52"/>
    </row>
    <row r="2088" spans="1:8" ht="15.75">
      <c r="A2088" s="50">
        <v>42440</v>
      </c>
      <c r="B2088" s="51">
        <v>4914.0600000000004</v>
      </c>
      <c r="C2088" s="52"/>
      <c r="D2088" s="52"/>
      <c r="E2088" s="52"/>
      <c r="F2088" s="52"/>
      <c r="G2088" s="52"/>
      <c r="H2088" s="52"/>
    </row>
    <row r="2089" spans="1:8" ht="15.75">
      <c r="A2089" s="50">
        <v>42443</v>
      </c>
      <c r="B2089" s="51">
        <v>4993.5</v>
      </c>
      <c r="C2089" s="52"/>
      <c r="D2089" s="52"/>
      <c r="E2089" s="52"/>
      <c r="F2089" s="52"/>
      <c r="G2089" s="52"/>
      <c r="H2089" s="52"/>
    </row>
    <row r="2090" spans="1:8" ht="15.75">
      <c r="A2090" s="50">
        <v>42444</v>
      </c>
      <c r="B2090" s="51">
        <v>4965.32</v>
      </c>
      <c r="C2090" s="52"/>
      <c r="D2090" s="52"/>
      <c r="E2090" s="52"/>
      <c r="F2090" s="52"/>
      <c r="G2090" s="52"/>
      <c r="H2090" s="52"/>
    </row>
    <row r="2091" spans="1:8" ht="15.75">
      <c r="A2091" s="50">
        <v>42445</v>
      </c>
      <c r="B2091" s="51">
        <v>4990</v>
      </c>
      <c r="C2091" s="52"/>
      <c r="D2091" s="52"/>
      <c r="E2091" s="52"/>
      <c r="F2091" s="52"/>
      <c r="G2091" s="52"/>
      <c r="H2091" s="52"/>
    </row>
    <row r="2092" spans="1:8" ht="15.75">
      <c r="A2092" s="50">
        <v>42446</v>
      </c>
      <c r="B2092" s="51">
        <v>4944.2700000000004</v>
      </c>
      <c r="C2092" s="52"/>
      <c r="D2092" s="52"/>
      <c r="E2092" s="52"/>
      <c r="F2092" s="52"/>
      <c r="G2092" s="52"/>
      <c r="H2092" s="52"/>
    </row>
    <row r="2093" spans="1:8" ht="15.75">
      <c r="A2093" s="50">
        <v>42447</v>
      </c>
      <c r="B2093" s="51">
        <v>4973.3900000000003</v>
      </c>
      <c r="C2093" s="52"/>
      <c r="D2093" s="52"/>
      <c r="E2093" s="52"/>
      <c r="F2093" s="52"/>
      <c r="G2093" s="52"/>
      <c r="H2093" s="52"/>
    </row>
    <row r="2094" spans="1:8" ht="15.75">
      <c r="A2094" s="50">
        <v>42450</v>
      </c>
      <c r="B2094" s="51">
        <v>4972.3100000000004</v>
      </c>
      <c r="C2094" s="52"/>
      <c r="D2094" s="52"/>
      <c r="E2094" s="52"/>
      <c r="F2094" s="52"/>
      <c r="G2094" s="52"/>
      <c r="H2094" s="52"/>
    </row>
    <row r="2095" spans="1:8" ht="15.75">
      <c r="A2095" s="50">
        <v>42451</v>
      </c>
      <c r="B2095" s="51">
        <v>4992.9799999999996</v>
      </c>
      <c r="C2095" s="52"/>
      <c r="D2095" s="52"/>
      <c r="E2095" s="52"/>
      <c r="F2095" s="52"/>
      <c r="G2095" s="52"/>
      <c r="H2095" s="52"/>
    </row>
    <row r="2096" spans="1:8" ht="15.75">
      <c r="A2096" s="50">
        <v>42452</v>
      </c>
      <c r="B2096" s="51">
        <v>5009.4399999999996</v>
      </c>
      <c r="C2096" s="52"/>
      <c r="D2096" s="52"/>
      <c r="E2096" s="52"/>
      <c r="F2096" s="52"/>
      <c r="G2096" s="52"/>
      <c r="H2096" s="52"/>
    </row>
    <row r="2097" spans="1:8" ht="15.75">
      <c r="A2097" s="50">
        <v>42453</v>
      </c>
      <c r="B2097" s="51">
        <v>4923.6899999999996</v>
      </c>
      <c r="C2097" s="52"/>
      <c r="D2097" s="52"/>
      <c r="E2097" s="52"/>
      <c r="F2097" s="52"/>
      <c r="G2097" s="52"/>
      <c r="H2097" s="52"/>
    </row>
    <row r="2098" spans="1:8" ht="15.75">
      <c r="A2098" s="50">
        <v>42458</v>
      </c>
      <c r="B2098" s="51">
        <v>4941.97</v>
      </c>
      <c r="C2098" s="52"/>
      <c r="D2098" s="52"/>
      <c r="E2098" s="52"/>
      <c r="F2098" s="52"/>
      <c r="G2098" s="52"/>
      <c r="H2098" s="52"/>
    </row>
    <row r="2099" spans="1:8" ht="15.75">
      <c r="A2099" s="50">
        <v>42459</v>
      </c>
      <c r="B2099" s="51">
        <v>5021.2700000000004</v>
      </c>
      <c r="C2099" s="52"/>
      <c r="D2099" s="52"/>
      <c r="E2099" s="52"/>
      <c r="F2099" s="52"/>
      <c r="G2099" s="52"/>
      <c r="H2099" s="52"/>
    </row>
    <row r="2100" spans="1:8" ht="15.75">
      <c r="A2100" s="50">
        <v>42460</v>
      </c>
      <c r="B2100" s="51">
        <v>4980.74</v>
      </c>
      <c r="C2100" s="52"/>
      <c r="D2100" s="52"/>
      <c r="E2100" s="52"/>
      <c r="F2100" s="52"/>
      <c r="G2100" s="52"/>
      <c r="H2100" s="52"/>
    </row>
    <row r="2101" spans="1:8" ht="15.75">
      <c r="A2101" s="50">
        <v>42461</v>
      </c>
      <c r="B2101" s="51">
        <v>4894.93</v>
      </c>
      <c r="C2101" s="52"/>
      <c r="D2101" s="52"/>
      <c r="E2101" s="52"/>
      <c r="F2101" s="52"/>
      <c r="G2101" s="52"/>
      <c r="H2101" s="52"/>
    </row>
    <row r="2102" spans="1:8" ht="15.75">
      <c r="A2102" s="50">
        <v>42464</v>
      </c>
      <c r="B2102" s="51">
        <v>4908.6499999999996</v>
      </c>
      <c r="C2102" s="52"/>
      <c r="D2102" s="52"/>
      <c r="E2102" s="52"/>
      <c r="F2102" s="52"/>
      <c r="G2102" s="52"/>
      <c r="H2102" s="52"/>
    </row>
    <row r="2103" spans="1:8" ht="15.75">
      <c r="A2103" s="50">
        <v>42465</v>
      </c>
      <c r="B2103" s="51">
        <v>4779.34</v>
      </c>
      <c r="C2103" s="52"/>
      <c r="D2103" s="52"/>
      <c r="E2103" s="52"/>
      <c r="F2103" s="52"/>
      <c r="G2103" s="52"/>
      <c r="H2103" s="52"/>
    </row>
    <row r="2104" spans="1:8" ht="15.75">
      <c r="A2104" s="50">
        <v>42466</v>
      </c>
      <c r="B2104" s="51">
        <v>4809.91</v>
      </c>
      <c r="C2104" s="52"/>
      <c r="D2104" s="52"/>
      <c r="E2104" s="52"/>
      <c r="F2104" s="52"/>
      <c r="G2104" s="52"/>
      <c r="H2104" s="52"/>
    </row>
    <row r="2105" spans="1:8" ht="15.75">
      <c r="A2105" s="50">
        <v>42467</v>
      </c>
      <c r="B2105" s="51">
        <v>4743.54</v>
      </c>
      <c r="C2105" s="52"/>
      <c r="D2105" s="52"/>
      <c r="E2105" s="52"/>
      <c r="F2105" s="52"/>
      <c r="G2105" s="52"/>
      <c r="H2105" s="52"/>
    </row>
    <row r="2106" spans="1:8" ht="15.75">
      <c r="A2106" s="50">
        <v>42468</v>
      </c>
      <c r="B2106" s="51">
        <v>4789.3100000000004</v>
      </c>
      <c r="C2106" s="52"/>
      <c r="D2106" s="52"/>
      <c r="E2106" s="52"/>
      <c r="F2106" s="52"/>
      <c r="G2106" s="52"/>
      <c r="H2106" s="52"/>
    </row>
    <row r="2107" spans="1:8" ht="15.75">
      <c r="A2107" s="50">
        <v>42471</v>
      </c>
      <c r="B2107" s="51">
        <v>4819.38</v>
      </c>
      <c r="C2107" s="52"/>
      <c r="D2107" s="52"/>
      <c r="E2107" s="52"/>
      <c r="F2107" s="52"/>
      <c r="G2107" s="52"/>
      <c r="H2107" s="52"/>
    </row>
    <row r="2108" spans="1:8" ht="15.75">
      <c r="A2108" s="50">
        <v>42472</v>
      </c>
      <c r="B2108" s="51">
        <v>4856.78</v>
      </c>
      <c r="C2108" s="52"/>
      <c r="D2108" s="52"/>
      <c r="E2108" s="52"/>
      <c r="F2108" s="52"/>
      <c r="G2108" s="52"/>
      <c r="H2108" s="52"/>
    </row>
    <row r="2109" spans="1:8" ht="15.75">
      <c r="A2109" s="50">
        <v>42473</v>
      </c>
      <c r="B2109" s="51">
        <v>4988.3100000000004</v>
      </c>
      <c r="C2109" s="52"/>
      <c r="D2109" s="52"/>
      <c r="E2109" s="52"/>
      <c r="F2109" s="52"/>
      <c r="G2109" s="52"/>
      <c r="H2109" s="52"/>
    </row>
    <row r="2110" spans="1:8" ht="15.75">
      <c r="A2110" s="50">
        <v>42474</v>
      </c>
      <c r="B2110" s="51">
        <v>5021.9399999999996</v>
      </c>
      <c r="C2110" s="52"/>
      <c r="D2110" s="52"/>
      <c r="E2110" s="52"/>
      <c r="F2110" s="52"/>
      <c r="G2110" s="52"/>
      <c r="H2110" s="52"/>
    </row>
    <row r="2111" spans="1:8" ht="15.75">
      <c r="A2111" s="50">
        <v>42475</v>
      </c>
      <c r="B2111" s="51">
        <v>5001.34</v>
      </c>
      <c r="C2111" s="52"/>
      <c r="D2111" s="52"/>
      <c r="E2111" s="52"/>
      <c r="F2111" s="52"/>
      <c r="G2111" s="52"/>
      <c r="H2111" s="52"/>
    </row>
    <row r="2112" spans="1:8" ht="15.75">
      <c r="A2112" s="50">
        <v>42478</v>
      </c>
      <c r="B2112" s="51">
        <v>5035.3599999999997</v>
      </c>
      <c r="C2112" s="52"/>
      <c r="D2112" s="52"/>
      <c r="E2112" s="52"/>
      <c r="F2112" s="52"/>
      <c r="G2112" s="52"/>
      <c r="H2112" s="52"/>
    </row>
    <row r="2113" spans="1:8" ht="15.75">
      <c r="A2113" s="50">
        <v>42479</v>
      </c>
      <c r="B2113" s="51">
        <v>5149.1899999999996</v>
      </c>
      <c r="C2113" s="52"/>
      <c r="D2113" s="52"/>
      <c r="E2113" s="52"/>
      <c r="F2113" s="52"/>
      <c r="G2113" s="52"/>
      <c r="H2113" s="52"/>
    </row>
    <row r="2114" spans="1:8" ht="15.75">
      <c r="A2114" s="50">
        <v>42480</v>
      </c>
      <c r="B2114" s="51">
        <v>5184.87</v>
      </c>
      <c r="C2114" s="52"/>
      <c r="D2114" s="52"/>
      <c r="E2114" s="52"/>
      <c r="F2114" s="52"/>
      <c r="G2114" s="52"/>
      <c r="H2114" s="52"/>
    </row>
    <row r="2115" spans="1:8" ht="15.75">
      <c r="A2115" s="50">
        <v>42481</v>
      </c>
      <c r="B2115" s="51">
        <v>5190.62</v>
      </c>
      <c r="C2115" s="52"/>
      <c r="D2115" s="52"/>
      <c r="E2115" s="52"/>
      <c r="F2115" s="52"/>
      <c r="G2115" s="52"/>
      <c r="H2115" s="52"/>
    </row>
    <row r="2116" spans="1:8" ht="15.75">
      <c r="A2116" s="50">
        <v>42482</v>
      </c>
      <c r="B2116" s="51">
        <v>5160.6499999999996</v>
      </c>
      <c r="C2116" s="52"/>
      <c r="D2116" s="52"/>
      <c r="E2116" s="52"/>
      <c r="F2116" s="52"/>
      <c r="G2116" s="52"/>
      <c r="H2116" s="52"/>
    </row>
    <row r="2117" spans="1:8" ht="15.75">
      <c r="A2117" s="50">
        <v>42485</v>
      </c>
      <c r="B2117" s="51">
        <v>5121.28</v>
      </c>
      <c r="C2117" s="52"/>
      <c r="D2117" s="52"/>
      <c r="E2117" s="52"/>
      <c r="F2117" s="52"/>
      <c r="G2117" s="52"/>
      <c r="H2117" s="52"/>
    </row>
    <row r="2118" spans="1:8" ht="15.75">
      <c r="A2118" s="50">
        <v>42486</v>
      </c>
      <c r="B2118" s="51">
        <v>5103.8500000000004</v>
      </c>
      <c r="C2118" s="52"/>
      <c r="D2118" s="52"/>
      <c r="E2118" s="52"/>
      <c r="F2118" s="52"/>
      <c r="G2118" s="52"/>
      <c r="H2118" s="52"/>
    </row>
    <row r="2119" spans="1:8" ht="15.75">
      <c r="A2119" s="50">
        <v>42487</v>
      </c>
      <c r="B2119" s="51">
        <v>5124.0200000000004</v>
      </c>
      <c r="C2119" s="52"/>
      <c r="D2119" s="52"/>
      <c r="E2119" s="52"/>
      <c r="F2119" s="52"/>
      <c r="G2119" s="52"/>
      <c r="H2119" s="52"/>
    </row>
    <row r="2120" spans="1:8" ht="15.75">
      <c r="A2120" s="50">
        <v>42488</v>
      </c>
      <c r="B2120" s="51">
        <v>5126.57</v>
      </c>
      <c r="C2120" s="52"/>
      <c r="D2120" s="52"/>
      <c r="E2120" s="52"/>
      <c r="F2120" s="52"/>
      <c r="G2120" s="52"/>
      <c r="H2120" s="52"/>
    </row>
    <row r="2121" spans="1:8" ht="15.75">
      <c r="A2121" s="50">
        <v>42489</v>
      </c>
      <c r="B2121" s="51">
        <v>4985.22</v>
      </c>
      <c r="C2121" s="52"/>
      <c r="D2121" s="52"/>
      <c r="E2121" s="52"/>
      <c r="F2121" s="52"/>
      <c r="G2121" s="52"/>
      <c r="H2121" s="52"/>
    </row>
    <row r="2122" spans="1:8" ht="15.75">
      <c r="A2122" s="50">
        <v>42492</v>
      </c>
      <c r="B2122" s="51">
        <v>4995.26</v>
      </c>
      <c r="C2122" s="52"/>
      <c r="D2122" s="52"/>
      <c r="E2122" s="52"/>
      <c r="F2122" s="52"/>
      <c r="G2122" s="52"/>
      <c r="H2122" s="52"/>
    </row>
    <row r="2123" spans="1:8" ht="15.75">
      <c r="A2123" s="50">
        <v>42493</v>
      </c>
      <c r="B2123" s="51">
        <v>4898.43</v>
      </c>
      <c r="C2123" s="52"/>
      <c r="D2123" s="52"/>
      <c r="E2123" s="52"/>
      <c r="F2123" s="52"/>
      <c r="G2123" s="52"/>
      <c r="H2123" s="52"/>
    </row>
    <row r="2124" spans="1:8" ht="15.75">
      <c r="A2124" s="50">
        <v>42494</v>
      </c>
      <c r="B2124" s="51">
        <v>4846.5</v>
      </c>
      <c r="C2124" s="52"/>
      <c r="D2124" s="52"/>
      <c r="E2124" s="52"/>
      <c r="F2124" s="52"/>
      <c r="G2124" s="52"/>
      <c r="H2124" s="52"/>
    </row>
    <row r="2125" spans="1:8" ht="15.75">
      <c r="A2125" s="50">
        <v>42495</v>
      </c>
      <c r="B2125" s="51">
        <v>4837.3</v>
      </c>
      <c r="C2125" s="52"/>
      <c r="D2125" s="52"/>
      <c r="E2125" s="52"/>
      <c r="F2125" s="52"/>
      <c r="G2125" s="52"/>
      <c r="H2125" s="52"/>
    </row>
    <row r="2126" spans="1:8" ht="15.75">
      <c r="A2126" s="50">
        <v>42496</v>
      </c>
      <c r="B2126" s="51">
        <v>4846.21</v>
      </c>
      <c r="C2126" s="52"/>
      <c r="D2126" s="52"/>
      <c r="E2126" s="52"/>
      <c r="F2126" s="52"/>
      <c r="G2126" s="52"/>
      <c r="H2126" s="52"/>
    </row>
    <row r="2127" spans="1:8" ht="15.75">
      <c r="A2127" s="50">
        <v>42499</v>
      </c>
      <c r="B2127" s="51">
        <v>4900.68</v>
      </c>
      <c r="C2127" s="52"/>
      <c r="D2127" s="52"/>
      <c r="E2127" s="52"/>
      <c r="F2127" s="52"/>
      <c r="G2127" s="52"/>
      <c r="H2127" s="52"/>
    </row>
    <row r="2128" spans="1:8" ht="15.75">
      <c r="A2128" s="50">
        <v>42500</v>
      </c>
      <c r="B2128" s="51">
        <v>4932.88</v>
      </c>
      <c r="C2128" s="52"/>
      <c r="D2128" s="52"/>
      <c r="E2128" s="52"/>
      <c r="F2128" s="52"/>
      <c r="G2128" s="52"/>
      <c r="H2128" s="52"/>
    </row>
    <row r="2129" spans="1:8" ht="15.75">
      <c r="A2129" s="50">
        <v>42501</v>
      </c>
      <c r="B2129" s="51">
        <v>4898.7700000000004</v>
      </c>
      <c r="C2129" s="52"/>
      <c r="D2129" s="52"/>
      <c r="E2129" s="52"/>
      <c r="F2129" s="52"/>
      <c r="G2129" s="52"/>
      <c r="H2129" s="52"/>
    </row>
    <row r="2130" spans="1:8" ht="15.75">
      <c r="A2130" s="50">
        <v>42502</v>
      </c>
      <c r="B2130" s="51">
        <v>4841.24</v>
      </c>
      <c r="C2130" s="52"/>
      <c r="D2130" s="52"/>
      <c r="E2130" s="52"/>
      <c r="F2130" s="52"/>
      <c r="G2130" s="52"/>
      <c r="H2130" s="52"/>
    </row>
    <row r="2131" spans="1:8" ht="15.75">
      <c r="A2131" s="50">
        <v>42503</v>
      </c>
      <c r="B2131" s="51">
        <v>4867.71</v>
      </c>
      <c r="C2131" s="52"/>
      <c r="D2131" s="52"/>
      <c r="E2131" s="52"/>
      <c r="F2131" s="52"/>
      <c r="G2131" s="52"/>
      <c r="H2131" s="52"/>
    </row>
    <row r="2132" spans="1:8" ht="15.75">
      <c r="A2132" s="50">
        <v>42507</v>
      </c>
      <c r="B2132" s="51">
        <v>4835.88</v>
      </c>
      <c r="C2132" s="52"/>
      <c r="D2132" s="52"/>
      <c r="E2132" s="52"/>
      <c r="F2132" s="52"/>
      <c r="G2132" s="52"/>
      <c r="H2132" s="52"/>
    </row>
    <row r="2133" spans="1:8" ht="15.75">
      <c r="A2133" s="50">
        <v>42508</v>
      </c>
      <c r="B2133" s="51">
        <v>4862</v>
      </c>
      <c r="C2133" s="52"/>
      <c r="D2133" s="52"/>
      <c r="E2133" s="52"/>
      <c r="F2133" s="52"/>
      <c r="G2133" s="52"/>
      <c r="H2133" s="52"/>
    </row>
    <row r="2134" spans="1:8" ht="15.75">
      <c r="A2134" s="50">
        <v>42509</v>
      </c>
      <c r="B2134" s="51">
        <v>4785.3100000000004</v>
      </c>
      <c r="C2134" s="52"/>
      <c r="D2134" s="52"/>
      <c r="E2134" s="52"/>
      <c r="F2134" s="52"/>
      <c r="G2134" s="52"/>
      <c r="H2134" s="52"/>
    </row>
    <row r="2135" spans="1:8" ht="15.75">
      <c r="A2135" s="50">
        <v>42510</v>
      </c>
      <c r="B2135" s="51">
        <v>4844.21</v>
      </c>
      <c r="C2135" s="52"/>
      <c r="D2135" s="52"/>
      <c r="E2135" s="52"/>
      <c r="F2135" s="52"/>
      <c r="G2135" s="52"/>
      <c r="H2135" s="52"/>
    </row>
    <row r="2136" spans="1:8" ht="15.75">
      <c r="A2136" s="50">
        <v>42513</v>
      </c>
      <c r="B2136" s="51">
        <v>4808.33</v>
      </c>
      <c r="C2136" s="52"/>
      <c r="D2136" s="52"/>
      <c r="E2136" s="52"/>
      <c r="F2136" s="52"/>
      <c r="G2136" s="52"/>
      <c r="H2136" s="52"/>
    </row>
    <row r="2137" spans="1:8" ht="15.75">
      <c r="A2137" s="50">
        <v>42514</v>
      </c>
      <c r="B2137" s="51">
        <v>4913.16</v>
      </c>
      <c r="C2137" s="52"/>
      <c r="D2137" s="52"/>
      <c r="E2137" s="52"/>
      <c r="F2137" s="52"/>
      <c r="G2137" s="52"/>
      <c r="H2137" s="52"/>
    </row>
    <row r="2138" spans="1:8" ht="15.75">
      <c r="A2138" s="50">
        <v>42515</v>
      </c>
      <c r="B2138" s="51">
        <v>4985.3100000000004</v>
      </c>
      <c r="C2138" s="52"/>
      <c r="D2138" s="52"/>
      <c r="E2138" s="52"/>
      <c r="F2138" s="52"/>
      <c r="G2138" s="52"/>
      <c r="H2138" s="52"/>
    </row>
    <row r="2139" spans="1:8" ht="15.75">
      <c r="A2139" s="50">
        <v>42516</v>
      </c>
      <c r="B2139" s="51">
        <v>5007.7299999999996</v>
      </c>
      <c r="C2139" s="52"/>
      <c r="D2139" s="52"/>
      <c r="E2139" s="52"/>
      <c r="F2139" s="52"/>
      <c r="G2139" s="52"/>
      <c r="H2139" s="52"/>
    </row>
    <row r="2140" spans="1:8" ht="15.75">
      <c r="A2140" s="50">
        <v>42517</v>
      </c>
      <c r="B2140" s="51">
        <v>5014.6099999999997</v>
      </c>
      <c r="C2140" s="52"/>
      <c r="D2140" s="52"/>
      <c r="E2140" s="52"/>
      <c r="F2140" s="52"/>
      <c r="G2140" s="52"/>
      <c r="H2140" s="52"/>
    </row>
    <row r="2141" spans="1:8" ht="15.75">
      <c r="A2141" s="50">
        <v>42520</v>
      </c>
      <c r="B2141" s="51">
        <v>5037.33</v>
      </c>
      <c r="C2141" s="52"/>
      <c r="D2141" s="52"/>
      <c r="E2141" s="52"/>
      <c r="F2141" s="52"/>
      <c r="G2141" s="52"/>
      <c r="H2141" s="52"/>
    </row>
    <row r="2142" spans="1:8" ht="15.75">
      <c r="A2142" s="50">
        <v>42521</v>
      </c>
      <c r="B2142" s="51">
        <v>5002.74</v>
      </c>
      <c r="C2142" s="52"/>
      <c r="D2142" s="52"/>
      <c r="E2142" s="52"/>
      <c r="F2142" s="52"/>
      <c r="G2142" s="52"/>
      <c r="H2142" s="52"/>
    </row>
    <row r="2143" spans="1:8" ht="15.75">
      <c r="A2143" s="50">
        <v>42522</v>
      </c>
      <c r="B2143" s="51">
        <v>4974.3500000000004</v>
      </c>
      <c r="C2143" s="52"/>
      <c r="D2143" s="52"/>
      <c r="E2143" s="52"/>
      <c r="F2143" s="52"/>
      <c r="G2143" s="52"/>
      <c r="H2143" s="52"/>
    </row>
    <row r="2144" spans="1:8" ht="15.75">
      <c r="A2144" s="50">
        <v>42523</v>
      </c>
      <c r="B2144" s="51">
        <v>4976.12</v>
      </c>
      <c r="C2144" s="52"/>
      <c r="D2144" s="52"/>
      <c r="E2144" s="52"/>
      <c r="F2144" s="52"/>
      <c r="G2144" s="52"/>
      <c r="H2144" s="52"/>
    </row>
    <row r="2145" spans="1:8" ht="15.75">
      <c r="A2145" s="50">
        <v>42524</v>
      </c>
      <c r="B2145" s="51">
        <v>4925.34</v>
      </c>
      <c r="C2145" s="52"/>
      <c r="D2145" s="52"/>
      <c r="E2145" s="52"/>
      <c r="F2145" s="52"/>
      <c r="G2145" s="52"/>
      <c r="H2145" s="52"/>
    </row>
    <row r="2146" spans="1:8" ht="15.75">
      <c r="A2146" s="50">
        <v>42527</v>
      </c>
      <c r="B2146" s="51">
        <v>4934.18</v>
      </c>
      <c r="C2146" s="52"/>
      <c r="D2146" s="52"/>
      <c r="E2146" s="52"/>
      <c r="F2146" s="52"/>
      <c r="G2146" s="52"/>
      <c r="H2146" s="52"/>
    </row>
    <row r="2147" spans="1:8" ht="15.75">
      <c r="A2147" s="50">
        <v>42528</v>
      </c>
      <c r="B2147" s="51">
        <v>5015.5</v>
      </c>
      <c r="C2147" s="52"/>
      <c r="D2147" s="52"/>
      <c r="E2147" s="52"/>
      <c r="F2147" s="52"/>
      <c r="G2147" s="52"/>
      <c r="H2147" s="52"/>
    </row>
    <row r="2148" spans="1:8" ht="15.75">
      <c r="A2148" s="50">
        <v>42529</v>
      </c>
      <c r="B2148" s="51">
        <v>4981.09</v>
      </c>
      <c r="C2148" s="52"/>
      <c r="D2148" s="52"/>
      <c r="E2148" s="52"/>
      <c r="F2148" s="52"/>
      <c r="G2148" s="52"/>
      <c r="H2148" s="52"/>
    </row>
    <row r="2149" spans="1:8" ht="15.75">
      <c r="A2149" s="50">
        <v>42530</v>
      </c>
      <c r="B2149" s="51">
        <v>4913.09</v>
      </c>
      <c r="C2149" s="52"/>
      <c r="D2149" s="52"/>
      <c r="E2149" s="52"/>
      <c r="F2149" s="52"/>
      <c r="G2149" s="52"/>
      <c r="H2149" s="52"/>
    </row>
    <row r="2150" spans="1:8" ht="15.75">
      <c r="A2150" s="50">
        <v>42531</v>
      </c>
      <c r="B2150" s="51">
        <v>4789.26</v>
      </c>
      <c r="C2150" s="52"/>
      <c r="D2150" s="52"/>
      <c r="E2150" s="52"/>
      <c r="F2150" s="52"/>
      <c r="G2150" s="52"/>
      <c r="H2150" s="52"/>
    </row>
    <row r="2151" spans="1:8" ht="15.75">
      <c r="A2151" s="50">
        <v>42534</v>
      </c>
      <c r="B2151" s="51">
        <v>4702.8999999999996</v>
      </c>
      <c r="C2151" s="52"/>
      <c r="D2151" s="52"/>
      <c r="E2151" s="52"/>
      <c r="F2151" s="52"/>
      <c r="G2151" s="52"/>
      <c r="H2151" s="52"/>
    </row>
    <row r="2152" spans="1:8" ht="15.75">
      <c r="A2152" s="50">
        <v>42535</v>
      </c>
      <c r="B2152" s="51">
        <v>4635.68</v>
      </c>
      <c r="C2152" s="52"/>
      <c r="D2152" s="52"/>
      <c r="E2152" s="52"/>
      <c r="F2152" s="52"/>
      <c r="G2152" s="52"/>
      <c r="H2152" s="52"/>
    </row>
    <row r="2153" spans="1:8" ht="15.75">
      <c r="A2153" s="50">
        <v>42536</v>
      </c>
      <c r="B2153" s="51">
        <v>4678.22</v>
      </c>
      <c r="C2153" s="52"/>
      <c r="D2153" s="52"/>
      <c r="E2153" s="52"/>
      <c r="F2153" s="52"/>
      <c r="G2153" s="52"/>
      <c r="H2153" s="52"/>
    </row>
    <row r="2154" spans="1:8" ht="15.75">
      <c r="A2154" s="50">
        <v>42537</v>
      </c>
      <c r="B2154" s="51">
        <v>4650.6400000000003</v>
      </c>
      <c r="C2154" s="52"/>
      <c r="D2154" s="52"/>
      <c r="E2154" s="52"/>
      <c r="F2154" s="52"/>
      <c r="G2154" s="52"/>
      <c r="H2154" s="52"/>
    </row>
    <row r="2155" spans="1:8" ht="15.75">
      <c r="A2155" s="50">
        <v>42538</v>
      </c>
      <c r="B2155" s="51">
        <v>4690.34</v>
      </c>
      <c r="C2155" s="52"/>
      <c r="D2155" s="52"/>
      <c r="E2155" s="52"/>
      <c r="F2155" s="52"/>
      <c r="G2155" s="52"/>
      <c r="H2155" s="52"/>
    </row>
    <row r="2156" spans="1:8" ht="15.75">
      <c r="A2156" s="50">
        <v>42541</v>
      </c>
      <c r="B2156" s="51">
        <v>4851.37</v>
      </c>
      <c r="C2156" s="52"/>
      <c r="D2156" s="52"/>
      <c r="E2156" s="52"/>
      <c r="F2156" s="52"/>
      <c r="G2156" s="52"/>
      <c r="H2156" s="52"/>
    </row>
    <row r="2157" spans="1:8" ht="15.75">
      <c r="A2157" s="50">
        <v>42542</v>
      </c>
      <c r="B2157" s="51">
        <v>4877.43</v>
      </c>
      <c r="C2157" s="52"/>
      <c r="D2157" s="52"/>
      <c r="E2157" s="52"/>
      <c r="F2157" s="52"/>
      <c r="G2157" s="52"/>
      <c r="H2157" s="52"/>
    </row>
    <row r="2158" spans="1:8" ht="15.75">
      <c r="A2158" s="50">
        <v>42543</v>
      </c>
      <c r="B2158" s="51">
        <v>4904.47</v>
      </c>
      <c r="C2158" s="52"/>
      <c r="D2158" s="52"/>
      <c r="E2158" s="52"/>
      <c r="F2158" s="52"/>
      <c r="G2158" s="52"/>
      <c r="H2158" s="52"/>
    </row>
    <row r="2159" spans="1:8" ht="15.75">
      <c r="A2159" s="50">
        <v>42544</v>
      </c>
      <c r="B2159" s="51">
        <v>4994.84</v>
      </c>
      <c r="C2159" s="52"/>
      <c r="D2159" s="52"/>
      <c r="E2159" s="52"/>
      <c r="F2159" s="52"/>
      <c r="G2159" s="52"/>
      <c r="H2159" s="52"/>
    </row>
    <row r="2160" spans="1:8" ht="15.75">
      <c r="A2160" s="50">
        <v>42545</v>
      </c>
      <c r="B2160" s="51">
        <v>4654.03</v>
      </c>
      <c r="C2160" s="52"/>
      <c r="D2160" s="52"/>
      <c r="E2160" s="52"/>
      <c r="F2160" s="52"/>
      <c r="G2160" s="52"/>
      <c r="H2160" s="52"/>
    </row>
    <row r="2161" spans="1:8" ht="15.75">
      <c r="A2161" s="50">
        <v>42548</v>
      </c>
      <c r="B2161" s="51">
        <v>4513.55</v>
      </c>
      <c r="C2161" s="52"/>
      <c r="D2161" s="52"/>
      <c r="E2161" s="52"/>
      <c r="F2161" s="52"/>
      <c r="G2161" s="52"/>
      <c r="H2161" s="52"/>
    </row>
    <row r="2162" spans="1:8" ht="15.75">
      <c r="A2162" s="50">
        <v>42549</v>
      </c>
      <c r="B2162" s="51">
        <v>4600.53</v>
      </c>
      <c r="C2162" s="52"/>
      <c r="D2162" s="52"/>
      <c r="E2162" s="52"/>
      <c r="F2162" s="52"/>
      <c r="G2162" s="52"/>
      <c r="H2162" s="52"/>
    </row>
    <row r="2163" spans="1:8" ht="15.75">
      <c r="A2163" s="50">
        <v>42550</v>
      </c>
      <c r="B2163" s="51">
        <v>4680.88</v>
      </c>
      <c r="C2163" s="52"/>
      <c r="D2163" s="52"/>
      <c r="E2163" s="52"/>
      <c r="F2163" s="52"/>
      <c r="G2163" s="52"/>
      <c r="H2163" s="52"/>
    </row>
    <row r="2164" spans="1:8" ht="15.75">
      <c r="A2164" s="50">
        <v>42551</v>
      </c>
      <c r="B2164" s="51">
        <v>4713.91</v>
      </c>
      <c r="C2164" s="52"/>
      <c r="D2164" s="52"/>
      <c r="E2164" s="52"/>
      <c r="F2164" s="52"/>
      <c r="G2164" s="52"/>
      <c r="H2164" s="52"/>
    </row>
    <row r="2165" spans="1:8" ht="15.75">
      <c r="A2165" s="50">
        <v>42552</v>
      </c>
      <c r="B2165" s="51">
        <v>4758.3100000000004</v>
      </c>
      <c r="C2165" s="52"/>
      <c r="D2165" s="52"/>
      <c r="E2165" s="52"/>
      <c r="F2165" s="52"/>
      <c r="G2165" s="52"/>
      <c r="H2165" s="52"/>
    </row>
    <row r="2166" spans="1:8" ht="15.75">
      <c r="A2166" s="50">
        <v>42555</v>
      </c>
      <c r="B2166" s="51">
        <v>4725.76</v>
      </c>
      <c r="C2166" s="52"/>
      <c r="D2166" s="52"/>
      <c r="E2166" s="52"/>
      <c r="F2166" s="52"/>
      <c r="G2166" s="52"/>
      <c r="H2166" s="52"/>
    </row>
    <row r="2167" spans="1:8" ht="15.75">
      <c r="A2167" s="50">
        <v>42556</v>
      </c>
      <c r="B2167" s="51">
        <v>4639.84</v>
      </c>
      <c r="C2167" s="52"/>
      <c r="D2167" s="52"/>
      <c r="E2167" s="52"/>
      <c r="F2167" s="52"/>
      <c r="G2167" s="52"/>
      <c r="H2167" s="52"/>
    </row>
    <row r="2168" spans="1:8" ht="15.75">
      <c r="A2168" s="50">
        <v>42557</v>
      </c>
      <c r="B2168" s="51">
        <v>4562.2700000000004</v>
      </c>
      <c r="C2168" s="52"/>
      <c r="D2168" s="52"/>
      <c r="E2168" s="52"/>
      <c r="F2168" s="52"/>
      <c r="G2168" s="52"/>
      <c r="H2168" s="52"/>
    </row>
    <row r="2169" spans="1:8" ht="15.75">
      <c r="A2169" s="50">
        <v>42558</v>
      </c>
      <c r="B2169" s="51">
        <v>4584.42</v>
      </c>
      <c r="C2169" s="52"/>
      <c r="D2169" s="52"/>
      <c r="E2169" s="52"/>
      <c r="F2169" s="52"/>
      <c r="G2169" s="52"/>
      <c r="H2169" s="52"/>
    </row>
    <row r="2170" spans="1:8" ht="15.75">
      <c r="A2170" s="50">
        <v>42559</v>
      </c>
      <c r="B2170" s="51">
        <v>4687</v>
      </c>
      <c r="C2170" s="52"/>
      <c r="D2170" s="52"/>
      <c r="E2170" s="52"/>
      <c r="F2170" s="52"/>
      <c r="G2170" s="52"/>
      <c r="H2170" s="52"/>
    </row>
    <row r="2171" spans="1:8" ht="15.75">
      <c r="A2171" s="50">
        <v>42562</v>
      </c>
      <c r="B2171" s="51">
        <v>4786.2</v>
      </c>
      <c r="C2171" s="52"/>
      <c r="D2171" s="52"/>
      <c r="E2171" s="52"/>
      <c r="F2171" s="52"/>
      <c r="G2171" s="52"/>
      <c r="H2171" s="52"/>
    </row>
    <row r="2172" spans="1:8" ht="15.75">
      <c r="A2172" s="50">
        <v>42563</v>
      </c>
      <c r="B2172" s="51">
        <v>4849.76</v>
      </c>
      <c r="C2172" s="52"/>
      <c r="D2172" s="52"/>
      <c r="E2172" s="52"/>
      <c r="F2172" s="52"/>
      <c r="G2172" s="52"/>
      <c r="H2172" s="52"/>
    </row>
    <row r="2173" spans="1:8" ht="15.75">
      <c r="A2173" s="50">
        <v>42564</v>
      </c>
      <c r="B2173" s="51">
        <v>4833.5</v>
      </c>
      <c r="C2173" s="52"/>
      <c r="D2173" s="52"/>
      <c r="E2173" s="52"/>
      <c r="F2173" s="52"/>
      <c r="G2173" s="52"/>
      <c r="H2173" s="52"/>
    </row>
    <row r="2174" spans="1:8" ht="15.75">
      <c r="A2174" s="50">
        <v>42565</v>
      </c>
      <c r="B2174" s="51">
        <v>4900.46</v>
      </c>
      <c r="C2174" s="52"/>
      <c r="D2174" s="52"/>
      <c r="E2174" s="52"/>
      <c r="F2174" s="52"/>
      <c r="G2174" s="52"/>
      <c r="H2174" s="52"/>
    </row>
    <row r="2175" spans="1:8" ht="15.75">
      <c r="A2175" s="50">
        <v>42566</v>
      </c>
      <c r="B2175" s="51">
        <v>4899.8</v>
      </c>
      <c r="C2175" s="52"/>
      <c r="D2175" s="52"/>
      <c r="E2175" s="52"/>
      <c r="F2175" s="52"/>
      <c r="G2175" s="52"/>
      <c r="H2175" s="52"/>
    </row>
    <row r="2176" spans="1:8" ht="15.75">
      <c r="A2176" s="50">
        <v>42569</v>
      </c>
      <c r="B2176" s="51">
        <v>4897.9399999999996</v>
      </c>
      <c r="C2176" s="52"/>
      <c r="D2176" s="52"/>
      <c r="E2176" s="52"/>
      <c r="F2176" s="52"/>
      <c r="G2176" s="52"/>
      <c r="H2176" s="52"/>
    </row>
    <row r="2177" spans="1:8" ht="15.75">
      <c r="A2177" s="50">
        <v>42570</v>
      </c>
      <c r="B2177" s="51">
        <v>4858.09</v>
      </c>
      <c r="C2177" s="52"/>
      <c r="D2177" s="52"/>
      <c r="E2177" s="52"/>
      <c r="F2177" s="52"/>
      <c r="G2177" s="52"/>
      <c r="H2177" s="52"/>
    </row>
    <row r="2178" spans="1:8" ht="15.75">
      <c r="A2178" s="50">
        <v>42571</v>
      </c>
      <c r="B2178" s="51">
        <v>4936.3500000000004</v>
      </c>
      <c r="C2178" s="52"/>
      <c r="D2178" s="52"/>
      <c r="E2178" s="52"/>
      <c r="F2178" s="52"/>
      <c r="G2178" s="52"/>
      <c r="H2178" s="52"/>
    </row>
    <row r="2179" spans="1:8" ht="15.75">
      <c r="A2179" s="50">
        <v>42572</v>
      </c>
      <c r="B2179" s="51">
        <v>4943.25</v>
      </c>
      <c r="C2179" s="52"/>
      <c r="D2179" s="52"/>
      <c r="E2179" s="52"/>
      <c r="F2179" s="52"/>
      <c r="G2179" s="52"/>
      <c r="H2179" s="52"/>
    </row>
    <row r="2180" spans="1:8" ht="15.75">
      <c r="A2180" s="50">
        <v>42573</v>
      </c>
      <c r="B2180" s="51">
        <v>4938.99</v>
      </c>
      <c r="C2180" s="52"/>
      <c r="D2180" s="52"/>
      <c r="E2180" s="52"/>
      <c r="F2180" s="52"/>
      <c r="G2180" s="52"/>
      <c r="H2180" s="52"/>
    </row>
    <row r="2181" spans="1:8" ht="15.75">
      <c r="A2181" s="50">
        <v>42576</v>
      </c>
      <c r="B2181" s="51">
        <v>4963.7</v>
      </c>
      <c r="C2181" s="52"/>
      <c r="D2181" s="52"/>
      <c r="E2181" s="52"/>
      <c r="F2181" s="52"/>
      <c r="G2181" s="52"/>
      <c r="H2181" s="52"/>
    </row>
    <row r="2182" spans="1:8" ht="15.75">
      <c r="A2182" s="50">
        <v>42577</v>
      </c>
      <c r="B2182" s="51">
        <v>4987.82</v>
      </c>
      <c r="C2182" s="52"/>
      <c r="D2182" s="52"/>
      <c r="E2182" s="52"/>
      <c r="F2182" s="52"/>
      <c r="G2182" s="52"/>
      <c r="H2182" s="52"/>
    </row>
    <row r="2183" spans="1:8" ht="15.75">
      <c r="A2183" s="50">
        <v>42578</v>
      </c>
      <c r="B2183" s="51">
        <v>5022.76</v>
      </c>
      <c r="C2183" s="52"/>
      <c r="D2183" s="52"/>
      <c r="E2183" s="52"/>
      <c r="F2183" s="52"/>
      <c r="G2183" s="52"/>
      <c r="H2183" s="52"/>
    </row>
    <row r="2184" spans="1:8" ht="15.75">
      <c r="A2184" s="50">
        <v>42579</v>
      </c>
      <c r="B2184" s="51">
        <v>5001.05</v>
      </c>
      <c r="C2184" s="52"/>
      <c r="D2184" s="52"/>
      <c r="E2184" s="52"/>
      <c r="F2184" s="52"/>
      <c r="G2184" s="52"/>
      <c r="H2184" s="52"/>
    </row>
    <row r="2185" spans="1:8" ht="15.75">
      <c r="A2185" s="50">
        <v>42580</v>
      </c>
      <c r="B2185" s="51">
        <v>5031.51</v>
      </c>
      <c r="C2185" s="52"/>
      <c r="D2185" s="52"/>
      <c r="E2185" s="52"/>
      <c r="F2185" s="52"/>
      <c r="G2185" s="52"/>
      <c r="H2185" s="52"/>
    </row>
    <row r="2186" spans="1:8" ht="15.75">
      <c r="A2186" s="50">
        <v>42583</v>
      </c>
      <c r="B2186" s="51">
        <v>5028.1000000000004</v>
      </c>
      <c r="C2186" s="52"/>
      <c r="D2186" s="52"/>
      <c r="E2186" s="52"/>
      <c r="F2186" s="52"/>
      <c r="G2186" s="52"/>
      <c r="H2186" s="52"/>
    </row>
    <row r="2187" spans="1:8" ht="15.75">
      <c r="A2187" s="50">
        <v>42584</v>
      </c>
      <c r="B2187" s="51">
        <v>4937.47</v>
      </c>
      <c r="C2187" s="52"/>
      <c r="D2187" s="52"/>
      <c r="E2187" s="52"/>
      <c r="F2187" s="52"/>
      <c r="G2187" s="52"/>
      <c r="H2187" s="52"/>
    </row>
    <row r="2188" spans="1:8" ht="15.75">
      <c r="A2188" s="50">
        <v>42585</v>
      </c>
      <c r="B2188" s="51">
        <v>4950.1000000000004</v>
      </c>
      <c r="C2188" s="52"/>
      <c r="D2188" s="52"/>
      <c r="E2188" s="52"/>
      <c r="F2188" s="52"/>
      <c r="G2188" s="52"/>
      <c r="H2188" s="52"/>
    </row>
    <row r="2189" spans="1:8" ht="15.75">
      <c r="A2189" s="50">
        <v>42586</v>
      </c>
      <c r="B2189" s="51">
        <v>4978.17</v>
      </c>
      <c r="C2189" s="52"/>
      <c r="D2189" s="52"/>
      <c r="E2189" s="52"/>
      <c r="F2189" s="52"/>
      <c r="G2189" s="52"/>
      <c r="H2189" s="52"/>
    </row>
    <row r="2190" spans="1:8" ht="15.75">
      <c r="A2190" s="50">
        <v>42587</v>
      </c>
      <c r="B2190" s="51">
        <v>5046.05</v>
      </c>
      <c r="C2190" s="52"/>
      <c r="D2190" s="52"/>
      <c r="E2190" s="52"/>
      <c r="F2190" s="52"/>
      <c r="G2190" s="52"/>
      <c r="H2190" s="52"/>
    </row>
    <row r="2191" spans="1:8" ht="15.75">
      <c r="A2191" s="50">
        <v>42590</v>
      </c>
      <c r="B2191" s="51">
        <v>5077.7700000000004</v>
      </c>
      <c r="C2191" s="52"/>
      <c r="D2191" s="52"/>
      <c r="E2191" s="52"/>
      <c r="F2191" s="52"/>
      <c r="G2191" s="52"/>
      <c r="H2191" s="52"/>
    </row>
    <row r="2192" spans="1:8" ht="15.75">
      <c r="A2192" s="50">
        <v>42591</v>
      </c>
      <c r="B2192" s="51">
        <v>5204.6000000000004</v>
      </c>
      <c r="C2192" s="52"/>
      <c r="D2192" s="52"/>
      <c r="E2192" s="52"/>
      <c r="F2192" s="52"/>
      <c r="G2192" s="52"/>
      <c r="H2192" s="52"/>
    </row>
    <row r="2193" spans="1:8" ht="15.75">
      <c r="A2193" s="50">
        <v>42592</v>
      </c>
      <c r="B2193" s="51">
        <v>5184.12</v>
      </c>
      <c r="C2193" s="52"/>
      <c r="D2193" s="52"/>
      <c r="E2193" s="52"/>
      <c r="F2193" s="52"/>
      <c r="G2193" s="52"/>
      <c r="H2193" s="52"/>
    </row>
    <row r="2194" spans="1:8" ht="15.75">
      <c r="A2194" s="50">
        <v>42593</v>
      </c>
      <c r="B2194" s="51">
        <v>5228.8900000000003</v>
      </c>
      <c r="C2194" s="52"/>
      <c r="D2194" s="52"/>
      <c r="E2194" s="52"/>
      <c r="F2194" s="52"/>
      <c r="G2194" s="52"/>
      <c r="H2194" s="52"/>
    </row>
    <row r="2195" spans="1:8" ht="15.75">
      <c r="A2195" s="50">
        <v>42594</v>
      </c>
      <c r="B2195" s="51">
        <v>5214.57</v>
      </c>
      <c r="C2195" s="52"/>
      <c r="D2195" s="52"/>
      <c r="E2195" s="52"/>
      <c r="F2195" s="52"/>
      <c r="G2195" s="52"/>
      <c r="H2195" s="52"/>
    </row>
    <row r="2196" spans="1:8" ht="15.75">
      <c r="A2196" s="50">
        <v>42597</v>
      </c>
      <c r="B2196" s="51">
        <v>5227.1099999999997</v>
      </c>
      <c r="C2196" s="52"/>
      <c r="D2196" s="52"/>
      <c r="E2196" s="52"/>
      <c r="F2196" s="52"/>
      <c r="G2196" s="52"/>
      <c r="H2196" s="52"/>
    </row>
    <row r="2197" spans="1:8" ht="15.75">
      <c r="A2197" s="50">
        <v>42598</v>
      </c>
      <c r="B2197" s="51">
        <v>5196.67</v>
      </c>
      <c r="C2197" s="52"/>
      <c r="D2197" s="52"/>
      <c r="E2197" s="52"/>
      <c r="F2197" s="52"/>
      <c r="G2197" s="52"/>
      <c r="H2197" s="52"/>
    </row>
    <row r="2198" spans="1:8" ht="15.75">
      <c r="A2198" s="50">
        <v>42599</v>
      </c>
      <c r="B2198" s="51">
        <v>5129.04</v>
      </c>
      <c r="C2198" s="52"/>
      <c r="D2198" s="52"/>
      <c r="E2198" s="52"/>
      <c r="F2198" s="52"/>
      <c r="G2198" s="52"/>
      <c r="H2198" s="52"/>
    </row>
    <row r="2199" spans="1:8" ht="15.75">
      <c r="A2199" s="50">
        <v>42600</v>
      </c>
      <c r="B2199" s="51">
        <v>5160.87</v>
      </c>
      <c r="C2199" s="52"/>
      <c r="D2199" s="52"/>
      <c r="E2199" s="52"/>
      <c r="F2199" s="52"/>
      <c r="G2199" s="52"/>
      <c r="H2199" s="52"/>
    </row>
    <row r="2200" spans="1:8" ht="15.75">
      <c r="A2200" s="50">
        <v>42601</v>
      </c>
      <c r="B2200" s="51">
        <v>5132.3</v>
      </c>
      <c r="C2200" s="52"/>
      <c r="D2200" s="52"/>
      <c r="E2200" s="52"/>
      <c r="F2200" s="52"/>
      <c r="G2200" s="52"/>
      <c r="H2200" s="52"/>
    </row>
    <row r="2201" spans="1:8" ht="15.75">
      <c r="A2201" s="50">
        <v>42604</v>
      </c>
      <c r="B2201" s="51">
        <v>5107.9399999999996</v>
      </c>
      <c r="C2201" s="52"/>
      <c r="D2201" s="52"/>
      <c r="E2201" s="52"/>
      <c r="F2201" s="52"/>
      <c r="G2201" s="52"/>
      <c r="H2201" s="52"/>
    </row>
    <row r="2202" spans="1:8" ht="15.75">
      <c r="A2202" s="50">
        <v>42605</v>
      </c>
      <c r="B2202" s="51">
        <v>5155.91</v>
      </c>
      <c r="C2202" s="52"/>
      <c r="D2202" s="52"/>
      <c r="E2202" s="52"/>
      <c r="F2202" s="52"/>
      <c r="G2202" s="52"/>
      <c r="H2202" s="52"/>
    </row>
    <row r="2203" spans="1:8" ht="15.75">
      <c r="A2203" s="50">
        <v>42606</v>
      </c>
      <c r="B2203" s="51">
        <v>5170.54</v>
      </c>
      <c r="C2203" s="52"/>
      <c r="D2203" s="52"/>
      <c r="E2203" s="52"/>
      <c r="F2203" s="52"/>
      <c r="G2203" s="52"/>
      <c r="H2203" s="52"/>
    </row>
    <row r="2204" spans="1:8" ht="15.75">
      <c r="A2204" s="50">
        <v>42607</v>
      </c>
      <c r="B2204" s="51">
        <v>5125.12</v>
      </c>
      <c r="C2204" s="52"/>
      <c r="D2204" s="52"/>
      <c r="E2204" s="52"/>
      <c r="F2204" s="52"/>
      <c r="G2204" s="52"/>
      <c r="H2204" s="52"/>
    </row>
    <row r="2205" spans="1:8" ht="15.75">
      <c r="A2205" s="50">
        <v>42608</v>
      </c>
      <c r="B2205" s="51">
        <v>5153.45</v>
      </c>
      <c r="C2205" s="52"/>
      <c r="D2205" s="52"/>
      <c r="E2205" s="52"/>
      <c r="F2205" s="52"/>
      <c r="G2205" s="52"/>
      <c r="H2205" s="52"/>
    </row>
    <row r="2206" spans="1:8" ht="15.75">
      <c r="A2206" s="50">
        <v>42611</v>
      </c>
      <c r="B2206" s="51">
        <v>5132.3599999999997</v>
      </c>
      <c r="C2206" s="52"/>
      <c r="D2206" s="52"/>
      <c r="E2206" s="52"/>
      <c r="F2206" s="52"/>
      <c r="G2206" s="52"/>
      <c r="H2206" s="52"/>
    </row>
    <row r="2207" spans="1:8" ht="15.75">
      <c r="A2207" s="50">
        <v>42612</v>
      </c>
      <c r="B2207" s="51">
        <v>5187.4799999999996</v>
      </c>
      <c r="C2207" s="52"/>
      <c r="D2207" s="52"/>
      <c r="E2207" s="52"/>
      <c r="F2207" s="52"/>
      <c r="G2207" s="52"/>
      <c r="H2207" s="52"/>
    </row>
    <row r="2208" spans="1:8" ht="15.75">
      <c r="A2208" s="50">
        <v>42613</v>
      </c>
      <c r="B2208" s="51">
        <v>5155.93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42614</v>
      </c>
      <c r="B2209" s="51">
        <v>5127.49</v>
      </c>
      <c r="C2209" s="52"/>
      <c r="D2209" s="52"/>
      <c r="E2209" s="52"/>
      <c r="F2209" s="52"/>
      <c r="G2209" s="52"/>
      <c r="H2209" s="52"/>
    </row>
    <row r="2210" spans="1:8" ht="15.75">
      <c r="A2210" s="50">
        <v>42615</v>
      </c>
      <c r="B2210" s="51">
        <v>5200.26</v>
      </c>
      <c r="C2210" s="52"/>
      <c r="D2210" s="52"/>
      <c r="E2210" s="52"/>
      <c r="F2210" s="52"/>
      <c r="G2210" s="52"/>
      <c r="H2210" s="52"/>
    </row>
    <row r="2211" spans="1:8" ht="15.75">
      <c r="A2211" s="50">
        <v>42618</v>
      </c>
      <c r="B2211" s="51">
        <v>5194.63</v>
      </c>
      <c r="C2211" s="52"/>
      <c r="D2211" s="52"/>
      <c r="E2211" s="52"/>
      <c r="F2211" s="52"/>
      <c r="G2211" s="52"/>
      <c r="H2211" s="52"/>
    </row>
    <row r="2212" spans="1:8" ht="15.75">
      <c r="A2212" s="50">
        <v>42619</v>
      </c>
      <c r="B2212" s="51">
        <v>5201.8900000000003</v>
      </c>
      <c r="C2212" s="52"/>
      <c r="D2212" s="52"/>
      <c r="E2212" s="52"/>
      <c r="F2212" s="52"/>
      <c r="G2212" s="52"/>
      <c r="H2212" s="52"/>
    </row>
    <row r="2213" spans="1:8" ht="15.75">
      <c r="A2213" s="50">
        <v>42620</v>
      </c>
      <c r="B2213" s="51">
        <v>5233.9399999999996</v>
      </c>
      <c r="C2213" s="52"/>
      <c r="D2213" s="52"/>
      <c r="E2213" s="52"/>
      <c r="F2213" s="52"/>
      <c r="G2213" s="52"/>
      <c r="H2213" s="52"/>
    </row>
    <row r="2214" spans="1:8" ht="15.75">
      <c r="A2214" s="50">
        <v>42621</v>
      </c>
      <c r="B2214" s="51">
        <v>5196.12</v>
      </c>
      <c r="C2214" s="52"/>
      <c r="D2214" s="52"/>
      <c r="E2214" s="52"/>
      <c r="F2214" s="52"/>
      <c r="G2214" s="52"/>
      <c r="H2214" s="52"/>
    </row>
    <row r="2215" spans="1:8" ht="15.75">
      <c r="A2215" s="50">
        <v>42622</v>
      </c>
      <c r="B2215" s="51">
        <v>5146.5200000000004</v>
      </c>
      <c r="C2215" s="52"/>
      <c r="D2215" s="52"/>
      <c r="E2215" s="52"/>
      <c r="F2215" s="52"/>
      <c r="G2215" s="52"/>
      <c r="H2215" s="52"/>
    </row>
    <row r="2216" spans="1:8" ht="15.75">
      <c r="A2216" s="50">
        <v>42625</v>
      </c>
      <c r="B2216" s="51">
        <v>5077.57</v>
      </c>
      <c r="C2216" s="52"/>
      <c r="D2216" s="52"/>
      <c r="E2216" s="52"/>
      <c r="F2216" s="52"/>
      <c r="G2216" s="52"/>
      <c r="H2216" s="52"/>
    </row>
    <row r="2217" spans="1:8" ht="15.75">
      <c r="A2217" s="50">
        <v>42626</v>
      </c>
      <c r="B2217" s="51">
        <v>5055.5600000000004</v>
      </c>
      <c r="C2217" s="52"/>
      <c r="D2217" s="52"/>
      <c r="E2217" s="52"/>
      <c r="F2217" s="52"/>
      <c r="G2217" s="52"/>
      <c r="H2217" s="52"/>
    </row>
    <row r="2218" spans="1:8" ht="15.75">
      <c r="A2218" s="50">
        <v>42627</v>
      </c>
      <c r="B2218" s="51">
        <v>5051.5600000000004</v>
      </c>
      <c r="C2218" s="52"/>
      <c r="D2218" s="52"/>
      <c r="E2218" s="52"/>
      <c r="F2218" s="52"/>
      <c r="G2218" s="52"/>
      <c r="H2218" s="52"/>
    </row>
    <row r="2219" spans="1:8" ht="15.75">
      <c r="A2219" s="50">
        <v>42628</v>
      </c>
      <c r="B2219" s="51">
        <v>5077.26</v>
      </c>
      <c r="C2219" s="52"/>
      <c r="D2219" s="52"/>
      <c r="E2219" s="52"/>
      <c r="F2219" s="52"/>
      <c r="G2219" s="52"/>
      <c r="H2219" s="52"/>
    </row>
    <row r="2220" spans="1:8" ht="15.75">
      <c r="A2220" s="50">
        <v>42629</v>
      </c>
      <c r="B2220" s="51">
        <v>5001.8100000000004</v>
      </c>
      <c r="C2220" s="52"/>
      <c r="D2220" s="52"/>
      <c r="E2220" s="52"/>
      <c r="F2220" s="52"/>
      <c r="G2220" s="52"/>
      <c r="H2220" s="52"/>
    </row>
    <row r="2221" spans="1:8" ht="15.75">
      <c r="A2221" s="50">
        <v>42632</v>
      </c>
      <c r="B2221" s="51">
        <v>5049.37</v>
      </c>
      <c r="C2221" s="52"/>
      <c r="D2221" s="52"/>
      <c r="E2221" s="52"/>
      <c r="F2221" s="52"/>
      <c r="G2221" s="52"/>
      <c r="H2221" s="52"/>
    </row>
    <row r="2222" spans="1:8" ht="15.75">
      <c r="A2222" s="50">
        <v>42633</v>
      </c>
      <c r="B2222" s="51">
        <v>5059.1000000000004</v>
      </c>
      <c r="C2222" s="52"/>
      <c r="D2222" s="52"/>
      <c r="E2222" s="52"/>
      <c r="F2222" s="52"/>
      <c r="G2222" s="52"/>
      <c r="H2222" s="52"/>
    </row>
    <row r="2223" spans="1:8" ht="15.75">
      <c r="A2223" s="50">
        <v>42634</v>
      </c>
      <c r="B2223" s="51">
        <v>5079.8500000000004</v>
      </c>
      <c r="C2223" s="52"/>
      <c r="D2223" s="52"/>
      <c r="E2223" s="52"/>
      <c r="F2223" s="52"/>
      <c r="G2223" s="52"/>
      <c r="H2223" s="52"/>
    </row>
    <row r="2224" spans="1:8" ht="15.75">
      <c r="A2224" s="50">
        <v>42635</v>
      </c>
      <c r="B2224" s="51">
        <v>5195.54</v>
      </c>
      <c r="C2224" s="52"/>
      <c r="D2224" s="52"/>
      <c r="E2224" s="52"/>
      <c r="F2224" s="52"/>
      <c r="G2224" s="52"/>
      <c r="H2224" s="52"/>
    </row>
    <row r="2225" spans="1:8" ht="15.75">
      <c r="A2225" s="50">
        <v>42636</v>
      </c>
      <c r="B2225" s="51">
        <v>5172.5600000000004</v>
      </c>
      <c r="C2225" s="52"/>
      <c r="D2225" s="52"/>
      <c r="E2225" s="52"/>
      <c r="F2225" s="52"/>
      <c r="G2225" s="52"/>
      <c r="H2225" s="52"/>
    </row>
    <row r="2226" spans="1:8" ht="15.75">
      <c r="A2226" s="50">
        <v>42639</v>
      </c>
      <c r="B2226" s="51">
        <v>5059.0200000000004</v>
      </c>
      <c r="C2226" s="52"/>
      <c r="D2226" s="52"/>
      <c r="E2226" s="52"/>
      <c r="F2226" s="52"/>
      <c r="G2226" s="52"/>
      <c r="H2226" s="52"/>
    </row>
    <row r="2227" spans="1:8" ht="15.75">
      <c r="A2227" s="50">
        <v>42640</v>
      </c>
      <c r="B2227" s="51">
        <v>5043.33</v>
      </c>
      <c r="C2227" s="52"/>
      <c r="D2227" s="52"/>
      <c r="E2227" s="52"/>
      <c r="F2227" s="52"/>
      <c r="G2227" s="52"/>
      <c r="H2227" s="52"/>
    </row>
    <row r="2228" spans="1:8" ht="15.75">
      <c r="A2228" s="50">
        <v>42641</v>
      </c>
      <c r="B2228" s="51">
        <v>5080.74</v>
      </c>
      <c r="C2228" s="52"/>
      <c r="D2228" s="52"/>
      <c r="E2228" s="52"/>
      <c r="F2228" s="52"/>
      <c r="G2228" s="52"/>
      <c r="H2228" s="52"/>
    </row>
    <row r="2229" spans="1:8" ht="15.75">
      <c r="A2229" s="50">
        <v>42642</v>
      </c>
      <c r="B2229" s="51">
        <v>5064.78</v>
      </c>
      <c r="C2229" s="52"/>
      <c r="D2229" s="52"/>
      <c r="E2229" s="52"/>
      <c r="F2229" s="52"/>
      <c r="G2229" s="52"/>
      <c r="H2229" s="52"/>
    </row>
    <row r="2230" spans="1:8" ht="15.75">
      <c r="A2230" s="50">
        <v>42643</v>
      </c>
      <c r="B2230" s="51">
        <v>5116.12</v>
      </c>
      <c r="C2230" s="52"/>
      <c r="D2230" s="52"/>
      <c r="E2230" s="52"/>
      <c r="F2230" s="52"/>
      <c r="G2230" s="52"/>
      <c r="H2230" s="52"/>
    </row>
    <row r="2231" spans="1:8" ht="15.75">
      <c r="A2231" s="50">
        <v>42647</v>
      </c>
      <c r="B2231" s="51">
        <v>5168.97</v>
      </c>
      <c r="C2231" s="52"/>
      <c r="D2231" s="52"/>
      <c r="E2231" s="52"/>
      <c r="F2231" s="52"/>
      <c r="G2231" s="52"/>
      <c r="H2231" s="52"/>
    </row>
    <row r="2232" spans="1:8" ht="15.75">
      <c r="A2232" s="50">
        <v>42648</v>
      </c>
      <c r="B2232" s="51">
        <v>5152.51</v>
      </c>
      <c r="C2232" s="52"/>
      <c r="D2232" s="52"/>
      <c r="E2232" s="52"/>
      <c r="F2232" s="52"/>
      <c r="G2232" s="52"/>
      <c r="H2232" s="52"/>
    </row>
    <row r="2233" spans="1:8" ht="15.75">
      <c r="A2233" s="50">
        <v>42649</v>
      </c>
      <c r="B2233" s="51">
        <v>5144.24</v>
      </c>
      <c r="C2233" s="52"/>
      <c r="D2233" s="52"/>
      <c r="E2233" s="52"/>
      <c r="F2233" s="52"/>
      <c r="G2233" s="52"/>
      <c r="H2233" s="52"/>
    </row>
    <row r="2234" spans="1:8" ht="15.75">
      <c r="A2234" s="50">
        <v>42650</v>
      </c>
      <c r="B2234" s="51">
        <v>5106.3100000000004</v>
      </c>
      <c r="C2234" s="52"/>
      <c r="D2234" s="52"/>
      <c r="E2234" s="52"/>
      <c r="F2234" s="52"/>
      <c r="G2234" s="52"/>
      <c r="H2234" s="52"/>
    </row>
    <row r="2235" spans="1:8" ht="15.75">
      <c r="A2235" s="50">
        <v>42653</v>
      </c>
      <c r="B2235" s="51">
        <v>5171.1499999999996</v>
      </c>
      <c r="C2235" s="52"/>
      <c r="D2235" s="52"/>
      <c r="E2235" s="52"/>
      <c r="F2235" s="52"/>
      <c r="G2235" s="52"/>
      <c r="H2235" s="52"/>
    </row>
    <row r="2236" spans="1:8" ht="15.75">
      <c r="A2236" s="50">
        <v>42654</v>
      </c>
      <c r="B2236" s="51">
        <v>5148.3100000000004</v>
      </c>
      <c r="C2236" s="52"/>
      <c r="D2236" s="52"/>
      <c r="E2236" s="52"/>
      <c r="F2236" s="52"/>
      <c r="G2236" s="52"/>
      <c r="H2236" s="52"/>
    </row>
    <row r="2237" spans="1:8" ht="15.75">
      <c r="A2237" s="50">
        <v>42655</v>
      </c>
      <c r="B2237" s="51">
        <v>5121.9799999999996</v>
      </c>
      <c r="C2237" s="52"/>
      <c r="D2237" s="52"/>
      <c r="E2237" s="52"/>
      <c r="F2237" s="52"/>
      <c r="G2237" s="52"/>
      <c r="H2237" s="52"/>
    </row>
    <row r="2238" spans="1:8" ht="15.75">
      <c r="A2238" s="50">
        <v>42656</v>
      </c>
      <c r="B2238" s="51">
        <v>5068.93</v>
      </c>
      <c r="C2238" s="52"/>
      <c r="D2238" s="52"/>
      <c r="E2238" s="52"/>
      <c r="F2238" s="52"/>
      <c r="G2238" s="52"/>
      <c r="H2238" s="52"/>
    </row>
    <row r="2239" spans="1:8" ht="15.75">
      <c r="A2239" s="50">
        <v>42657</v>
      </c>
      <c r="B2239" s="51">
        <v>5149.88</v>
      </c>
      <c r="C2239" s="52"/>
      <c r="D2239" s="52"/>
      <c r="E2239" s="52"/>
      <c r="F2239" s="52"/>
      <c r="G2239" s="52"/>
      <c r="H2239" s="52"/>
    </row>
    <row r="2240" spans="1:8" ht="15.75">
      <c r="A2240" s="50">
        <v>42660</v>
      </c>
      <c r="B2240" s="51">
        <v>5112.49</v>
      </c>
      <c r="C2240" s="52"/>
      <c r="D2240" s="52"/>
      <c r="E2240" s="52"/>
      <c r="F2240" s="52"/>
      <c r="G2240" s="52"/>
      <c r="H2240" s="52"/>
    </row>
    <row r="2241" spans="1:8" ht="15.75">
      <c r="A2241" s="50">
        <v>42661</v>
      </c>
      <c r="B2241" s="51">
        <v>5174.78</v>
      </c>
      <c r="C2241" s="52"/>
      <c r="D2241" s="52"/>
      <c r="E2241" s="52"/>
      <c r="F2241" s="52"/>
      <c r="G2241" s="52"/>
      <c r="H2241" s="52"/>
    </row>
    <row r="2242" spans="1:8" ht="15.75">
      <c r="A2242" s="50">
        <v>42662</v>
      </c>
      <c r="B2242" s="51">
        <v>5181.66</v>
      </c>
      <c r="C2242" s="52"/>
      <c r="D2242" s="52"/>
      <c r="E2242" s="52"/>
      <c r="F2242" s="52"/>
      <c r="G2242" s="52"/>
      <c r="H2242" s="52"/>
    </row>
    <row r="2243" spans="1:8" ht="15.75">
      <c r="A2243" s="50">
        <v>42663</v>
      </c>
      <c r="B2243" s="51">
        <v>5208.78</v>
      </c>
      <c r="C2243" s="52"/>
      <c r="D2243" s="52"/>
      <c r="E2243" s="52"/>
      <c r="F2243" s="52"/>
      <c r="G2243" s="52"/>
      <c r="H2243" s="52"/>
    </row>
    <row r="2244" spans="1:8" ht="15.75">
      <c r="A2244" s="50">
        <v>42664</v>
      </c>
      <c r="B2244" s="51">
        <v>5213.33</v>
      </c>
      <c r="C2244" s="52"/>
      <c r="D2244" s="52"/>
      <c r="E2244" s="52"/>
      <c r="F2244" s="52"/>
      <c r="G2244" s="52"/>
      <c r="H2244" s="52"/>
    </row>
    <row r="2245" spans="1:8" ht="15.75">
      <c r="A2245" s="50">
        <v>42667</v>
      </c>
      <c r="B2245" s="51">
        <v>5237.88</v>
      </c>
      <c r="C2245" s="52"/>
      <c r="D2245" s="52"/>
      <c r="E2245" s="52"/>
      <c r="F2245" s="52"/>
      <c r="G2245" s="52"/>
      <c r="H2245" s="52"/>
    </row>
    <row r="2246" spans="1:8" ht="15.75">
      <c r="A2246" s="50">
        <v>42668</v>
      </c>
      <c r="B2246" s="51">
        <v>5236</v>
      </c>
      <c r="C2246" s="52"/>
      <c r="D2246" s="52"/>
      <c r="E2246" s="52"/>
      <c r="F2246" s="52"/>
      <c r="G2246" s="52"/>
      <c r="H2246" s="52"/>
    </row>
    <row r="2247" spans="1:8" ht="15.75">
      <c r="A2247" s="50">
        <v>42669</v>
      </c>
      <c r="B2247" s="51">
        <v>5212.8100000000004</v>
      </c>
      <c r="C2247" s="52"/>
      <c r="D2247" s="52"/>
      <c r="E2247" s="52"/>
      <c r="F2247" s="52"/>
      <c r="G2247" s="52"/>
      <c r="H2247" s="52"/>
    </row>
    <row r="2248" spans="1:8" ht="15.75">
      <c r="A2248" s="50">
        <v>42670</v>
      </c>
      <c r="B2248" s="51">
        <v>5216.42</v>
      </c>
      <c r="C2248" s="52"/>
      <c r="D2248" s="52"/>
      <c r="E2248" s="52"/>
      <c r="F2248" s="52"/>
      <c r="G2248" s="52"/>
      <c r="H2248" s="52"/>
    </row>
    <row r="2249" spans="1:8" ht="15.75">
      <c r="A2249" s="50">
        <v>42671</v>
      </c>
      <c r="B2249" s="51">
        <v>5206.25</v>
      </c>
      <c r="C2249" s="52"/>
      <c r="D2249" s="52"/>
      <c r="E2249" s="52"/>
      <c r="F2249" s="52"/>
      <c r="G2249" s="52"/>
      <c r="H2249" s="52"/>
    </row>
    <row r="2250" spans="1:8" ht="15.75">
      <c r="A2250" s="50">
        <v>42674</v>
      </c>
      <c r="B2250" s="51">
        <v>5191.07</v>
      </c>
      <c r="C2250" s="52"/>
      <c r="D2250" s="52"/>
      <c r="E2250" s="52"/>
      <c r="F2250" s="52"/>
      <c r="G2250" s="52"/>
      <c r="H2250" s="52"/>
    </row>
    <row r="2251" spans="1:8" ht="15.75">
      <c r="A2251" s="50">
        <v>42675</v>
      </c>
      <c r="B2251" s="51">
        <v>5123.49</v>
      </c>
      <c r="C2251" s="52"/>
      <c r="D2251" s="52"/>
      <c r="E2251" s="52"/>
      <c r="F2251" s="52"/>
      <c r="G2251" s="52"/>
      <c r="H2251" s="52"/>
    </row>
    <row r="2252" spans="1:8" ht="15.75">
      <c r="A2252" s="50">
        <v>42676</v>
      </c>
      <c r="B2252" s="51">
        <v>5047.93</v>
      </c>
      <c r="C2252" s="52"/>
      <c r="D2252" s="52"/>
      <c r="E2252" s="52"/>
      <c r="F2252" s="52"/>
      <c r="G2252" s="52"/>
      <c r="H2252" s="52"/>
    </row>
    <row r="2253" spans="1:8" ht="15.75">
      <c r="A2253" s="50">
        <v>42677</v>
      </c>
      <c r="B2253" s="51">
        <v>5026</v>
      </c>
      <c r="C2253" s="52"/>
      <c r="D2253" s="52"/>
      <c r="E2253" s="52"/>
      <c r="F2253" s="52"/>
      <c r="G2253" s="52"/>
      <c r="H2253" s="52"/>
    </row>
    <row r="2254" spans="1:8" ht="15.75">
      <c r="A2254" s="50">
        <v>42678</v>
      </c>
      <c r="B2254" s="51">
        <v>4993.5200000000004</v>
      </c>
      <c r="C2254" s="52"/>
      <c r="D2254" s="52"/>
      <c r="E2254" s="52"/>
      <c r="F2254" s="52"/>
      <c r="G2254" s="52"/>
      <c r="H2254" s="52"/>
    </row>
    <row r="2255" spans="1:8" ht="15.75">
      <c r="A2255" s="50">
        <v>42681</v>
      </c>
      <c r="B2255" s="51">
        <v>5089.8</v>
      </c>
      <c r="C2255" s="52"/>
      <c r="D2255" s="52"/>
      <c r="E2255" s="52"/>
      <c r="F2255" s="52"/>
      <c r="G2255" s="52"/>
      <c r="H2255" s="52"/>
    </row>
    <row r="2256" spans="1:8" ht="15.75">
      <c r="A2256" s="50">
        <v>42682</v>
      </c>
      <c r="B2256" s="51">
        <v>5102.1499999999996</v>
      </c>
      <c r="C2256" s="52"/>
      <c r="D2256" s="52"/>
      <c r="E2256" s="52"/>
      <c r="F2256" s="52"/>
      <c r="G2256" s="52"/>
      <c r="H2256" s="52"/>
    </row>
    <row r="2257" spans="1:8" ht="15.75">
      <c r="A2257" s="50">
        <v>42683</v>
      </c>
      <c r="B2257" s="51">
        <v>5181.82</v>
      </c>
      <c r="C2257" s="52"/>
      <c r="D2257" s="52"/>
      <c r="E2257" s="52"/>
      <c r="F2257" s="52"/>
      <c r="G2257" s="52"/>
      <c r="H2257" s="52"/>
    </row>
    <row r="2258" spans="1:8" ht="15.75">
      <c r="A2258" s="50">
        <v>42684</v>
      </c>
      <c r="B2258" s="51">
        <v>5174.09</v>
      </c>
      <c r="C2258" s="52"/>
      <c r="D2258" s="52"/>
      <c r="E2258" s="52"/>
      <c r="F2258" s="52"/>
      <c r="G2258" s="52"/>
      <c r="H2258" s="52"/>
    </row>
    <row r="2259" spans="1:8" ht="15.75">
      <c r="A2259" s="50">
        <v>42685</v>
      </c>
      <c r="B2259" s="51">
        <v>5192.51</v>
      </c>
      <c r="C2259" s="52"/>
      <c r="D2259" s="52"/>
      <c r="E2259" s="52"/>
      <c r="F2259" s="52"/>
      <c r="G2259" s="52"/>
      <c r="H2259" s="52"/>
    </row>
    <row r="2260" spans="1:8" ht="15.75">
      <c r="A2260" s="50">
        <v>42688</v>
      </c>
      <c r="B2260" s="51">
        <v>5205.03</v>
      </c>
      <c r="C2260" s="52"/>
      <c r="D2260" s="52"/>
      <c r="E2260" s="52"/>
      <c r="F2260" s="52"/>
      <c r="G2260" s="52"/>
      <c r="H2260" s="52"/>
    </row>
    <row r="2261" spans="1:8" ht="15.75">
      <c r="A2261" s="50">
        <v>42689</v>
      </c>
      <c r="B2261" s="51">
        <v>5225.21</v>
      </c>
      <c r="C2261" s="52"/>
      <c r="D2261" s="52"/>
      <c r="E2261" s="52"/>
      <c r="F2261" s="52"/>
      <c r="G2261" s="52"/>
      <c r="H2261" s="52"/>
    </row>
    <row r="2262" spans="1:8" ht="15.75">
      <c r="A2262" s="50">
        <v>42690</v>
      </c>
      <c r="B2262" s="51">
        <v>5190.5200000000004</v>
      </c>
      <c r="C2262" s="52"/>
      <c r="D2262" s="52"/>
      <c r="E2262" s="52"/>
      <c r="F2262" s="52"/>
      <c r="G2262" s="52"/>
      <c r="H2262" s="52"/>
    </row>
    <row r="2263" spans="1:8" ht="15.75">
      <c r="A2263" s="50">
        <v>42691</v>
      </c>
      <c r="B2263" s="51">
        <v>5201.07</v>
      </c>
      <c r="C2263" s="52"/>
      <c r="D2263" s="52"/>
      <c r="E2263" s="52"/>
      <c r="F2263" s="52"/>
      <c r="G2263" s="52"/>
      <c r="H2263" s="52"/>
    </row>
    <row r="2264" spans="1:8" ht="15.75">
      <c r="A2264" s="50">
        <v>42692</v>
      </c>
      <c r="B2264" s="51">
        <v>5190.8599999999997</v>
      </c>
      <c r="C2264" s="52"/>
      <c r="D2264" s="52"/>
      <c r="E2264" s="52"/>
      <c r="F2264" s="52"/>
      <c r="G2264" s="52"/>
      <c r="H2264" s="52"/>
    </row>
    <row r="2265" spans="1:8" ht="15.75">
      <c r="A2265" s="50">
        <v>42695</v>
      </c>
      <c r="B2265" s="51">
        <v>5200.87</v>
      </c>
      <c r="C2265" s="52"/>
      <c r="D2265" s="52"/>
      <c r="E2265" s="52"/>
      <c r="F2265" s="52"/>
      <c r="G2265" s="52"/>
      <c r="H2265" s="52"/>
    </row>
    <row r="2266" spans="1:8" ht="15.75">
      <c r="A2266" s="50">
        <v>42696</v>
      </c>
      <c r="B2266" s="51">
        <v>5214.84</v>
      </c>
      <c r="C2266" s="52"/>
      <c r="D2266" s="52"/>
      <c r="E2266" s="52"/>
      <c r="F2266" s="52"/>
      <c r="G2266" s="52"/>
      <c r="H2266" s="52"/>
    </row>
    <row r="2267" spans="1:8" ht="15.75">
      <c r="A2267" s="50">
        <v>42697</v>
      </c>
      <c r="B2267" s="51">
        <v>5189.82</v>
      </c>
      <c r="C2267" s="52"/>
      <c r="D2267" s="52"/>
      <c r="E2267" s="52"/>
      <c r="F2267" s="52"/>
      <c r="G2267" s="52"/>
      <c r="H2267" s="52"/>
    </row>
    <row r="2268" spans="1:8" ht="15.75">
      <c r="A2268" s="50">
        <v>42698</v>
      </c>
      <c r="B2268" s="51">
        <v>5202.87</v>
      </c>
      <c r="C2268" s="52"/>
      <c r="D2268" s="52"/>
      <c r="E2268" s="52"/>
      <c r="F2268" s="52"/>
      <c r="G2268" s="52"/>
      <c r="H2268" s="52"/>
    </row>
    <row r="2269" spans="1:8" ht="15.75">
      <c r="A2269" s="50">
        <v>42699</v>
      </c>
      <c r="B2269" s="51">
        <v>5207.75</v>
      </c>
      <c r="C2269" s="52"/>
      <c r="D2269" s="52"/>
      <c r="E2269" s="52"/>
      <c r="F2269" s="52"/>
      <c r="G2269" s="52"/>
      <c r="H2269" s="52"/>
    </row>
    <row r="2270" spans="1:8" ht="15.75">
      <c r="A2270" s="50">
        <v>42702</v>
      </c>
      <c r="B2270" s="51">
        <v>5150.99</v>
      </c>
      <c r="C2270" s="52"/>
      <c r="D2270" s="52"/>
      <c r="E2270" s="52"/>
      <c r="F2270" s="52"/>
      <c r="G2270" s="52"/>
      <c r="H2270" s="52"/>
    </row>
    <row r="2271" spans="1:8" ht="15.75">
      <c r="A2271" s="50">
        <v>42703</v>
      </c>
      <c r="B2271" s="51">
        <v>5169.3999999999996</v>
      </c>
      <c r="C2271" s="52"/>
      <c r="D2271" s="52"/>
      <c r="E2271" s="52"/>
      <c r="F2271" s="52"/>
      <c r="G2271" s="52"/>
      <c r="H2271" s="52"/>
    </row>
    <row r="2272" spans="1:8" ht="15.75">
      <c r="A2272" s="50">
        <v>42704</v>
      </c>
      <c r="B2272" s="51">
        <v>5179.04</v>
      </c>
      <c r="C2272" s="52"/>
      <c r="D2272" s="52"/>
      <c r="E2272" s="52"/>
      <c r="F2272" s="52"/>
      <c r="G2272" s="52"/>
      <c r="H2272" s="52"/>
    </row>
    <row r="2273" spans="1:8" ht="15.75">
      <c r="A2273" s="50">
        <v>42705</v>
      </c>
      <c r="B2273" s="51">
        <v>5127.33</v>
      </c>
      <c r="C2273" s="52"/>
      <c r="D2273" s="52"/>
      <c r="E2273" s="52"/>
      <c r="F2273" s="52"/>
      <c r="G2273" s="52"/>
      <c r="H2273" s="52"/>
    </row>
    <row r="2274" spans="1:8" ht="15.75">
      <c r="A2274" s="50">
        <v>42706</v>
      </c>
      <c r="B2274" s="51">
        <v>5117.25</v>
      </c>
      <c r="C2274" s="52"/>
      <c r="D2274" s="52"/>
      <c r="E2274" s="52"/>
      <c r="F2274" s="52"/>
      <c r="G2274" s="52"/>
      <c r="H2274" s="52"/>
    </row>
    <row r="2275" spans="1:8" ht="15.75">
      <c r="A2275" s="50">
        <v>42709</v>
      </c>
      <c r="B2275" s="51">
        <v>5200.72</v>
      </c>
      <c r="C2275" s="52"/>
      <c r="D2275" s="52"/>
      <c r="E2275" s="52"/>
      <c r="F2275" s="52"/>
      <c r="G2275" s="52"/>
      <c r="H2275" s="52"/>
    </row>
    <row r="2276" spans="1:8" ht="15.75">
      <c r="A2276" s="50">
        <v>42710</v>
      </c>
      <c r="B2276" s="51">
        <v>5244.77</v>
      </c>
      <c r="C2276" s="52"/>
      <c r="D2276" s="52"/>
      <c r="E2276" s="52"/>
      <c r="F2276" s="52"/>
      <c r="G2276" s="52"/>
      <c r="H2276" s="52"/>
    </row>
    <row r="2277" spans="1:8" ht="15.75">
      <c r="A2277" s="50">
        <v>42711</v>
      </c>
      <c r="B2277" s="51">
        <v>5347.65</v>
      </c>
      <c r="C2277" s="52"/>
      <c r="D2277" s="52"/>
      <c r="E2277" s="52"/>
      <c r="F2277" s="52"/>
      <c r="G2277" s="52"/>
      <c r="H2277" s="52"/>
    </row>
    <row r="2278" spans="1:8" ht="15.75">
      <c r="A2278" s="50">
        <v>42712</v>
      </c>
      <c r="B2278" s="51">
        <v>5441.46</v>
      </c>
      <c r="C2278" s="52"/>
      <c r="D2278" s="52"/>
      <c r="E2278" s="52"/>
      <c r="F2278" s="52"/>
      <c r="G2278" s="52"/>
      <c r="H2278" s="52"/>
    </row>
    <row r="2279" spans="1:8" ht="15.75">
      <c r="A2279" s="50">
        <v>42713</v>
      </c>
      <c r="B2279" s="51">
        <v>5453.24</v>
      </c>
      <c r="C2279" s="52"/>
      <c r="D2279" s="52"/>
      <c r="E2279" s="52"/>
      <c r="F2279" s="52"/>
      <c r="G2279" s="52"/>
      <c r="H2279" s="52"/>
    </row>
    <row r="2280" spans="1:8" ht="15.75">
      <c r="A2280" s="50">
        <v>42716</v>
      </c>
      <c r="B2280" s="51">
        <v>5446.71</v>
      </c>
      <c r="C2280" s="52"/>
      <c r="D2280" s="52"/>
      <c r="E2280" s="52"/>
      <c r="F2280" s="52"/>
      <c r="G2280" s="52"/>
      <c r="H2280" s="52"/>
    </row>
    <row r="2281" spans="1:8" ht="15.75">
      <c r="A2281" s="50">
        <v>42717</v>
      </c>
      <c r="B2281" s="51">
        <v>5492.68</v>
      </c>
      <c r="C2281" s="52"/>
      <c r="D2281" s="52"/>
      <c r="E2281" s="52"/>
      <c r="F2281" s="52"/>
      <c r="G2281" s="52"/>
      <c r="H2281" s="52"/>
    </row>
    <row r="2282" spans="1:8" ht="15.75">
      <c r="A2282" s="50">
        <v>42718</v>
      </c>
      <c r="B2282" s="51">
        <v>5473.3</v>
      </c>
      <c r="C2282" s="52"/>
      <c r="D2282" s="52"/>
      <c r="E2282" s="52"/>
      <c r="F2282" s="52"/>
      <c r="G2282" s="52"/>
      <c r="H2282" s="52"/>
    </row>
    <row r="2283" spans="1:8" ht="15.75">
      <c r="A2283" s="50">
        <v>42719</v>
      </c>
      <c r="B2283" s="51">
        <v>5532.47</v>
      </c>
      <c r="C2283" s="52"/>
      <c r="D2283" s="52"/>
      <c r="E2283" s="52"/>
      <c r="F2283" s="52"/>
      <c r="G2283" s="52"/>
      <c r="H2283" s="52"/>
    </row>
    <row r="2284" spans="1:8" ht="15.75">
      <c r="A2284" s="50">
        <v>42720</v>
      </c>
      <c r="B2284" s="51">
        <v>5550.77</v>
      </c>
      <c r="C2284" s="52"/>
      <c r="D2284" s="52"/>
      <c r="E2284" s="52"/>
      <c r="F2284" s="52"/>
      <c r="G2284" s="52"/>
      <c r="H2284" s="52"/>
    </row>
    <row r="2285" spans="1:8" ht="15.75">
      <c r="A2285" s="50">
        <v>42723</v>
      </c>
      <c r="B2285" s="51">
        <v>5561.81</v>
      </c>
      <c r="C2285" s="52"/>
      <c r="D2285" s="52"/>
      <c r="E2285" s="52"/>
      <c r="F2285" s="52"/>
      <c r="G2285" s="52"/>
      <c r="H2285" s="52"/>
    </row>
    <row r="2286" spans="1:8" ht="15.75">
      <c r="A2286" s="50">
        <v>42724</v>
      </c>
      <c r="B2286" s="51">
        <v>5580.33</v>
      </c>
      <c r="C2286" s="52"/>
      <c r="D2286" s="52"/>
      <c r="E2286" s="52"/>
      <c r="F2286" s="52"/>
      <c r="G2286" s="52"/>
      <c r="H2286" s="52"/>
    </row>
    <row r="2287" spans="1:8" ht="15.75">
      <c r="A2287" s="50">
        <v>42725</v>
      </c>
      <c r="B2287" s="51">
        <v>5582.23</v>
      </c>
      <c r="C2287" s="52"/>
      <c r="D2287" s="52"/>
      <c r="E2287" s="52"/>
      <c r="F2287" s="52"/>
      <c r="G2287" s="52"/>
      <c r="H2287" s="52"/>
    </row>
    <row r="2288" spans="1:8" ht="15.75">
      <c r="A2288" s="50">
        <v>42726</v>
      </c>
      <c r="B2288" s="51">
        <v>5576.12</v>
      </c>
      <c r="C2288" s="52"/>
      <c r="D2288" s="52"/>
      <c r="E2288" s="52"/>
      <c r="F2288" s="52"/>
      <c r="G2288" s="52"/>
      <c r="H2288" s="52"/>
    </row>
    <row r="2289" spans="1:8" ht="15.75">
      <c r="A2289" s="50">
        <v>42727</v>
      </c>
      <c r="B2289" s="51">
        <v>5573.12</v>
      </c>
      <c r="C2289" s="52"/>
      <c r="D2289" s="52"/>
      <c r="E2289" s="52"/>
      <c r="F2289" s="52"/>
      <c r="G2289" s="52"/>
      <c r="H2289" s="52"/>
    </row>
    <row r="2290" spans="1:8" ht="15.75">
      <c r="A2290" s="50">
        <v>42731</v>
      </c>
      <c r="B2290" s="51">
        <v>5583.98</v>
      </c>
      <c r="C2290" s="52"/>
      <c r="D2290" s="52"/>
      <c r="E2290" s="52"/>
      <c r="F2290" s="52"/>
      <c r="G2290" s="52"/>
      <c r="H2290" s="52"/>
    </row>
    <row r="2291" spans="1:8" ht="15.75">
      <c r="A2291" s="50">
        <v>42732</v>
      </c>
      <c r="B2291" s="51">
        <v>5585.32</v>
      </c>
      <c r="C2291" s="52"/>
      <c r="D2291" s="52"/>
      <c r="E2291" s="52"/>
      <c r="F2291" s="52"/>
      <c r="G2291" s="52"/>
      <c r="H2291" s="52"/>
    </row>
    <row r="2292" spans="1:8" ht="15.75">
      <c r="A2292" s="50">
        <v>42733</v>
      </c>
      <c r="B2292" s="51">
        <v>5573.66</v>
      </c>
      <c r="C2292" s="52"/>
      <c r="D2292" s="52"/>
      <c r="E2292" s="52"/>
      <c r="F2292" s="52"/>
      <c r="G2292" s="52"/>
      <c r="H2292" s="52"/>
    </row>
    <row r="2293" spans="1:8" ht="15.75">
      <c r="A2293" s="50">
        <v>42734</v>
      </c>
      <c r="B2293" s="51">
        <v>5588.27</v>
      </c>
      <c r="C2293" s="52"/>
      <c r="D2293" s="52"/>
      <c r="E2293" s="52"/>
      <c r="F2293" s="52"/>
      <c r="G2293" s="52"/>
      <c r="H2293" s="52"/>
    </row>
    <row r="2294" spans="1:8" ht="15.75">
      <c r="A2294" s="50">
        <v>42737</v>
      </c>
      <c r="B2294" s="51">
        <v>5645.36</v>
      </c>
      <c r="C2294" s="52"/>
      <c r="D2294" s="52"/>
      <c r="E2294" s="52"/>
      <c r="F2294" s="52"/>
      <c r="G2294" s="52"/>
      <c r="H2294" s="52"/>
    </row>
    <row r="2295" spans="1:8" ht="15.75">
      <c r="A2295" s="50">
        <v>42738</v>
      </c>
      <c r="B2295" s="51">
        <v>5638.49</v>
      </c>
      <c r="C2295" s="52"/>
      <c r="D2295" s="52"/>
      <c r="E2295" s="52"/>
      <c r="F2295" s="52"/>
      <c r="G2295" s="52"/>
      <c r="H2295" s="52"/>
    </row>
    <row r="2296" spans="1:8" ht="15.75">
      <c r="A2296" s="50">
        <v>42739</v>
      </c>
      <c r="B2296" s="51">
        <v>5638.53</v>
      </c>
      <c r="C2296" s="52"/>
      <c r="D2296" s="52"/>
      <c r="E2296" s="52"/>
      <c r="F2296" s="52"/>
      <c r="G2296" s="52"/>
      <c r="H2296" s="52"/>
    </row>
    <row r="2297" spans="1:8" ht="15.75">
      <c r="A2297" s="50">
        <v>42740</v>
      </c>
      <c r="B2297" s="51">
        <v>5638.84</v>
      </c>
      <c r="C2297" s="52"/>
      <c r="D2297" s="52"/>
      <c r="E2297" s="52"/>
      <c r="F2297" s="52"/>
      <c r="G2297" s="52"/>
      <c r="H2297" s="52"/>
    </row>
    <row r="2298" spans="1:8" ht="15.75">
      <c r="A2298" s="50">
        <v>42741</v>
      </c>
      <c r="B2298" s="51">
        <v>5645.68</v>
      </c>
      <c r="C2298" s="52"/>
      <c r="D2298" s="52"/>
      <c r="E2298" s="52"/>
      <c r="F2298" s="52"/>
      <c r="G2298" s="52"/>
      <c r="H2298" s="52"/>
    </row>
    <row r="2299" spans="1:8" ht="15.75">
      <c r="A2299" s="50">
        <v>42744</v>
      </c>
      <c r="B2299" s="51">
        <v>5628.64</v>
      </c>
      <c r="C2299" s="52"/>
      <c r="D2299" s="52"/>
      <c r="E2299" s="52"/>
      <c r="F2299" s="52"/>
      <c r="G2299" s="52"/>
      <c r="H2299" s="52"/>
    </row>
    <row r="2300" spans="1:8" ht="15.75">
      <c r="A2300" s="50">
        <v>42745</v>
      </c>
      <c r="B2300" s="51">
        <v>5638.04</v>
      </c>
      <c r="C2300" s="52"/>
      <c r="D2300" s="52"/>
      <c r="E2300" s="52"/>
      <c r="F2300" s="52"/>
      <c r="G2300" s="52"/>
      <c r="H2300" s="52"/>
    </row>
    <row r="2301" spans="1:8" ht="15.75">
      <c r="A2301" s="50">
        <v>42746</v>
      </c>
      <c r="B2301" s="51">
        <v>5668.64</v>
      </c>
      <c r="C2301" s="52"/>
      <c r="D2301" s="52"/>
      <c r="E2301" s="52"/>
      <c r="F2301" s="52"/>
      <c r="G2301" s="52"/>
      <c r="H2301" s="52"/>
    </row>
    <row r="2302" spans="1:8" ht="15.75">
      <c r="A2302" s="50">
        <v>42747</v>
      </c>
      <c r="B2302" s="51">
        <v>5607.73</v>
      </c>
      <c r="C2302" s="52"/>
      <c r="D2302" s="52"/>
      <c r="E2302" s="52"/>
      <c r="F2302" s="52"/>
      <c r="G2302" s="52"/>
      <c r="H2302" s="52"/>
    </row>
    <row r="2303" spans="1:8" ht="15.75">
      <c r="A2303" s="50">
        <v>42748</v>
      </c>
      <c r="B2303" s="51">
        <v>5660.37</v>
      </c>
      <c r="C2303" s="52"/>
      <c r="D2303" s="52"/>
      <c r="E2303" s="52"/>
      <c r="F2303" s="52"/>
      <c r="G2303" s="52"/>
      <c r="H2303" s="52"/>
    </row>
    <row r="2304" spans="1:8" ht="15.75">
      <c r="A2304" s="50">
        <v>42751</v>
      </c>
      <c r="B2304" s="51">
        <v>5624.12</v>
      </c>
      <c r="C2304" s="52"/>
      <c r="D2304" s="52"/>
      <c r="E2304" s="52"/>
      <c r="F2304" s="52"/>
      <c r="G2304" s="52"/>
      <c r="H2304" s="52"/>
    </row>
    <row r="2305" spans="1:8" ht="15.75">
      <c r="A2305" s="50">
        <v>42752</v>
      </c>
      <c r="B2305" s="51">
        <v>5616.96</v>
      </c>
      <c r="C2305" s="52"/>
      <c r="D2305" s="52"/>
      <c r="E2305" s="52"/>
      <c r="F2305" s="52"/>
      <c r="G2305" s="52"/>
      <c r="H2305" s="52"/>
    </row>
    <row r="2306" spans="1:8" ht="15.75">
      <c r="A2306" s="50">
        <v>42753</v>
      </c>
      <c r="B2306" s="51">
        <v>5645.87</v>
      </c>
      <c r="C2306" s="52"/>
      <c r="D2306" s="52"/>
      <c r="E2306" s="52"/>
      <c r="F2306" s="52"/>
      <c r="G2306" s="52"/>
      <c r="H2306" s="52"/>
    </row>
    <row r="2307" spans="1:8" ht="15.75">
      <c r="A2307" s="50">
        <v>42754</v>
      </c>
      <c r="B2307" s="51">
        <v>5644.65</v>
      </c>
      <c r="C2307" s="52"/>
      <c r="D2307" s="52"/>
      <c r="E2307" s="52"/>
      <c r="F2307" s="52"/>
      <c r="G2307" s="52"/>
      <c r="H2307" s="52"/>
    </row>
    <row r="2308" spans="1:8" ht="15.75">
      <c r="A2308" s="50">
        <v>42755</v>
      </c>
      <c r="B2308" s="51">
        <v>5660.83</v>
      </c>
      <c r="C2308" s="52"/>
      <c r="D2308" s="52"/>
      <c r="E2308" s="52"/>
      <c r="F2308" s="52"/>
      <c r="G2308" s="52"/>
      <c r="H2308" s="52"/>
    </row>
    <row r="2309" spans="1:8" ht="15.75">
      <c r="A2309" s="50">
        <v>42758</v>
      </c>
      <c r="B2309" s="51">
        <v>5619.76</v>
      </c>
      <c r="C2309" s="52"/>
      <c r="D2309" s="52"/>
      <c r="E2309" s="52"/>
      <c r="F2309" s="52"/>
      <c r="G2309" s="52"/>
      <c r="H2309" s="52"/>
    </row>
    <row r="2310" spans="1:8" ht="15.75">
      <c r="A2310" s="50">
        <v>42759</v>
      </c>
      <c r="B2310" s="51">
        <v>5643.7</v>
      </c>
      <c r="C2310" s="52"/>
      <c r="D2310" s="52"/>
      <c r="E2310" s="52"/>
      <c r="F2310" s="52"/>
      <c r="G2310" s="52"/>
      <c r="H2310" s="52"/>
    </row>
    <row r="2311" spans="1:8" ht="15.75">
      <c r="A2311" s="50">
        <v>42760</v>
      </c>
      <c r="B2311" s="51">
        <v>5746.46</v>
      </c>
      <c r="C2311" s="52"/>
      <c r="D2311" s="52"/>
      <c r="E2311" s="52"/>
      <c r="F2311" s="52"/>
      <c r="G2311" s="52"/>
      <c r="H2311" s="52"/>
    </row>
    <row r="2312" spans="1:8" ht="15.75">
      <c r="A2312" s="50">
        <v>42761</v>
      </c>
      <c r="B2312" s="51">
        <v>5767.18</v>
      </c>
      <c r="C2312" s="52"/>
      <c r="D2312" s="52"/>
      <c r="E2312" s="52"/>
      <c r="F2312" s="52"/>
      <c r="G2312" s="52"/>
      <c r="H2312" s="52"/>
    </row>
    <row r="2313" spans="1:8" ht="15.75">
      <c r="A2313" s="50">
        <v>42762</v>
      </c>
      <c r="B2313" s="51">
        <v>5750.46</v>
      </c>
      <c r="C2313" s="52"/>
      <c r="D2313" s="52"/>
      <c r="E2313" s="52"/>
      <c r="F2313" s="52"/>
      <c r="G2313" s="52"/>
      <c r="H2313" s="52"/>
    </row>
    <row r="2314" spans="1:8" ht="15.75">
      <c r="A2314" s="50">
        <v>42765</v>
      </c>
      <c r="B2314" s="51">
        <v>5685.65</v>
      </c>
      <c r="C2314" s="52"/>
      <c r="D2314" s="52"/>
      <c r="E2314" s="52"/>
      <c r="F2314" s="52"/>
      <c r="G2314" s="52"/>
      <c r="H2314" s="52"/>
    </row>
    <row r="2315" spans="1:8" ht="15.75">
      <c r="A2315" s="50">
        <v>42766</v>
      </c>
      <c r="B2315" s="51">
        <v>5614.3</v>
      </c>
      <c r="C2315" s="52"/>
      <c r="D2315" s="52"/>
      <c r="E2315" s="52"/>
      <c r="F2315" s="52"/>
      <c r="G2315" s="52"/>
      <c r="H2315" s="52"/>
    </row>
    <row r="2316" spans="1:8" ht="15.75">
      <c r="A2316" s="50">
        <v>42767</v>
      </c>
      <c r="B2316" s="51">
        <v>5674.75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42768</v>
      </c>
      <c r="B2317" s="51">
        <v>5642.14</v>
      </c>
      <c r="C2317" s="52"/>
      <c r="D2317" s="52"/>
      <c r="E2317" s="52"/>
      <c r="F2317" s="52"/>
      <c r="G2317" s="52"/>
      <c r="H2317" s="52"/>
    </row>
    <row r="2318" spans="1:8" ht="15.75">
      <c r="A2318" s="50">
        <v>42769</v>
      </c>
      <c r="B2318" s="51">
        <v>5653.69</v>
      </c>
      <c r="C2318" s="52"/>
      <c r="D2318" s="52"/>
      <c r="E2318" s="52"/>
      <c r="F2318" s="52"/>
      <c r="G2318" s="52"/>
      <c r="H2318" s="52"/>
    </row>
    <row r="2319" spans="1:8" ht="15.75">
      <c r="A2319" s="50">
        <v>42772</v>
      </c>
      <c r="B2319" s="51">
        <v>5584.9</v>
      </c>
      <c r="C2319" s="52"/>
      <c r="D2319" s="52"/>
      <c r="E2319" s="52"/>
      <c r="F2319" s="52"/>
      <c r="G2319" s="52"/>
      <c r="H2319" s="52"/>
    </row>
    <row r="2320" spans="1:8" ht="15.75">
      <c r="A2320" s="50">
        <v>42773</v>
      </c>
      <c r="B2320" s="51">
        <v>5603.96</v>
      </c>
      <c r="C2320" s="52"/>
      <c r="D2320" s="52"/>
      <c r="E2320" s="52"/>
      <c r="F2320" s="52"/>
      <c r="G2320" s="52"/>
      <c r="H2320" s="52"/>
    </row>
    <row r="2321" spans="1:8" ht="15.75">
      <c r="A2321" s="50">
        <v>42774</v>
      </c>
      <c r="B2321" s="51">
        <v>5600.89</v>
      </c>
      <c r="C2321" s="52"/>
      <c r="D2321" s="52"/>
      <c r="E2321" s="52"/>
      <c r="F2321" s="52"/>
      <c r="G2321" s="52"/>
      <c r="H2321" s="52"/>
    </row>
    <row r="2322" spans="1:8" ht="15.75">
      <c r="A2322" s="50">
        <v>42775</v>
      </c>
      <c r="B2322" s="51">
        <v>5649.22</v>
      </c>
      <c r="C2322" s="52"/>
      <c r="D2322" s="52"/>
      <c r="E2322" s="52"/>
      <c r="F2322" s="52"/>
      <c r="G2322" s="52"/>
      <c r="H2322" s="52"/>
    </row>
    <row r="2323" spans="1:8" ht="15.75">
      <c r="A2323" s="50">
        <v>42776</v>
      </c>
      <c r="B2323" s="51">
        <v>5661.01</v>
      </c>
      <c r="C2323" s="52"/>
      <c r="D2323" s="52"/>
      <c r="E2323" s="52"/>
      <c r="F2323" s="52"/>
      <c r="G2323" s="52"/>
      <c r="H2323" s="52"/>
    </row>
    <row r="2324" spans="1:8" ht="15.75">
      <c r="A2324" s="50">
        <v>42779</v>
      </c>
      <c r="B2324" s="51">
        <v>5713.09</v>
      </c>
      <c r="C2324" s="52"/>
      <c r="D2324" s="52"/>
      <c r="E2324" s="52"/>
      <c r="F2324" s="52"/>
      <c r="G2324" s="52"/>
      <c r="H2324" s="52"/>
    </row>
    <row r="2325" spans="1:8" ht="15.75">
      <c r="A2325" s="50">
        <v>42780</v>
      </c>
      <c r="B2325" s="51">
        <v>5711.8</v>
      </c>
      <c r="C2325" s="52"/>
      <c r="D2325" s="52"/>
      <c r="E2325" s="52"/>
      <c r="F2325" s="52"/>
      <c r="G2325" s="52"/>
      <c r="H2325" s="52"/>
    </row>
    <row r="2326" spans="1:8" ht="15.75">
      <c r="A2326" s="50">
        <v>42781</v>
      </c>
      <c r="B2326" s="51">
        <v>5722.46</v>
      </c>
      <c r="C2326" s="52"/>
      <c r="D2326" s="52"/>
      <c r="E2326" s="52"/>
      <c r="F2326" s="52"/>
      <c r="G2326" s="52"/>
      <c r="H2326" s="52"/>
    </row>
    <row r="2327" spans="1:8" ht="15.75">
      <c r="A2327" s="50">
        <v>42782</v>
      </c>
      <c r="B2327" s="51">
        <v>5704.67</v>
      </c>
      <c r="C2327" s="52"/>
      <c r="D2327" s="52"/>
      <c r="E2327" s="52"/>
      <c r="F2327" s="52"/>
      <c r="G2327" s="52"/>
      <c r="H2327" s="52"/>
    </row>
    <row r="2328" spans="1:8" ht="15.75">
      <c r="A2328" s="50">
        <v>42783</v>
      </c>
      <c r="B2328" s="51">
        <v>5703.25</v>
      </c>
      <c r="C2328" s="52"/>
      <c r="D2328" s="52"/>
      <c r="E2328" s="52"/>
      <c r="F2328" s="52"/>
      <c r="G2328" s="52"/>
      <c r="H2328" s="52"/>
    </row>
    <row r="2329" spans="1:8" ht="15.75">
      <c r="A2329" s="50">
        <v>42786</v>
      </c>
      <c r="B2329" s="51">
        <v>5737.48</v>
      </c>
      <c r="C2329" s="52"/>
      <c r="D2329" s="52"/>
      <c r="E2329" s="52"/>
      <c r="F2329" s="52"/>
      <c r="G2329" s="52"/>
      <c r="H2329" s="52"/>
    </row>
    <row r="2330" spans="1:8" ht="15.75">
      <c r="A2330" s="50">
        <v>42787</v>
      </c>
      <c r="B2330" s="51">
        <v>5805.02</v>
      </c>
      <c r="C2330" s="52"/>
      <c r="D2330" s="52"/>
      <c r="E2330" s="52"/>
      <c r="F2330" s="52"/>
      <c r="G2330" s="52"/>
      <c r="H2330" s="52"/>
    </row>
    <row r="2331" spans="1:8" ht="15.75">
      <c r="A2331" s="50">
        <v>42788</v>
      </c>
      <c r="B2331" s="51">
        <v>5820.32</v>
      </c>
      <c r="C2331" s="52"/>
      <c r="D2331" s="52"/>
      <c r="E2331" s="52"/>
      <c r="F2331" s="52"/>
      <c r="G2331" s="52"/>
      <c r="H2331" s="52"/>
    </row>
    <row r="2332" spans="1:8" ht="15.75">
      <c r="A2332" s="50">
        <v>42789</v>
      </c>
      <c r="B2332" s="51">
        <v>5795.66</v>
      </c>
      <c r="C2332" s="52"/>
      <c r="D2332" s="52"/>
      <c r="E2332" s="52"/>
      <c r="F2332" s="52"/>
      <c r="G2332" s="52"/>
      <c r="H2332" s="52"/>
    </row>
    <row r="2333" spans="1:8" ht="15.75">
      <c r="A2333" s="50">
        <v>42790</v>
      </c>
      <c r="B2333" s="51">
        <v>5725.95</v>
      </c>
      <c r="C2333" s="52"/>
      <c r="D2333" s="52"/>
      <c r="E2333" s="52"/>
      <c r="F2333" s="52"/>
      <c r="G2333" s="52"/>
      <c r="H2333" s="52"/>
    </row>
    <row r="2334" spans="1:8" ht="15.75">
      <c r="A2334" s="50">
        <v>42793</v>
      </c>
      <c r="B2334" s="51">
        <v>5734.95</v>
      </c>
      <c r="C2334" s="52"/>
      <c r="D2334" s="52"/>
      <c r="E2334" s="52"/>
      <c r="F2334" s="52"/>
      <c r="G2334" s="52"/>
      <c r="H2334" s="52"/>
    </row>
    <row r="2335" spans="1:8" ht="15.75">
      <c r="A2335" s="50">
        <v>42794</v>
      </c>
      <c r="B2335" s="51">
        <v>5740.6</v>
      </c>
      <c r="C2335" s="52"/>
      <c r="D2335" s="52"/>
      <c r="E2335" s="52"/>
      <c r="F2335" s="52"/>
      <c r="G2335" s="52"/>
      <c r="H2335" s="52"/>
    </row>
    <row r="2336" spans="1:8" ht="15.75">
      <c r="A2336" s="50">
        <v>42795</v>
      </c>
      <c r="B2336" s="51">
        <v>5853.39</v>
      </c>
      <c r="C2336" s="52"/>
      <c r="D2336" s="52"/>
      <c r="E2336" s="52"/>
      <c r="F2336" s="52"/>
      <c r="G2336" s="52"/>
      <c r="H2336" s="52"/>
    </row>
    <row r="2337" spans="1:8" ht="15.75">
      <c r="A2337" s="50">
        <v>42796</v>
      </c>
      <c r="B2337" s="51">
        <v>5849.81</v>
      </c>
      <c r="C2337" s="52"/>
      <c r="D2337" s="52"/>
      <c r="E2337" s="52"/>
      <c r="F2337" s="52"/>
      <c r="G2337" s="52"/>
      <c r="H2337" s="52"/>
    </row>
    <row r="2338" spans="1:8" ht="15.75">
      <c r="A2338" s="50">
        <v>42797</v>
      </c>
      <c r="B2338" s="51">
        <v>5834.2</v>
      </c>
      <c r="C2338" s="52"/>
      <c r="D2338" s="52"/>
      <c r="E2338" s="52"/>
      <c r="F2338" s="52"/>
      <c r="G2338" s="52"/>
      <c r="H2338" s="52"/>
    </row>
    <row r="2339" spans="1:8" ht="15.75">
      <c r="A2339" s="50">
        <v>42800</v>
      </c>
      <c r="B2339" s="51">
        <v>5800.75</v>
      </c>
      <c r="C2339" s="52"/>
      <c r="D2339" s="52"/>
      <c r="E2339" s="52"/>
      <c r="F2339" s="52"/>
      <c r="G2339" s="52"/>
      <c r="H2339" s="52"/>
    </row>
    <row r="2340" spans="1:8" ht="15.75">
      <c r="A2340" s="50">
        <v>42801</v>
      </c>
      <c r="B2340" s="51">
        <v>5804.5</v>
      </c>
      <c r="C2340" s="52"/>
      <c r="D2340" s="52"/>
      <c r="E2340" s="52"/>
      <c r="F2340" s="52"/>
      <c r="G2340" s="52"/>
      <c r="H2340" s="52"/>
    </row>
    <row r="2341" spans="1:8" ht="15.75">
      <c r="A2341" s="50">
        <v>42802</v>
      </c>
      <c r="B2341" s="51">
        <v>5805.07</v>
      </c>
      <c r="C2341" s="52"/>
      <c r="D2341" s="52"/>
      <c r="E2341" s="52"/>
      <c r="F2341" s="52"/>
      <c r="G2341" s="52"/>
      <c r="H2341" s="52"/>
    </row>
    <row r="2342" spans="1:8" ht="15.75">
      <c r="A2342" s="50">
        <v>42803</v>
      </c>
      <c r="B2342" s="51">
        <v>5810.5</v>
      </c>
      <c r="C2342" s="52"/>
      <c r="D2342" s="52"/>
      <c r="E2342" s="52"/>
      <c r="F2342" s="52"/>
      <c r="G2342" s="52"/>
      <c r="H2342" s="52"/>
    </row>
    <row r="2343" spans="1:8" ht="15.75">
      <c r="A2343" s="50">
        <v>42804</v>
      </c>
      <c r="B2343" s="51">
        <v>5803.24</v>
      </c>
      <c r="C2343" s="52"/>
      <c r="D2343" s="52"/>
      <c r="E2343" s="52"/>
      <c r="F2343" s="52"/>
      <c r="G2343" s="52"/>
      <c r="H2343" s="52"/>
    </row>
    <row r="2344" spans="1:8" ht="15.75">
      <c r="A2344" s="50">
        <v>42807</v>
      </c>
      <c r="B2344" s="51">
        <v>5816.31</v>
      </c>
      <c r="C2344" s="52"/>
      <c r="D2344" s="52"/>
      <c r="E2344" s="52"/>
      <c r="F2344" s="52"/>
      <c r="G2344" s="52"/>
      <c r="H2344" s="52"/>
    </row>
    <row r="2345" spans="1:8" ht="15.75">
      <c r="A2345" s="50">
        <v>42808</v>
      </c>
      <c r="B2345" s="51">
        <v>5815.65</v>
      </c>
      <c r="C2345" s="52"/>
      <c r="D2345" s="52"/>
      <c r="E2345" s="52"/>
      <c r="F2345" s="52"/>
      <c r="G2345" s="52"/>
      <c r="H2345" s="52"/>
    </row>
    <row r="2346" spans="1:8" ht="15.75">
      <c r="A2346" s="50">
        <v>42809</v>
      </c>
      <c r="B2346" s="51">
        <v>5825.84</v>
      </c>
      <c r="C2346" s="52"/>
      <c r="D2346" s="52"/>
      <c r="E2346" s="52"/>
      <c r="F2346" s="52"/>
      <c r="G2346" s="52"/>
      <c r="H2346" s="52"/>
    </row>
    <row r="2347" spans="1:8" ht="15.75">
      <c r="A2347" s="50">
        <v>42810</v>
      </c>
      <c r="B2347" s="51">
        <v>5861.32</v>
      </c>
      <c r="C2347" s="52"/>
      <c r="D2347" s="52"/>
      <c r="E2347" s="52"/>
      <c r="F2347" s="52"/>
      <c r="G2347" s="52"/>
      <c r="H2347" s="52"/>
    </row>
    <row r="2348" spans="1:8" ht="15.75">
      <c r="A2348" s="50">
        <v>42811</v>
      </c>
      <c r="B2348" s="51">
        <v>5867.25</v>
      </c>
      <c r="C2348" s="52"/>
      <c r="D2348" s="52"/>
      <c r="E2348" s="52"/>
      <c r="F2348" s="52"/>
      <c r="G2348" s="52"/>
      <c r="H2348" s="52"/>
    </row>
    <row r="2349" spans="1:8" ht="15.75">
      <c r="A2349" s="50">
        <v>42814</v>
      </c>
      <c r="B2349" s="51">
        <v>5846.71</v>
      </c>
      <c r="C2349" s="52"/>
      <c r="D2349" s="52"/>
      <c r="E2349" s="52"/>
      <c r="F2349" s="52"/>
      <c r="G2349" s="52"/>
      <c r="H2349" s="52"/>
    </row>
    <row r="2350" spans="1:8" ht="15.75">
      <c r="A2350" s="50">
        <v>42815</v>
      </c>
      <c r="B2350" s="51">
        <v>5802.68</v>
      </c>
      <c r="C2350" s="52"/>
      <c r="D2350" s="52"/>
      <c r="E2350" s="52"/>
      <c r="F2350" s="52"/>
      <c r="G2350" s="52"/>
      <c r="H2350" s="52"/>
    </row>
    <row r="2351" spans="1:8" ht="15.75">
      <c r="A2351" s="50">
        <v>42816</v>
      </c>
      <c r="B2351" s="51">
        <v>5774.54</v>
      </c>
      <c r="C2351" s="52"/>
      <c r="D2351" s="52"/>
      <c r="E2351" s="52"/>
      <c r="F2351" s="52"/>
      <c r="G2351" s="52"/>
      <c r="H2351" s="52"/>
    </row>
    <row r="2352" spans="1:8" ht="15.75">
      <c r="A2352" s="50">
        <v>42817</v>
      </c>
      <c r="B2352" s="51">
        <v>5840.3</v>
      </c>
      <c r="C2352" s="52"/>
      <c r="D2352" s="52"/>
      <c r="E2352" s="52"/>
      <c r="F2352" s="52"/>
      <c r="G2352" s="52"/>
      <c r="H2352" s="52"/>
    </row>
    <row r="2353" spans="1:8" ht="15.75">
      <c r="A2353" s="50">
        <v>42818</v>
      </c>
      <c r="B2353" s="51">
        <v>5852.23</v>
      </c>
      <c r="C2353" s="52"/>
      <c r="D2353" s="52"/>
      <c r="E2353" s="52"/>
      <c r="F2353" s="52"/>
      <c r="G2353" s="52"/>
      <c r="H2353" s="52"/>
    </row>
    <row r="2354" spans="1:8" ht="15.75">
      <c r="A2354" s="50">
        <v>42821</v>
      </c>
      <c r="B2354" s="51">
        <v>5819.14</v>
      </c>
      <c r="C2354" s="52"/>
      <c r="D2354" s="52"/>
      <c r="E2354" s="52"/>
      <c r="F2354" s="52"/>
      <c r="G2354" s="52"/>
      <c r="H2354" s="52"/>
    </row>
    <row r="2355" spans="1:8" ht="15.75">
      <c r="A2355" s="50">
        <v>42822</v>
      </c>
      <c r="B2355" s="51">
        <v>5893.53</v>
      </c>
      <c r="C2355" s="52"/>
      <c r="D2355" s="52"/>
      <c r="E2355" s="52"/>
      <c r="F2355" s="52"/>
      <c r="G2355" s="52"/>
      <c r="H2355" s="52"/>
    </row>
    <row r="2356" spans="1:8" ht="15.75">
      <c r="A2356" s="50">
        <v>42823</v>
      </c>
      <c r="B2356" s="51">
        <v>5919.52</v>
      </c>
      <c r="C2356" s="52"/>
      <c r="D2356" s="52"/>
      <c r="E2356" s="52"/>
      <c r="F2356" s="52"/>
      <c r="G2356" s="52"/>
      <c r="H2356" s="52"/>
    </row>
    <row r="2357" spans="1:8" ht="15.75">
      <c r="A2357" s="50">
        <v>42824</v>
      </c>
      <c r="B2357" s="51">
        <v>5926.02</v>
      </c>
      <c r="C2357" s="52"/>
      <c r="D2357" s="52"/>
      <c r="E2357" s="52"/>
      <c r="F2357" s="52"/>
      <c r="G2357" s="52"/>
      <c r="H2357" s="52"/>
    </row>
    <row r="2358" spans="1:8" ht="15.75">
      <c r="A2358" s="50">
        <v>42825</v>
      </c>
      <c r="B2358" s="51">
        <v>5953.44</v>
      </c>
      <c r="C2358" s="52"/>
      <c r="D2358" s="52"/>
      <c r="E2358" s="52"/>
      <c r="F2358" s="52"/>
      <c r="G2358" s="52"/>
      <c r="H2358" s="52"/>
    </row>
    <row r="2359" spans="1:8" ht="15.75">
      <c r="A2359" s="50">
        <v>42828</v>
      </c>
      <c r="B2359" s="51">
        <v>5926.64</v>
      </c>
      <c r="C2359" s="52"/>
      <c r="D2359" s="52"/>
      <c r="E2359" s="52"/>
      <c r="F2359" s="52"/>
      <c r="G2359" s="52"/>
      <c r="H2359" s="52"/>
    </row>
    <row r="2360" spans="1:8" ht="15.75">
      <c r="A2360" s="50">
        <v>42829</v>
      </c>
      <c r="B2360" s="51">
        <v>5939.04</v>
      </c>
      <c r="C2360" s="52"/>
      <c r="D2360" s="52"/>
      <c r="E2360" s="52"/>
      <c r="F2360" s="52"/>
      <c r="G2360" s="52"/>
      <c r="H2360" s="52"/>
    </row>
    <row r="2361" spans="1:8" ht="15.75">
      <c r="A2361" s="50">
        <v>42830</v>
      </c>
      <c r="B2361" s="51">
        <v>5907.8</v>
      </c>
      <c r="C2361" s="52"/>
      <c r="D2361" s="52"/>
      <c r="E2361" s="52"/>
      <c r="F2361" s="52"/>
      <c r="G2361" s="52"/>
      <c r="H2361" s="52"/>
    </row>
    <row r="2362" spans="1:8" ht="15.75">
      <c r="A2362" s="50">
        <v>42831</v>
      </c>
      <c r="B2362" s="51">
        <v>5914.25</v>
      </c>
      <c r="C2362" s="52"/>
      <c r="D2362" s="52"/>
      <c r="E2362" s="52"/>
      <c r="F2362" s="52"/>
      <c r="G2362" s="52"/>
      <c r="H2362" s="52"/>
    </row>
    <row r="2363" spans="1:8" ht="15.75">
      <c r="A2363" s="50">
        <v>42832</v>
      </c>
      <c r="B2363" s="51">
        <v>5909.76</v>
      </c>
      <c r="C2363" s="52"/>
      <c r="D2363" s="52"/>
      <c r="E2363" s="52"/>
      <c r="F2363" s="52"/>
      <c r="G2363" s="52"/>
      <c r="H2363" s="52"/>
    </row>
    <row r="2364" spans="1:8" ht="15.75">
      <c r="A2364" s="50">
        <v>42835</v>
      </c>
      <c r="B2364" s="51">
        <v>5897.89</v>
      </c>
      <c r="C2364" s="52"/>
      <c r="D2364" s="52"/>
      <c r="E2364" s="52"/>
      <c r="F2364" s="52"/>
      <c r="G2364" s="52"/>
      <c r="H2364" s="52"/>
    </row>
    <row r="2365" spans="1:8" ht="15.75">
      <c r="A2365" s="50">
        <v>42836</v>
      </c>
      <c r="B2365" s="51">
        <v>5868.29</v>
      </c>
      <c r="C2365" s="52"/>
      <c r="D2365" s="52"/>
      <c r="E2365" s="52"/>
      <c r="F2365" s="52"/>
      <c r="G2365" s="52"/>
      <c r="H2365" s="52"/>
    </row>
    <row r="2366" spans="1:8" ht="15.75">
      <c r="A2366" s="50">
        <v>42837</v>
      </c>
      <c r="B2366" s="51">
        <v>5875.67</v>
      </c>
      <c r="C2366" s="52"/>
      <c r="D2366" s="52"/>
      <c r="E2366" s="52"/>
      <c r="F2366" s="52"/>
      <c r="G2366" s="52"/>
      <c r="H2366" s="52"/>
    </row>
    <row r="2367" spans="1:8" ht="15.75">
      <c r="A2367" s="50">
        <v>42838</v>
      </c>
      <c r="B2367" s="51">
        <v>5853.62</v>
      </c>
      <c r="C2367" s="52"/>
      <c r="D2367" s="52"/>
      <c r="E2367" s="52"/>
      <c r="F2367" s="52"/>
      <c r="G2367" s="52"/>
      <c r="H2367" s="52"/>
    </row>
    <row r="2368" spans="1:8" ht="15.75">
      <c r="A2368" s="50">
        <v>42843</v>
      </c>
      <c r="B2368" s="51">
        <v>5801.21</v>
      </c>
      <c r="C2368" s="52"/>
      <c r="D2368" s="52"/>
      <c r="E2368" s="52"/>
      <c r="F2368" s="52"/>
      <c r="G2368" s="52"/>
      <c r="H2368" s="52"/>
    </row>
    <row r="2369" spans="1:8" ht="15.75">
      <c r="A2369" s="50">
        <v>42844</v>
      </c>
      <c r="B2369" s="51">
        <v>5808.88</v>
      </c>
      <c r="C2369" s="52"/>
      <c r="D2369" s="52"/>
      <c r="E2369" s="52"/>
      <c r="F2369" s="52"/>
      <c r="G2369" s="52"/>
      <c r="H2369" s="52"/>
    </row>
    <row r="2370" spans="1:8" ht="15.75">
      <c r="A2370" s="50">
        <v>42845</v>
      </c>
      <c r="B2370" s="51">
        <v>5814.04</v>
      </c>
      <c r="C2370" s="52"/>
      <c r="D2370" s="52"/>
      <c r="E2370" s="52"/>
      <c r="F2370" s="52"/>
      <c r="G2370" s="52"/>
      <c r="H2370" s="52"/>
    </row>
    <row r="2371" spans="1:8" ht="15.75">
      <c r="A2371" s="50">
        <v>42846</v>
      </c>
      <c r="B2371" s="51">
        <v>5823.98</v>
      </c>
      <c r="C2371" s="52"/>
      <c r="D2371" s="52"/>
      <c r="E2371" s="52"/>
      <c r="F2371" s="52"/>
      <c r="G2371" s="52"/>
      <c r="H2371" s="52"/>
    </row>
    <row r="2372" spans="1:8" ht="15.75">
      <c r="A2372" s="50">
        <v>42849</v>
      </c>
      <c r="B2372" s="51">
        <v>6020.64</v>
      </c>
      <c r="C2372" s="52"/>
      <c r="D2372" s="52"/>
      <c r="E2372" s="52"/>
      <c r="F2372" s="52"/>
      <c r="G2372" s="52"/>
      <c r="H2372" s="52"/>
    </row>
    <row r="2373" spans="1:8" ht="15.75">
      <c r="A2373" s="50">
        <v>42850</v>
      </c>
      <c r="B2373" s="51">
        <v>6026.23</v>
      </c>
      <c r="C2373" s="52"/>
      <c r="D2373" s="52"/>
      <c r="E2373" s="52"/>
      <c r="F2373" s="52"/>
      <c r="G2373" s="52"/>
      <c r="H2373" s="52"/>
    </row>
    <row r="2374" spans="1:8" ht="15.75">
      <c r="A2374" s="50">
        <v>42851</v>
      </c>
      <c r="B2374" s="51">
        <v>6028.99</v>
      </c>
      <c r="C2374" s="52"/>
      <c r="D2374" s="52"/>
      <c r="E2374" s="52"/>
      <c r="F2374" s="52"/>
      <c r="G2374" s="52"/>
      <c r="H2374" s="52"/>
    </row>
    <row r="2375" spans="1:8" ht="15.75">
      <c r="A2375" s="50">
        <v>42852</v>
      </c>
      <c r="B2375" s="51">
        <v>6007.12</v>
      </c>
      <c r="C2375" s="52"/>
      <c r="D2375" s="52"/>
      <c r="E2375" s="52"/>
      <c r="F2375" s="52"/>
      <c r="G2375" s="52"/>
      <c r="H2375" s="52"/>
    </row>
    <row r="2376" spans="1:8" ht="15.75">
      <c r="A2376" s="50">
        <v>42853</v>
      </c>
      <c r="B2376" s="51">
        <v>6004.37</v>
      </c>
      <c r="C2376" s="52"/>
      <c r="D2376" s="52"/>
      <c r="E2376" s="52"/>
      <c r="F2376" s="52"/>
      <c r="G2376" s="52"/>
      <c r="H2376" s="52"/>
    </row>
    <row r="2377" spans="1:8" ht="15.75">
      <c r="A2377" s="50">
        <v>42857</v>
      </c>
      <c r="B2377" s="51">
        <v>6015.3</v>
      </c>
      <c r="C2377" s="52"/>
      <c r="D2377" s="52"/>
      <c r="E2377" s="52"/>
      <c r="F2377" s="52"/>
      <c r="G2377" s="52"/>
      <c r="H2377" s="52"/>
    </row>
    <row r="2378" spans="1:8" ht="15.75">
      <c r="A2378" s="50">
        <v>42858</v>
      </c>
      <c r="B2378" s="51">
        <v>6024.77</v>
      </c>
      <c r="C2378" s="52"/>
      <c r="D2378" s="52"/>
      <c r="E2378" s="52"/>
      <c r="F2378" s="52"/>
      <c r="G2378" s="52"/>
      <c r="H2378" s="52"/>
    </row>
    <row r="2379" spans="1:8" ht="15.75">
      <c r="A2379" s="50">
        <v>42859</v>
      </c>
      <c r="B2379" s="51">
        <v>6061.22</v>
      </c>
      <c r="C2379" s="52"/>
      <c r="D2379" s="52"/>
      <c r="E2379" s="52"/>
      <c r="F2379" s="52"/>
      <c r="G2379" s="52"/>
      <c r="H2379" s="52"/>
    </row>
    <row r="2380" spans="1:8" ht="15.75">
      <c r="A2380" s="50">
        <v>42860</v>
      </c>
      <c r="B2380" s="51">
        <v>6094.38</v>
      </c>
      <c r="C2380" s="52"/>
      <c r="D2380" s="52"/>
      <c r="E2380" s="52"/>
      <c r="F2380" s="52"/>
      <c r="G2380" s="52"/>
      <c r="H2380" s="52"/>
    </row>
    <row r="2381" spans="1:8" ht="15.75">
      <c r="A2381" s="50">
        <v>42863</v>
      </c>
      <c r="B2381" s="51">
        <v>6082.15</v>
      </c>
      <c r="C2381" s="52"/>
      <c r="D2381" s="52"/>
      <c r="E2381" s="52"/>
      <c r="F2381" s="52"/>
      <c r="G2381" s="52"/>
      <c r="H2381" s="52"/>
    </row>
    <row r="2382" spans="1:8" ht="15.75">
      <c r="A2382" s="50">
        <v>42864</v>
      </c>
      <c r="B2382" s="51">
        <v>6108.67</v>
      </c>
      <c r="C2382" s="52"/>
      <c r="D2382" s="52"/>
      <c r="E2382" s="52"/>
      <c r="F2382" s="52"/>
      <c r="G2382" s="52"/>
      <c r="H2382" s="52"/>
    </row>
    <row r="2383" spans="1:8" ht="15.75">
      <c r="A2383" s="50">
        <v>42865</v>
      </c>
      <c r="B2383" s="51">
        <v>6112.51</v>
      </c>
      <c r="C2383" s="52"/>
      <c r="D2383" s="52"/>
      <c r="E2383" s="52"/>
      <c r="F2383" s="52"/>
      <c r="G2383" s="52"/>
      <c r="H2383" s="52"/>
    </row>
    <row r="2384" spans="1:8" ht="15.75">
      <c r="A2384" s="50">
        <v>42866</v>
      </c>
      <c r="B2384" s="51">
        <v>6073.27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42867</v>
      </c>
      <c r="B2385" s="51">
        <v>6091.51</v>
      </c>
      <c r="C2385" s="52"/>
      <c r="D2385" s="52"/>
      <c r="E2385" s="52"/>
      <c r="F2385" s="52"/>
      <c r="G2385" s="52"/>
      <c r="H2385" s="52"/>
    </row>
    <row r="2386" spans="1:8" ht="15.75">
      <c r="A2386" s="50">
        <v>42870</v>
      </c>
      <c r="B2386" s="51">
        <v>6088.32</v>
      </c>
      <c r="C2386" s="52"/>
      <c r="D2386" s="52"/>
      <c r="E2386" s="52"/>
      <c r="F2386" s="52"/>
      <c r="G2386" s="52"/>
      <c r="H2386" s="52"/>
    </row>
    <row r="2387" spans="1:8" ht="15.75">
      <c r="A2387" s="50">
        <v>42871</v>
      </c>
      <c r="B2387" s="51">
        <v>6087.47</v>
      </c>
      <c r="C2387" s="52"/>
      <c r="D2387" s="52"/>
      <c r="E2387" s="52"/>
      <c r="F2387" s="52"/>
      <c r="G2387" s="52"/>
      <c r="H2387" s="52"/>
    </row>
    <row r="2388" spans="1:8" ht="15.75">
      <c r="A2388" s="50">
        <v>42872</v>
      </c>
      <c r="B2388" s="51">
        <v>6002.38</v>
      </c>
      <c r="C2388" s="52"/>
      <c r="D2388" s="52"/>
      <c r="E2388" s="52"/>
      <c r="F2388" s="52"/>
      <c r="G2388" s="52"/>
      <c r="H2388" s="52"/>
    </row>
    <row r="2389" spans="1:8" ht="15.75">
      <c r="A2389" s="50">
        <v>42873</v>
      </c>
      <c r="B2389" s="51">
        <v>5979.94</v>
      </c>
      <c r="C2389" s="52"/>
      <c r="D2389" s="52"/>
      <c r="E2389" s="52"/>
      <c r="F2389" s="52"/>
      <c r="G2389" s="52"/>
      <c r="H2389" s="52"/>
    </row>
    <row r="2390" spans="1:8" ht="15.75">
      <c r="A2390" s="50">
        <v>42874</v>
      </c>
      <c r="B2390" s="51">
        <v>6001.5</v>
      </c>
      <c r="C2390" s="52"/>
      <c r="D2390" s="52"/>
      <c r="E2390" s="52"/>
      <c r="F2390" s="52"/>
      <c r="G2390" s="52"/>
      <c r="H2390" s="52"/>
    </row>
    <row r="2391" spans="1:8" ht="15.75">
      <c r="A2391" s="50">
        <v>42877</v>
      </c>
      <c r="B2391" s="51">
        <v>5992.25</v>
      </c>
      <c r="C2391" s="52"/>
      <c r="D2391" s="52"/>
      <c r="E2391" s="52"/>
      <c r="F2391" s="52"/>
      <c r="G2391" s="52"/>
      <c r="H2391" s="52"/>
    </row>
    <row r="2392" spans="1:8" ht="15.75">
      <c r="A2392" s="50">
        <v>42878</v>
      </c>
      <c r="B2392" s="51">
        <v>6011.18</v>
      </c>
      <c r="C2392" s="52"/>
      <c r="D2392" s="52"/>
      <c r="E2392" s="52"/>
      <c r="F2392" s="52"/>
      <c r="G2392" s="52"/>
      <c r="H2392" s="52"/>
    </row>
    <row r="2393" spans="1:8" ht="15.75">
      <c r="A2393" s="50">
        <v>42879</v>
      </c>
      <c r="B2393" s="51">
        <v>6003.61</v>
      </c>
      <c r="C2393" s="52"/>
      <c r="D2393" s="52"/>
      <c r="E2393" s="52"/>
      <c r="F2393" s="52"/>
      <c r="G2393" s="52"/>
      <c r="H2393" s="52"/>
    </row>
    <row r="2394" spans="1:8" ht="15.75">
      <c r="A2394" s="50">
        <v>42880</v>
      </c>
      <c r="B2394" s="51">
        <v>5993.64</v>
      </c>
      <c r="C2394" s="52"/>
      <c r="D2394" s="52"/>
      <c r="E2394" s="52"/>
      <c r="F2394" s="52"/>
      <c r="G2394" s="52"/>
      <c r="H2394" s="52"/>
    </row>
    <row r="2395" spans="1:8" ht="15.75">
      <c r="A2395" s="50">
        <v>42881</v>
      </c>
      <c r="B2395" s="51">
        <v>5984.51</v>
      </c>
      <c r="C2395" s="52"/>
      <c r="D2395" s="52"/>
      <c r="E2395" s="52"/>
      <c r="F2395" s="52"/>
      <c r="G2395" s="52"/>
      <c r="H2395" s="52"/>
    </row>
    <row r="2396" spans="1:8" ht="15.75">
      <c r="A2396" s="50">
        <v>42884</v>
      </c>
      <c r="B2396" s="51">
        <v>5997.14</v>
      </c>
      <c r="C2396" s="52"/>
      <c r="D2396" s="52"/>
      <c r="E2396" s="52"/>
      <c r="F2396" s="52"/>
      <c r="G2396" s="52"/>
      <c r="H2396" s="52"/>
    </row>
    <row r="2397" spans="1:8" ht="15.75">
      <c r="A2397" s="50">
        <v>42885</v>
      </c>
      <c r="B2397" s="51">
        <v>5982.76</v>
      </c>
      <c r="C2397" s="52"/>
      <c r="D2397" s="52"/>
      <c r="E2397" s="52"/>
      <c r="F2397" s="52"/>
      <c r="G2397" s="52"/>
      <c r="H2397" s="52"/>
    </row>
    <row r="2398" spans="1:8" ht="15.75">
      <c r="A2398" s="50">
        <v>42886</v>
      </c>
      <c r="B2398" s="51">
        <v>5990.58</v>
      </c>
      <c r="C2398" s="52"/>
      <c r="D2398" s="52"/>
      <c r="E2398" s="52"/>
      <c r="F2398" s="52"/>
      <c r="G2398" s="52"/>
      <c r="H2398" s="52"/>
    </row>
    <row r="2399" spans="1:8" ht="15.75">
      <c r="A2399" s="50">
        <v>42887</v>
      </c>
      <c r="B2399" s="51">
        <v>6002.71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42888</v>
      </c>
      <c r="B2400" s="51">
        <v>6077.66</v>
      </c>
      <c r="C2400" s="52"/>
      <c r="D2400" s="52"/>
      <c r="E2400" s="52"/>
      <c r="F2400" s="52"/>
      <c r="G2400" s="52"/>
      <c r="H2400" s="52"/>
    </row>
    <row r="2401" spans="1:8" ht="15.75">
      <c r="A2401" s="50">
        <v>42892</v>
      </c>
      <c r="B2401" s="51">
        <v>6014.69</v>
      </c>
      <c r="C2401" s="52"/>
      <c r="D2401" s="52"/>
      <c r="E2401" s="52"/>
      <c r="F2401" s="52"/>
      <c r="G2401" s="52"/>
      <c r="H2401" s="52"/>
    </row>
    <row r="2402" spans="1:8" ht="15.75">
      <c r="A2402" s="50">
        <v>42893</v>
      </c>
      <c r="B2402" s="51">
        <v>6006.46</v>
      </c>
      <c r="C2402" s="52"/>
      <c r="D2402" s="52"/>
      <c r="E2402" s="52"/>
      <c r="F2402" s="52"/>
      <c r="G2402" s="52"/>
      <c r="H2402" s="52"/>
    </row>
    <row r="2403" spans="1:8" ht="15.75">
      <c r="A2403" s="50">
        <v>42894</v>
      </c>
      <c r="B2403" s="51">
        <v>6026.05</v>
      </c>
      <c r="C2403" s="52"/>
      <c r="D2403" s="52"/>
      <c r="E2403" s="52"/>
      <c r="F2403" s="52"/>
      <c r="G2403" s="52"/>
      <c r="H2403" s="52"/>
    </row>
    <row r="2404" spans="1:8" ht="15.75">
      <c r="A2404" s="50">
        <v>42895</v>
      </c>
      <c r="B2404" s="51">
        <v>6074.47</v>
      </c>
      <c r="C2404" s="52"/>
      <c r="D2404" s="52"/>
      <c r="E2404" s="52"/>
      <c r="F2404" s="52"/>
      <c r="G2404" s="52"/>
      <c r="H2404" s="52"/>
    </row>
    <row r="2405" spans="1:8" ht="15.75">
      <c r="A2405" s="50">
        <v>42898</v>
      </c>
      <c r="B2405" s="51">
        <v>6014.38</v>
      </c>
      <c r="C2405" s="52"/>
      <c r="D2405" s="52"/>
      <c r="E2405" s="52"/>
      <c r="F2405" s="52"/>
      <c r="G2405" s="52"/>
      <c r="H2405" s="52"/>
    </row>
    <row r="2406" spans="1:8" ht="15.75">
      <c r="A2406" s="50">
        <v>42899</v>
      </c>
      <c r="B2406" s="51">
        <v>6049.94</v>
      </c>
      <c r="C2406" s="52"/>
      <c r="D2406" s="52"/>
      <c r="E2406" s="52"/>
      <c r="F2406" s="52"/>
      <c r="G2406" s="52"/>
      <c r="H2406" s="52"/>
    </row>
    <row r="2407" spans="1:8" ht="15.75">
      <c r="A2407" s="50">
        <v>42900</v>
      </c>
      <c r="B2407" s="51">
        <v>6069.36</v>
      </c>
      <c r="C2407" s="52"/>
      <c r="D2407" s="52"/>
      <c r="E2407" s="52"/>
      <c r="F2407" s="52"/>
      <c r="G2407" s="52"/>
      <c r="H2407" s="52"/>
    </row>
    <row r="2408" spans="1:8" ht="15.75">
      <c r="A2408" s="50">
        <v>42901</v>
      </c>
      <c r="B2408" s="51">
        <v>6015.27</v>
      </c>
      <c r="C2408" s="52"/>
      <c r="D2408" s="52"/>
      <c r="E2408" s="52"/>
      <c r="F2408" s="52"/>
      <c r="G2408" s="52"/>
      <c r="H2408" s="52"/>
    </row>
    <row r="2409" spans="1:8" ht="15.75">
      <c r="A2409" s="50">
        <v>42902</v>
      </c>
      <c r="B2409" s="51">
        <v>6044.11</v>
      </c>
      <c r="C2409" s="52"/>
      <c r="D2409" s="52"/>
      <c r="E2409" s="52"/>
      <c r="F2409" s="52"/>
      <c r="G2409" s="52"/>
      <c r="H2409" s="52"/>
    </row>
    <row r="2410" spans="1:8" ht="15.75">
      <c r="A2410" s="50">
        <v>42905</v>
      </c>
      <c r="B2410" s="51">
        <v>6108.67</v>
      </c>
      <c r="C2410" s="52"/>
      <c r="D2410" s="52"/>
      <c r="E2410" s="52"/>
      <c r="F2410" s="52"/>
      <c r="G2410" s="52"/>
      <c r="H2410" s="52"/>
    </row>
    <row r="2411" spans="1:8" ht="15.75">
      <c r="A2411" s="50">
        <v>42906</v>
      </c>
      <c r="B2411" s="51">
        <v>6073.52</v>
      </c>
      <c r="C2411" s="52"/>
      <c r="D2411" s="52"/>
      <c r="E2411" s="52"/>
      <c r="F2411" s="52"/>
      <c r="G2411" s="52"/>
      <c r="H2411" s="52"/>
    </row>
    <row r="2412" spans="1:8" ht="15.75">
      <c r="A2412" s="50">
        <v>42907</v>
      </c>
      <c r="B2412" s="51">
        <v>6054.31</v>
      </c>
      <c r="C2412" s="52"/>
      <c r="D2412" s="52"/>
      <c r="E2412" s="52"/>
      <c r="F2412" s="52"/>
      <c r="G2412" s="52"/>
      <c r="H2412" s="52"/>
    </row>
    <row r="2413" spans="1:8" ht="15.75">
      <c r="A2413" s="50">
        <v>42908</v>
      </c>
      <c r="B2413" s="51">
        <v>6063.67</v>
      </c>
      <c r="C2413" s="52"/>
      <c r="D2413" s="52"/>
      <c r="E2413" s="52"/>
      <c r="F2413" s="52"/>
      <c r="G2413" s="52"/>
      <c r="H2413" s="52"/>
    </row>
    <row r="2414" spans="1:8" ht="15.75">
      <c r="A2414" s="50">
        <v>42909</v>
      </c>
      <c r="B2414" s="51">
        <v>6034.95</v>
      </c>
      <c r="C2414" s="52"/>
      <c r="D2414" s="52"/>
      <c r="E2414" s="52"/>
      <c r="F2414" s="52"/>
      <c r="G2414" s="52"/>
      <c r="H2414" s="52"/>
    </row>
    <row r="2415" spans="1:8" ht="15.75">
      <c r="A2415" s="50">
        <v>42912</v>
      </c>
      <c r="B2415" s="51">
        <v>6052.69</v>
      </c>
      <c r="C2415" s="52"/>
      <c r="D2415" s="52"/>
      <c r="E2415" s="52"/>
      <c r="F2415" s="52"/>
      <c r="G2415" s="52"/>
      <c r="H2415" s="52"/>
    </row>
    <row r="2416" spans="1:8" ht="15.75">
      <c r="A2416" s="50">
        <v>42913</v>
      </c>
      <c r="B2416" s="51">
        <v>6005.38</v>
      </c>
      <c r="C2416" s="52"/>
      <c r="D2416" s="52"/>
      <c r="E2416" s="52"/>
      <c r="F2416" s="52"/>
      <c r="G2416" s="52"/>
      <c r="H2416" s="52"/>
    </row>
    <row r="2417" spans="1:8" ht="15.75">
      <c r="A2417" s="50">
        <v>42914</v>
      </c>
      <c r="B2417" s="51">
        <v>5994.13</v>
      </c>
      <c r="C2417" s="52"/>
      <c r="D2417" s="52"/>
      <c r="E2417" s="52"/>
      <c r="F2417" s="52"/>
      <c r="G2417" s="52"/>
      <c r="H2417" s="52"/>
    </row>
    <row r="2418" spans="1:8" ht="15.75">
      <c r="A2418" s="50">
        <v>42915</v>
      </c>
      <c r="B2418" s="51">
        <v>5884.61</v>
      </c>
      <c r="C2418" s="52"/>
      <c r="D2418" s="52"/>
      <c r="E2418" s="52"/>
      <c r="F2418" s="52"/>
      <c r="G2418" s="52"/>
      <c r="H2418" s="52"/>
    </row>
    <row r="2419" spans="1:8" ht="15.75">
      <c r="A2419" s="50">
        <v>42916</v>
      </c>
      <c r="B2419" s="51">
        <v>5841.44</v>
      </c>
      <c r="C2419" s="52"/>
      <c r="D2419" s="52"/>
      <c r="E2419" s="52"/>
      <c r="F2419" s="52"/>
      <c r="G2419" s="52"/>
      <c r="H2419" s="52"/>
    </row>
    <row r="2420" spans="1:8" ht="15.75">
      <c r="A2420" s="50">
        <v>42919</v>
      </c>
      <c r="B2420" s="51">
        <v>5912.63</v>
      </c>
      <c r="C2420" s="52"/>
      <c r="D2420" s="52"/>
      <c r="E2420" s="52"/>
      <c r="F2420" s="52"/>
      <c r="G2420" s="52"/>
      <c r="H2420" s="52"/>
    </row>
    <row r="2421" spans="1:8" ht="15.75">
      <c r="A2421" s="50">
        <v>42920</v>
      </c>
      <c r="B2421" s="51">
        <v>5894.53</v>
      </c>
      <c r="C2421" s="52"/>
      <c r="D2421" s="52"/>
      <c r="E2421" s="52"/>
      <c r="F2421" s="52"/>
      <c r="G2421" s="52"/>
      <c r="H2421" s="52"/>
    </row>
    <row r="2422" spans="1:8" ht="15.75">
      <c r="A2422" s="50">
        <v>42921</v>
      </c>
      <c r="B2422" s="51">
        <v>5902.38</v>
      </c>
      <c r="C2422" s="52"/>
      <c r="D2422" s="52"/>
      <c r="E2422" s="52"/>
      <c r="F2422" s="52"/>
      <c r="G2422" s="52"/>
      <c r="H2422" s="52"/>
    </row>
    <row r="2423" spans="1:8" ht="15.75">
      <c r="A2423" s="50">
        <v>42922</v>
      </c>
      <c r="B2423" s="51">
        <v>5868.05</v>
      </c>
      <c r="C2423" s="52"/>
      <c r="D2423" s="52"/>
      <c r="E2423" s="52"/>
      <c r="F2423" s="52"/>
      <c r="G2423" s="52"/>
      <c r="H2423" s="52"/>
    </row>
    <row r="2424" spans="1:8" ht="15.75">
      <c r="A2424" s="50">
        <v>42923</v>
      </c>
      <c r="B2424" s="51">
        <v>5871.57</v>
      </c>
      <c r="C2424" s="52"/>
      <c r="D2424" s="52"/>
      <c r="E2424" s="52"/>
      <c r="F2424" s="52"/>
      <c r="G2424" s="52"/>
      <c r="H2424" s="52"/>
    </row>
    <row r="2425" spans="1:8" ht="15.75">
      <c r="A2425" s="50">
        <v>42926</v>
      </c>
      <c r="B2425" s="51">
        <v>5898.7</v>
      </c>
      <c r="C2425" s="52"/>
      <c r="D2425" s="52"/>
      <c r="E2425" s="52"/>
      <c r="F2425" s="52"/>
      <c r="G2425" s="52"/>
      <c r="H2425" s="52"/>
    </row>
    <row r="2426" spans="1:8" ht="15.75">
      <c r="A2426" s="50">
        <v>42927</v>
      </c>
      <c r="B2426" s="51">
        <v>5894.48</v>
      </c>
      <c r="C2426" s="52"/>
      <c r="D2426" s="52"/>
      <c r="E2426" s="52"/>
      <c r="F2426" s="52"/>
      <c r="G2426" s="52"/>
      <c r="H2426" s="52"/>
    </row>
    <row r="2427" spans="1:8" ht="15.75">
      <c r="A2427" s="50">
        <v>42928</v>
      </c>
      <c r="B2427" s="51">
        <v>5984.32</v>
      </c>
      <c r="C2427" s="52"/>
      <c r="D2427" s="52"/>
      <c r="E2427" s="52"/>
      <c r="F2427" s="52"/>
      <c r="G2427" s="52"/>
      <c r="H2427" s="52"/>
    </row>
    <row r="2428" spans="1:8" ht="15.75">
      <c r="A2428" s="50">
        <v>42929</v>
      </c>
      <c r="B2428" s="51">
        <v>5991.31</v>
      </c>
      <c r="C2428" s="52"/>
      <c r="D2428" s="52"/>
      <c r="E2428" s="52"/>
      <c r="F2428" s="52"/>
      <c r="G2428" s="52"/>
      <c r="H2428" s="52"/>
    </row>
    <row r="2429" spans="1:8" ht="15.75">
      <c r="A2429" s="50">
        <v>42930</v>
      </c>
      <c r="B2429" s="51">
        <v>5986.76</v>
      </c>
      <c r="C2429" s="52"/>
      <c r="D2429" s="52"/>
      <c r="E2429" s="52"/>
      <c r="F2429" s="52"/>
      <c r="G2429" s="52"/>
      <c r="H2429" s="52"/>
    </row>
    <row r="2430" spans="1:8" ht="15.75">
      <c r="A2430" s="50">
        <v>42933</v>
      </c>
      <c r="B2430" s="51">
        <v>5965.64</v>
      </c>
      <c r="C2430" s="52"/>
      <c r="D2430" s="52"/>
      <c r="E2430" s="52"/>
      <c r="F2430" s="52"/>
      <c r="G2430" s="52"/>
      <c r="H2430" s="52"/>
    </row>
    <row r="2431" spans="1:8" ht="15.75">
      <c r="A2431" s="50">
        <v>42934</v>
      </c>
      <c r="B2431" s="51">
        <v>5891.34</v>
      </c>
      <c r="C2431" s="52"/>
      <c r="D2431" s="52"/>
      <c r="E2431" s="52"/>
      <c r="F2431" s="52"/>
      <c r="G2431" s="52"/>
      <c r="H2431" s="52"/>
    </row>
    <row r="2432" spans="1:8" ht="15.75">
      <c r="A2432" s="50">
        <v>42935</v>
      </c>
      <c r="B2432" s="51">
        <v>5901.6</v>
      </c>
      <c r="C2432" s="52"/>
      <c r="D2432" s="52"/>
      <c r="E2432" s="52"/>
      <c r="F2432" s="52"/>
      <c r="G2432" s="52"/>
      <c r="H2432" s="52"/>
    </row>
    <row r="2433" spans="1:8" ht="15.75">
      <c r="A2433" s="50">
        <v>42936</v>
      </c>
      <c r="B2433" s="51">
        <v>5899.33</v>
      </c>
      <c r="C2433" s="52"/>
      <c r="D2433" s="52"/>
      <c r="E2433" s="52"/>
      <c r="F2433" s="52"/>
      <c r="G2433" s="52"/>
      <c r="H2433" s="52"/>
    </row>
    <row r="2434" spans="1:8" ht="15.75">
      <c r="A2434" s="50">
        <v>42937</v>
      </c>
      <c r="B2434" s="51">
        <v>5801.13</v>
      </c>
      <c r="C2434" s="52"/>
      <c r="D2434" s="52"/>
      <c r="E2434" s="52"/>
      <c r="F2434" s="52"/>
      <c r="G2434" s="52"/>
      <c r="H2434" s="52"/>
    </row>
    <row r="2435" spans="1:8" ht="15.75">
      <c r="A2435" s="50">
        <v>42940</v>
      </c>
      <c r="B2435" s="51">
        <v>5786.39</v>
      </c>
      <c r="C2435" s="52"/>
      <c r="D2435" s="52"/>
      <c r="E2435" s="52"/>
      <c r="F2435" s="52"/>
      <c r="G2435" s="52"/>
      <c r="H2435" s="52"/>
    </row>
    <row r="2436" spans="1:8" ht="15.75">
      <c r="A2436" s="50">
        <v>42941</v>
      </c>
      <c r="B2436" s="51">
        <v>5812.62</v>
      </c>
      <c r="C2436" s="52"/>
      <c r="D2436" s="52"/>
      <c r="E2436" s="52"/>
      <c r="F2436" s="52"/>
      <c r="G2436" s="52"/>
      <c r="H2436" s="52"/>
    </row>
    <row r="2437" spans="1:8" ht="15.75">
      <c r="A2437" s="50">
        <v>42942</v>
      </c>
      <c r="B2437" s="51">
        <v>5831.96</v>
      </c>
      <c r="C2437" s="52"/>
      <c r="D2437" s="52"/>
      <c r="E2437" s="52"/>
      <c r="F2437" s="52"/>
      <c r="G2437" s="52"/>
      <c r="H2437" s="52"/>
    </row>
    <row r="2438" spans="1:8" ht="15.75">
      <c r="A2438" s="50">
        <v>42943</v>
      </c>
      <c r="B2438" s="51">
        <v>5787.85</v>
      </c>
      <c r="C2438" s="52"/>
      <c r="D2438" s="52"/>
      <c r="E2438" s="52"/>
      <c r="F2438" s="52"/>
      <c r="G2438" s="52"/>
      <c r="H2438" s="52"/>
    </row>
    <row r="2439" spans="1:8" ht="15.75">
      <c r="A2439" s="50">
        <v>42944</v>
      </c>
      <c r="B2439" s="51">
        <v>5764.47</v>
      </c>
      <c r="C2439" s="52"/>
      <c r="D2439" s="52"/>
      <c r="E2439" s="52"/>
      <c r="F2439" s="52"/>
      <c r="G2439" s="52"/>
      <c r="H2439" s="52"/>
    </row>
    <row r="2440" spans="1:8" ht="15.75">
      <c r="A2440" s="50">
        <v>42947</v>
      </c>
      <c r="B2440" s="51">
        <v>5743.4</v>
      </c>
      <c r="C2440" s="52"/>
      <c r="D2440" s="52"/>
      <c r="E2440" s="52"/>
      <c r="F2440" s="52"/>
      <c r="G2440" s="52"/>
      <c r="H2440" s="52"/>
    </row>
    <row r="2441" spans="1:8" ht="15.75">
      <c r="A2441" s="50">
        <v>42948</v>
      </c>
      <c r="B2441" s="51">
        <v>5806.45</v>
      </c>
      <c r="C2441" s="52"/>
      <c r="D2441" s="52"/>
      <c r="E2441" s="52"/>
      <c r="F2441" s="52"/>
      <c r="G2441" s="52"/>
      <c r="H2441" s="52"/>
    </row>
    <row r="2442" spans="1:8" ht="15.75">
      <c r="A2442" s="50">
        <v>42949</v>
      </c>
      <c r="B2442" s="51">
        <v>5773.37</v>
      </c>
      <c r="C2442" s="52"/>
      <c r="D2442" s="52"/>
      <c r="E2442" s="52"/>
      <c r="F2442" s="52"/>
      <c r="G2442" s="52"/>
      <c r="H2442" s="52"/>
    </row>
    <row r="2443" spans="1:8" ht="15.75">
      <c r="A2443" s="50">
        <v>42950</v>
      </c>
      <c r="B2443" s="51">
        <v>5760.69</v>
      </c>
      <c r="C2443" s="52"/>
      <c r="D2443" s="52"/>
      <c r="E2443" s="52"/>
      <c r="F2443" s="52"/>
      <c r="G2443" s="52"/>
      <c r="H2443" s="52"/>
    </row>
    <row r="2444" spans="1:8" ht="15.75">
      <c r="A2444" s="50">
        <v>42951</v>
      </c>
      <c r="B2444" s="51">
        <v>5828.46</v>
      </c>
      <c r="C2444" s="52"/>
      <c r="D2444" s="52"/>
      <c r="E2444" s="52"/>
      <c r="F2444" s="52"/>
      <c r="G2444" s="52"/>
      <c r="H2444" s="52"/>
    </row>
    <row r="2445" spans="1:8" ht="15.75">
      <c r="A2445" s="50">
        <v>42954</v>
      </c>
      <c r="B2445" s="51">
        <v>5809.24</v>
      </c>
      <c r="C2445" s="52"/>
      <c r="D2445" s="52"/>
      <c r="E2445" s="52"/>
      <c r="F2445" s="52"/>
      <c r="G2445" s="52"/>
      <c r="H2445" s="52"/>
    </row>
    <row r="2446" spans="1:8" ht="15.75">
      <c r="A2446" s="50">
        <v>42955</v>
      </c>
      <c r="B2446" s="51">
        <v>5825.77</v>
      </c>
      <c r="C2446" s="52"/>
      <c r="D2446" s="52"/>
      <c r="E2446" s="52"/>
      <c r="F2446" s="52"/>
      <c r="G2446" s="52"/>
      <c r="H2446" s="52"/>
    </row>
    <row r="2447" spans="1:8" ht="15.75">
      <c r="A2447" s="50">
        <v>42956</v>
      </c>
      <c r="B2447" s="51">
        <v>5760.34</v>
      </c>
      <c r="C2447" s="52"/>
      <c r="D2447" s="52"/>
      <c r="E2447" s="52"/>
      <c r="F2447" s="52"/>
      <c r="G2447" s="52"/>
      <c r="H2447" s="52"/>
    </row>
    <row r="2448" spans="1:8" ht="15.75">
      <c r="A2448" s="50">
        <v>42957</v>
      </c>
      <c r="B2448" s="51">
        <v>5694.14</v>
      </c>
      <c r="C2448" s="52"/>
      <c r="D2448" s="52"/>
      <c r="E2448" s="52"/>
      <c r="F2448" s="52"/>
      <c r="G2448" s="52"/>
      <c r="H2448" s="52"/>
    </row>
    <row r="2449" spans="1:8" ht="15.75">
      <c r="A2449" s="50">
        <v>42958</v>
      </c>
      <c r="B2449" s="51">
        <v>5694.02</v>
      </c>
      <c r="C2449" s="52"/>
      <c r="D2449" s="52"/>
      <c r="E2449" s="52"/>
      <c r="F2449" s="52"/>
      <c r="G2449" s="52"/>
      <c r="H2449" s="52"/>
    </row>
    <row r="2450" spans="1:8" ht="15.75">
      <c r="A2450" s="50">
        <v>42961</v>
      </c>
      <c r="B2450" s="51">
        <v>5765.62</v>
      </c>
      <c r="C2450" s="52"/>
      <c r="D2450" s="52"/>
      <c r="E2450" s="52"/>
      <c r="F2450" s="52"/>
      <c r="G2450" s="52"/>
      <c r="H2450" s="52"/>
    </row>
    <row r="2451" spans="1:8" ht="15.75">
      <c r="A2451" s="50">
        <v>42962</v>
      </c>
      <c r="B2451" s="51">
        <v>5771.26</v>
      </c>
      <c r="C2451" s="52"/>
      <c r="D2451" s="52"/>
      <c r="E2451" s="52"/>
      <c r="F2451" s="52"/>
      <c r="G2451" s="52"/>
      <c r="H2451" s="52"/>
    </row>
    <row r="2452" spans="1:8" ht="15.75">
      <c r="A2452" s="50">
        <v>42963</v>
      </c>
      <c r="B2452" s="51">
        <v>5812.41</v>
      </c>
      <c r="C2452" s="52"/>
      <c r="D2452" s="52"/>
      <c r="E2452" s="52"/>
      <c r="F2452" s="52"/>
      <c r="G2452" s="52"/>
      <c r="H2452" s="52"/>
    </row>
    <row r="2453" spans="1:8" ht="15.75">
      <c r="A2453" s="50">
        <v>42964</v>
      </c>
      <c r="B2453" s="51">
        <v>5783.79</v>
      </c>
      <c r="C2453" s="52"/>
      <c r="D2453" s="52"/>
      <c r="E2453" s="52"/>
      <c r="F2453" s="52"/>
      <c r="G2453" s="52"/>
      <c r="H2453" s="52"/>
    </row>
    <row r="2454" spans="1:8" ht="15.75">
      <c r="A2454" s="50">
        <v>42965</v>
      </c>
      <c r="B2454" s="51">
        <v>5765.65</v>
      </c>
      <c r="C2454" s="52"/>
      <c r="D2454" s="52"/>
      <c r="E2454" s="52"/>
      <c r="F2454" s="52"/>
      <c r="G2454" s="52"/>
      <c r="H2454" s="52"/>
    </row>
    <row r="2455" spans="1:8" ht="15.75">
      <c r="A2455" s="50">
        <v>42968</v>
      </c>
      <c r="B2455" s="51">
        <v>5718.63</v>
      </c>
      <c r="C2455" s="52"/>
      <c r="D2455" s="52"/>
      <c r="E2455" s="52"/>
      <c r="F2455" s="52"/>
      <c r="G2455" s="52"/>
      <c r="H2455" s="52"/>
    </row>
    <row r="2456" spans="1:8" ht="15.75">
      <c r="A2456" s="50">
        <v>42969</v>
      </c>
      <c r="B2456" s="51">
        <v>5796.05</v>
      </c>
      <c r="C2456" s="52"/>
      <c r="D2456" s="52"/>
      <c r="E2456" s="52"/>
      <c r="F2456" s="52"/>
      <c r="G2456" s="52"/>
      <c r="H2456" s="52"/>
    </row>
    <row r="2457" spans="1:8" ht="15.75">
      <c r="A2457" s="50">
        <v>42970</v>
      </c>
      <c r="B2457" s="51">
        <v>5769.97</v>
      </c>
      <c r="C2457" s="52"/>
      <c r="D2457" s="52"/>
      <c r="E2457" s="52"/>
      <c r="F2457" s="52"/>
      <c r="G2457" s="52"/>
      <c r="H2457" s="52"/>
    </row>
    <row r="2458" spans="1:8" ht="15.75">
      <c r="A2458" s="50">
        <v>42971</v>
      </c>
      <c r="B2458" s="51">
        <v>5773.06</v>
      </c>
      <c r="C2458" s="52"/>
      <c r="D2458" s="52"/>
      <c r="E2458" s="52"/>
      <c r="F2458" s="52"/>
      <c r="G2458" s="52"/>
      <c r="H2458" s="52"/>
    </row>
    <row r="2459" spans="1:8" ht="15.75">
      <c r="A2459" s="50">
        <v>42972</v>
      </c>
      <c r="B2459" s="51">
        <v>5766.95</v>
      </c>
      <c r="C2459" s="52"/>
      <c r="D2459" s="52"/>
      <c r="E2459" s="52"/>
      <c r="F2459" s="52"/>
      <c r="G2459" s="52"/>
      <c r="H2459" s="52"/>
    </row>
    <row r="2460" spans="1:8" ht="15.75">
      <c r="A2460" s="50">
        <v>42975</v>
      </c>
      <c r="B2460" s="51">
        <v>5745.87</v>
      </c>
      <c r="C2460" s="52"/>
      <c r="D2460" s="52"/>
      <c r="E2460" s="52"/>
      <c r="F2460" s="52"/>
      <c r="G2460" s="52"/>
      <c r="H2460" s="52"/>
    </row>
    <row r="2461" spans="1:8" ht="15.75">
      <c r="A2461" s="50">
        <v>42976</v>
      </c>
      <c r="B2461" s="51">
        <v>5661.71</v>
      </c>
      <c r="C2461" s="52"/>
      <c r="D2461" s="52"/>
      <c r="E2461" s="52"/>
      <c r="F2461" s="52"/>
      <c r="G2461" s="52"/>
      <c r="H2461" s="52"/>
    </row>
    <row r="2462" spans="1:8" ht="15.75">
      <c r="A2462" s="50">
        <v>42977</v>
      </c>
      <c r="B2462" s="51">
        <v>5688.53</v>
      </c>
      <c r="C2462" s="52"/>
      <c r="D2462" s="52"/>
      <c r="E2462" s="52"/>
      <c r="F2462" s="52"/>
      <c r="G2462" s="52"/>
      <c r="H2462" s="52"/>
    </row>
    <row r="2463" spans="1:8" ht="15.75">
      <c r="A2463" s="50">
        <v>42978</v>
      </c>
      <c r="B2463" s="51">
        <v>5713.82</v>
      </c>
      <c r="C2463" s="52"/>
      <c r="D2463" s="52"/>
      <c r="E2463" s="52"/>
      <c r="F2463" s="52"/>
      <c r="G2463" s="52"/>
      <c r="H2463" s="52"/>
    </row>
    <row r="2464" spans="1:8" ht="15.75">
      <c r="A2464" s="50">
        <v>42979</v>
      </c>
      <c r="B2464" s="51">
        <v>5754.96</v>
      </c>
      <c r="C2464" s="52"/>
      <c r="D2464" s="52"/>
      <c r="E2464" s="52"/>
      <c r="F2464" s="52"/>
      <c r="G2464" s="52"/>
      <c r="H2464" s="52"/>
    </row>
    <row r="2465" spans="1:8" ht="15.75">
      <c r="A2465" s="50">
        <v>42982</v>
      </c>
      <c r="B2465" s="51">
        <v>5735.8</v>
      </c>
      <c r="C2465" s="52"/>
      <c r="D2465" s="52"/>
      <c r="E2465" s="52"/>
      <c r="F2465" s="52"/>
      <c r="G2465" s="52"/>
      <c r="H2465" s="52"/>
    </row>
    <row r="2466" spans="1:8" ht="15.75">
      <c r="A2466" s="50">
        <v>42983</v>
      </c>
      <c r="B2466" s="51">
        <v>5745.99</v>
      </c>
      <c r="C2466" s="52"/>
      <c r="D2466" s="52"/>
      <c r="E2466" s="52"/>
      <c r="F2466" s="52"/>
      <c r="G2466" s="52"/>
      <c r="H2466" s="52"/>
    </row>
    <row r="2467" spans="1:8" ht="15.75">
      <c r="A2467" s="50">
        <v>42984</v>
      </c>
      <c r="B2467" s="51">
        <v>5789.04</v>
      </c>
      <c r="C2467" s="52"/>
      <c r="D2467" s="52"/>
      <c r="E2467" s="52"/>
      <c r="F2467" s="52"/>
      <c r="G2467" s="52"/>
      <c r="H2467" s="52"/>
    </row>
    <row r="2468" spans="1:8" ht="15.75">
      <c r="A2468" s="50">
        <v>42985</v>
      </c>
      <c r="B2468" s="51">
        <v>5827.94</v>
      </c>
      <c r="C2468" s="52"/>
      <c r="D2468" s="52"/>
      <c r="E2468" s="52"/>
      <c r="F2468" s="52"/>
      <c r="G2468" s="52"/>
      <c r="H2468" s="52"/>
    </row>
    <row r="2469" spans="1:8" ht="15.75">
      <c r="A2469" s="50">
        <v>42986</v>
      </c>
      <c r="B2469" s="51">
        <v>5831.43</v>
      </c>
      <c r="C2469" s="52"/>
      <c r="D2469" s="52"/>
      <c r="E2469" s="52"/>
      <c r="F2469" s="52"/>
      <c r="G2469" s="52"/>
      <c r="H2469" s="52"/>
    </row>
    <row r="2470" spans="1:8" ht="15.75">
      <c r="A2470" s="50">
        <v>42989</v>
      </c>
      <c r="B2470" s="51">
        <v>5912.6</v>
      </c>
      <c r="C2470" s="52"/>
      <c r="D2470" s="52"/>
      <c r="E2470" s="52"/>
      <c r="F2470" s="52"/>
      <c r="G2470" s="52"/>
      <c r="H2470" s="52"/>
    </row>
    <row r="2471" spans="1:8" ht="15.75">
      <c r="A2471" s="50">
        <v>42990</v>
      </c>
      <c r="B2471" s="51">
        <v>5936.07</v>
      </c>
      <c r="C2471" s="52"/>
      <c r="D2471" s="52"/>
      <c r="E2471" s="52"/>
      <c r="F2471" s="52"/>
      <c r="G2471" s="52"/>
      <c r="H2471" s="52"/>
    </row>
    <row r="2472" spans="1:8" ht="15.75">
      <c r="A2472" s="50">
        <v>42991</v>
      </c>
      <c r="B2472" s="51">
        <v>5949.72</v>
      </c>
      <c r="C2472" s="52"/>
      <c r="D2472" s="52"/>
      <c r="E2472" s="52"/>
      <c r="F2472" s="52"/>
      <c r="G2472" s="52"/>
      <c r="H2472" s="52"/>
    </row>
    <row r="2473" spans="1:8" ht="15.75">
      <c r="A2473" s="50">
        <v>42992</v>
      </c>
      <c r="B2473" s="51">
        <v>5943.5</v>
      </c>
      <c r="C2473" s="52"/>
      <c r="D2473" s="52"/>
      <c r="E2473" s="52"/>
      <c r="F2473" s="52"/>
      <c r="G2473" s="52"/>
      <c r="H2473" s="52"/>
    </row>
    <row r="2474" spans="1:8" ht="15.75">
      <c r="A2474" s="50">
        <v>42993</v>
      </c>
      <c r="B2474" s="51">
        <v>5933.24</v>
      </c>
      <c r="C2474" s="52"/>
      <c r="D2474" s="52"/>
      <c r="E2474" s="52"/>
      <c r="F2474" s="52"/>
      <c r="G2474" s="52"/>
      <c r="H2474" s="52"/>
    </row>
    <row r="2475" spans="1:8" ht="15.75">
      <c r="A2475" s="50">
        <v>42996</v>
      </c>
      <c r="B2475" s="51">
        <v>5952.47</v>
      </c>
      <c r="C2475" s="52"/>
      <c r="D2475" s="52"/>
      <c r="E2475" s="52"/>
      <c r="F2475" s="52"/>
      <c r="G2475" s="52"/>
      <c r="H2475" s="52"/>
    </row>
    <row r="2476" spans="1:8" ht="15.75">
      <c r="A2476" s="50">
        <v>42997</v>
      </c>
      <c r="B2476" s="51">
        <v>5953.61</v>
      </c>
      <c r="C2476" s="52"/>
      <c r="D2476" s="52"/>
      <c r="E2476" s="52"/>
      <c r="F2476" s="52"/>
      <c r="G2476" s="52"/>
      <c r="H2476" s="52"/>
    </row>
    <row r="2477" spans="1:8" ht="15.75">
      <c r="A2477" s="50">
        <v>42998</v>
      </c>
      <c r="B2477" s="51">
        <v>5957.11</v>
      </c>
      <c r="C2477" s="52"/>
      <c r="D2477" s="52"/>
      <c r="E2477" s="52"/>
      <c r="F2477" s="52"/>
      <c r="G2477" s="52"/>
      <c r="H2477" s="52"/>
    </row>
    <row r="2478" spans="1:8" ht="15.75">
      <c r="A2478" s="50">
        <v>42999</v>
      </c>
      <c r="B2478" s="51">
        <v>5971.73</v>
      </c>
      <c r="C2478" s="52"/>
      <c r="D2478" s="52"/>
      <c r="E2478" s="52"/>
      <c r="F2478" s="52"/>
      <c r="G2478" s="52"/>
      <c r="H2478" s="52"/>
    </row>
    <row r="2479" spans="1:8" ht="15.75">
      <c r="A2479" s="50">
        <v>43000</v>
      </c>
      <c r="B2479" s="51">
        <v>5968.1</v>
      </c>
      <c r="C2479" s="52"/>
      <c r="D2479" s="52"/>
      <c r="E2479" s="52"/>
      <c r="F2479" s="52"/>
      <c r="G2479" s="52"/>
      <c r="H2479" s="52"/>
    </row>
    <row r="2480" spans="1:8" ht="15.75">
      <c r="A2480" s="50">
        <v>43003</v>
      </c>
      <c r="B2480" s="51">
        <v>5969.26</v>
      </c>
      <c r="C2480" s="52"/>
      <c r="D2480" s="52"/>
      <c r="E2480" s="52"/>
      <c r="F2480" s="52"/>
      <c r="G2480" s="52"/>
      <c r="H2480" s="52"/>
    </row>
    <row r="2481" spans="1:8" ht="15.75">
      <c r="A2481" s="50">
        <v>43004</v>
      </c>
      <c r="B2481" s="51">
        <v>5974.18</v>
      </c>
      <c r="C2481" s="52"/>
      <c r="D2481" s="52"/>
      <c r="E2481" s="52"/>
      <c r="F2481" s="52"/>
      <c r="G2481" s="52"/>
      <c r="H2481" s="52"/>
    </row>
    <row r="2482" spans="1:8" ht="15.75">
      <c r="A2482" s="50">
        <v>43005</v>
      </c>
      <c r="B2482" s="51">
        <v>5998.93</v>
      </c>
      <c r="C2482" s="52"/>
      <c r="D2482" s="52"/>
      <c r="E2482" s="52"/>
      <c r="F2482" s="52"/>
      <c r="G2482" s="52"/>
      <c r="H2482" s="52"/>
    </row>
    <row r="2483" spans="1:8" ht="15.75">
      <c r="A2483" s="50">
        <v>43006</v>
      </c>
      <c r="B2483" s="51">
        <v>6021.32</v>
      </c>
      <c r="C2483" s="52"/>
      <c r="D2483" s="52"/>
      <c r="E2483" s="52"/>
      <c r="F2483" s="52"/>
      <c r="G2483" s="52"/>
      <c r="H2483" s="52"/>
    </row>
    <row r="2484" spans="1:8" ht="15.75">
      <c r="A2484" s="50">
        <v>43007</v>
      </c>
      <c r="B2484" s="51">
        <v>6080.19</v>
      </c>
      <c r="C2484" s="52"/>
      <c r="D2484" s="52"/>
      <c r="E2484" s="52"/>
      <c r="F2484" s="52"/>
      <c r="G2484" s="52"/>
      <c r="H2484" s="52"/>
    </row>
    <row r="2485" spans="1:8" ht="15.75">
      <c r="A2485" s="50">
        <v>43010</v>
      </c>
      <c r="B2485" s="51">
        <v>6115.16</v>
      </c>
      <c r="C2485" s="52"/>
      <c r="D2485" s="52"/>
      <c r="E2485" s="52"/>
      <c r="F2485" s="52"/>
      <c r="G2485" s="52"/>
      <c r="H2485" s="52"/>
    </row>
    <row r="2486" spans="1:8" ht="15.75">
      <c r="A2486" s="50">
        <v>43012</v>
      </c>
      <c r="B2486" s="51">
        <v>6147.33</v>
      </c>
      <c r="C2486" s="52"/>
      <c r="D2486" s="52"/>
      <c r="E2486" s="52"/>
      <c r="F2486" s="52"/>
      <c r="G2486" s="52"/>
      <c r="H2486" s="52"/>
    </row>
    <row r="2487" spans="1:8" ht="15.75">
      <c r="A2487" s="50">
        <v>43013</v>
      </c>
      <c r="B2487" s="51">
        <v>6146.15</v>
      </c>
      <c r="C2487" s="52"/>
      <c r="D2487" s="52"/>
      <c r="E2487" s="52"/>
      <c r="F2487" s="52"/>
      <c r="G2487" s="52"/>
      <c r="H2487" s="52"/>
    </row>
    <row r="2488" spans="1:8" ht="15.75">
      <c r="A2488" s="50">
        <v>43014</v>
      </c>
      <c r="B2488" s="51">
        <v>6140.42</v>
      </c>
      <c r="C2488" s="52"/>
      <c r="D2488" s="52"/>
      <c r="E2488" s="52"/>
      <c r="F2488" s="52"/>
      <c r="G2488" s="52"/>
      <c r="H2488" s="52"/>
    </row>
    <row r="2489" spans="1:8" ht="15.75">
      <c r="A2489" s="50">
        <v>43017</v>
      </c>
      <c r="B2489" s="51">
        <v>6150.11</v>
      </c>
      <c r="C2489" s="52"/>
      <c r="D2489" s="52"/>
      <c r="E2489" s="52"/>
      <c r="F2489" s="52"/>
      <c r="G2489" s="52"/>
      <c r="H2489" s="52"/>
    </row>
    <row r="2490" spans="1:8" ht="15.75">
      <c r="A2490" s="50">
        <v>43018</v>
      </c>
      <c r="B2490" s="51">
        <v>6137.24</v>
      </c>
      <c r="C2490" s="52"/>
      <c r="D2490" s="52"/>
      <c r="E2490" s="52"/>
      <c r="F2490" s="52"/>
      <c r="G2490" s="52"/>
      <c r="H2490" s="52"/>
    </row>
    <row r="2491" spans="1:8" ht="15.75">
      <c r="A2491" s="50">
        <v>43019</v>
      </c>
      <c r="B2491" s="51">
        <v>6147.4</v>
      </c>
      <c r="C2491" s="52"/>
      <c r="D2491" s="52"/>
      <c r="E2491" s="52"/>
      <c r="F2491" s="52"/>
      <c r="G2491" s="52"/>
      <c r="H2491" s="52"/>
    </row>
    <row r="2492" spans="1:8" ht="15.75">
      <c r="A2492" s="50">
        <v>43020</v>
      </c>
      <c r="B2492" s="51">
        <v>6153.19</v>
      </c>
      <c r="C2492" s="52"/>
      <c r="D2492" s="52"/>
      <c r="E2492" s="52"/>
      <c r="F2492" s="52"/>
      <c r="G2492" s="52"/>
      <c r="H2492" s="52"/>
    </row>
    <row r="2493" spans="1:8" ht="15.75">
      <c r="A2493" s="50">
        <v>43021</v>
      </c>
      <c r="B2493" s="51">
        <v>6157.44</v>
      </c>
      <c r="C2493" s="52"/>
      <c r="D2493" s="52"/>
      <c r="E2493" s="52"/>
      <c r="F2493" s="52"/>
      <c r="G2493" s="52"/>
      <c r="H2493" s="52"/>
    </row>
    <row r="2494" spans="1:8" ht="15.75">
      <c r="A2494" s="50">
        <v>43024</v>
      </c>
      <c r="B2494" s="51">
        <v>6163.05</v>
      </c>
      <c r="C2494" s="52"/>
      <c r="D2494" s="52"/>
      <c r="E2494" s="52"/>
      <c r="F2494" s="52"/>
      <c r="G2494" s="52"/>
      <c r="H2494" s="52"/>
    </row>
    <row r="2495" spans="1:8" ht="15.75">
      <c r="A2495" s="50">
        <v>43025</v>
      </c>
      <c r="B2495" s="51">
        <v>6158.96</v>
      </c>
      <c r="C2495" s="52"/>
      <c r="D2495" s="52"/>
      <c r="E2495" s="52"/>
      <c r="F2495" s="52"/>
      <c r="G2495" s="52"/>
      <c r="H2495" s="52"/>
    </row>
    <row r="2496" spans="1:8" ht="15.75">
      <c r="A2496" s="50">
        <v>43026</v>
      </c>
      <c r="B2496" s="51">
        <v>6181.69</v>
      </c>
      <c r="C2496" s="52"/>
      <c r="D2496" s="52"/>
      <c r="E2496" s="52"/>
      <c r="F2496" s="52"/>
      <c r="G2496" s="52"/>
      <c r="H2496" s="52"/>
    </row>
    <row r="2497" spans="1:8" ht="15.75">
      <c r="A2497" s="50">
        <v>43027</v>
      </c>
      <c r="B2497" s="51">
        <v>6156.61</v>
      </c>
      <c r="C2497" s="52"/>
      <c r="D2497" s="52"/>
      <c r="E2497" s="52"/>
      <c r="F2497" s="52"/>
      <c r="G2497" s="52"/>
      <c r="H2497" s="52"/>
    </row>
    <row r="2498" spans="1:8" ht="15.75">
      <c r="A2498" s="50">
        <v>43028</v>
      </c>
      <c r="B2498" s="51">
        <v>6157.16</v>
      </c>
      <c r="C2498" s="52"/>
      <c r="D2498" s="52"/>
      <c r="E2498" s="52"/>
      <c r="F2498" s="52"/>
      <c r="G2498" s="52"/>
      <c r="H2498" s="52"/>
    </row>
    <row r="2499" spans="1:8" ht="15.75">
      <c r="A2499" s="50">
        <v>43031</v>
      </c>
      <c r="B2499" s="51">
        <v>6162.79</v>
      </c>
      <c r="C2499" s="52"/>
      <c r="D2499" s="52"/>
      <c r="E2499" s="52"/>
      <c r="F2499" s="52"/>
      <c r="G2499" s="52"/>
      <c r="H2499" s="52"/>
    </row>
    <row r="2500" spans="1:8" ht="15.75">
      <c r="A2500" s="50">
        <v>43032</v>
      </c>
      <c r="B2500" s="51">
        <v>6167.55</v>
      </c>
      <c r="C2500" s="52"/>
      <c r="D2500" s="52"/>
      <c r="E2500" s="52"/>
      <c r="F2500" s="52"/>
      <c r="G2500" s="52"/>
      <c r="H2500" s="52"/>
    </row>
    <row r="2501" spans="1:8" ht="15.75">
      <c r="A2501" s="50">
        <v>43033</v>
      </c>
      <c r="B2501" s="51">
        <v>6139.22</v>
      </c>
      <c r="C2501" s="52"/>
      <c r="D2501" s="52"/>
      <c r="E2501" s="52"/>
      <c r="F2501" s="52"/>
      <c r="G2501" s="52"/>
      <c r="H2501" s="52"/>
    </row>
    <row r="2502" spans="1:8" ht="15.75">
      <c r="A2502" s="50">
        <v>43034</v>
      </c>
      <c r="B2502" s="51">
        <v>6224.47</v>
      </c>
      <c r="C2502" s="52"/>
      <c r="D2502" s="52"/>
      <c r="E2502" s="52"/>
      <c r="F2502" s="52"/>
      <c r="G2502" s="52"/>
      <c r="H2502" s="52"/>
    </row>
    <row r="2503" spans="1:8" ht="15.75">
      <c r="A2503" s="50">
        <v>43035</v>
      </c>
      <c r="B2503" s="51">
        <v>6264.4</v>
      </c>
      <c r="C2503" s="52"/>
      <c r="D2503" s="52"/>
      <c r="E2503" s="52"/>
      <c r="F2503" s="52"/>
      <c r="G2503" s="52"/>
      <c r="H2503" s="52"/>
    </row>
    <row r="2504" spans="1:8" ht="15.75">
      <c r="A2504" s="50">
        <v>43038</v>
      </c>
      <c r="B2504" s="51">
        <v>6270.1</v>
      </c>
      <c r="C2504" s="52"/>
      <c r="D2504" s="52"/>
      <c r="E2504" s="52"/>
      <c r="F2504" s="52"/>
      <c r="G2504" s="52"/>
      <c r="H2504" s="52"/>
    </row>
    <row r="2505" spans="1:8" ht="15.75">
      <c r="A2505" s="50">
        <v>43040</v>
      </c>
      <c r="B2505" s="51">
        <v>6381.93</v>
      </c>
      <c r="C2505" s="52"/>
      <c r="D2505" s="52"/>
      <c r="E2505" s="52"/>
      <c r="F2505" s="52"/>
      <c r="G2505" s="52"/>
      <c r="H2505" s="52"/>
    </row>
    <row r="2506" spans="1:8" ht="15.75">
      <c r="A2506" s="50">
        <v>43041</v>
      </c>
      <c r="B2506" s="51">
        <v>6370.28</v>
      </c>
      <c r="C2506" s="52"/>
      <c r="D2506" s="52"/>
      <c r="E2506" s="52"/>
      <c r="F2506" s="52"/>
      <c r="G2506" s="52"/>
      <c r="H2506" s="52"/>
    </row>
    <row r="2507" spans="1:8" ht="15.75">
      <c r="A2507" s="50">
        <v>43042</v>
      </c>
      <c r="B2507" s="51">
        <v>6388.25</v>
      </c>
      <c r="C2507" s="52"/>
      <c r="D2507" s="52"/>
      <c r="E2507" s="52"/>
      <c r="F2507" s="52"/>
      <c r="G2507" s="52"/>
      <c r="H2507" s="52"/>
    </row>
    <row r="2508" spans="1:8" ht="15.75">
      <c r="A2508" s="50">
        <v>43045</v>
      </c>
      <c r="B2508" s="51">
        <v>6383.48</v>
      </c>
      <c r="C2508" s="52"/>
      <c r="D2508" s="52"/>
      <c r="E2508" s="52"/>
      <c r="F2508" s="52"/>
      <c r="G2508" s="52"/>
      <c r="H2508" s="52"/>
    </row>
    <row r="2509" spans="1:8" ht="15.75">
      <c r="A2509" s="50">
        <v>43046</v>
      </c>
      <c r="B2509" s="51">
        <v>6341.05</v>
      </c>
      <c r="C2509" s="52"/>
      <c r="D2509" s="52"/>
      <c r="E2509" s="52"/>
      <c r="F2509" s="52"/>
      <c r="G2509" s="52"/>
      <c r="H2509" s="52"/>
    </row>
    <row r="2510" spans="1:8" ht="15.75">
      <c r="A2510" s="50">
        <v>43047</v>
      </c>
      <c r="B2510" s="51">
        <v>6342.54</v>
      </c>
      <c r="C2510" s="52"/>
      <c r="D2510" s="52"/>
      <c r="E2510" s="52"/>
      <c r="F2510" s="52"/>
      <c r="G2510" s="52"/>
      <c r="H2510" s="52"/>
    </row>
    <row r="2511" spans="1:8" ht="15.75">
      <c r="A2511" s="50">
        <v>43048</v>
      </c>
      <c r="B2511" s="51">
        <v>6247.82</v>
      </c>
      <c r="C2511" s="52"/>
      <c r="D2511" s="52"/>
      <c r="E2511" s="52"/>
      <c r="F2511" s="52"/>
      <c r="G2511" s="52"/>
      <c r="H2511" s="52"/>
    </row>
    <row r="2512" spans="1:8" ht="15.75">
      <c r="A2512" s="50">
        <v>43049</v>
      </c>
      <c r="B2512" s="51">
        <v>6221.71</v>
      </c>
      <c r="C2512" s="52"/>
      <c r="D2512" s="52"/>
      <c r="E2512" s="52"/>
      <c r="F2512" s="52"/>
      <c r="G2512" s="52"/>
      <c r="H2512" s="52"/>
    </row>
    <row r="2513" spans="1:8" ht="15.75">
      <c r="A2513" s="50">
        <v>43052</v>
      </c>
      <c r="B2513" s="51">
        <v>6196.57</v>
      </c>
      <c r="C2513" s="52"/>
      <c r="D2513" s="52"/>
      <c r="E2513" s="52"/>
      <c r="F2513" s="52"/>
      <c r="G2513" s="52"/>
      <c r="H2513" s="52"/>
    </row>
    <row r="2514" spans="1:8" ht="15.75">
      <c r="A2514" s="50">
        <v>43053</v>
      </c>
      <c r="B2514" s="51">
        <v>6177.16</v>
      </c>
      <c r="C2514" s="52"/>
      <c r="D2514" s="52"/>
      <c r="E2514" s="52"/>
      <c r="F2514" s="52"/>
      <c r="G2514" s="52"/>
      <c r="H2514" s="52"/>
    </row>
    <row r="2515" spans="1:8" ht="15.75">
      <c r="A2515" s="50">
        <v>43054</v>
      </c>
      <c r="B2515" s="51">
        <v>6150.1</v>
      </c>
      <c r="C2515" s="52"/>
      <c r="D2515" s="52"/>
      <c r="E2515" s="52"/>
      <c r="F2515" s="52"/>
      <c r="G2515" s="52"/>
      <c r="H2515" s="52"/>
    </row>
    <row r="2516" spans="1:8" ht="15.75">
      <c r="A2516" s="50">
        <v>43055</v>
      </c>
      <c r="B2516" s="51">
        <v>6183.68</v>
      </c>
      <c r="C2516" s="52"/>
      <c r="D2516" s="52"/>
      <c r="E2516" s="52"/>
      <c r="F2516" s="52"/>
      <c r="G2516" s="52"/>
      <c r="H2516" s="52"/>
    </row>
    <row r="2517" spans="1:8" ht="15.75">
      <c r="A2517" s="50">
        <v>43056</v>
      </c>
      <c r="B2517" s="51">
        <v>6158.33</v>
      </c>
      <c r="C2517" s="52"/>
      <c r="D2517" s="52"/>
      <c r="E2517" s="52"/>
      <c r="F2517" s="52"/>
      <c r="G2517" s="52"/>
      <c r="H2517" s="52"/>
    </row>
    <row r="2518" spans="1:8" ht="15.75">
      <c r="A2518" s="50">
        <v>43059</v>
      </c>
      <c r="B2518" s="51">
        <v>6189.1</v>
      </c>
      <c r="C2518" s="52"/>
      <c r="D2518" s="52"/>
      <c r="E2518" s="52"/>
      <c r="F2518" s="52"/>
      <c r="G2518" s="52"/>
      <c r="H2518" s="52"/>
    </row>
    <row r="2519" spans="1:8" ht="15.75">
      <c r="A2519" s="50">
        <v>43060</v>
      </c>
      <c r="B2519" s="51">
        <v>6240.7</v>
      </c>
      <c r="C2519" s="52"/>
      <c r="D2519" s="52"/>
      <c r="E2519" s="52"/>
      <c r="F2519" s="52"/>
      <c r="G2519" s="52"/>
      <c r="H2519" s="52"/>
    </row>
    <row r="2520" spans="1:8" ht="15.75">
      <c r="A2520" s="50">
        <v>43061</v>
      </c>
      <c r="B2520" s="51">
        <v>6168.43</v>
      </c>
      <c r="C2520" s="52"/>
      <c r="D2520" s="52"/>
      <c r="E2520" s="52"/>
      <c r="F2520" s="52"/>
      <c r="G2520" s="52"/>
      <c r="H2520" s="52"/>
    </row>
    <row r="2521" spans="1:8" ht="15.75">
      <c r="A2521" s="50">
        <v>43062</v>
      </c>
      <c r="B2521" s="51">
        <v>6165.35</v>
      </c>
      <c r="C2521" s="52"/>
      <c r="D2521" s="52"/>
      <c r="E2521" s="52"/>
      <c r="F2521" s="52"/>
      <c r="G2521" s="52"/>
      <c r="H2521" s="52"/>
    </row>
    <row r="2522" spans="1:8" ht="15.75">
      <c r="A2522" s="50">
        <v>43063</v>
      </c>
      <c r="B2522" s="51">
        <v>6189.66</v>
      </c>
      <c r="C2522" s="52"/>
      <c r="D2522" s="52"/>
      <c r="E2522" s="52"/>
      <c r="F2522" s="52"/>
      <c r="G2522" s="52"/>
      <c r="H2522" s="52"/>
    </row>
    <row r="2523" spans="1:8" ht="15.75">
      <c r="A2523" s="50">
        <v>43066</v>
      </c>
      <c r="B2523" s="51">
        <v>6161.4</v>
      </c>
      <c r="C2523" s="52"/>
      <c r="D2523" s="52"/>
      <c r="E2523" s="52"/>
      <c r="F2523" s="52"/>
      <c r="G2523" s="52"/>
      <c r="H2523" s="52"/>
    </row>
    <row r="2524" spans="1:8" ht="15.75">
      <c r="A2524" s="50">
        <v>43067</v>
      </c>
      <c r="B2524" s="51">
        <v>6189.51</v>
      </c>
      <c r="C2524" s="52"/>
      <c r="D2524" s="52"/>
      <c r="E2524" s="52"/>
      <c r="F2524" s="52"/>
      <c r="G2524" s="52"/>
      <c r="H2524" s="52"/>
    </row>
    <row r="2525" spans="1:8" ht="15.75">
      <c r="A2525" s="50">
        <v>43068</v>
      </c>
      <c r="B2525" s="51">
        <v>6190.62</v>
      </c>
      <c r="C2525" s="52"/>
      <c r="D2525" s="52"/>
      <c r="E2525" s="52"/>
      <c r="F2525" s="52"/>
      <c r="G2525" s="52"/>
      <c r="H2525" s="52"/>
    </row>
    <row r="2526" spans="1:8" ht="15.75">
      <c r="A2526" s="50">
        <v>43069</v>
      </c>
      <c r="B2526" s="51">
        <v>6172.66</v>
      </c>
      <c r="C2526" s="52"/>
      <c r="D2526" s="52"/>
      <c r="E2526" s="52"/>
      <c r="F2526" s="52"/>
      <c r="G2526" s="52"/>
      <c r="H2526" s="52"/>
    </row>
    <row r="2527" spans="1:8" ht="15.75">
      <c r="A2527" s="50">
        <v>43070</v>
      </c>
      <c r="B2527" s="51">
        <v>6095.65</v>
      </c>
      <c r="C2527" s="52"/>
      <c r="D2527" s="52"/>
      <c r="E2527" s="52"/>
      <c r="F2527" s="52"/>
      <c r="G2527" s="52"/>
      <c r="H2527" s="52"/>
    </row>
    <row r="2528" spans="1:8" ht="15.75">
      <c r="A2528" s="50">
        <v>43073</v>
      </c>
      <c r="B2528" s="51">
        <v>6189.05</v>
      </c>
      <c r="C2528" s="52"/>
      <c r="D2528" s="52"/>
      <c r="E2528" s="52"/>
      <c r="F2528" s="52"/>
      <c r="G2528" s="52"/>
      <c r="H2528" s="52"/>
    </row>
    <row r="2529" spans="1:8" ht="15.75">
      <c r="A2529" s="50">
        <v>43074</v>
      </c>
      <c r="B2529" s="51">
        <v>6184.3</v>
      </c>
      <c r="C2529" s="52"/>
      <c r="D2529" s="52"/>
      <c r="E2529" s="52"/>
      <c r="F2529" s="52"/>
      <c r="G2529" s="52"/>
      <c r="H2529" s="52"/>
    </row>
    <row r="2530" spans="1:8" ht="15.75">
      <c r="A2530" s="50">
        <v>43075</v>
      </c>
      <c r="B2530" s="51">
        <v>6160.75</v>
      </c>
      <c r="C2530" s="52"/>
      <c r="D2530" s="52"/>
      <c r="E2530" s="52"/>
      <c r="F2530" s="52"/>
      <c r="G2530" s="52"/>
      <c r="H2530" s="52"/>
    </row>
    <row r="2531" spans="1:8" ht="15.75">
      <c r="A2531" s="50">
        <v>43076</v>
      </c>
      <c r="B2531" s="51">
        <v>6182.7</v>
      </c>
      <c r="C2531" s="52"/>
      <c r="D2531" s="52"/>
      <c r="E2531" s="52"/>
      <c r="F2531" s="52"/>
      <c r="G2531" s="52"/>
      <c r="H2531" s="52"/>
    </row>
    <row r="2532" spans="1:8" ht="15.75">
      <c r="A2532" s="50">
        <v>43077</v>
      </c>
      <c r="B2532" s="51">
        <v>6234.14</v>
      </c>
      <c r="C2532" s="52"/>
      <c r="D2532" s="52"/>
      <c r="E2532" s="52"/>
      <c r="F2532" s="52"/>
      <c r="G2532" s="52"/>
      <c r="H2532" s="52"/>
    </row>
    <row r="2533" spans="1:8" ht="15.75">
      <c r="A2533" s="50">
        <v>43080</v>
      </c>
      <c r="B2533" s="51">
        <v>6219.9</v>
      </c>
      <c r="C2533" s="52"/>
      <c r="D2533" s="52"/>
      <c r="E2533" s="52"/>
      <c r="F2533" s="52"/>
      <c r="G2533" s="52"/>
      <c r="H2533" s="52"/>
    </row>
    <row r="2534" spans="1:8" ht="15.75">
      <c r="A2534" s="50">
        <v>43081</v>
      </c>
      <c r="B2534" s="51">
        <v>6248.28</v>
      </c>
      <c r="C2534" s="52"/>
      <c r="D2534" s="52"/>
      <c r="E2534" s="52"/>
      <c r="F2534" s="52"/>
      <c r="G2534" s="52"/>
      <c r="H2534" s="52"/>
    </row>
    <row r="2535" spans="1:8" ht="15.75">
      <c r="A2535" s="50">
        <v>43082</v>
      </c>
      <c r="B2535" s="51">
        <v>6220.84</v>
      </c>
      <c r="C2535" s="52"/>
      <c r="D2535" s="52"/>
      <c r="E2535" s="52"/>
      <c r="F2535" s="52"/>
      <c r="G2535" s="52"/>
      <c r="H2535" s="52"/>
    </row>
    <row r="2536" spans="1:8" ht="15.75">
      <c r="A2536" s="50">
        <v>43083</v>
      </c>
      <c r="B2536" s="51">
        <v>6193.56</v>
      </c>
      <c r="C2536" s="52"/>
      <c r="D2536" s="52"/>
      <c r="E2536" s="52"/>
      <c r="F2536" s="52"/>
      <c r="G2536" s="52"/>
      <c r="H2536" s="52"/>
    </row>
    <row r="2537" spans="1:8" ht="15.75">
      <c r="A2537" s="50">
        <v>43084</v>
      </c>
      <c r="B2537" s="51">
        <v>6210.38</v>
      </c>
      <c r="C2537" s="52"/>
      <c r="D2537" s="52"/>
      <c r="E2537" s="52"/>
      <c r="F2537" s="52"/>
      <c r="G2537" s="52"/>
      <c r="H2537" s="52"/>
    </row>
    <row r="2538" spans="1:8" ht="15.75">
      <c r="A2538" s="50">
        <v>43087</v>
      </c>
      <c r="B2538" s="51">
        <v>6309.31</v>
      </c>
      <c r="C2538" s="52"/>
      <c r="D2538" s="52"/>
      <c r="E2538" s="52"/>
      <c r="F2538" s="52"/>
      <c r="G2538" s="52"/>
      <c r="H2538" s="52"/>
    </row>
    <row r="2539" spans="1:8" ht="15.75">
      <c r="A2539" s="50">
        <v>43088</v>
      </c>
      <c r="B2539" s="51">
        <v>6263.57</v>
      </c>
      <c r="C2539" s="52"/>
      <c r="D2539" s="52"/>
      <c r="E2539" s="52"/>
      <c r="F2539" s="52"/>
      <c r="G2539" s="52"/>
      <c r="H2539" s="52"/>
    </row>
    <row r="2540" spans="1:8" ht="15.75">
      <c r="A2540" s="50">
        <v>43089</v>
      </c>
      <c r="B2540" s="51">
        <v>6194.08</v>
      </c>
      <c r="C2540" s="52"/>
      <c r="D2540" s="52"/>
      <c r="E2540" s="52"/>
      <c r="F2540" s="52"/>
      <c r="G2540" s="52"/>
      <c r="H2540" s="52"/>
    </row>
    <row r="2541" spans="1:8" ht="15.75">
      <c r="A2541" s="50">
        <v>43090</v>
      </c>
      <c r="B2541" s="51">
        <v>6213.31</v>
      </c>
      <c r="C2541" s="52"/>
      <c r="D2541" s="52"/>
      <c r="E2541" s="52"/>
      <c r="F2541" s="52"/>
      <c r="G2541" s="52"/>
      <c r="H2541" s="52"/>
    </row>
    <row r="2542" spans="1:8" ht="15.75">
      <c r="A2542" s="50">
        <v>43091</v>
      </c>
      <c r="B2542" s="51">
        <v>6195.8</v>
      </c>
      <c r="C2542" s="52"/>
      <c r="D2542" s="52"/>
      <c r="E2542" s="52"/>
      <c r="F2542" s="52"/>
      <c r="G2542" s="52"/>
      <c r="H2542" s="52"/>
    </row>
    <row r="2543" spans="1:8" ht="15.75">
      <c r="A2543" s="50">
        <v>43096</v>
      </c>
      <c r="B2543" s="51">
        <v>6194.48</v>
      </c>
      <c r="C2543" s="52"/>
      <c r="D2543" s="52"/>
      <c r="E2543" s="52"/>
      <c r="F2543" s="52"/>
      <c r="G2543" s="52"/>
      <c r="H2543" s="52"/>
    </row>
    <row r="2544" spans="1:8" ht="15.75">
      <c r="A2544" s="50">
        <v>43097</v>
      </c>
      <c r="B2544" s="51">
        <v>6151.79</v>
      </c>
      <c r="C2544" s="52"/>
      <c r="D2544" s="52"/>
      <c r="E2544" s="52"/>
      <c r="F2544" s="52"/>
      <c r="G2544" s="52"/>
      <c r="H2544" s="52"/>
    </row>
    <row r="2545" spans="1:8" ht="15.75">
      <c r="A2545" s="50">
        <v>43098</v>
      </c>
      <c r="B2545" s="51">
        <v>6122.26</v>
      </c>
      <c r="C2545" s="52"/>
      <c r="D2545" s="52"/>
      <c r="E2545" s="52"/>
      <c r="F2545" s="52"/>
      <c r="G2545" s="52"/>
      <c r="H2545" s="52"/>
    </row>
    <row r="2546" spans="1:8" ht="15.75">
      <c r="A2546" s="50">
        <v>43102</v>
      </c>
      <c r="B2546" s="51">
        <v>6100.35</v>
      </c>
      <c r="C2546" s="52"/>
      <c r="D2546" s="52"/>
      <c r="E2546" s="52"/>
      <c r="F2546" s="52"/>
      <c r="G2546" s="52"/>
      <c r="H2546" s="52"/>
    </row>
    <row r="2547" spans="1:8" ht="15.75">
      <c r="A2547" s="50">
        <v>43103</v>
      </c>
      <c r="B2547" s="51">
        <v>6150.97</v>
      </c>
      <c r="C2547" s="52"/>
      <c r="D2547" s="52"/>
      <c r="E2547" s="52"/>
      <c r="F2547" s="52"/>
      <c r="G2547" s="52"/>
      <c r="H2547" s="52"/>
    </row>
    <row r="2548" spans="1:8" ht="15.75">
      <c r="A2548" s="50">
        <v>43104</v>
      </c>
      <c r="B2548" s="51">
        <v>6240.87</v>
      </c>
      <c r="C2548" s="52"/>
      <c r="D2548" s="52"/>
      <c r="E2548" s="52"/>
      <c r="F2548" s="52"/>
      <c r="G2548" s="52"/>
      <c r="H2548" s="52"/>
    </row>
    <row r="2549" spans="1:8" ht="15.75">
      <c r="A2549" s="50">
        <v>43105</v>
      </c>
      <c r="B2549" s="51">
        <v>6312.79</v>
      </c>
      <c r="C2549" s="52"/>
      <c r="D2549" s="52"/>
      <c r="E2549" s="52"/>
      <c r="F2549" s="52"/>
      <c r="G2549" s="52"/>
      <c r="H2549" s="52"/>
    </row>
    <row r="2550" spans="1:8" ht="15.75">
      <c r="A2550" s="50">
        <v>43108</v>
      </c>
      <c r="B2550" s="51">
        <v>6335.6</v>
      </c>
      <c r="C2550" s="52"/>
      <c r="D2550" s="52"/>
      <c r="E2550" s="52"/>
      <c r="F2550" s="52"/>
      <c r="G2550" s="52"/>
      <c r="H2550" s="52"/>
    </row>
    <row r="2551" spans="1:8" ht="15.75">
      <c r="A2551" s="50">
        <v>43109</v>
      </c>
      <c r="B2551" s="51">
        <v>6344.05</v>
      </c>
      <c r="C2551" s="52"/>
      <c r="D2551" s="52"/>
      <c r="E2551" s="52"/>
      <c r="F2551" s="52"/>
      <c r="G2551" s="52"/>
      <c r="H2551" s="52"/>
    </row>
    <row r="2552" spans="1:8" ht="15.75">
      <c r="A2552" s="50">
        <v>43110</v>
      </c>
      <c r="B2552" s="51">
        <v>6294.64</v>
      </c>
      <c r="C2552" s="52"/>
      <c r="D2552" s="52"/>
      <c r="E2552" s="52"/>
      <c r="F2552" s="52"/>
      <c r="G2552" s="52"/>
      <c r="H2552" s="52"/>
    </row>
    <row r="2553" spans="1:8" ht="15.75">
      <c r="A2553" s="50">
        <v>43111</v>
      </c>
      <c r="B2553" s="51">
        <v>6257.46</v>
      </c>
      <c r="C2553" s="52"/>
      <c r="D2553" s="52"/>
      <c r="E2553" s="52"/>
      <c r="F2553" s="52"/>
      <c r="G2553" s="52"/>
      <c r="H2553" s="52"/>
    </row>
    <row r="2554" spans="1:8" ht="15.75">
      <c r="A2554" s="50">
        <v>43112</v>
      </c>
      <c r="B2554" s="51">
        <v>6277.43</v>
      </c>
      <c r="C2554" s="52"/>
      <c r="D2554" s="52"/>
      <c r="E2554" s="52"/>
      <c r="F2554" s="52"/>
      <c r="G2554" s="52"/>
      <c r="H2554" s="52"/>
    </row>
    <row r="2555" spans="1:8" ht="15.75">
      <c r="A2555" s="50">
        <v>43115</v>
      </c>
      <c r="B2555" s="51">
        <v>6256.33</v>
      </c>
      <c r="C2555" s="52"/>
      <c r="D2555" s="52"/>
      <c r="E2555" s="52"/>
      <c r="F2555" s="52"/>
      <c r="G2555" s="52"/>
      <c r="H2555" s="52"/>
    </row>
    <row r="2556" spans="1:8" ht="15.75">
      <c r="A2556" s="50">
        <v>43116</v>
      </c>
      <c r="B2556" s="51">
        <v>6278.04</v>
      </c>
      <c r="C2556" s="52"/>
      <c r="D2556" s="52"/>
      <c r="E2556" s="52"/>
      <c r="F2556" s="52"/>
      <c r="G2556" s="52"/>
      <c r="H2556" s="52"/>
    </row>
    <row r="2557" spans="1:8" ht="15.75">
      <c r="A2557" s="50">
        <v>43117</v>
      </c>
      <c r="B2557" s="51">
        <v>6248.48</v>
      </c>
      <c r="C2557" s="52"/>
      <c r="D2557" s="52"/>
      <c r="E2557" s="52"/>
      <c r="F2557" s="52"/>
      <c r="G2557" s="52"/>
      <c r="H2557" s="52"/>
    </row>
    <row r="2558" spans="1:8" ht="15.75">
      <c r="A2558" s="50">
        <v>43118</v>
      </c>
      <c r="B2558" s="51">
        <v>6294.68</v>
      </c>
      <c r="C2558" s="52"/>
      <c r="D2558" s="52"/>
      <c r="E2558" s="52"/>
      <c r="F2558" s="52"/>
      <c r="G2558" s="52"/>
      <c r="H2558" s="52"/>
    </row>
    <row r="2559" spans="1:8" ht="15.75">
      <c r="A2559" s="50">
        <v>43119</v>
      </c>
      <c r="B2559" s="51">
        <v>6367.2</v>
      </c>
      <c r="C2559" s="52"/>
      <c r="D2559" s="52"/>
      <c r="E2559" s="52"/>
      <c r="F2559" s="52"/>
      <c r="G2559" s="52"/>
      <c r="H2559" s="52"/>
    </row>
    <row r="2560" spans="1:8" ht="15.75">
      <c r="A2560" s="50">
        <v>43122</v>
      </c>
      <c r="B2560" s="51">
        <v>6380.63</v>
      </c>
      <c r="C2560" s="52"/>
      <c r="D2560" s="52"/>
      <c r="E2560" s="52"/>
      <c r="F2560" s="52"/>
      <c r="G2560" s="52"/>
      <c r="H2560" s="52"/>
    </row>
    <row r="2561" spans="1:8" ht="15.75">
      <c r="A2561" s="50">
        <v>43123</v>
      </c>
      <c r="B2561" s="51">
        <v>6426.09</v>
      </c>
      <c r="C2561" s="52"/>
      <c r="D2561" s="52"/>
      <c r="E2561" s="52"/>
      <c r="F2561" s="52"/>
      <c r="G2561" s="52"/>
      <c r="H2561" s="52"/>
    </row>
    <row r="2562" spans="1:8" ht="15.75">
      <c r="A2562" s="50">
        <v>43124</v>
      </c>
      <c r="B2562" s="51">
        <v>6357.43</v>
      </c>
      <c r="C2562" s="52"/>
      <c r="D2562" s="52"/>
      <c r="E2562" s="52"/>
      <c r="F2562" s="52"/>
      <c r="G2562" s="52"/>
      <c r="H2562" s="52"/>
    </row>
    <row r="2563" spans="1:8" ht="15.75">
      <c r="A2563" s="50">
        <v>43125</v>
      </c>
      <c r="B2563" s="51">
        <v>6302.28</v>
      </c>
      <c r="C2563" s="52"/>
      <c r="D2563" s="52"/>
      <c r="E2563" s="52"/>
      <c r="F2563" s="52"/>
      <c r="G2563" s="52"/>
      <c r="H2563" s="52"/>
    </row>
    <row r="2564" spans="1:8" ht="15.75">
      <c r="A2564" s="50">
        <v>43126</v>
      </c>
      <c r="B2564" s="51">
        <v>6322.08</v>
      </c>
      <c r="C2564" s="52"/>
      <c r="D2564" s="52"/>
      <c r="E2564" s="52"/>
      <c r="F2564" s="52"/>
      <c r="G2564" s="52"/>
      <c r="H2564" s="52"/>
    </row>
    <row r="2565" spans="1:8" ht="15.75">
      <c r="A2565" s="50">
        <v>43129</v>
      </c>
      <c r="B2565" s="51">
        <v>6314.65</v>
      </c>
      <c r="C2565" s="52"/>
      <c r="D2565" s="52"/>
      <c r="E2565" s="52"/>
      <c r="F2565" s="52"/>
      <c r="G2565" s="52"/>
      <c r="H2565" s="52"/>
    </row>
    <row r="2566" spans="1:8" ht="15.75">
      <c r="A2566" s="50">
        <v>43130</v>
      </c>
      <c r="B2566" s="51">
        <v>6254.57</v>
      </c>
      <c r="C2566" s="52"/>
      <c r="D2566" s="52"/>
      <c r="E2566" s="52"/>
      <c r="F2566" s="52"/>
      <c r="G2566" s="52"/>
      <c r="H2566" s="52"/>
    </row>
    <row r="2567" spans="1:8" ht="15.75">
      <c r="A2567" s="50">
        <v>43131</v>
      </c>
      <c r="B2567" s="51">
        <v>6250.68</v>
      </c>
      <c r="C2567" s="52"/>
      <c r="D2567" s="52"/>
      <c r="E2567" s="52"/>
      <c r="F2567" s="52"/>
      <c r="G2567" s="52"/>
      <c r="H2567" s="52"/>
    </row>
    <row r="2568" spans="1:8" ht="15.75">
      <c r="A2568" s="50">
        <v>43132</v>
      </c>
      <c r="B2568" s="51">
        <v>6145.24</v>
      </c>
      <c r="C2568" s="52"/>
      <c r="D2568" s="52"/>
      <c r="E2568" s="52"/>
      <c r="F2568" s="52"/>
      <c r="G2568" s="52"/>
      <c r="H2568" s="52"/>
    </row>
    <row r="2569" spans="1:8" ht="15.75">
      <c r="A2569" s="50">
        <v>43133</v>
      </c>
      <c r="B2569" s="51">
        <v>6041.84</v>
      </c>
      <c r="C2569" s="52"/>
      <c r="D2569" s="52"/>
      <c r="E2569" s="52"/>
      <c r="F2569" s="52"/>
      <c r="G2569" s="52"/>
      <c r="H2569" s="52"/>
    </row>
    <row r="2570" spans="1:8" ht="15.75">
      <c r="A2570" s="50">
        <v>43136</v>
      </c>
      <c r="B2570" s="51">
        <v>5995.77</v>
      </c>
      <c r="C2570" s="52"/>
      <c r="D2570" s="52"/>
      <c r="E2570" s="52"/>
      <c r="F2570" s="52"/>
      <c r="G2570" s="52"/>
      <c r="H2570" s="52"/>
    </row>
    <row r="2571" spans="1:8" ht="15.75">
      <c r="A2571" s="50">
        <v>43137</v>
      </c>
      <c r="B2571" s="51">
        <v>5856.34</v>
      </c>
      <c r="C2571" s="52"/>
      <c r="D2571" s="52"/>
      <c r="E2571" s="52"/>
      <c r="F2571" s="52"/>
      <c r="G2571" s="52"/>
      <c r="H2571" s="52"/>
    </row>
    <row r="2572" spans="1:8" ht="15.75">
      <c r="A2572" s="50">
        <v>43138</v>
      </c>
      <c r="B2572" s="51">
        <v>5949.95</v>
      </c>
      <c r="C2572" s="52"/>
      <c r="D2572" s="52"/>
      <c r="E2572" s="52"/>
      <c r="F2572" s="52"/>
      <c r="G2572" s="52"/>
      <c r="H2572" s="52"/>
    </row>
    <row r="2573" spans="1:8" ht="15.75">
      <c r="A2573" s="50">
        <v>43139</v>
      </c>
      <c r="B2573" s="51">
        <v>5793.91</v>
      </c>
      <c r="C2573" s="52"/>
      <c r="D2573" s="52"/>
      <c r="E2573" s="52"/>
      <c r="F2573" s="52"/>
      <c r="G2573" s="52"/>
      <c r="H2573" s="52"/>
    </row>
    <row r="2574" spans="1:8" ht="15.75">
      <c r="A2574" s="50">
        <v>43140</v>
      </c>
      <c r="B2574" s="51">
        <v>5721.86</v>
      </c>
      <c r="C2574" s="52"/>
      <c r="D2574" s="52"/>
      <c r="E2574" s="52"/>
      <c r="F2574" s="52"/>
      <c r="G2574" s="52"/>
      <c r="H2574" s="52"/>
    </row>
    <row r="2575" spans="1:8" ht="15.75">
      <c r="A2575" s="50">
        <v>43143</v>
      </c>
      <c r="B2575" s="51">
        <v>5804.71</v>
      </c>
      <c r="C2575" s="52"/>
      <c r="D2575" s="52"/>
      <c r="E2575" s="52"/>
      <c r="F2575" s="52"/>
      <c r="G2575" s="52"/>
      <c r="H2575" s="52"/>
    </row>
    <row r="2576" spans="1:8" ht="15.75">
      <c r="A2576" s="50">
        <v>43144</v>
      </c>
      <c r="B2576" s="51">
        <v>5763.91</v>
      </c>
      <c r="C2576" s="52"/>
      <c r="D2576" s="52"/>
      <c r="E2576" s="52"/>
      <c r="F2576" s="52"/>
      <c r="G2576" s="52"/>
      <c r="H2576" s="52"/>
    </row>
    <row r="2577" spans="1:8" ht="15.75">
      <c r="A2577" s="50">
        <v>43145</v>
      </c>
      <c r="B2577" s="51">
        <v>5831.33</v>
      </c>
      <c r="C2577" s="52"/>
      <c r="D2577" s="52"/>
      <c r="E2577" s="52"/>
      <c r="F2577" s="52"/>
      <c r="G2577" s="52"/>
      <c r="H2577" s="52"/>
    </row>
    <row r="2578" spans="1:8" ht="15.75">
      <c r="A2578" s="50">
        <v>43146</v>
      </c>
      <c r="B2578" s="51">
        <v>5834.53</v>
      </c>
      <c r="C2578" s="52"/>
      <c r="D2578" s="52"/>
      <c r="E2578" s="52"/>
      <c r="F2578" s="52"/>
      <c r="G2578" s="52"/>
      <c r="H2578" s="52"/>
    </row>
    <row r="2579" spans="1:8" ht="15.75">
      <c r="A2579" s="50">
        <v>43147</v>
      </c>
      <c r="B2579" s="51">
        <v>5884.51</v>
      </c>
      <c r="C2579" s="52"/>
      <c r="D2579" s="52"/>
      <c r="E2579" s="52"/>
      <c r="F2579" s="52"/>
      <c r="G2579" s="52"/>
      <c r="H2579" s="52"/>
    </row>
    <row r="2580" spans="1:8" ht="15.75">
      <c r="A2580" s="50">
        <v>43150</v>
      </c>
      <c r="B2580" s="51">
        <v>5853.11</v>
      </c>
      <c r="C2580" s="52"/>
      <c r="D2580" s="52"/>
      <c r="E2580" s="52"/>
      <c r="F2580" s="52"/>
      <c r="G2580" s="52"/>
      <c r="H2580" s="52"/>
    </row>
    <row r="2581" spans="1:8" ht="15.75">
      <c r="A2581" s="50">
        <v>43151</v>
      </c>
      <c r="B2581" s="51">
        <v>5901.38</v>
      </c>
      <c r="C2581" s="52"/>
      <c r="D2581" s="52"/>
      <c r="E2581" s="52"/>
      <c r="F2581" s="52"/>
      <c r="G2581" s="52"/>
      <c r="H2581" s="52"/>
    </row>
    <row r="2582" spans="1:8" ht="15.75">
      <c r="A2582" s="50">
        <v>43152</v>
      </c>
      <c r="B2582" s="51">
        <v>5893.3</v>
      </c>
      <c r="C2582" s="52"/>
      <c r="D2582" s="52"/>
      <c r="E2582" s="52"/>
      <c r="F2582" s="52"/>
      <c r="G2582" s="52"/>
      <c r="H2582" s="52"/>
    </row>
    <row r="2583" spans="1:8" ht="15.75">
      <c r="A2583" s="50">
        <v>43153</v>
      </c>
      <c r="B2583" s="51">
        <v>5889.32</v>
      </c>
      <c r="C2583" s="52"/>
      <c r="D2583" s="52"/>
      <c r="E2583" s="52"/>
      <c r="F2583" s="52"/>
      <c r="G2583" s="52"/>
      <c r="H2583" s="52"/>
    </row>
    <row r="2584" spans="1:8" ht="15.75">
      <c r="A2584" s="50">
        <v>43154</v>
      </c>
      <c r="B2584" s="51">
        <v>5897.98</v>
      </c>
      <c r="C2584" s="52"/>
      <c r="D2584" s="52"/>
      <c r="E2584" s="52"/>
      <c r="F2584" s="52"/>
      <c r="G2584" s="52"/>
      <c r="H2584" s="52"/>
    </row>
    <row r="2585" spans="1:8" ht="15.75">
      <c r="A2585" s="50">
        <v>43157</v>
      </c>
      <c r="B2585" s="51">
        <v>5918.47</v>
      </c>
      <c r="C2585" s="52"/>
      <c r="D2585" s="52"/>
      <c r="E2585" s="52"/>
      <c r="F2585" s="52"/>
      <c r="G2585" s="52"/>
      <c r="H2585" s="52"/>
    </row>
    <row r="2586" spans="1:8" ht="15.75">
      <c r="A2586" s="50">
        <v>43158</v>
      </c>
      <c r="B2586" s="51">
        <v>5901.47</v>
      </c>
      <c r="C2586" s="52"/>
      <c r="D2586" s="52"/>
      <c r="E2586" s="52"/>
      <c r="F2586" s="52"/>
      <c r="G2586" s="52"/>
      <c r="H2586" s="52"/>
    </row>
    <row r="2587" spans="1:8" ht="15.75">
      <c r="A2587" s="50">
        <v>43159</v>
      </c>
      <c r="B2587" s="51">
        <v>5875.6</v>
      </c>
      <c r="C2587" s="52"/>
      <c r="D2587" s="52"/>
      <c r="E2587" s="52"/>
      <c r="F2587" s="52"/>
      <c r="G2587" s="52"/>
      <c r="H2587" s="52"/>
    </row>
    <row r="2588" spans="1:8" ht="15.75">
      <c r="A2588" s="50">
        <v>43160</v>
      </c>
      <c r="B2588" s="51">
        <v>5759.86</v>
      </c>
      <c r="C2588" s="52"/>
      <c r="D2588" s="52"/>
      <c r="E2588" s="52"/>
      <c r="F2588" s="52"/>
      <c r="G2588" s="52"/>
      <c r="H2588" s="52"/>
    </row>
    <row r="2589" spans="1:8" ht="15.75">
      <c r="A2589" s="50">
        <v>43161</v>
      </c>
      <c r="B2589" s="51">
        <v>5629.06</v>
      </c>
      <c r="C2589" s="52"/>
      <c r="D2589" s="52"/>
      <c r="E2589" s="52"/>
      <c r="F2589" s="52"/>
      <c r="G2589" s="52"/>
      <c r="H2589" s="52"/>
    </row>
    <row r="2590" spans="1:8" ht="15.75">
      <c r="A2590" s="50">
        <v>43164</v>
      </c>
      <c r="B2590" s="51">
        <v>5712.82</v>
      </c>
      <c r="C2590" s="52"/>
      <c r="D2590" s="52"/>
      <c r="E2590" s="52"/>
      <c r="F2590" s="52"/>
      <c r="G2590" s="52"/>
      <c r="H2590" s="52"/>
    </row>
    <row r="2591" spans="1:8" ht="15.75">
      <c r="A2591" s="50">
        <v>43165</v>
      </c>
      <c r="B2591" s="51">
        <v>5723.68</v>
      </c>
      <c r="C2591" s="52"/>
      <c r="D2591" s="52"/>
      <c r="E2591" s="52"/>
      <c r="F2591" s="52"/>
      <c r="G2591" s="52"/>
      <c r="H2591" s="52"/>
    </row>
    <row r="2592" spans="1:8" ht="15.75">
      <c r="A2592" s="50">
        <v>43166</v>
      </c>
      <c r="B2592" s="51">
        <v>5785.91</v>
      </c>
      <c r="C2592" s="52"/>
      <c r="D2592" s="52"/>
      <c r="E2592" s="52"/>
      <c r="F2592" s="52"/>
      <c r="G2592" s="52"/>
      <c r="H2592" s="52"/>
    </row>
    <row r="2593" spans="1:8" ht="15.75">
      <c r="A2593" s="50">
        <v>43167</v>
      </c>
      <c r="B2593" s="51">
        <v>5837.93</v>
      </c>
      <c r="C2593" s="52"/>
      <c r="D2593" s="52"/>
      <c r="E2593" s="52"/>
      <c r="F2593" s="52"/>
      <c r="G2593" s="52"/>
      <c r="H2593" s="52"/>
    </row>
    <row r="2594" spans="1:8" ht="15.75">
      <c r="A2594" s="50">
        <v>43168</v>
      </c>
      <c r="B2594" s="51">
        <v>5833.68</v>
      </c>
      <c r="C2594" s="52"/>
      <c r="D2594" s="52"/>
      <c r="E2594" s="52"/>
      <c r="F2594" s="52"/>
      <c r="G2594" s="52"/>
      <c r="H2594" s="52"/>
    </row>
    <row r="2595" spans="1:8" ht="15.75">
      <c r="A2595" s="50">
        <v>43171</v>
      </c>
      <c r="B2595" s="51">
        <v>5867.5</v>
      </c>
      <c r="C2595" s="52"/>
      <c r="D2595" s="52"/>
      <c r="E2595" s="52"/>
      <c r="F2595" s="52"/>
      <c r="G2595" s="52"/>
      <c r="H2595" s="52"/>
    </row>
    <row r="2596" spans="1:8" ht="15.75">
      <c r="A2596" s="50">
        <v>43172</v>
      </c>
      <c r="B2596" s="51">
        <v>5774.26</v>
      </c>
      <c r="C2596" s="52"/>
      <c r="D2596" s="52"/>
      <c r="E2596" s="52"/>
      <c r="F2596" s="52"/>
      <c r="G2596" s="52"/>
      <c r="H2596" s="52"/>
    </row>
    <row r="2597" spans="1:8" ht="15.75">
      <c r="A2597" s="50">
        <v>43173</v>
      </c>
      <c r="B2597" s="51">
        <v>5782.15</v>
      </c>
      <c r="C2597" s="52"/>
      <c r="D2597" s="52"/>
      <c r="E2597" s="52"/>
      <c r="F2597" s="52"/>
      <c r="G2597" s="52"/>
      <c r="H2597" s="52"/>
    </row>
    <row r="2598" spans="1:8" ht="15.75">
      <c r="A2598" s="50">
        <v>43174</v>
      </c>
      <c r="B2598" s="51">
        <v>5833.09</v>
      </c>
      <c r="C2598" s="52"/>
      <c r="D2598" s="52"/>
      <c r="E2598" s="52"/>
      <c r="F2598" s="52"/>
      <c r="G2598" s="52"/>
      <c r="H2598" s="52"/>
    </row>
    <row r="2599" spans="1:8" ht="15.75">
      <c r="A2599" s="50">
        <v>43175</v>
      </c>
      <c r="B2599" s="51">
        <v>5853.81</v>
      </c>
      <c r="C2599" s="52"/>
      <c r="D2599" s="52"/>
      <c r="E2599" s="52"/>
      <c r="F2599" s="52"/>
      <c r="G2599" s="52"/>
      <c r="H2599" s="52"/>
    </row>
    <row r="2600" spans="1:8" ht="15.75">
      <c r="A2600" s="50">
        <v>43178</v>
      </c>
      <c r="B2600" s="51">
        <v>5772.28</v>
      </c>
      <c r="C2600" s="52"/>
      <c r="D2600" s="52"/>
      <c r="E2600" s="52"/>
      <c r="F2600" s="52"/>
      <c r="G2600" s="52"/>
      <c r="H2600" s="52"/>
    </row>
    <row r="2601" spans="1:8" ht="15.75">
      <c r="A2601" s="50">
        <v>43179</v>
      </c>
      <c r="B2601" s="51">
        <v>5814.95</v>
      </c>
      <c r="C2601" s="52"/>
      <c r="D2601" s="52"/>
      <c r="E2601" s="52"/>
      <c r="F2601" s="52"/>
      <c r="G2601" s="52"/>
      <c r="H2601" s="52"/>
    </row>
    <row r="2602" spans="1:8" ht="15.75">
      <c r="A2602" s="50">
        <v>43180</v>
      </c>
      <c r="B2602" s="51">
        <v>5815.81</v>
      </c>
      <c r="C2602" s="52"/>
      <c r="D2602" s="52"/>
      <c r="E2602" s="52"/>
      <c r="F2602" s="52"/>
      <c r="G2602" s="52"/>
      <c r="H2602" s="52"/>
    </row>
    <row r="2603" spans="1:8" ht="15.75">
      <c r="A2603" s="50">
        <v>43181</v>
      </c>
      <c r="B2603" s="51">
        <v>5717.03</v>
      </c>
      <c r="C2603" s="52"/>
      <c r="D2603" s="52"/>
      <c r="E2603" s="52"/>
      <c r="F2603" s="52"/>
      <c r="G2603" s="52"/>
      <c r="H2603" s="52"/>
    </row>
    <row r="2604" spans="1:8" ht="15.75">
      <c r="A2604" s="50">
        <v>43182</v>
      </c>
      <c r="B2604" s="51">
        <v>5616.03</v>
      </c>
      <c r="C2604" s="52"/>
      <c r="D2604" s="52"/>
      <c r="E2604" s="52"/>
      <c r="F2604" s="52"/>
      <c r="G2604" s="52"/>
      <c r="H2604" s="52"/>
    </row>
    <row r="2605" spans="1:8" ht="15.75">
      <c r="A2605" s="50">
        <v>43185</v>
      </c>
      <c r="B2605" s="51">
        <v>5569.23</v>
      </c>
      <c r="C2605" s="52"/>
      <c r="D2605" s="52"/>
      <c r="E2605" s="52"/>
      <c r="F2605" s="52"/>
      <c r="G2605" s="52"/>
      <c r="H2605" s="52"/>
    </row>
    <row r="2606" spans="1:8" ht="15.75">
      <c r="A2606" s="50">
        <v>43186</v>
      </c>
      <c r="B2606" s="51">
        <v>5655.96</v>
      </c>
      <c r="C2606" s="52"/>
      <c r="D2606" s="52"/>
      <c r="E2606" s="52"/>
      <c r="F2606" s="52"/>
      <c r="G2606" s="52"/>
      <c r="H2606" s="52"/>
    </row>
    <row r="2607" spans="1:8" ht="15.75">
      <c r="A2607" s="50">
        <v>43187</v>
      </c>
      <c r="B2607" s="51">
        <v>5641.73</v>
      </c>
      <c r="C2607" s="52"/>
      <c r="D2607" s="52"/>
      <c r="E2607" s="52"/>
      <c r="F2607" s="52"/>
      <c r="G2607" s="52"/>
      <c r="H2607" s="52"/>
    </row>
    <row r="2608" spans="1:8" ht="15.75">
      <c r="A2608" s="50">
        <v>43188</v>
      </c>
      <c r="B2608" s="51">
        <v>5715.45</v>
      </c>
      <c r="C2608" s="52"/>
      <c r="D2608" s="52"/>
      <c r="E2608" s="52"/>
      <c r="F2608" s="52"/>
      <c r="G2608" s="52"/>
      <c r="H2608" s="52"/>
    </row>
    <row r="2609" spans="1:8" ht="15.75">
      <c r="A2609" s="50">
        <v>43193</v>
      </c>
      <c r="B2609" s="51">
        <v>5670.9</v>
      </c>
      <c r="C2609" s="52"/>
      <c r="D2609" s="52"/>
      <c r="E2609" s="52"/>
      <c r="F2609" s="52"/>
      <c r="G2609" s="52"/>
      <c r="H2609" s="52"/>
    </row>
    <row r="2610" spans="1:8" ht="15.75">
      <c r="A2610" s="50">
        <v>43194</v>
      </c>
      <c r="B2610" s="51">
        <v>5649.85</v>
      </c>
      <c r="C2610" s="52"/>
      <c r="D2610" s="52"/>
      <c r="E2610" s="52"/>
      <c r="F2610" s="52"/>
      <c r="G2610" s="52"/>
      <c r="H2610" s="52"/>
    </row>
    <row r="2611" spans="1:8" ht="15.75">
      <c r="A2611" s="50">
        <v>43195</v>
      </c>
      <c r="B2611" s="51">
        <v>5813.94</v>
      </c>
      <c r="C2611" s="52"/>
      <c r="D2611" s="52"/>
      <c r="E2611" s="52"/>
      <c r="F2611" s="52"/>
      <c r="G2611" s="52"/>
      <c r="H2611" s="52"/>
    </row>
    <row r="2612" spans="1:8" ht="15.75">
      <c r="A2612" s="50">
        <v>43196</v>
      </c>
      <c r="B2612" s="51">
        <v>5764.74</v>
      </c>
      <c r="C2612" s="52"/>
      <c r="D2612" s="52"/>
      <c r="E2612" s="52"/>
      <c r="F2612" s="52"/>
      <c r="G2612" s="52"/>
      <c r="H2612" s="52"/>
    </row>
    <row r="2613" spans="1:8" ht="15.75">
      <c r="A2613" s="50">
        <v>43199</v>
      </c>
      <c r="B2613" s="51">
        <v>5774.53</v>
      </c>
      <c r="C2613" s="52"/>
      <c r="D2613" s="52"/>
      <c r="E2613" s="52"/>
      <c r="F2613" s="52"/>
      <c r="G2613" s="52"/>
      <c r="H2613" s="52"/>
    </row>
    <row r="2614" spans="1:8" ht="15.75">
      <c r="A2614" s="50">
        <v>43200</v>
      </c>
      <c r="B2614" s="51">
        <v>5836.53</v>
      </c>
      <c r="C2614" s="52"/>
      <c r="D2614" s="52"/>
      <c r="E2614" s="52"/>
      <c r="F2614" s="52"/>
      <c r="G2614" s="52"/>
      <c r="H2614" s="52"/>
    </row>
    <row r="2615" spans="1:8" ht="15.75">
      <c r="A2615" s="50">
        <v>43201</v>
      </c>
      <c r="B2615" s="51">
        <v>5787.86</v>
      </c>
      <c r="C2615" s="52"/>
      <c r="D2615" s="52"/>
      <c r="E2615" s="52"/>
      <c r="F2615" s="52"/>
      <c r="G2615" s="52"/>
      <c r="H2615" s="52"/>
    </row>
    <row r="2616" spans="1:8" ht="15.75">
      <c r="A2616" s="50">
        <v>43202</v>
      </c>
      <c r="B2616" s="51">
        <v>5844.98</v>
      </c>
      <c r="C2616" s="52"/>
      <c r="D2616" s="52"/>
      <c r="E2616" s="52"/>
      <c r="F2616" s="52"/>
      <c r="G2616" s="52"/>
      <c r="H2616" s="52"/>
    </row>
    <row r="2617" spans="1:8" ht="15.75">
      <c r="A2617" s="50">
        <v>43203</v>
      </c>
      <c r="B2617" s="51">
        <v>5857.88</v>
      </c>
      <c r="C2617" s="52"/>
      <c r="D2617" s="52"/>
      <c r="E2617" s="52"/>
      <c r="F2617" s="52"/>
      <c r="G2617" s="52"/>
      <c r="H2617" s="52"/>
    </row>
    <row r="2618" spans="1:8" ht="15.75">
      <c r="A2618" s="50">
        <v>43206</v>
      </c>
      <c r="B2618" s="51">
        <v>5831.67</v>
      </c>
      <c r="C2618" s="52"/>
      <c r="D2618" s="52"/>
      <c r="E2618" s="52"/>
      <c r="F2618" s="52"/>
      <c r="G2618" s="52"/>
      <c r="H2618" s="52"/>
    </row>
    <row r="2619" spans="1:8" ht="15.75">
      <c r="A2619" s="50">
        <v>43207</v>
      </c>
      <c r="B2619" s="51">
        <v>5923.12</v>
      </c>
      <c r="C2619" s="52"/>
      <c r="D2619" s="52"/>
      <c r="E2619" s="52"/>
      <c r="F2619" s="52"/>
      <c r="G2619" s="52"/>
      <c r="H2619" s="52"/>
    </row>
    <row r="2620" spans="1:8" ht="15.75">
      <c r="A2620" s="50">
        <v>43208</v>
      </c>
      <c r="B2620" s="51">
        <v>5925.79</v>
      </c>
      <c r="C2620" s="52"/>
      <c r="D2620" s="52"/>
      <c r="E2620" s="52"/>
      <c r="F2620" s="52"/>
      <c r="G2620" s="52"/>
      <c r="H2620" s="52"/>
    </row>
    <row r="2621" spans="1:8" ht="15.75">
      <c r="A2621" s="50">
        <v>43209</v>
      </c>
      <c r="B2621" s="51">
        <v>5914.74</v>
      </c>
      <c r="C2621" s="52"/>
      <c r="D2621" s="52"/>
      <c r="E2621" s="52"/>
      <c r="F2621" s="52"/>
      <c r="G2621" s="52"/>
      <c r="H2621" s="52"/>
    </row>
    <row r="2622" spans="1:8" ht="15.75">
      <c r="A2622" s="50">
        <v>43210</v>
      </c>
      <c r="B2622" s="51">
        <v>5902.09</v>
      </c>
      <c r="C2622" s="52"/>
      <c r="D2622" s="52"/>
      <c r="E2622" s="52"/>
      <c r="F2622" s="52"/>
      <c r="G2622" s="52"/>
      <c r="H2622" s="52"/>
    </row>
    <row r="2623" spans="1:8" ht="15.75">
      <c r="A2623" s="50">
        <v>43213</v>
      </c>
      <c r="B2623" s="51">
        <v>5917.11</v>
      </c>
      <c r="C2623" s="52"/>
      <c r="D2623" s="52"/>
      <c r="E2623" s="52"/>
      <c r="F2623" s="52"/>
      <c r="G2623" s="52"/>
      <c r="H2623" s="52"/>
    </row>
    <row r="2624" spans="1:8" ht="15.75">
      <c r="A2624" s="50">
        <v>43214</v>
      </c>
      <c r="B2624" s="51">
        <v>5907.01</v>
      </c>
      <c r="C2624" s="52"/>
      <c r="D2624" s="52"/>
      <c r="E2624" s="52"/>
      <c r="F2624" s="52"/>
      <c r="G2624" s="52"/>
      <c r="H2624" s="52"/>
    </row>
    <row r="2625" spans="1:8" ht="15.75">
      <c r="A2625" s="50">
        <v>43215</v>
      </c>
      <c r="B2625" s="51">
        <v>5840.15</v>
      </c>
      <c r="C2625" s="52"/>
      <c r="D2625" s="52"/>
      <c r="E2625" s="52"/>
      <c r="F2625" s="52"/>
      <c r="G2625" s="52"/>
      <c r="H2625" s="52"/>
    </row>
    <row r="2626" spans="1:8" ht="15.75">
      <c r="A2626" s="50">
        <v>43216</v>
      </c>
      <c r="B2626" s="51">
        <v>5869.19</v>
      </c>
      <c r="C2626" s="52"/>
      <c r="D2626" s="52"/>
      <c r="E2626" s="52"/>
      <c r="F2626" s="52"/>
      <c r="G2626" s="52"/>
      <c r="H2626" s="52"/>
    </row>
    <row r="2627" spans="1:8" ht="15.75">
      <c r="A2627" s="50">
        <v>43217</v>
      </c>
      <c r="B2627" s="51">
        <v>5905.28</v>
      </c>
      <c r="C2627" s="52"/>
      <c r="D2627" s="52"/>
      <c r="E2627" s="52"/>
      <c r="F2627" s="52"/>
      <c r="G2627" s="52"/>
      <c r="H2627" s="52"/>
    </row>
    <row r="2628" spans="1:8" ht="15.75">
      <c r="A2628" s="50">
        <v>43220</v>
      </c>
      <c r="B2628" s="51">
        <v>5916.24</v>
      </c>
      <c r="C2628" s="52"/>
      <c r="D2628" s="52"/>
      <c r="E2628" s="52"/>
      <c r="F2628" s="52"/>
      <c r="G2628" s="52"/>
      <c r="H2628" s="52"/>
    </row>
    <row r="2629" spans="1:8" ht="15.75">
      <c r="A2629" s="50">
        <v>43222</v>
      </c>
      <c r="B2629" s="51">
        <v>6005.52</v>
      </c>
      <c r="C2629" s="52"/>
      <c r="D2629" s="52"/>
      <c r="E2629" s="52"/>
      <c r="F2629" s="52"/>
      <c r="G2629" s="52"/>
      <c r="H2629" s="52"/>
    </row>
    <row r="2630" spans="1:8" ht="15.75">
      <c r="A2630" s="50">
        <v>43223</v>
      </c>
      <c r="B2630" s="51">
        <v>5952.66</v>
      </c>
      <c r="C2630" s="52"/>
      <c r="D2630" s="52"/>
      <c r="E2630" s="52"/>
      <c r="F2630" s="52"/>
      <c r="G2630" s="52"/>
      <c r="H2630" s="52"/>
    </row>
    <row r="2631" spans="1:8" ht="15.75">
      <c r="A2631" s="50">
        <v>43224</v>
      </c>
      <c r="B2631" s="51">
        <v>6002.25</v>
      </c>
      <c r="C2631" s="52"/>
      <c r="D2631" s="52"/>
      <c r="E2631" s="52"/>
      <c r="F2631" s="52"/>
      <c r="G2631" s="52"/>
      <c r="H2631" s="52"/>
    </row>
    <row r="2632" spans="1:8" ht="15.75">
      <c r="A2632" s="50">
        <v>43227</v>
      </c>
      <c r="B2632" s="51">
        <v>6045.14</v>
      </c>
      <c r="C2632" s="52"/>
      <c r="D2632" s="52"/>
      <c r="E2632" s="52"/>
      <c r="F2632" s="52"/>
      <c r="G2632" s="52"/>
      <c r="H2632" s="52"/>
    </row>
    <row r="2633" spans="1:8" ht="15.75">
      <c r="A2633" s="50">
        <v>43228</v>
      </c>
      <c r="B2633" s="51">
        <v>6028.75</v>
      </c>
      <c r="C2633" s="52"/>
      <c r="D2633" s="52"/>
      <c r="E2633" s="52"/>
      <c r="F2633" s="52"/>
      <c r="G2633" s="52"/>
      <c r="H2633" s="52"/>
    </row>
    <row r="2634" spans="1:8" ht="15.75">
      <c r="A2634" s="50">
        <v>43229</v>
      </c>
      <c r="B2634" s="51">
        <v>6041.09</v>
      </c>
      <c r="C2634" s="52"/>
      <c r="D2634" s="52"/>
      <c r="E2634" s="52"/>
      <c r="F2634" s="52"/>
      <c r="G2634" s="52"/>
      <c r="H2634" s="52"/>
    </row>
    <row r="2635" spans="1:8" ht="15.75">
      <c r="A2635" s="50">
        <v>43230</v>
      </c>
      <c r="B2635" s="51">
        <v>6045.92</v>
      </c>
      <c r="C2635" s="52"/>
      <c r="D2635" s="52"/>
      <c r="E2635" s="52"/>
      <c r="F2635" s="52"/>
      <c r="G2635" s="52"/>
      <c r="H2635" s="52"/>
    </row>
    <row r="2636" spans="1:8" ht="15.75">
      <c r="A2636" s="50">
        <v>43231</v>
      </c>
      <c r="B2636" s="51">
        <v>6035.78</v>
      </c>
      <c r="C2636" s="52"/>
      <c r="D2636" s="52"/>
      <c r="E2636" s="52"/>
      <c r="F2636" s="52"/>
      <c r="G2636" s="52"/>
      <c r="H2636" s="52"/>
    </row>
    <row r="2637" spans="1:8" ht="15.75">
      <c r="A2637" s="50">
        <v>43234</v>
      </c>
      <c r="B2637" s="51">
        <v>6024.97</v>
      </c>
      <c r="C2637" s="52"/>
      <c r="D2637" s="52"/>
      <c r="E2637" s="52"/>
      <c r="F2637" s="52"/>
      <c r="G2637" s="52"/>
      <c r="H2637" s="52"/>
    </row>
    <row r="2638" spans="1:8" ht="15.75">
      <c r="A2638" s="50">
        <v>43235</v>
      </c>
      <c r="B2638" s="51">
        <v>6020.94</v>
      </c>
      <c r="C2638" s="52"/>
      <c r="D2638" s="52"/>
      <c r="E2638" s="52"/>
      <c r="F2638" s="52"/>
      <c r="G2638" s="52"/>
      <c r="H2638" s="52"/>
    </row>
    <row r="2639" spans="1:8" ht="15.75">
      <c r="A2639" s="50">
        <v>43236</v>
      </c>
      <c r="B2639" s="51">
        <v>6033.34</v>
      </c>
      <c r="C2639" s="52"/>
      <c r="D2639" s="52"/>
      <c r="E2639" s="52"/>
      <c r="F2639" s="52"/>
      <c r="G2639" s="52"/>
      <c r="H2639" s="52"/>
    </row>
    <row r="2640" spans="1:8" ht="15.75">
      <c r="A2640" s="50">
        <v>43237</v>
      </c>
      <c r="B2640" s="51">
        <v>6085.5</v>
      </c>
      <c r="C2640" s="52"/>
      <c r="D2640" s="52"/>
      <c r="E2640" s="52"/>
      <c r="F2640" s="52"/>
      <c r="G2640" s="52"/>
      <c r="H2640" s="52"/>
    </row>
    <row r="2641" spans="1:8" ht="15.75">
      <c r="A2641" s="50">
        <v>43238</v>
      </c>
      <c r="B2641" s="51">
        <v>6038.64</v>
      </c>
      <c r="C2641" s="52"/>
      <c r="D2641" s="52"/>
      <c r="E2641" s="52"/>
      <c r="F2641" s="52"/>
      <c r="G2641" s="52"/>
      <c r="H2641" s="52"/>
    </row>
    <row r="2642" spans="1:8" ht="15.75">
      <c r="A2642" s="50">
        <v>43242</v>
      </c>
      <c r="B2642" s="51">
        <v>6079.31</v>
      </c>
      <c r="C2642" s="52"/>
      <c r="D2642" s="52"/>
      <c r="E2642" s="52"/>
      <c r="F2642" s="52"/>
      <c r="G2642" s="52"/>
      <c r="H2642" s="52"/>
    </row>
    <row r="2643" spans="1:8" ht="15.75">
      <c r="A2643" s="50">
        <v>43243</v>
      </c>
      <c r="B2643" s="51">
        <v>5990.44</v>
      </c>
      <c r="C2643" s="52"/>
      <c r="D2643" s="52"/>
      <c r="E2643" s="52"/>
      <c r="F2643" s="52"/>
      <c r="G2643" s="52"/>
      <c r="H2643" s="52"/>
    </row>
    <row r="2644" spans="1:8" ht="15.75">
      <c r="A2644" s="50">
        <v>43244</v>
      </c>
      <c r="B2644" s="51">
        <v>5934.4</v>
      </c>
      <c r="C2644" s="52"/>
      <c r="D2644" s="52"/>
      <c r="E2644" s="52"/>
      <c r="F2644" s="52"/>
      <c r="G2644" s="52"/>
      <c r="H2644" s="52"/>
    </row>
    <row r="2645" spans="1:8" ht="15.75">
      <c r="A2645" s="50">
        <v>43245</v>
      </c>
      <c r="B2645" s="51">
        <v>5971.67</v>
      </c>
      <c r="C2645" s="52"/>
      <c r="D2645" s="52"/>
      <c r="E2645" s="52"/>
      <c r="F2645" s="52"/>
      <c r="G2645" s="52"/>
      <c r="H2645" s="52"/>
    </row>
    <row r="2646" spans="1:8" ht="15.75">
      <c r="A2646" s="50">
        <v>43248</v>
      </c>
      <c r="B2646" s="51">
        <v>5923.64</v>
      </c>
      <c r="C2646" s="52"/>
      <c r="D2646" s="52"/>
      <c r="E2646" s="52"/>
      <c r="F2646" s="52"/>
      <c r="G2646" s="52"/>
      <c r="H2646" s="52"/>
    </row>
    <row r="2647" spans="1:8" ht="15.75">
      <c r="A2647" s="50">
        <v>43249</v>
      </c>
      <c r="B2647" s="51">
        <v>5833.2</v>
      </c>
      <c r="C2647" s="52"/>
      <c r="D2647" s="52"/>
      <c r="E2647" s="52"/>
      <c r="F2647" s="52"/>
      <c r="G2647" s="52"/>
      <c r="H2647" s="52"/>
    </row>
    <row r="2648" spans="1:8" ht="15.75">
      <c r="A2648" s="50">
        <v>43250</v>
      </c>
      <c r="B2648" s="51">
        <v>5887.33</v>
      </c>
      <c r="C2648" s="52"/>
      <c r="D2648" s="52"/>
      <c r="E2648" s="52"/>
      <c r="F2648" s="52"/>
      <c r="G2648" s="52"/>
      <c r="H2648" s="52"/>
    </row>
    <row r="2649" spans="1:8" ht="15.75">
      <c r="A2649" s="50">
        <v>43251</v>
      </c>
      <c r="B2649" s="51">
        <v>5804.98</v>
      </c>
      <c r="C2649" s="52"/>
      <c r="D2649" s="52"/>
      <c r="E2649" s="52"/>
      <c r="F2649" s="52"/>
      <c r="G2649" s="52"/>
      <c r="H2649" s="52"/>
    </row>
    <row r="2650" spans="1:8" ht="15.75">
      <c r="A2650" s="50">
        <v>43252</v>
      </c>
      <c r="B2650" s="51">
        <v>5860.01</v>
      </c>
      <c r="C2650" s="52"/>
      <c r="D2650" s="52"/>
      <c r="E2650" s="52"/>
      <c r="F2650" s="52"/>
      <c r="G2650" s="52"/>
      <c r="H2650" s="52"/>
    </row>
    <row r="2651" spans="1:8" ht="15.75">
      <c r="A2651" s="50">
        <v>43255</v>
      </c>
      <c r="B2651" s="51">
        <v>5881.35</v>
      </c>
      <c r="C2651" s="52"/>
      <c r="D2651" s="52"/>
      <c r="E2651" s="52"/>
      <c r="F2651" s="52"/>
      <c r="G2651" s="52"/>
      <c r="H2651" s="52"/>
    </row>
    <row r="2652" spans="1:8" ht="15.75">
      <c r="A2652" s="50">
        <v>43256</v>
      </c>
      <c r="B2652" s="51">
        <v>5889.14</v>
      </c>
      <c r="C2652" s="52"/>
      <c r="D2652" s="52"/>
      <c r="E2652" s="52"/>
      <c r="F2652" s="52"/>
      <c r="G2652" s="52"/>
      <c r="H2652" s="52"/>
    </row>
    <row r="2653" spans="1:8" ht="15.75">
      <c r="A2653" s="50">
        <v>43257</v>
      </c>
      <c r="B2653" s="51">
        <v>5909.22</v>
      </c>
      <c r="C2653" s="52"/>
      <c r="D2653" s="52"/>
      <c r="E2653" s="52"/>
      <c r="F2653" s="52"/>
      <c r="G2653" s="52"/>
      <c r="H2653" s="52"/>
    </row>
    <row r="2654" spans="1:8" ht="15.75">
      <c r="A2654" s="50">
        <v>43258</v>
      </c>
      <c r="B2654" s="51">
        <v>5900.57</v>
      </c>
      <c r="C2654" s="52"/>
      <c r="D2654" s="52"/>
      <c r="E2654" s="52"/>
      <c r="F2654" s="52"/>
      <c r="G2654" s="52"/>
      <c r="H2654" s="52"/>
    </row>
    <row r="2655" spans="1:8" ht="15.75">
      <c r="A2655" s="50">
        <v>43259</v>
      </c>
      <c r="B2655" s="51">
        <v>5880.32</v>
      </c>
      <c r="C2655" s="52"/>
      <c r="D2655" s="52"/>
      <c r="E2655" s="52"/>
      <c r="F2655" s="52"/>
      <c r="G2655" s="52"/>
      <c r="H2655" s="52"/>
    </row>
    <row r="2656" spans="1:8" ht="15.75">
      <c r="A2656" s="50">
        <v>43262</v>
      </c>
      <c r="B2656" s="51">
        <v>5915.63</v>
      </c>
      <c r="C2656" s="52"/>
      <c r="D2656" s="52"/>
      <c r="E2656" s="52"/>
      <c r="F2656" s="52"/>
      <c r="G2656" s="52"/>
      <c r="H2656" s="52"/>
    </row>
    <row r="2657" spans="1:8" ht="15.75">
      <c r="A2657" s="50">
        <v>43263</v>
      </c>
      <c r="B2657" s="51">
        <v>5915.07</v>
      </c>
      <c r="C2657" s="52"/>
      <c r="D2657" s="52"/>
      <c r="E2657" s="52"/>
      <c r="F2657" s="52"/>
      <c r="G2657" s="52"/>
      <c r="H2657" s="52"/>
    </row>
    <row r="2658" spans="1:8" ht="15.75">
      <c r="A2658" s="50">
        <v>43264</v>
      </c>
      <c r="B2658" s="51">
        <v>5937.98</v>
      </c>
      <c r="C2658" s="52"/>
      <c r="D2658" s="52"/>
      <c r="E2658" s="52"/>
      <c r="F2658" s="52"/>
      <c r="G2658" s="52"/>
      <c r="H2658" s="52"/>
    </row>
    <row r="2659" spans="1:8" ht="15.75">
      <c r="A2659" s="50">
        <v>43265</v>
      </c>
      <c r="B2659" s="51">
        <v>6037.53</v>
      </c>
      <c r="C2659" s="52"/>
      <c r="D2659" s="52"/>
      <c r="E2659" s="52"/>
      <c r="F2659" s="52"/>
      <c r="G2659" s="52"/>
      <c r="H2659" s="52"/>
    </row>
    <row r="2660" spans="1:8" ht="15.75">
      <c r="A2660" s="50">
        <v>43266</v>
      </c>
      <c r="B2660" s="51">
        <v>5993.14</v>
      </c>
      <c r="C2660" s="52"/>
      <c r="D2660" s="52"/>
      <c r="E2660" s="52"/>
      <c r="F2660" s="52"/>
      <c r="G2660" s="52"/>
      <c r="H2660" s="52"/>
    </row>
    <row r="2661" spans="1:8" ht="15.75">
      <c r="A2661" s="50">
        <v>43269</v>
      </c>
      <c r="B2661" s="51">
        <v>5911.87</v>
      </c>
      <c r="C2661" s="52"/>
      <c r="D2661" s="52"/>
      <c r="E2661" s="52"/>
      <c r="F2661" s="52"/>
      <c r="G2661" s="52"/>
      <c r="H2661" s="52"/>
    </row>
    <row r="2662" spans="1:8" ht="15.75">
      <c r="A2662" s="50">
        <v>43270</v>
      </c>
      <c r="B2662" s="51">
        <v>5839.94</v>
      </c>
      <c r="C2662" s="52"/>
      <c r="D2662" s="52"/>
      <c r="E2662" s="52"/>
      <c r="F2662" s="52"/>
      <c r="G2662" s="52"/>
      <c r="H2662" s="52"/>
    </row>
    <row r="2663" spans="1:8" ht="15.75">
      <c r="A2663" s="50">
        <v>43271</v>
      </c>
      <c r="B2663" s="51">
        <v>5847.86</v>
      </c>
      <c r="C2663" s="52"/>
      <c r="D2663" s="52"/>
      <c r="E2663" s="52"/>
      <c r="F2663" s="52"/>
      <c r="G2663" s="52"/>
      <c r="H2663" s="52"/>
    </row>
    <row r="2664" spans="1:8" ht="15.75">
      <c r="A2664" s="50">
        <v>43272</v>
      </c>
      <c r="B2664" s="51">
        <v>5763.45</v>
      </c>
      <c r="C2664" s="52"/>
      <c r="D2664" s="52"/>
      <c r="E2664" s="52"/>
      <c r="F2664" s="52"/>
      <c r="G2664" s="52"/>
      <c r="H2664" s="52"/>
    </row>
    <row r="2665" spans="1:8" ht="15.75">
      <c r="A2665" s="50">
        <v>43273</v>
      </c>
      <c r="B2665" s="51">
        <v>5794.68</v>
      </c>
      <c r="C2665" s="52"/>
      <c r="D2665" s="52"/>
      <c r="E2665" s="52"/>
      <c r="F2665" s="52"/>
      <c r="G2665" s="52"/>
      <c r="H2665" s="52"/>
    </row>
    <row r="2666" spans="1:8" ht="15.75">
      <c r="A2666" s="50">
        <v>43276</v>
      </c>
      <c r="B2666" s="51">
        <v>5652.17</v>
      </c>
      <c r="C2666" s="52"/>
      <c r="D2666" s="52"/>
      <c r="E2666" s="52"/>
      <c r="F2666" s="52"/>
      <c r="G2666" s="52"/>
      <c r="H2666" s="52"/>
    </row>
    <row r="2667" spans="1:8" ht="15.75">
      <c r="A2667" s="50">
        <v>43277</v>
      </c>
      <c r="B2667" s="51">
        <v>5635.59</v>
      </c>
      <c r="C2667" s="52"/>
      <c r="D2667" s="52"/>
      <c r="E2667" s="52"/>
      <c r="F2667" s="52"/>
      <c r="G2667" s="52"/>
      <c r="H2667" s="52"/>
    </row>
    <row r="2668" spans="1:8" ht="15.75">
      <c r="A2668" s="50">
        <v>43278</v>
      </c>
      <c r="B2668" s="51">
        <v>5688.23</v>
      </c>
      <c r="C2668" s="52"/>
      <c r="D2668" s="52"/>
      <c r="E2668" s="52"/>
      <c r="F2668" s="52"/>
      <c r="G2668" s="52"/>
      <c r="H2668" s="52"/>
    </row>
    <row r="2669" spans="1:8" ht="15.75">
      <c r="A2669" s="50">
        <v>43279</v>
      </c>
      <c r="B2669" s="51">
        <v>5609.28</v>
      </c>
      <c r="C2669" s="52"/>
      <c r="D2669" s="52"/>
      <c r="E2669" s="52"/>
      <c r="F2669" s="52"/>
      <c r="G2669" s="52"/>
      <c r="H2669" s="52"/>
    </row>
    <row r="2670" spans="1:8" ht="15.75">
      <c r="A2670" s="50">
        <v>43280</v>
      </c>
      <c r="B2670" s="51">
        <v>5668.6</v>
      </c>
      <c r="C2670" s="52"/>
      <c r="D2670" s="52"/>
      <c r="E2670" s="52"/>
      <c r="F2670" s="52"/>
      <c r="G2670" s="52"/>
      <c r="H2670" s="52"/>
    </row>
    <row r="2671" spans="1:8" ht="15.75">
      <c r="A2671" s="50">
        <v>43283</v>
      </c>
      <c r="B2671" s="51">
        <v>5637.35</v>
      </c>
      <c r="C2671" s="52"/>
      <c r="D2671" s="52"/>
      <c r="E2671" s="52"/>
      <c r="F2671" s="52"/>
      <c r="G2671" s="52"/>
      <c r="H2671" s="52"/>
    </row>
    <row r="2672" spans="1:8" ht="15.75">
      <c r="A2672" s="50">
        <v>43284</v>
      </c>
      <c r="B2672" s="51">
        <v>5688.47</v>
      </c>
      <c r="C2672" s="52"/>
      <c r="D2672" s="52"/>
      <c r="E2672" s="52"/>
      <c r="F2672" s="52"/>
      <c r="G2672" s="52"/>
      <c r="H2672" s="52"/>
    </row>
    <row r="2673" spans="1:8" ht="15.75">
      <c r="A2673" s="50">
        <v>43285</v>
      </c>
      <c r="B2673" s="51">
        <v>5673.95</v>
      </c>
      <c r="C2673" s="52"/>
      <c r="D2673" s="52"/>
      <c r="E2673" s="52"/>
      <c r="F2673" s="52"/>
      <c r="G2673" s="52"/>
      <c r="H2673" s="52"/>
    </row>
    <row r="2674" spans="1:8" ht="15.75">
      <c r="A2674" s="50">
        <v>43286</v>
      </c>
      <c r="B2674" s="51">
        <v>5741.51</v>
      </c>
      <c r="C2674" s="52"/>
      <c r="D2674" s="52"/>
      <c r="E2674" s="52"/>
      <c r="F2674" s="52"/>
      <c r="G2674" s="52"/>
      <c r="H2674" s="52"/>
    </row>
    <row r="2675" spans="1:8" ht="15.75">
      <c r="A2675" s="50">
        <v>43287</v>
      </c>
      <c r="B2675" s="51">
        <v>5756.2</v>
      </c>
      <c r="C2675" s="52"/>
      <c r="D2675" s="52"/>
      <c r="E2675" s="52"/>
      <c r="F2675" s="52"/>
      <c r="G2675" s="52"/>
      <c r="H2675" s="52"/>
    </row>
    <row r="2676" spans="1:8" ht="15.75">
      <c r="A2676" s="50">
        <v>43290</v>
      </c>
      <c r="B2676" s="51">
        <v>5778.18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43291</v>
      </c>
      <c r="B2677" s="51">
        <v>5808.56</v>
      </c>
      <c r="C2677" s="52"/>
      <c r="D2677" s="52"/>
      <c r="E2677" s="52"/>
      <c r="F2677" s="52"/>
      <c r="G2677" s="52"/>
      <c r="H2677" s="52"/>
    </row>
    <row r="2678" spans="1:8" ht="15.75">
      <c r="A2678" s="50">
        <v>43292</v>
      </c>
      <c r="B2678" s="51">
        <v>5719.79</v>
      </c>
      <c r="C2678" s="52"/>
      <c r="D2678" s="52"/>
      <c r="E2678" s="52"/>
      <c r="F2678" s="52"/>
      <c r="G2678" s="52"/>
      <c r="H2678" s="52"/>
    </row>
    <row r="2679" spans="1:8" ht="15.75">
      <c r="A2679" s="50">
        <v>43293</v>
      </c>
      <c r="B2679" s="51">
        <v>5754.72</v>
      </c>
      <c r="C2679" s="52"/>
      <c r="D2679" s="52"/>
      <c r="E2679" s="52"/>
      <c r="F2679" s="52"/>
      <c r="G2679" s="52"/>
      <c r="H2679" s="52"/>
    </row>
    <row r="2680" spans="1:8" ht="15.75">
      <c r="A2680" s="50">
        <v>43294</v>
      </c>
      <c r="B2680" s="51">
        <v>5776.72</v>
      </c>
      <c r="C2680" s="52"/>
      <c r="D2680" s="52"/>
      <c r="E2680" s="52"/>
      <c r="F2680" s="52"/>
      <c r="G2680" s="52"/>
      <c r="H2680" s="52"/>
    </row>
    <row r="2681" spans="1:8" ht="15.75">
      <c r="A2681" s="50">
        <v>43297</v>
      </c>
      <c r="B2681" s="51">
        <v>5786.07</v>
      </c>
      <c r="C2681" s="52"/>
      <c r="D2681" s="52"/>
      <c r="E2681" s="52"/>
      <c r="F2681" s="52"/>
      <c r="G2681" s="52"/>
      <c r="H2681" s="52"/>
    </row>
    <row r="2682" spans="1:8" ht="15.75">
      <c r="A2682" s="50">
        <v>43298</v>
      </c>
      <c r="B2682" s="51">
        <v>5832.37</v>
      </c>
      <c r="C2682" s="52"/>
      <c r="D2682" s="52"/>
      <c r="E2682" s="52"/>
      <c r="F2682" s="52"/>
      <c r="G2682" s="52"/>
      <c r="H2682" s="52"/>
    </row>
    <row r="2683" spans="1:8" ht="15.75">
      <c r="A2683" s="50">
        <v>43299</v>
      </c>
      <c r="B2683" s="51">
        <v>5880.46</v>
      </c>
      <c r="C2683" s="52"/>
      <c r="D2683" s="52"/>
      <c r="E2683" s="52"/>
      <c r="F2683" s="52"/>
      <c r="G2683" s="52"/>
      <c r="H2683" s="52"/>
    </row>
    <row r="2684" spans="1:8" ht="15.75">
      <c r="A2684" s="50">
        <v>43300</v>
      </c>
      <c r="B2684" s="51">
        <v>5843.77</v>
      </c>
      <c r="C2684" s="52"/>
      <c r="D2684" s="52"/>
      <c r="E2684" s="52"/>
      <c r="F2684" s="52"/>
      <c r="G2684" s="52"/>
      <c r="H2684" s="52"/>
    </row>
    <row r="2685" spans="1:8" ht="15.75">
      <c r="A2685" s="50">
        <v>43301</v>
      </c>
      <c r="B2685" s="51">
        <v>5786.26</v>
      </c>
      <c r="C2685" s="52"/>
      <c r="D2685" s="52"/>
      <c r="E2685" s="52"/>
      <c r="F2685" s="52"/>
      <c r="G2685" s="52"/>
      <c r="H2685" s="52"/>
    </row>
    <row r="2686" spans="1:8" ht="15.75">
      <c r="A2686" s="50">
        <v>43304</v>
      </c>
      <c r="B2686" s="51">
        <v>5780.34</v>
      </c>
      <c r="C2686" s="52"/>
      <c r="D2686" s="52"/>
      <c r="E2686" s="52"/>
      <c r="F2686" s="52"/>
      <c r="G2686" s="52"/>
      <c r="H2686" s="52"/>
    </row>
    <row r="2687" spans="1:8" ht="15.75">
      <c r="A2687" s="50">
        <v>43305</v>
      </c>
      <c r="B2687" s="51">
        <v>5845.2</v>
      </c>
      <c r="C2687" s="52"/>
      <c r="D2687" s="52"/>
      <c r="E2687" s="52"/>
      <c r="F2687" s="52"/>
      <c r="G2687" s="52"/>
      <c r="H2687" s="52"/>
    </row>
    <row r="2688" spans="1:8" ht="15.75">
      <c r="A2688" s="50">
        <v>43306</v>
      </c>
      <c r="B2688" s="51">
        <v>5794.51</v>
      </c>
      <c r="C2688" s="52"/>
      <c r="D2688" s="52"/>
      <c r="E2688" s="52"/>
      <c r="F2688" s="52"/>
      <c r="G2688" s="52"/>
      <c r="H2688" s="52"/>
    </row>
    <row r="2689" spans="1:8" ht="15.75">
      <c r="A2689" s="50">
        <v>43307</v>
      </c>
      <c r="B2689" s="51">
        <v>5900.41</v>
      </c>
      <c r="C2689" s="52"/>
      <c r="D2689" s="52"/>
      <c r="E2689" s="52"/>
      <c r="F2689" s="52"/>
      <c r="G2689" s="52"/>
      <c r="H2689" s="52"/>
    </row>
    <row r="2690" spans="1:8" ht="15.75">
      <c r="A2690" s="50">
        <v>43308</v>
      </c>
      <c r="B2690" s="51">
        <v>5923.97</v>
      </c>
      <c r="C2690" s="52"/>
      <c r="D2690" s="52"/>
      <c r="E2690" s="52"/>
      <c r="F2690" s="52"/>
      <c r="G2690" s="52"/>
      <c r="H2690" s="52"/>
    </row>
    <row r="2691" spans="1:8" ht="15.75">
      <c r="A2691" s="50">
        <v>43311</v>
      </c>
      <c r="B2691" s="51">
        <v>5895.32</v>
      </c>
      <c r="C2691" s="52"/>
      <c r="D2691" s="52"/>
      <c r="E2691" s="52"/>
      <c r="F2691" s="52"/>
      <c r="G2691" s="52"/>
      <c r="H2691" s="52"/>
    </row>
    <row r="2692" spans="1:8" ht="15.75">
      <c r="A2692" s="50">
        <v>43312</v>
      </c>
      <c r="B2692" s="51">
        <v>5898.69</v>
      </c>
      <c r="C2692" s="52"/>
      <c r="D2692" s="52"/>
      <c r="E2692" s="52"/>
      <c r="F2692" s="52"/>
      <c r="G2692" s="52"/>
      <c r="H2692" s="52"/>
    </row>
    <row r="2693" spans="1:8" ht="15.75">
      <c r="A2693" s="50">
        <v>43313</v>
      </c>
      <c r="B2693" s="51">
        <v>5867.16</v>
      </c>
      <c r="C2693" s="52"/>
      <c r="D2693" s="52"/>
      <c r="E2693" s="52"/>
      <c r="F2693" s="52"/>
      <c r="G2693" s="52"/>
      <c r="H2693" s="52"/>
    </row>
    <row r="2694" spans="1:8" ht="15.75">
      <c r="A2694" s="50">
        <v>43314</v>
      </c>
      <c r="B2694" s="51">
        <v>5779.3</v>
      </c>
      <c r="C2694" s="52"/>
      <c r="D2694" s="52"/>
      <c r="E2694" s="52"/>
      <c r="F2694" s="52"/>
      <c r="G2694" s="52"/>
      <c r="H2694" s="52"/>
    </row>
    <row r="2695" spans="1:8" ht="15.75">
      <c r="A2695" s="50">
        <v>43315</v>
      </c>
      <c r="B2695" s="51">
        <v>5811.29</v>
      </c>
      <c r="C2695" s="52"/>
      <c r="D2695" s="52"/>
      <c r="E2695" s="52"/>
      <c r="F2695" s="52"/>
      <c r="G2695" s="52"/>
      <c r="H2695" s="52"/>
    </row>
    <row r="2696" spans="1:8" ht="15.75">
      <c r="A2696" s="50">
        <v>43318</v>
      </c>
      <c r="B2696" s="51">
        <v>5803.2</v>
      </c>
      <c r="C2696" s="52"/>
      <c r="D2696" s="52"/>
      <c r="E2696" s="52"/>
      <c r="F2696" s="52"/>
      <c r="G2696" s="52"/>
      <c r="H2696" s="52"/>
    </row>
    <row r="2697" spans="1:8" ht="15.75">
      <c r="A2697" s="50">
        <v>43319</v>
      </c>
      <c r="B2697" s="51">
        <v>5826.23</v>
      </c>
      <c r="C2697" s="52"/>
      <c r="D2697" s="52"/>
      <c r="E2697" s="52"/>
      <c r="F2697" s="52"/>
      <c r="G2697" s="52"/>
      <c r="H2697" s="52"/>
    </row>
    <row r="2698" spans="1:8" ht="15.75">
      <c r="A2698" s="50">
        <v>43320</v>
      </c>
      <c r="B2698" s="51">
        <v>5819.48</v>
      </c>
      <c r="C2698" s="52"/>
      <c r="D2698" s="52"/>
      <c r="E2698" s="52"/>
      <c r="F2698" s="52"/>
      <c r="G2698" s="52"/>
      <c r="H2698" s="52"/>
    </row>
    <row r="2699" spans="1:8" ht="15.75">
      <c r="A2699" s="50">
        <v>43321</v>
      </c>
      <c r="B2699" s="51">
        <v>5839.09</v>
      </c>
      <c r="C2699" s="52"/>
      <c r="D2699" s="52"/>
      <c r="E2699" s="52"/>
      <c r="F2699" s="52"/>
      <c r="G2699" s="52"/>
      <c r="H2699" s="52"/>
    </row>
    <row r="2700" spans="1:8" ht="15.75">
      <c r="A2700" s="50">
        <v>43322</v>
      </c>
      <c r="B2700" s="51">
        <v>5723.11</v>
      </c>
      <c r="C2700" s="52"/>
      <c r="D2700" s="52"/>
      <c r="E2700" s="52"/>
      <c r="F2700" s="52"/>
      <c r="G2700" s="52"/>
      <c r="H2700" s="52"/>
    </row>
    <row r="2701" spans="1:8" ht="15.75">
      <c r="A2701" s="50">
        <v>43325</v>
      </c>
      <c r="B2701" s="51">
        <v>5692.89</v>
      </c>
      <c r="C2701" s="52"/>
      <c r="D2701" s="52"/>
      <c r="E2701" s="52"/>
      <c r="F2701" s="52"/>
      <c r="G2701" s="52"/>
      <c r="H2701" s="52"/>
    </row>
    <row r="2702" spans="1:8" ht="15.75">
      <c r="A2702" s="50">
        <v>43326</v>
      </c>
      <c r="B2702" s="51">
        <v>5692.95</v>
      </c>
      <c r="C2702" s="52"/>
      <c r="D2702" s="52"/>
      <c r="E2702" s="52"/>
      <c r="F2702" s="52"/>
      <c r="G2702" s="52"/>
      <c r="H2702" s="52"/>
    </row>
    <row r="2703" spans="1:8" ht="15.75">
      <c r="A2703" s="50">
        <v>43327</v>
      </c>
      <c r="B2703" s="51">
        <v>5602.73</v>
      </c>
      <c r="C2703" s="52"/>
      <c r="D2703" s="52"/>
      <c r="E2703" s="52"/>
      <c r="F2703" s="52"/>
      <c r="G2703" s="52"/>
      <c r="H2703" s="52"/>
    </row>
    <row r="2704" spans="1:8" ht="15.75">
      <c r="A2704" s="50">
        <v>43328</v>
      </c>
      <c r="B2704" s="51">
        <v>5636.89</v>
      </c>
      <c r="C2704" s="52"/>
      <c r="D2704" s="52"/>
      <c r="E2704" s="52"/>
      <c r="F2704" s="52"/>
      <c r="G2704" s="52"/>
      <c r="H2704" s="52"/>
    </row>
    <row r="2705" spans="1:8" ht="15.75">
      <c r="A2705" s="50">
        <v>43329</v>
      </c>
      <c r="B2705" s="51">
        <v>5624.63</v>
      </c>
      <c r="C2705" s="52"/>
      <c r="D2705" s="52"/>
      <c r="E2705" s="52"/>
      <c r="F2705" s="52"/>
      <c r="G2705" s="52"/>
      <c r="H2705" s="52"/>
    </row>
    <row r="2706" spans="1:8" ht="15.75">
      <c r="A2706" s="50">
        <v>43332</v>
      </c>
      <c r="B2706" s="51">
        <v>5680.25</v>
      </c>
      <c r="C2706" s="52"/>
      <c r="D2706" s="52"/>
      <c r="E2706" s="52"/>
      <c r="F2706" s="52"/>
      <c r="G2706" s="52"/>
      <c r="H2706" s="52"/>
    </row>
    <row r="2707" spans="1:8" ht="15.75">
      <c r="A2707" s="50">
        <v>43333</v>
      </c>
      <c r="B2707" s="51">
        <v>5704.75</v>
      </c>
      <c r="C2707" s="52"/>
      <c r="D2707" s="52"/>
      <c r="E2707" s="52"/>
      <c r="F2707" s="52"/>
      <c r="G2707" s="52"/>
      <c r="H2707" s="52"/>
    </row>
    <row r="2708" spans="1:8" ht="15.75">
      <c r="A2708" s="50">
        <v>43334</v>
      </c>
      <c r="B2708" s="51">
        <v>5705.31</v>
      </c>
      <c r="C2708" s="52"/>
      <c r="D2708" s="52"/>
      <c r="E2708" s="52"/>
      <c r="F2708" s="52"/>
      <c r="G2708" s="52"/>
      <c r="H2708" s="52"/>
    </row>
    <row r="2709" spans="1:8" ht="15.75">
      <c r="A2709" s="50">
        <v>43335</v>
      </c>
      <c r="B2709" s="51">
        <v>5696.04</v>
      </c>
      <c r="C2709" s="52"/>
      <c r="D2709" s="52"/>
      <c r="E2709" s="52"/>
      <c r="F2709" s="52"/>
      <c r="G2709" s="52"/>
      <c r="H2709" s="52"/>
    </row>
    <row r="2710" spans="1:8" ht="15.75">
      <c r="A2710" s="50">
        <v>43336</v>
      </c>
      <c r="B2710" s="51">
        <v>5709.38</v>
      </c>
      <c r="C2710" s="52"/>
      <c r="D2710" s="52"/>
      <c r="E2710" s="52"/>
      <c r="F2710" s="52"/>
      <c r="G2710" s="52"/>
      <c r="H2710" s="52"/>
    </row>
    <row r="2711" spans="1:8" ht="15.75">
      <c r="A2711" s="50">
        <v>43339</v>
      </c>
      <c r="B2711" s="51">
        <v>5775.61</v>
      </c>
      <c r="C2711" s="52"/>
      <c r="D2711" s="52"/>
      <c r="E2711" s="52"/>
      <c r="F2711" s="52"/>
      <c r="G2711" s="52"/>
      <c r="H2711" s="52"/>
    </row>
    <row r="2712" spans="1:8" ht="15.75">
      <c r="A2712" s="50">
        <v>43340</v>
      </c>
      <c r="B2712" s="51">
        <v>5770.59</v>
      </c>
      <c r="C2712" s="52"/>
      <c r="D2712" s="52"/>
      <c r="E2712" s="52"/>
      <c r="F2712" s="52"/>
      <c r="G2712" s="52"/>
      <c r="H2712" s="52"/>
    </row>
    <row r="2713" spans="1:8" ht="15.75">
      <c r="A2713" s="50">
        <v>43341</v>
      </c>
      <c r="B2713" s="51">
        <v>5786.38</v>
      </c>
      <c r="C2713" s="52"/>
      <c r="D2713" s="52"/>
      <c r="E2713" s="52"/>
      <c r="F2713" s="52"/>
      <c r="G2713" s="52"/>
      <c r="H2713" s="52"/>
    </row>
    <row r="2714" spans="1:8" ht="15.75">
      <c r="A2714" s="50">
        <v>43342</v>
      </c>
      <c r="B2714" s="51">
        <v>5755.31</v>
      </c>
      <c r="C2714" s="52"/>
      <c r="D2714" s="52"/>
      <c r="E2714" s="52"/>
      <c r="F2714" s="52"/>
      <c r="G2714" s="52"/>
      <c r="H2714" s="52"/>
    </row>
    <row r="2715" spans="1:8" ht="15.75">
      <c r="A2715" s="50">
        <v>43343</v>
      </c>
      <c r="B2715" s="51">
        <v>5695.34</v>
      </c>
      <c r="C2715" s="52"/>
      <c r="D2715" s="52"/>
      <c r="E2715" s="52"/>
      <c r="F2715" s="52"/>
      <c r="G2715" s="52"/>
      <c r="H2715" s="52"/>
    </row>
    <row r="2716" spans="1:8" ht="15.75">
      <c r="A2716" s="50">
        <v>43346</v>
      </c>
      <c r="B2716" s="51">
        <v>5687.21</v>
      </c>
      <c r="C2716" s="52"/>
      <c r="D2716" s="52"/>
      <c r="E2716" s="52"/>
      <c r="F2716" s="52"/>
      <c r="G2716" s="52"/>
      <c r="H2716" s="52"/>
    </row>
    <row r="2717" spans="1:8" ht="15.75">
      <c r="A2717" s="50">
        <v>43347</v>
      </c>
      <c r="B2717" s="51">
        <v>5624.48</v>
      </c>
      <c r="C2717" s="52"/>
      <c r="D2717" s="52"/>
      <c r="E2717" s="52"/>
      <c r="F2717" s="52"/>
      <c r="G2717" s="52"/>
      <c r="H2717" s="52"/>
    </row>
    <row r="2718" spans="1:8" ht="15.75">
      <c r="A2718" s="50">
        <v>43348</v>
      </c>
      <c r="B2718" s="51">
        <v>5546.28</v>
      </c>
      <c r="C2718" s="52"/>
      <c r="D2718" s="52"/>
      <c r="E2718" s="52"/>
      <c r="F2718" s="52"/>
      <c r="G2718" s="52"/>
      <c r="H2718" s="52"/>
    </row>
    <row r="2719" spans="1:8" ht="15.75">
      <c r="A2719" s="50">
        <v>43349</v>
      </c>
      <c r="B2719" s="51">
        <v>5507.03</v>
      </c>
      <c r="C2719" s="52"/>
      <c r="D2719" s="52"/>
      <c r="E2719" s="52"/>
      <c r="F2719" s="52"/>
      <c r="G2719" s="52"/>
      <c r="H2719" s="52"/>
    </row>
    <row r="2720" spans="1:8" ht="15.75">
      <c r="A2720" s="50">
        <v>43350</v>
      </c>
      <c r="B2720" s="51">
        <v>5509.05</v>
      </c>
      <c r="C2720" s="52"/>
      <c r="D2720" s="52"/>
      <c r="E2720" s="52"/>
      <c r="F2720" s="52"/>
      <c r="G2720" s="52"/>
      <c r="H2720" s="52"/>
    </row>
    <row r="2721" spans="1:8" ht="15.75">
      <c r="A2721" s="50">
        <v>43353</v>
      </c>
      <c r="B2721" s="51">
        <v>5521.35</v>
      </c>
      <c r="C2721" s="52"/>
      <c r="D2721" s="52"/>
      <c r="E2721" s="52"/>
      <c r="F2721" s="52"/>
      <c r="G2721" s="52"/>
      <c r="H2721" s="52"/>
    </row>
    <row r="2722" spans="1:8" ht="15.75">
      <c r="A2722" s="50">
        <v>43354</v>
      </c>
      <c r="B2722" s="51">
        <v>5513.95</v>
      </c>
      <c r="C2722" s="52"/>
      <c r="D2722" s="52"/>
      <c r="E2722" s="52"/>
      <c r="F2722" s="52"/>
      <c r="G2722" s="52"/>
      <c r="H2722" s="52"/>
    </row>
    <row r="2723" spans="1:8" ht="15.75">
      <c r="A2723" s="50">
        <v>43355</v>
      </c>
      <c r="B2723" s="51">
        <v>5542.52</v>
      </c>
      <c r="C2723" s="52"/>
      <c r="D2723" s="52"/>
      <c r="E2723" s="52"/>
      <c r="F2723" s="52"/>
      <c r="G2723" s="52"/>
      <c r="H2723" s="52"/>
    </row>
    <row r="2724" spans="1:8" ht="15.75">
      <c r="A2724" s="50">
        <v>43356</v>
      </c>
      <c r="B2724" s="51">
        <v>5553.23</v>
      </c>
      <c r="C2724" s="52"/>
      <c r="D2724" s="52"/>
      <c r="E2724" s="52"/>
      <c r="F2724" s="52"/>
      <c r="G2724" s="52"/>
      <c r="H2724" s="52"/>
    </row>
    <row r="2725" spans="1:8" ht="15.75">
      <c r="A2725" s="50">
        <v>43357</v>
      </c>
      <c r="B2725" s="51">
        <v>5584.91</v>
      </c>
      <c r="C2725" s="52"/>
      <c r="D2725" s="52"/>
      <c r="E2725" s="52"/>
      <c r="F2725" s="52"/>
      <c r="G2725" s="52"/>
      <c r="H2725" s="52"/>
    </row>
    <row r="2726" spans="1:8" ht="15.75">
      <c r="A2726" s="50">
        <v>43360</v>
      </c>
      <c r="B2726" s="51">
        <v>5572.05</v>
      </c>
      <c r="C2726" s="52"/>
      <c r="D2726" s="52"/>
      <c r="E2726" s="52"/>
      <c r="F2726" s="52"/>
      <c r="G2726" s="52"/>
      <c r="H2726" s="52"/>
    </row>
    <row r="2727" spans="1:8" ht="15.75">
      <c r="A2727" s="50">
        <v>43361</v>
      </c>
      <c r="B2727" s="51">
        <v>5600.27</v>
      </c>
      <c r="C2727" s="52"/>
      <c r="D2727" s="52"/>
      <c r="E2727" s="52"/>
      <c r="F2727" s="52"/>
      <c r="G2727" s="52"/>
      <c r="H2727" s="52"/>
    </row>
    <row r="2728" spans="1:8" ht="15.75">
      <c r="A2728" s="50">
        <v>43362</v>
      </c>
      <c r="B2728" s="51">
        <v>5628.53</v>
      </c>
      <c r="C2728" s="52"/>
      <c r="D2728" s="52"/>
      <c r="E2728" s="52"/>
      <c r="F2728" s="52"/>
      <c r="G2728" s="52"/>
      <c r="H2728" s="52"/>
    </row>
    <row r="2729" spans="1:8" ht="15.75">
      <c r="A2729" s="50">
        <v>43363</v>
      </c>
      <c r="B2729" s="51">
        <v>5678.03</v>
      </c>
      <c r="C2729" s="52"/>
      <c r="D2729" s="52"/>
      <c r="E2729" s="52"/>
      <c r="F2729" s="52"/>
      <c r="G2729" s="52"/>
      <c r="H2729" s="52"/>
    </row>
    <row r="2730" spans="1:8" ht="15.75">
      <c r="A2730" s="50">
        <v>43364</v>
      </c>
      <c r="B2730" s="51">
        <v>5726.12</v>
      </c>
      <c r="C2730" s="52"/>
      <c r="D2730" s="52"/>
      <c r="E2730" s="52"/>
      <c r="F2730" s="52"/>
      <c r="G2730" s="52"/>
      <c r="H2730" s="52"/>
    </row>
    <row r="2731" spans="1:8" ht="15.75">
      <c r="A2731" s="50">
        <v>43367</v>
      </c>
      <c r="B2731" s="51">
        <v>5689.24</v>
      </c>
      <c r="C2731" s="52"/>
      <c r="D2731" s="52"/>
      <c r="E2731" s="52"/>
      <c r="F2731" s="52"/>
      <c r="G2731" s="52"/>
      <c r="H2731" s="52"/>
    </row>
    <row r="2732" spans="1:8" ht="15.75">
      <c r="A2732" s="50">
        <v>43368</v>
      </c>
      <c r="B2732" s="51">
        <v>5700.22</v>
      </c>
      <c r="C2732" s="52"/>
      <c r="D2732" s="52"/>
      <c r="E2732" s="52"/>
      <c r="F2732" s="52"/>
      <c r="G2732" s="52"/>
      <c r="H2732" s="52"/>
    </row>
    <row r="2733" spans="1:8" ht="15.75">
      <c r="A2733" s="50">
        <v>43369</v>
      </c>
      <c r="B2733" s="51">
        <v>5705.39</v>
      </c>
      <c r="C2733" s="52"/>
      <c r="D2733" s="52"/>
      <c r="E2733" s="52"/>
      <c r="F2733" s="52"/>
      <c r="G2733" s="52"/>
      <c r="H2733" s="52"/>
    </row>
    <row r="2734" spans="1:8" ht="15.75">
      <c r="A2734" s="50">
        <v>43370</v>
      </c>
      <c r="B2734" s="51">
        <v>5728.29</v>
      </c>
      <c r="C2734" s="52"/>
      <c r="D2734" s="52"/>
      <c r="E2734" s="52"/>
      <c r="F2734" s="52"/>
      <c r="G2734" s="52"/>
      <c r="H2734" s="52"/>
    </row>
    <row r="2735" spans="1:8" ht="15.75">
      <c r="A2735" s="50">
        <v>43371</v>
      </c>
      <c r="B2735" s="51">
        <v>5641.29</v>
      </c>
      <c r="C2735" s="52"/>
      <c r="D2735" s="52"/>
      <c r="E2735" s="52"/>
      <c r="F2735" s="52"/>
      <c r="G2735" s="52"/>
      <c r="H2735" s="52"/>
    </row>
    <row r="2736" spans="1:8" ht="15.75">
      <c r="A2736" s="50">
        <v>43374</v>
      </c>
      <c r="B2736" s="51">
        <v>5683.81</v>
      </c>
      <c r="C2736" s="52"/>
      <c r="D2736" s="52"/>
      <c r="E2736" s="52"/>
      <c r="F2736" s="52"/>
      <c r="G2736" s="52"/>
      <c r="H2736" s="52"/>
    </row>
    <row r="2737" spans="1:8" ht="15.75">
      <c r="A2737" s="50">
        <v>43375</v>
      </c>
      <c r="B2737" s="51">
        <v>5660.11</v>
      </c>
      <c r="C2737" s="52"/>
      <c r="D2737" s="52"/>
      <c r="E2737" s="52"/>
      <c r="F2737" s="52"/>
      <c r="G2737" s="52"/>
      <c r="H2737" s="52"/>
    </row>
    <row r="2738" spans="1:8" ht="15.75">
      <c r="A2738" s="50">
        <v>43377</v>
      </c>
      <c r="B2738" s="51">
        <v>5640.1</v>
      </c>
      <c r="C2738" s="52"/>
      <c r="D2738" s="52"/>
      <c r="E2738" s="52"/>
      <c r="F2738" s="52"/>
      <c r="G2738" s="52"/>
      <c r="H2738" s="52"/>
    </row>
    <row r="2739" spans="1:8" ht="15.75">
      <c r="A2739" s="50">
        <v>43378</v>
      </c>
      <c r="B2739" s="51">
        <v>5579.19</v>
      </c>
      <c r="C2739" s="52"/>
      <c r="D2739" s="52"/>
      <c r="E2739" s="52"/>
      <c r="F2739" s="52"/>
      <c r="G2739" s="52"/>
      <c r="H2739" s="52"/>
    </row>
    <row r="2740" spans="1:8" ht="15.75">
      <c r="A2740" s="50">
        <v>43381</v>
      </c>
      <c r="B2740" s="51">
        <v>5503.3</v>
      </c>
      <c r="C2740" s="52"/>
      <c r="D2740" s="52"/>
      <c r="E2740" s="52"/>
      <c r="F2740" s="52"/>
      <c r="G2740" s="52"/>
      <c r="H2740" s="52"/>
    </row>
    <row r="2741" spans="1:8" ht="15.75">
      <c r="A2741" s="50">
        <v>43382</v>
      </c>
      <c r="B2741" s="51">
        <v>5517.15</v>
      </c>
      <c r="C2741" s="52"/>
      <c r="D2741" s="52"/>
      <c r="E2741" s="52"/>
      <c r="F2741" s="52"/>
      <c r="G2741" s="52"/>
      <c r="H2741" s="52"/>
    </row>
    <row r="2742" spans="1:8" ht="15.75">
      <c r="A2742" s="50">
        <v>43383</v>
      </c>
      <c r="B2742" s="51">
        <v>5395.21</v>
      </c>
      <c r="C2742" s="52"/>
      <c r="D2742" s="52"/>
      <c r="E2742" s="52"/>
      <c r="F2742" s="52"/>
      <c r="G2742" s="52"/>
      <c r="H2742" s="52"/>
    </row>
    <row r="2743" spans="1:8" ht="15.75">
      <c r="A2743" s="50">
        <v>43384</v>
      </c>
      <c r="B2743" s="51">
        <v>5315.45</v>
      </c>
      <c r="C2743" s="52"/>
      <c r="D2743" s="52"/>
      <c r="E2743" s="52"/>
      <c r="F2743" s="52"/>
      <c r="G2743" s="52"/>
      <c r="H2743" s="52"/>
    </row>
    <row r="2744" spans="1:8" ht="15.75">
      <c r="A2744" s="50">
        <v>43385</v>
      </c>
      <c r="B2744" s="51">
        <v>5308.29</v>
      </c>
      <c r="C2744" s="52"/>
      <c r="D2744" s="52"/>
      <c r="E2744" s="52"/>
      <c r="F2744" s="52"/>
      <c r="G2744" s="52"/>
      <c r="H2744" s="52"/>
    </row>
    <row r="2745" spans="1:8" ht="15.75">
      <c r="A2745" s="50">
        <v>43388</v>
      </c>
      <c r="B2745" s="51">
        <v>5349.91</v>
      </c>
      <c r="C2745" s="52"/>
      <c r="D2745" s="52"/>
      <c r="E2745" s="52"/>
      <c r="F2745" s="52"/>
      <c r="G2745" s="52"/>
      <c r="H2745" s="52"/>
    </row>
    <row r="2746" spans="1:8" ht="15.75">
      <c r="A2746" s="50">
        <v>43389</v>
      </c>
      <c r="B2746" s="51">
        <v>5424.71</v>
      </c>
      <c r="C2746" s="52"/>
      <c r="D2746" s="52"/>
      <c r="E2746" s="52"/>
      <c r="F2746" s="52"/>
      <c r="G2746" s="52"/>
      <c r="H2746" s="52"/>
    </row>
    <row r="2747" spans="1:8" ht="15.75">
      <c r="A2747" s="50">
        <v>43390</v>
      </c>
      <c r="B2747" s="51">
        <v>5396.37</v>
      </c>
      <c r="C2747" s="52"/>
      <c r="D2747" s="52"/>
      <c r="E2747" s="52"/>
      <c r="F2747" s="52"/>
      <c r="G2747" s="52"/>
      <c r="H2747" s="52"/>
    </row>
    <row r="2748" spans="1:8" ht="15.75">
      <c r="A2748" s="50">
        <v>43391</v>
      </c>
      <c r="B2748" s="51">
        <v>5338.41</v>
      </c>
      <c r="C2748" s="52"/>
      <c r="D2748" s="52"/>
      <c r="E2748" s="52"/>
      <c r="F2748" s="52"/>
      <c r="G2748" s="52"/>
      <c r="H2748" s="52"/>
    </row>
    <row r="2749" spans="1:8" ht="15.75">
      <c r="A2749" s="50">
        <v>43392</v>
      </c>
      <c r="B2749" s="51">
        <v>5322.12</v>
      </c>
      <c r="C2749" s="52"/>
      <c r="D2749" s="52"/>
      <c r="E2749" s="52"/>
      <c r="F2749" s="52"/>
      <c r="G2749" s="52"/>
      <c r="H2749" s="52"/>
    </row>
    <row r="2750" spans="1:8" ht="15.75">
      <c r="A2750" s="50">
        <v>43395</v>
      </c>
      <c r="B2750" s="51">
        <v>5308.53</v>
      </c>
      <c r="C2750" s="52"/>
      <c r="D2750" s="52"/>
      <c r="E2750" s="52"/>
      <c r="F2750" s="52"/>
      <c r="G2750" s="52"/>
      <c r="H2750" s="52"/>
    </row>
    <row r="2751" spans="1:8" ht="15.75">
      <c r="A2751" s="50">
        <v>43396</v>
      </c>
      <c r="B2751" s="51">
        <v>5193.3500000000004</v>
      </c>
      <c r="C2751" s="52"/>
      <c r="D2751" s="52"/>
      <c r="E2751" s="52"/>
      <c r="F2751" s="52"/>
      <c r="G2751" s="52"/>
      <c r="H2751" s="52"/>
    </row>
    <row r="2752" spans="1:8" ht="15.75">
      <c r="A2752" s="50">
        <v>43397</v>
      </c>
      <c r="B2752" s="51">
        <v>5155.28</v>
      </c>
      <c r="C2752" s="52"/>
      <c r="D2752" s="52"/>
      <c r="E2752" s="52"/>
      <c r="F2752" s="52"/>
      <c r="G2752" s="52"/>
      <c r="H2752" s="52"/>
    </row>
    <row r="2753" spans="1:8" ht="15.75">
      <c r="A2753" s="50">
        <v>43398</v>
      </c>
      <c r="B2753" s="51">
        <v>5208.4799999999996</v>
      </c>
      <c r="C2753" s="52"/>
      <c r="D2753" s="52"/>
      <c r="E2753" s="52"/>
      <c r="F2753" s="52"/>
      <c r="G2753" s="52"/>
      <c r="H2753" s="52"/>
    </row>
    <row r="2754" spans="1:8" ht="15.75">
      <c r="A2754" s="50">
        <v>43399</v>
      </c>
      <c r="B2754" s="51">
        <v>5159.42</v>
      </c>
      <c r="C2754" s="52"/>
      <c r="D2754" s="52"/>
      <c r="E2754" s="52"/>
      <c r="F2754" s="52"/>
      <c r="G2754" s="52"/>
      <c r="H2754" s="52"/>
    </row>
    <row r="2755" spans="1:8" ht="15.75">
      <c r="A2755" s="50">
        <v>43402</v>
      </c>
      <c r="B2755" s="51">
        <v>5221.54</v>
      </c>
      <c r="C2755" s="52"/>
      <c r="D2755" s="52"/>
      <c r="E2755" s="52"/>
      <c r="F2755" s="52"/>
      <c r="G2755" s="52"/>
      <c r="H2755" s="52"/>
    </row>
    <row r="2756" spans="1:8" ht="15.75">
      <c r="A2756" s="50">
        <v>43403</v>
      </c>
      <c r="B2756" s="51">
        <v>5199.38</v>
      </c>
      <c r="C2756" s="52"/>
      <c r="D2756" s="52"/>
      <c r="E2756" s="52"/>
      <c r="F2756" s="52"/>
      <c r="G2756" s="52"/>
      <c r="H2756" s="52"/>
    </row>
    <row r="2757" spans="1:8" ht="15.75">
      <c r="A2757" s="50">
        <v>43404</v>
      </c>
      <c r="B2757" s="51">
        <v>5273.14</v>
      </c>
      <c r="C2757" s="52"/>
      <c r="D2757" s="52"/>
      <c r="E2757" s="52"/>
      <c r="F2757" s="52"/>
      <c r="G2757" s="52"/>
      <c r="H2757" s="52"/>
    </row>
    <row r="2758" spans="1:8" ht="15.75">
      <c r="A2758" s="50">
        <v>43405</v>
      </c>
      <c r="B2758" s="51">
        <v>5282.83</v>
      </c>
      <c r="C2758" s="52"/>
      <c r="D2758" s="52"/>
      <c r="E2758" s="52"/>
      <c r="F2758" s="52"/>
      <c r="G2758" s="52"/>
      <c r="H2758" s="52"/>
    </row>
    <row r="2759" spans="1:8" ht="15.75">
      <c r="A2759" s="50">
        <v>43406</v>
      </c>
      <c r="B2759" s="51">
        <v>5306.07</v>
      </c>
      <c r="C2759" s="52"/>
      <c r="D2759" s="52"/>
      <c r="E2759" s="52"/>
      <c r="F2759" s="52"/>
      <c r="G2759" s="52"/>
      <c r="H2759" s="52"/>
    </row>
    <row r="2760" spans="1:8" ht="15.75">
      <c r="A2760" s="50">
        <v>43409</v>
      </c>
      <c r="B2760" s="51">
        <v>5295</v>
      </c>
      <c r="C2760" s="52"/>
      <c r="D2760" s="52"/>
      <c r="E2760" s="52"/>
      <c r="F2760" s="52"/>
      <c r="G2760" s="52"/>
      <c r="H2760" s="52"/>
    </row>
    <row r="2761" spans="1:8" ht="15.75">
      <c r="A2761" s="50">
        <v>43410</v>
      </c>
      <c r="B2761" s="51">
        <v>5290.11</v>
      </c>
      <c r="C2761" s="52"/>
      <c r="D2761" s="52"/>
      <c r="E2761" s="52"/>
      <c r="F2761" s="52"/>
      <c r="G2761" s="52"/>
      <c r="H2761" s="52"/>
    </row>
    <row r="2762" spans="1:8" ht="15.75">
      <c r="A2762" s="50">
        <v>43411</v>
      </c>
      <c r="B2762" s="51">
        <v>5333.76</v>
      </c>
      <c r="C2762" s="52"/>
      <c r="D2762" s="52"/>
      <c r="E2762" s="52"/>
      <c r="F2762" s="52"/>
      <c r="G2762" s="52"/>
      <c r="H2762" s="52"/>
    </row>
    <row r="2763" spans="1:8" ht="15.75">
      <c r="A2763" s="50">
        <v>43412</v>
      </c>
      <c r="B2763" s="51">
        <v>5309.91</v>
      </c>
      <c r="C2763" s="52"/>
      <c r="D2763" s="52"/>
      <c r="E2763" s="52"/>
      <c r="F2763" s="52"/>
      <c r="G2763" s="52"/>
      <c r="H2763" s="52"/>
    </row>
    <row r="2764" spans="1:8" ht="15.75">
      <c r="A2764" s="50">
        <v>43413</v>
      </c>
      <c r="B2764" s="51">
        <v>5310.75</v>
      </c>
      <c r="C2764" s="52"/>
      <c r="D2764" s="52"/>
      <c r="E2764" s="52"/>
      <c r="F2764" s="52"/>
      <c r="G2764" s="52"/>
      <c r="H2764" s="52"/>
    </row>
    <row r="2765" spans="1:8" ht="15.75">
      <c r="A2765" s="50">
        <v>43416</v>
      </c>
      <c r="B2765" s="51">
        <v>5216.91</v>
      </c>
      <c r="C2765" s="52"/>
      <c r="D2765" s="52"/>
      <c r="E2765" s="52"/>
      <c r="F2765" s="52"/>
      <c r="G2765" s="52"/>
      <c r="H2765" s="52"/>
    </row>
    <row r="2766" spans="1:8" ht="15.75">
      <c r="A2766" s="50">
        <v>43417</v>
      </c>
      <c r="B2766" s="51">
        <v>5284.53</v>
      </c>
      <c r="C2766" s="52"/>
      <c r="D2766" s="52"/>
      <c r="E2766" s="52"/>
      <c r="F2766" s="52"/>
      <c r="G2766" s="52"/>
      <c r="H2766" s="52"/>
    </row>
    <row r="2767" spans="1:8" ht="15.75">
      <c r="A2767" s="50">
        <v>43418</v>
      </c>
      <c r="B2767" s="51">
        <v>5257.03</v>
      </c>
      <c r="C2767" s="52"/>
      <c r="D2767" s="52"/>
      <c r="E2767" s="52"/>
      <c r="F2767" s="52"/>
      <c r="G2767" s="52"/>
      <c r="H2767" s="52"/>
    </row>
    <row r="2768" spans="1:8" ht="15.75">
      <c r="A2768" s="50">
        <v>43419</v>
      </c>
      <c r="B2768" s="51">
        <v>5229.92</v>
      </c>
      <c r="C2768" s="52"/>
      <c r="D2768" s="52"/>
      <c r="E2768" s="52"/>
      <c r="F2768" s="52"/>
      <c r="G2768" s="52"/>
      <c r="H2768" s="52"/>
    </row>
    <row r="2769" spans="1:8" ht="15.75">
      <c r="A2769" s="50">
        <v>43420</v>
      </c>
      <c r="B2769" s="51">
        <v>5224.08</v>
      </c>
      <c r="C2769" s="52"/>
      <c r="D2769" s="52"/>
      <c r="E2769" s="52"/>
      <c r="F2769" s="52"/>
      <c r="G2769" s="52"/>
      <c r="H2769" s="52"/>
    </row>
    <row r="2770" spans="1:8" ht="15.75">
      <c r="A2770" s="50">
        <v>43423</v>
      </c>
      <c r="B2770" s="51">
        <v>5179.6499999999996</v>
      </c>
      <c r="C2770" s="52"/>
      <c r="D2770" s="52"/>
      <c r="E2770" s="52"/>
      <c r="F2770" s="52"/>
      <c r="G2770" s="52"/>
      <c r="H2770" s="52"/>
    </row>
    <row r="2771" spans="1:8" ht="15.75">
      <c r="A2771" s="50">
        <v>43424</v>
      </c>
      <c r="B2771" s="51">
        <v>5097.59</v>
      </c>
      <c r="C2771" s="52"/>
      <c r="D2771" s="52"/>
      <c r="E2771" s="52"/>
      <c r="F2771" s="52"/>
      <c r="G2771" s="52"/>
      <c r="H2771" s="52"/>
    </row>
    <row r="2772" spans="1:8" ht="15.75">
      <c r="A2772" s="50">
        <v>43425</v>
      </c>
      <c r="B2772" s="51">
        <v>5179.4799999999996</v>
      </c>
      <c r="C2772" s="52"/>
      <c r="D2772" s="52"/>
      <c r="E2772" s="52"/>
      <c r="F2772" s="52"/>
      <c r="G2772" s="52"/>
      <c r="H2772" s="52"/>
    </row>
    <row r="2773" spans="1:8" ht="15.75">
      <c r="A2773" s="50">
        <v>43426</v>
      </c>
      <c r="B2773" s="51">
        <v>5130.8</v>
      </c>
      <c r="C2773" s="52"/>
      <c r="D2773" s="52"/>
      <c r="E2773" s="52"/>
      <c r="F2773" s="52"/>
      <c r="G2773" s="52"/>
      <c r="H2773" s="52"/>
    </row>
    <row r="2774" spans="1:8" ht="15.75">
      <c r="A2774" s="50">
        <v>43427</v>
      </c>
      <c r="B2774" s="51">
        <v>5155.76</v>
      </c>
      <c r="C2774" s="52"/>
      <c r="D2774" s="52"/>
      <c r="E2774" s="52"/>
      <c r="F2774" s="52"/>
      <c r="G2774" s="52"/>
      <c r="H2774" s="52"/>
    </row>
    <row r="2775" spans="1:8" ht="15.75">
      <c r="A2775" s="50">
        <v>43430</v>
      </c>
      <c r="B2775" s="51">
        <v>5230.3999999999996</v>
      </c>
      <c r="C2775" s="52"/>
      <c r="D2775" s="52"/>
      <c r="E2775" s="52"/>
      <c r="F2775" s="52"/>
      <c r="G2775" s="52"/>
      <c r="H2775" s="52"/>
    </row>
    <row r="2776" spans="1:8" ht="15.75">
      <c r="A2776" s="50">
        <v>43431</v>
      </c>
      <c r="B2776" s="51">
        <v>5209.3900000000003</v>
      </c>
      <c r="C2776" s="52"/>
      <c r="D2776" s="52"/>
      <c r="E2776" s="52"/>
      <c r="F2776" s="52"/>
      <c r="G2776" s="52"/>
      <c r="H2776" s="52"/>
    </row>
    <row r="2777" spans="1:8" ht="15.75">
      <c r="A2777" s="50">
        <v>43432</v>
      </c>
      <c r="B2777" s="51">
        <v>5204.68</v>
      </c>
      <c r="C2777" s="52"/>
      <c r="D2777" s="52"/>
      <c r="E2777" s="52"/>
      <c r="F2777" s="52"/>
      <c r="G2777" s="52"/>
      <c r="H2777" s="52"/>
    </row>
    <row r="2778" spans="1:8" ht="15.75">
      <c r="A2778" s="50">
        <v>43433</v>
      </c>
      <c r="B2778" s="51">
        <v>5204.38</v>
      </c>
      <c r="C2778" s="52"/>
      <c r="D2778" s="52"/>
      <c r="E2778" s="52"/>
      <c r="F2778" s="52"/>
      <c r="G2778" s="52"/>
      <c r="H2778" s="52"/>
    </row>
    <row r="2779" spans="1:8" ht="15.75">
      <c r="A2779" s="50">
        <v>43434</v>
      </c>
      <c r="B2779" s="51">
        <v>5185.5</v>
      </c>
      <c r="C2779" s="52"/>
      <c r="D2779" s="52"/>
      <c r="E2779" s="52"/>
      <c r="F2779" s="52"/>
      <c r="G2779" s="52"/>
      <c r="H2779" s="52"/>
    </row>
    <row r="2780" spans="1:8" ht="15.75">
      <c r="A2780" s="50">
        <v>43437</v>
      </c>
      <c r="B2780" s="51">
        <v>5281.41</v>
      </c>
      <c r="C2780" s="52"/>
      <c r="D2780" s="52"/>
      <c r="E2780" s="52"/>
      <c r="F2780" s="52"/>
      <c r="G2780" s="52"/>
      <c r="H2780" s="52"/>
    </row>
    <row r="2781" spans="1:8" ht="15.75">
      <c r="A2781" s="50">
        <v>43438</v>
      </c>
      <c r="B2781" s="51">
        <v>5221.47</v>
      </c>
      <c r="C2781" s="52"/>
      <c r="D2781" s="52"/>
      <c r="E2781" s="52"/>
      <c r="F2781" s="52"/>
      <c r="G2781" s="52"/>
      <c r="H2781" s="52"/>
    </row>
    <row r="2782" spans="1:8" ht="15.75">
      <c r="A2782" s="50">
        <v>43439</v>
      </c>
      <c r="B2782" s="51">
        <v>5159.24</v>
      </c>
      <c r="C2782" s="52"/>
      <c r="D2782" s="52"/>
      <c r="E2782" s="52"/>
      <c r="F2782" s="52"/>
      <c r="G2782" s="52"/>
      <c r="H2782" s="52"/>
    </row>
    <row r="2783" spans="1:8" ht="15.75">
      <c r="A2783" s="50">
        <v>43440</v>
      </c>
      <c r="B2783" s="51">
        <v>4979.93</v>
      </c>
      <c r="C2783" s="52"/>
      <c r="D2783" s="52"/>
      <c r="E2783" s="52"/>
      <c r="F2783" s="52"/>
      <c r="G2783" s="52"/>
      <c r="H2783" s="52"/>
    </row>
    <row r="2784" spans="1:8" ht="15.75">
      <c r="A2784" s="50">
        <v>43441</v>
      </c>
      <c r="B2784" s="51">
        <v>4969.3900000000003</v>
      </c>
      <c r="C2784" s="52"/>
      <c r="D2784" s="52"/>
      <c r="E2784" s="52"/>
      <c r="F2784" s="52"/>
      <c r="G2784" s="52"/>
      <c r="H2784" s="52"/>
    </row>
    <row r="2785" spans="1:8" ht="15.75">
      <c r="A2785" s="50">
        <v>43444</v>
      </c>
      <c r="B2785" s="51">
        <v>4892.92</v>
      </c>
      <c r="C2785" s="52"/>
      <c r="D2785" s="52"/>
      <c r="E2785" s="52"/>
      <c r="F2785" s="52"/>
      <c r="G2785" s="52"/>
      <c r="H2785" s="52"/>
    </row>
    <row r="2786" spans="1:8" ht="15.75">
      <c r="A2786" s="50">
        <v>43445</v>
      </c>
      <c r="B2786" s="51">
        <v>4965.8999999999996</v>
      </c>
      <c r="C2786" s="52"/>
      <c r="D2786" s="52"/>
      <c r="E2786" s="52"/>
      <c r="F2786" s="52"/>
      <c r="G2786" s="52"/>
      <c r="H2786" s="52"/>
    </row>
    <row r="2787" spans="1:8" ht="15.75">
      <c r="A2787" s="50">
        <v>43446</v>
      </c>
      <c r="B2787" s="51">
        <v>5034.5</v>
      </c>
      <c r="C2787" s="52"/>
      <c r="D2787" s="52"/>
      <c r="E2787" s="52"/>
      <c r="F2787" s="52"/>
      <c r="G2787" s="52"/>
      <c r="H2787" s="52"/>
    </row>
    <row r="2788" spans="1:8" ht="15.75">
      <c r="A2788" s="50">
        <v>43447</v>
      </c>
      <c r="B2788" s="51">
        <v>5032.32</v>
      </c>
      <c r="C2788" s="52"/>
      <c r="D2788" s="52"/>
      <c r="E2788" s="52"/>
      <c r="F2788" s="52"/>
      <c r="G2788" s="52"/>
      <c r="H2788" s="52"/>
    </row>
    <row r="2789" spans="1:8" ht="15.75">
      <c r="A2789" s="50">
        <v>43448</v>
      </c>
      <c r="B2789" s="51">
        <v>5005.17</v>
      </c>
      <c r="C2789" s="52"/>
      <c r="D2789" s="52"/>
      <c r="E2789" s="52"/>
      <c r="F2789" s="52"/>
      <c r="G2789" s="52"/>
      <c r="H2789" s="52"/>
    </row>
    <row r="2790" spans="1:8" ht="15.75">
      <c r="A2790" s="50">
        <v>43451</v>
      </c>
      <c r="B2790" s="51">
        <v>4960.9399999999996</v>
      </c>
      <c r="C2790" s="52"/>
      <c r="D2790" s="52"/>
      <c r="E2790" s="52"/>
      <c r="F2790" s="52"/>
      <c r="G2790" s="52"/>
      <c r="H2790" s="52"/>
    </row>
    <row r="2791" spans="1:8" ht="15.75">
      <c r="A2791" s="50">
        <v>43452</v>
      </c>
      <c r="B2791" s="51">
        <v>4946.53</v>
      </c>
      <c r="C2791" s="52"/>
      <c r="D2791" s="52"/>
      <c r="E2791" s="52"/>
      <c r="F2791" s="52"/>
      <c r="G2791" s="52"/>
      <c r="H2791" s="52"/>
    </row>
    <row r="2792" spans="1:8" ht="15.75">
      <c r="A2792" s="50">
        <v>43453</v>
      </c>
      <c r="B2792" s="51">
        <v>4958.2</v>
      </c>
      <c r="C2792" s="52"/>
      <c r="D2792" s="52"/>
      <c r="E2792" s="52"/>
      <c r="F2792" s="52"/>
      <c r="G2792" s="52"/>
      <c r="H2792" s="52"/>
    </row>
    <row r="2793" spans="1:8" ht="15.75">
      <c r="A2793" s="50">
        <v>43454</v>
      </c>
      <c r="B2793" s="51">
        <v>4886.76</v>
      </c>
      <c r="C2793" s="52"/>
      <c r="D2793" s="52"/>
      <c r="E2793" s="52"/>
      <c r="F2793" s="52"/>
      <c r="G2793" s="52"/>
      <c r="H2793" s="52"/>
    </row>
    <row r="2794" spans="1:8" ht="15.75">
      <c r="A2794" s="50">
        <v>43455</v>
      </c>
      <c r="B2794" s="51">
        <v>4897.21</v>
      </c>
      <c r="C2794" s="52"/>
      <c r="D2794" s="52"/>
      <c r="E2794" s="52"/>
      <c r="F2794" s="52"/>
      <c r="G2794" s="52"/>
      <c r="H2794" s="52"/>
    </row>
    <row r="2795" spans="1:8" ht="15.75">
      <c r="A2795" s="50">
        <v>43461</v>
      </c>
      <c r="B2795" s="51">
        <v>4781.01</v>
      </c>
      <c r="C2795" s="52"/>
      <c r="D2795" s="52"/>
      <c r="E2795" s="52"/>
      <c r="F2795" s="52"/>
      <c r="G2795" s="52"/>
      <c r="H2795" s="52"/>
    </row>
    <row r="2796" spans="1:8" ht="15.75">
      <c r="A2796" s="50">
        <v>43462</v>
      </c>
      <c r="B2796" s="51">
        <v>4862.74</v>
      </c>
      <c r="C2796" s="52"/>
      <c r="D2796" s="52"/>
      <c r="E2796" s="52"/>
      <c r="F2796" s="52"/>
      <c r="G2796" s="52"/>
      <c r="H2796" s="52"/>
    </row>
    <row r="2797" spans="1:8" ht="15.75">
      <c r="A2797" s="50">
        <v>43467</v>
      </c>
      <c r="B2797" s="51">
        <v>4872.51</v>
      </c>
      <c r="C2797" s="52"/>
      <c r="D2797" s="52"/>
      <c r="E2797" s="52"/>
      <c r="F2797" s="52"/>
      <c r="G2797" s="52"/>
      <c r="H2797" s="52"/>
    </row>
    <row r="2798" spans="1:8" ht="15.75">
      <c r="A2798" s="50">
        <v>43468</v>
      </c>
      <c r="B2798" s="51">
        <v>4797.2</v>
      </c>
      <c r="C2798" s="52"/>
      <c r="D2798" s="52"/>
      <c r="E2798" s="52"/>
      <c r="F2798" s="52"/>
      <c r="G2798" s="52"/>
      <c r="H2798" s="52"/>
    </row>
    <row r="2799" spans="1:8" ht="15.75">
      <c r="A2799" s="50">
        <v>43469</v>
      </c>
      <c r="B2799" s="51">
        <v>4958.8599999999997</v>
      </c>
      <c r="C2799" s="52"/>
      <c r="D2799" s="52"/>
      <c r="E2799" s="52"/>
      <c r="F2799" s="52"/>
      <c r="G2799" s="52"/>
      <c r="H2799" s="52"/>
    </row>
    <row r="2800" spans="1:8" ht="15.75">
      <c r="A2800" s="50">
        <v>43472</v>
      </c>
      <c r="B2800" s="51">
        <v>4949.7</v>
      </c>
      <c r="C2800" s="52"/>
      <c r="D2800" s="52"/>
      <c r="E2800" s="52"/>
      <c r="F2800" s="52"/>
      <c r="G2800" s="52"/>
      <c r="H2800" s="52"/>
    </row>
    <row r="2801" spans="1:8" ht="15.75">
      <c r="A2801" s="50">
        <v>43473</v>
      </c>
      <c r="B2801" s="51">
        <v>4975.58</v>
      </c>
      <c r="C2801" s="52"/>
      <c r="D2801" s="52"/>
      <c r="E2801" s="52"/>
      <c r="F2801" s="52"/>
      <c r="G2801" s="52"/>
      <c r="H2801" s="52"/>
    </row>
    <row r="2802" spans="1:8" ht="15.75">
      <c r="A2802" s="50">
        <v>43474</v>
      </c>
      <c r="B2802" s="51">
        <v>5016.72</v>
      </c>
      <c r="C2802" s="52"/>
      <c r="D2802" s="52"/>
      <c r="E2802" s="52"/>
      <c r="F2802" s="52"/>
      <c r="G2802" s="52"/>
      <c r="H2802" s="52"/>
    </row>
    <row r="2803" spans="1:8" ht="15.75">
      <c r="A2803" s="50">
        <v>43475</v>
      </c>
      <c r="B2803" s="51">
        <v>5029.74</v>
      </c>
      <c r="C2803" s="52"/>
      <c r="D2803" s="52"/>
      <c r="E2803" s="52"/>
      <c r="F2803" s="52"/>
      <c r="G2803" s="52"/>
      <c r="H2803" s="52"/>
    </row>
    <row r="2804" spans="1:8" ht="15.75">
      <c r="A2804" s="50">
        <v>43476</v>
      </c>
      <c r="B2804" s="51">
        <v>5014.0200000000004</v>
      </c>
      <c r="C2804" s="52"/>
      <c r="D2804" s="52"/>
      <c r="E2804" s="52"/>
      <c r="F2804" s="52"/>
      <c r="G2804" s="52"/>
      <c r="H2804" s="52"/>
    </row>
    <row r="2805" spans="1:8" ht="15.75">
      <c r="A2805" s="50">
        <v>43479</v>
      </c>
      <c r="B2805" s="51">
        <v>4999.49</v>
      </c>
      <c r="C2805" s="52"/>
      <c r="D2805" s="52"/>
      <c r="E2805" s="52"/>
      <c r="F2805" s="52"/>
      <c r="G2805" s="52"/>
      <c r="H2805" s="52"/>
    </row>
    <row r="2806" spans="1:8" ht="15.75">
      <c r="A2806" s="50">
        <v>43480</v>
      </c>
      <c r="B2806" s="51">
        <v>5016.01</v>
      </c>
      <c r="C2806" s="52"/>
      <c r="D2806" s="52"/>
      <c r="E2806" s="52"/>
      <c r="F2806" s="52"/>
      <c r="G2806" s="52"/>
      <c r="H2806" s="52"/>
    </row>
    <row r="2807" spans="1:8" ht="15.75">
      <c r="A2807" s="50">
        <v>43481</v>
      </c>
      <c r="B2807" s="51">
        <v>5034.18</v>
      </c>
      <c r="C2807" s="52"/>
      <c r="D2807" s="52"/>
      <c r="E2807" s="52"/>
      <c r="F2807" s="52"/>
      <c r="G2807" s="52"/>
      <c r="H2807" s="52"/>
    </row>
    <row r="2808" spans="1:8" ht="15.75">
      <c r="A2808" s="50">
        <v>43482</v>
      </c>
      <c r="B2808" s="51">
        <v>5028.37</v>
      </c>
      <c r="C2808" s="52"/>
      <c r="D2808" s="52"/>
      <c r="E2808" s="52"/>
      <c r="F2808" s="52"/>
      <c r="G2808" s="52"/>
      <c r="H2808" s="52"/>
    </row>
    <row r="2809" spans="1:8" ht="15.75">
      <c r="A2809" s="50">
        <v>43483</v>
      </c>
      <c r="B2809" s="51">
        <v>5160.51</v>
      </c>
      <c r="C2809" s="52"/>
      <c r="D2809" s="52"/>
      <c r="E2809" s="52"/>
      <c r="F2809" s="52"/>
      <c r="G2809" s="52"/>
      <c r="H2809" s="52"/>
    </row>
    <row r="2810" spans="1:8" ht="15.75">
      <c r="A2810" s="50">
        <v>43486</v>
      </c>
      <c r="B2810" s="51">
        <v>5128.57</v>
      </c>
      <c r="C2810" s="52"/>
      <c r="D2810" s="52"/>
      <c r="E2810" s="52"/>
      <c r="F2810" s="52"/>
      <c r="G2810" s="52"/>
      <c r="H2810" s="52"/>
    </row>
    <row r="2811" spans="1:8" ht="15.75">
      <c r="A2811" s="50">
        <v>43487</v>
      </c>
      <c r="B2811" s="51">
        <v>5107.3500000000004</v>
      </c>
      <c r="C2811" s="52"/>
      <c r="D2811" s="52"/>
      <c r="E2811" s="52"/>
      <c r="F2811" s="52"/>
      <c r="G2811" s="52"/>
      <c r="H2811" s="52"/>
    </row>
    <row r="2812" spans="1:8" ht="15.75">
      <c r="A2812" s="50">
        <v>43488</v>
      </c>
      <c r="B2812" s="51">
        <v>5098.79</v>
      </c>
      <c r="C2812" s="52"/>
      <c r="D2812" s="52"/>
      <c r="E2812" s="52"/>
      <c r="F2812" s="52"/>
      <c r="G2812" s="52"/>
      <c r="H2812" s="52"/>
    </row>
    <row r="2813" spans="1:8" ht="15.75">
      <c r="A2813" s="50">
        <v>43489</v>
      </c>
      <c r="B2813" s="51">
        <v>5125.8</v>
      </c>
      <c r="C2813" s="52"/>
      <c r="D2813" s="52"/>
      <c r="E2813" s="52"/>
      <c r="F2813" s="52"/>
      <c r="G2813" s="52"/>
      <c r="H2813" s="52"/>
    </row>
    <row r="2814" spans="1:8" ht="15.75">
      <c r="A2814" s="50">
        <v>43490</v>
      </c>
      <c r="B2814" s="51">
        <v>5195.62</v>
      </c>
      <c r="C2814" s="52"/>
      <c r="D2814" s="52"/>
      <c r="E2814" s="52"/>
      <c r="F2814" s="52"/>
      <c r="G2814" s="52"/>
      <c r="H2814" s="52"/>
    </row>
    <row r="2815" spans="1:8" ht="15.75">
      <c r="A2815" s="50">
        <v>43493</v>
      </c>
      <c r="B2815" s="51">
        <v>5162.7</v>
      </c>
      <c r="C2815" s="52"/>
      <c r="D2815" s="52"/>
      <c r="E2815" s="52"/>
      <c r="F2815" s="52"/>
      <c r="G2815" s="52"/>
      <c r="H2815" s="52"/>
    </row>
    <row r="2816" spans="1:8" ht="15.75">
      <c r="A2816" s="50">
        <v>43494</v>
      </c>
      <c r="B2816" s="51">
        <v>5166.62</v>
      </c>
      <c r="C2816" s="52"/>
      <c r="D2816" s="52"/>
      <c r="E2816" s="52"/>
      <c r="F2816" s="52"/>
      <c r="G2816" s="52"/>
      <c r="H2816" s="52"/>
    </row>
    <row r="2817" spans="1:8" ht="15.75">
      <c r="A2817" s="50">
        <v>43495</v>
      </c>
      <c r="B2817" s="51">
        <v>5149.51</v>
      </c>
      <c r="C2817" s="52"/>
      <c r="D2817" s="52"/>
      <c r="E2817" s="52"/>
      <c r="F2817" s="52"/>
      <c r="G2817" s="52"/>
      <c r="H2817" s="52"/>
    </row>
    <row r="2818" spans="1:8" ht="15.75">
      <c r="A2818" s="50">
        <v>43496</v>
      </c>
      <c r="B2818" s="51">
        <v>5128.6099999999997</v>
      </c>
      <c r="C2818" s="52"/>
      <c r="D2818" s="52"/>
      <c r="E2818" s="52"/>
      <c r="F2818" s="52"/>
      <c r="G2818" s="52"/>
      <c r="H2818" s="52"/>
    </row>
    <row r="2819" spans="1:8" ht="15.75">
      <c r="A2819" s="50">
        <v>43497</v>
      </c>
      <c r="B2819" s="51">
        <v>5132.12</v>
      </c>
      <c r="C2819" s="52"/>
      <c r="D2819" s="52"/>
      <c r="E2819" s="52"/>
      <c r="F2819" s="52"/>
      <c r="G2819" s="52"/>
      <c r="H2819" s="52"/>
    </row>
    <row r="2820" spans="1:8" ht="15.75">
      <c r="A2820" s="50">
        <v>43500</v>
      </c>
      <c r="B2820" s="51">
        <v>5129.95</v>
      </c>
      <c r="C2820" s="52"/>
      <c r="D2820" s="52"/>
      <c r="E2820" s="52"/>
      <c r="F2820" s="52"/>
      <c r="G2820" s="52"/>
      <c r="H2820" s="52"/>
    </row>
    <row r="2821" spans="1:8" ht="15.75">
      <c r="A2821" s="50">
        <v>43501</v>
      </c>
      <c r="B2821" s="51">
        <v>5217.8500000000004</v>
      </c>
      <c r="C2821" s="52"/>
      <c r="D2821" s="52"/>
      <c r="E2821" s="52"/>
      <c r="F2821" s="52"/>
      <c r="G2821" s="52"/>
      <c r="H2821" s="52"/>
    </row>
    <row r="2822" spans="1:8" ht="15.75">
      <c r="A2822" s="50">
        <v>43502</v>
      </c>
      <c r="B2822" s="51">
        <v>5198.09</v>
      </c>
      <c r="C2822" s="52"/>
      <c r="D2822" s="52"/>
      <c r="E2822" s="52"/>
      <c r="F2822" s="52"/>
      <c r="G2822" s="52"/>
      <c r="H2822" s="52"/>
    </row>
    <row r="2823" spans="1:8" ht="15.75">
      <c r="A2823" s="50">
        <v>43503</v>
      </c>
      <c r="B2823" s="51">
        <v>5059.17</v>
      </c>
      <c r="C2823" s="52"/>
      <c r="D2823" s="52"/>
      <c r="E2823" s="52"/>
      <c r="F2823" s="52"/>
      <c r="G2823" s="52"/>
      <c r="H2823" s="52"/>
    </row>
    <row r="2824" spans="1:8" ht="15.75">
      <c r="A2824" s="50">
        <v>43504</v>
      </c>
      <c r="B2824" s="51">
        <v>5006.34</v>
      </c>
      <c r="C2824" s="52"/>
      <c r="D2824" s="52"/>
      <c r="E2824" s="52"/>
      <c r="F2824" s="52"/>
      <c r="G2824" s="52"/>
      <c r="H2824" s="52"/>
    </row>
    <row r="2825" spans="1:8" ht="15.75">
      <c r="A2825" s="50">
        <v>43507</v>
      </c>
      <c r="B2825" s="51">
        <v>5055.8500000000004</v>
      </c>
      <c r="C2825" s="52"/>
      <c r="D2825" s="52"/>
      <c r="E2825" s="52"/>
      <c r="F2825" s="52"/>
      <c r="G2825" s="52"/>
      <c r="H2825" s="52"/>
    </row>
    <row r="2826" spans="1:8" ht="15.75">
      <c r="A2826" s="50">
        <v>43508</v>
      </c>
      <c r="B2826" s="51">
        <v>5107.21</v>
      </c>
      <c r="C2826" s="52"/>
      <c r="D2826" s="52"/>
      <c r="E2826" s="52"/>
      <c r="F2826" s="52"/>
      <c r="G2826" s="52"/>
      <c r="H2826" s="52"/>
    </row>
    <row r="2827" spans="1:8" ht="15.75">
      <c r="A2827" s="50">
        <v>43509</v>
      </c>
      <c r="B2827" s="51">
        <v>5126.2</v>
      </c>
      <c r="C2827" s="52"/>
      <c r="D2827" s="52"/>
      <c r="E2827" s="52"/>
      <c r="F2827" s="52"/>
      <c r="G2827" s="52"/>
      <c r="H2827" s="52"/>
    </row>
    <row r="2828" spans="1:8" ht="15.75">
      <c r="A2828" s="50">
        <v>43510</v>
      </c>
      <c r="B2828" s="51">
        <v>5090.5200000000004</v>
      </c>
      <c r="C2828" s="52"/>
      <c r="D2828" s="52"/>
      <c r="E2828" s="52"/>
      <c r="F2828" s="52"/>
      <c r="G2828" s="52"/>
      <c r="H2828" s="52"/>
    </row>
    <row r="2829" spans="1:8" ht="15.75">
      <c r="A2829" s="50">
        <v>43511</v>
      </c>
      <c r="B2829" s="51">
        <v>5186.82</v>
      </c>
      <c r="C2829" s="52"/>
      <c r="D2829" s="52"/>
      <c r="E2829" s="52"/>
      <c r="F2829" s="52"/>
      <c r="G2829" s="52"/>
      <c r="H2829" s="52"/>
    </row>
    <row r="2830" spans="1:8" ht="15.75">
      <c r="A2830" s="50">
        <v>43514</v>
      </c>
      <c r="B2830" s="51">
        <v>5186.68</v>
      </c>
      <c r="C2830" s="52"/>
      <c r="D2830" s="52"/>
      <c r="E2830" s="52"/>
      <c r="F2830" s="52"/>
      <c r="G2830" s="52"/>
      <c r="H2830" s="52"/>
    </row>
    <row r="2831" spans="1:8" ht="15.75">
      <c r="A2831" s="50">
        <v>43515</v>
      </c>
      <c r="B2831" s="51">
        <v>5191.26</v>
      </c>
      <c r="C2831" s="52"/>
      <c r="D2831" s="52"/>
      <c r="E2831" s="52"/>
      <c r="F2831" s="52"/>
      <c r="G2831" s="52"/>
      <c r="H2831" s="52"/>
    </row>
    <row r="2832" spans="1:8" ht="15.75">
      <c r="A2832" s="50">
        <v>43516</v>
      </c>
      <c r="B2832" s="51">
        <v>5233.87</v>
      </c>
      <c r="C2832" s="52"/>
      <c r="D2832" s="52"/>
      <c r="E2832" s="52"/>
      <c r="F2832" s="52"/>
      <c r="G2832" s="52"/>
      <c r="H2832" s="52"/>
    </row>
    <row r="2833" spans="1:8" ht="15.75">
      <c r="A2833" s="50">
        <v>43517</v>
      </c>
      <c r="B2833" s="51">
        <v>5243.72</v>
      </c>
      <c r="C2833" s="52"/>
      <c r="D2833" s="52"/>
      <c r="E2833" s="52"/>
      <c r="F2833" s="52"/>
      <c r="G2833" s="52"/>
      <c r="H2833" s="52"/>
    </row>
    <row r="2834" spans="1:8" ht="15.75">
      <c r="A2834" s="50">
        <v>43518</v>
      </c>
      <c r="B2834" s="51">
        <v>5257.6</v>
      </c>
      <c r="C2834" s="52"/>
      <c r="D2834" s="52"/>
      <c r="E2834" s="52"/>
      <c r="F2834" s="52"/>
      <c r="G2834" s="52"/>
      <c r="H2834" s="52"/>
    </row>
    <row r="2835" spans="1:8" ht="15.75">
      <c r="A2835" s="50">
        <v>43521</v>
      </c>
      <c r="B2835" s="51">
        <v>5279.38</v>
      </c>
      <c r="C2835" s="52"/>
      <c r="D2835" s="52"/>
      <c r="E2835" s="52"/>
      <c r="F2835" s="52"/>
      <c r="G2835" s="52"/>
      <c r="H2835" s="52"/>
    </row>
    <row r="2836" spans="1:8" ht="15.75">
      <c r="A2836" s="50">
        <v>43522</v>
      </c>
      <c r="B2836" s="51">
        <v>5295.45</v>
      </c>
      <c r="C2836" s="52"/>
      <c r="D2836" s="52"/>
      <c r="E2836" s="52"/>
      <c r="F2836" s="52"/>
      <c r="G2836" s="52"/>
      <c r="H2836" s="52"/>
    </row>
    <row r="2837" spans="1:8" ht="15.75">
      <c r="A2837" s="50">
        <v>43523</v>
      </c>
      <c r="B2837" s="51">
        <v>5271.12</v>
      </c>
      <c r="C2837" s="52"/>
      <c r="D2837" s="52"/>
      <c r="E2837" s="52"/>
      <c r="F2837" s="52"/>
      <c r="G2837" s="52"/>
      <c r="H2837" s="52"/>
    </row>
    <row r="2838" spans="1:8" ht="15.75">
      <c r="A2838" s="50">
        <v>43524</v>
      </c>
      <c r="B2838" s="51">
        <v>5284.27</v>
      </c>
      <c r="C2838" s="52"/>
      <c r="D2838" s="52"/>
      <c r="E2838" s="52"/>
      <c r="F2838" s="52"/>
      <c r="G2838" s="52"/>
      <c r="H2838" s="52"/>
    </row>
    <row r="2839" spans="1:8" ht="15.75">
      <c r="A2839" s="50">
        <v>43525</v>
      </c>
      <c r="B2839" s="51">
        <v>5323.72</v>
      </c>
      <c r="C2839" s="52"/>
      <c r="D2839" s="52"/>
      <c r="E2839" s="52"/>
      <c r="F2839" s="52"/>
      <c r="G2839" s="52"/>
      <c r="H2839" s="52"/>
    </row>
    <row r="2840" spans="1:8" ht="15.75">
      <c r="A2840" s="50">
        <v>43528</v>
      </c>
      <c r="B2840" s="51">
        <v>5319.46</v>
      </c>
      <c r="C2840" s="52"/>
      <c r="D2840" s="52"/>
      <c r="E2840" s="52"/>
      <c r="F2840" s="52"/>
      <c r="G2840" s="52"/>
      <c r="H2840" s="52"/>
    </row>
    <row r="2841" spans="1:8" ht="15.75">
      <c r="A2841" s="50">
        <v>43529</v>
      </c>
      <c r="B2841" s="51">
        <v>5332.43</v>
      </c>
      <c r="C2841" s="52"/>
      <c r="D2841" s="52"/>
      <c r="E2841" s="52"/>
      <c r="F2841" s="52"/>
      <c r="G2841" s="52"/>
      <c r="H2841" s="52"/>
    </row>
    <row r="2842" spans="1:8" ht="15.75">
      <c r="A2842" s="50">
        <v>43530</v>
      </c>
      <c r="B2842" s="51">
        <v>5317.21</v>
      </c>
      <c r="C2842" s="52"/>
      <c r="D2842" s="52"/>
      <c r="E2842" s="52"/>
      <c r="F2842" s="52"/>
      <c r="G2842" s="52"/>
      <c r="H2842" s="52"/>
    </row>
    <row r="2843" spans="1:8" ht="15.75">
      <c r="A2843" s="50">
        <v>43531</v>
      </c>
      <c r="B2843" s="51">
        <v>5282.86</v>
      </c>
      <c r="C2843" s="52"/>
      <c r="D2843" s="52"/>
      <c r="E2843" s="52"/>
      <c r="F2843" s="52"/>
      <c r="G2843" s="52"/>
      <c r="H2843" s="52"/>
    </row>
    <row r="2844" spans="1:8" ht="15.75">
      <c r="A2844" s="50">
        <v>43532</v>
      </c>
      <c r="B2844" s="51">
        <v>5255.5</v>
      </c>
      <c r="C2844" s="52"/>
      <c r="D2844" s="52"/>
      <c r="E2844" s="52"/>
      <c r="F2844" s="52"/>
      <c r="G2844" s="52"/>
      <c r="H2844" s="52"/>
    </row>
    <row r="2845" spans="1:8" ht="15.75">
      <c r="A2845" s="50">
        <v>43535</v>
      </c>
      <c r="B2845" s="51">
        <v>5294.77</v>
      </c>
      <c r="C2845" s="52"/>
      <c r="D2845" s="52"/>
      <c r="E2845" s="52"/>
      <c r="F2845" s="52"/>
      <c r="G2845" s="52"/>
      <c r="H2845" s="52"/>
    </row>
    <row r="2846" spans="1:8" ht="15.75">
      <c r="A2846" s="50">
        <v>43536</v>
      </c>
      <c r="B2846" s="51">
        <v>5285.81</v>
      </c>
      <c r="C2846" s="52"/>
      <c r="D2846" s="52"/>
      <c r="E2846" s="52"/>
      <c r="F2846" s="52"/>
      <c r="G2846" s="52"/>
      <c r="H2846" s="52"/>
    </row>
    <row r="2847" spans="1:8" ht="15.75">
      <c r="A2847" s="50">
        <v>43537</v>
      </c>
      <c r="B2847" s="51">
        <v>5308</v>
      </c>
      <c r="C2847" s="52"/>
      <c r="D2847" s="52"/>
      <c r="E2847" s="52"/>
      <c r="F2847" s="52"/>
      <c r="G2847" s="52"/>
      <c r="H2847" s="52"/>
    </row>
    <row r="2848" spans="1:8" ht="15.75">
      <c r="A2848" s="50">
        <v>43538</v>
      </c>
      <c r="B2848" s="51">
        <v>5314.81</v>
      </c>
      <c r="C2848" s="52"/>
      <c r="D2848" s="52"/>
      <c r="E2848" s="52"/>
      <c r="F2848" s="52"/>
      <c r="G2848" s="52"/>
      <c r="H2848" s="52"/>
    </row>
    <row r="2849" spans="1:8" ht="15.75">
      <c r="A2849" s="50">
        <v>43539</v>
      </c>
      <c r="B2849" s="51">
        <v>5359.78</v>
      </c>
      <c r="C2849" s="52"/>
      <c r="D2849" s="52"/>
      <c r="E2849" s="52"/>
      <c r="F2849" s="52"/>
      <c r="G2849" s="52"/>
      <c r="H2849" s="52"/>
    </row>
    <row r="2850" spans="1:8" ht="15.75">
      <c r="A2850" s="50">
        <v>43542</v>
      </c>
      <c r="B2850" s="51">
        <v>5346.65</v>
      </c>
      <c r="C2850" s="52"/>
      <c r="D2850" s="52"/>
      <c r="E2850" s="52"/>
      <c r="F2850" s="52"/>
      <c r="G2850" s="52"/>
      <c r="H2850" s="52"/>
    </row>
    <row r="2851" spans="1:8" ht="15.75">
      <c r="A2851" s="50">
        <v>43543</v>
      </c>
      <c r="B2851" s="51">
        <v>5406.89</v>
      </c>
      <c r="C2851" s="52"/>
      <c r="D2851" s="52"/>
      <c r="E2851" s="52"/>
      <c r="F2851" s="52"/>
      <c r="G2851" s="52"/>
      <c r="H2851" s="52"/>
    </row>
    <row r="2852" spans="1:8" ht="15.75">
      <c r="A2852" s="50">
        <v>43544</v>
      </c>
      <c r="B2852" s="51">
        <v>5322.26</v>
      </c>
      <c r="C2852" s="52"/>
      <c r="D2852" s="52"/>
      <c r="E2852" s="52"/>
      <c r="F2852" s="52"/>
      <c r="G2852" s="52"/>
      <c r="H2852" s="52"/>
    </row>
    <row r="2853" spans="1:8" ht="15.75">
      <c r="A2853" s="50">
        <v>43545</v>
      </c>
      <c r="B2853" s="51">
        <v>5297.53</v>
      </c>
      <c r="C2853" s="52"/>
      <c r="D2853" s="52"/>
      <c r="E2853" s="52"/>
      <c r="F2853" s="52"/>
      <c r="G2853" s="52"/>
      <c r="H2853" s="52"/>
    </row>
    <row r="2854" spans="1:8" ht="15.75">
      <c r="A2854" s="50">
        <v>43546</v>
      </c>
      <c r="B2854" s="51">
        <v>5212.3100000000004</v>
      </c>
      <c r="C2854" s="52"/>
      <c r="D2854" s="52"/>
      <c r="E2854" s="52"/>
      <c r="F2854" s="52"/>
      <c r="G2854" s="52"/>
      <c r="H2854" s="52"/>
    </row>
    <row r="2855" spans="1:8" ht="15.75">
      <c r="A2855" s="50">
        <v>43549</v>
      </c>
      <c r="B2855" s="51">
        <v>5204.28</v>
      </c>
      <c r="C2855" s="52"/>
      <c r="D2855" s="52"/>
      <c r="E2855" s="52"/>
      <c r="F2855" s="52"/>
      <c r="G2855" s="52"/>
      <c r="H2855" s="52"/>
    </row>
    <row r="2856" spans="1:8" ht="15.75">
      <c r="A2856" s="50">
        <v>43550</v>
      </c>
      <c r="B2856" s="51">
        <v>5237.68</v>
      </c>
      <c r="C2856" s="52"/>
      <c r="D2856" s="52"/>
      <c r="E2856" s="52"/>
      <c r="F2856" s="52"/>
      <c r="G2856" s="52"/>
      <c r="H2856" s="52"/>
    </row>
    <row r="2857" spans="1:8" ht="15.75">
      <c r="A2857" s="50">
        <v>43551</v>
      </c>
      <c r="B2857" s="51">
        <v>5237.4799999999996</v>
      </c>
      <c r="C2857" s="52"/>
      <c r="D2857" s="52"/>
      <c r="E2857" s="52"/>
      <c r="F2857" s="52"/>
      <c r="G2857" s="52"/>
      <c r="H2857" s="52"/>
    </row>
    <row r="2858" spans="1:8" ht="15.75">
      <c r="A2858" s="50">
        <v>43552</v>
      </c>
      <c r="B2858" s="51">
        <v>5241.66</v>
      </c>
      <c r="C2858" s="52"/>
      <c r="D2858" s="52"/>
      <c r="E2858" s="52"/>
      <c r="F2858" s="52"/>
      <c r="G2858" s="52"/>
      <c r="H2858" s="52"/>
    </row>
    <row r="2859" spans="1:8" ht="15.75">
      <c r="A2859" s="50">
        <v>43553</v>
      </c>
      <c r="B2859" s="51">
        <v>5274</v>
      </c>
      <c r="C2859" s="52"/>
      <c r="D2859" s="52"/>
      <c r="E2859" s="52"/>
      <c r="F2859" s="52"/>
      <c r="G2859" s="52"/>
      <c r="H2859" s="52"/>
    </row>
    <row r="2860" spans="1:8" ht="15.75">
      <c r="A2860" s="50">
        <v>43556</v>
      </c>
      <c r="B2860" s="51">
        <v>5345.5</v>
      </c>
      <c r="C2860" s="52"/>
      <c r="D2860" s="52"/>
      <c r="E2860" s="52"/>
      <c r="F2860" s="52"/>
      <c r="G2860" s="52"/>
      <c r="H2860" s="52"/>
    </row>
    <row r="2861" spans="1:8" ht="15.75">
      <c r="A2861" s="50">
        <v>43557</v>
      </c>
      <c r="B2861" s="51">
        <v>5378.9</v>
      </c>
      <c r="C2861" s="52"/>
      <c r="D2861" s="52"/>
      <c r="E2861" s="52"/>
      <c r="F2861" s="52"/>
      <c r="G2861" s="52"/>
      <c r="H2861" s="52"/>
    </row>
    <row r="2862" spans="1:8" ht="15.75">
      <c r="A2862" s="50">
        <v>43558</v>
      </c>
      <c r="B2862" s="51">
        <v>5470.35</v>
      </c>
      <c r="C2862" s="52"/>
      <c r="D2862" s="52"/>
      <c r="E2862" s="52"/>
      <c r="F2862" s="52"/>
      <c r="G2862" s="52"/>
      <c r="H2862" s="52"/>
    </row>
    <row r="2863" spans="1:8" ht="15.75">
      <c r="A2863" s="50">
        <v>43559</v>
      </c>
      <c r="B2863" s="51">
        <v>5485.67</v>
      </c>
      <c r="C2863" s="52"/>
      <c r="D2863" s="52"/>
      <c r="E2863" s="52"/>
      <c r="F2863" s="52"/>
      <c r="G2863" s="52"/>
      <c r="H2863" s="52"/>
    </row>
    <row r="2864" spans="1:8" ht="15.75">
      <c r="A2864" s="50">
        <v>43560</v>
      </c>
      <c r="B2864" s="51">
        <v>5495.7</v>
      </c>
      <c r="C2864" s="52"/>
      <c r="D2864" s="52"/>
      <c r="E2864" s="52"/>
      <c r="F2864" s="52"/>
      <c r="G2864" s="52"/>
      <c r="H2864" s="52"/>
    </row>
    <row r="2865" spans="1:8" ht="15.75">
      <c r="A2865" s="50">
        <v>43563</v>
      </c>
      <c r="B2865" s="51">
        <v>5474.45</v>
      </c>
      <c r="C2865" s="52"/>
      <c r="D2865" s="52"/>
      <c r="E2865" s="52"/>
      <c r="F2865" s="52"/>
      <c r="G2865" s="52"/>
      <c r="H2865" s="52"/>
    </row>
    <row r="2866" spans="1:8" ht="15.75">
      <c r="A2866" s="50">
        <v>43564</v>
      </c>
      <c r="B2866" s="51">
        <v>5420.92</v>
      </c>
      <c r="C2866" s="52"/>
      <c r="D2866" s="52"/>
      <c r="E2866" s="52"/>
      <c r="F2866" s="52"/>
      <c r="G2866" s="52"/>
      <c r="H2866" s="52"/>
    </row>
    <row r="2867" spans="1:8" ht="15.75">
      <c r="A2867" s="50">
        <v>43565</v>
      </c>
      <c r="B2867" s="51">
        <v>5446.32</v>
      </c>
      <c r="C2867" s="52"/>
      <c r="D2867" s="52"/>
      <c r="E2867" s="52"/>
      <c r="F2867" s="52"/>
      <c r="G2867" s="52"/>
      <c r="H2867" s="52"/>
    </row>
    <row r="2868" spans="1:8" ht="15.75">
      <c r="A2868" s="50">
        <v>43566</v>
      </c>
      <c r="B2868" s="51">
        <v>5459.83</v>
      </c>
      <c r="C2868" s="52"/>
      <c r="D2868" s="52"/>
      <c r="E2868" s="52"/>
      <c r="F2868" s="52"/>
      <c r="G2868" s="52"/>
      <c r="H2868" s="52"/>
    </row>
    <row r="2869" spans="1:8" ht="15.75">
      <c r="A2869" s="50">
        <v>43567</v>
      </c>
      <c r="B2869" s="51">
        <v>5489.56</v>
      </c>
      <c r="C2869" s="52"/>
      <c r="D2869" s="52"/>
      <c r="E2869" s="52"/>
      <c r="F2869" s="52"/>
      <c r="G2869" s="52"/>
      <c r="H2869" s="52"/>
    </row>
    <row r="2870" spans="1:8" ht="15.75">
      <c r="A2870" s="50">
        <v>43570</v>
      </c>
      <c r="B2870" s="51">
        <v>5496.52</v>
      </c>
      <c r="C2870" s="52"/>
      <c r="D2870" s="52"/>
      <c r="E2870" s="52"/>
      <c r="F2870" s="52"/>
      <c r="G2870" s="52"/>
      <c r="H2870" s="52"/>
    </row>
    <row r="2871" spans="1:8" ht="15.75">
      <c r="A2871" s="50">
        <v>43571</v>
      </c>
      <c r="B2871" s="51">
        <v>5533.68</v>
      </c>
      <c r="C2871" s="52"/>
      <c r="D2871" s="52"/>
      <c r="E2871" s="52"/>
      <c r="F2871" s="52"/>
      <c r="G2871" s="52"/>
      <c r="H2871" s="52"/>
    </row>
    <row r="2872" spans="1:8" ht="15.75">
      <c r="A2872" s="50">
        <v>43572</v>
      </c>
      <c r="B2872" s="51">
        <v>5557.55</v>
      </c>
      <c r="C2872" s="52"/>
      <c r="D2872" s="52"/>
      <c r="E2872" s="52"/>
      <c r="F2872" s="52"/>
      <c r="G2872" s="52"/>
      <c r="H2872" s="52"/>
    </row>
    <row r="2873" spans="1:8" ht="15.75">
      <c r="A2873" s="50">
        <v>43573</v>
      </c>
      <c r="B2873" s="51">
        <v>5588.87</v>
      </c>
      <c r="C2873" s="52"/>
      <c r="D2873" s="52"/>
      <c r="E2873" s="52"/>
      <c r="F2873" s="52"/>
      <c r="G2873" s="52"/>
      <c r="H2873" s="52"/>
    </row>
    <row r="2874" spans="1:8" ht="15.75">
      <c r="A2874" s="50">
        <v>43578</v>
      </c>
      <c r="B2874" s="51">
        <v>5594.82</v>
      </c>
      <c r="C2874" s="52"/>
      <c r="D2874" s="52"/>
      <c r="E2874" s="52"/>
      <c r="F2874" s="52"/>
      <c r="G2874" s="52"/>
      <c r="H2874" s="52"/>
    </row>
    <row r="2875" spans="1:8" ht="15.75">
      <c r="A2875" s="50">
        <v>43579</v>
      </c>
      <c r="B2875" s="51">
        <v>5630.62</v>
      </c>
      <c r="C2875" s="52"/>
      <c r="D2875" s="52"/>
      <c r="E2875" s="52"/>
      <c r="F2875" s="52"/>
      <c r="G2875" s="52"/>
      <c r="H2875" s="52"/>
    </row>
    <row r="2876" spans="1:8" ht="15.75">
      <c r="A2876" s="50">
        <v>43580</v>
      </c>
      <c r="B2876" s="51">
        <v>5616.55</v>
      </c>
      <c r="C2876" s="52"/>
      <c r="D2876" s="52"/>
      <c r="E2876" s="52"/>
      <c r="F2876" s="52"/>
      <c r="G2876" s="52"/>
      <c r="H2876" s="52"/>
    </row>
    <row r="2877" spans="1:8" ht="15.75">
      <c r="A2877" s="50">
        <v>43581</v>
      </c>
      <c r="B2877" s="51">
        <v>5631.44</v>
      </c>
      <c r="C2877" s="52"/>
      <c r="D2877" s="52"/>
      <c r="E2877" s="52"/>
      <c r="F2877" s="52"/>
      <c r="G2877" s="52"/>
      <c r="H2877" s="52"/>
    </row>
    <row r="2878" spans="1:8" ht="15.75">
      <c r="A2878" s="50">
        <v>43584</v>
      </c>
      <c r="B2878" s="51">
        <v>5618.85</v>
      </c>
      <c r="C2878" s="52"/>
      <c r="D2878" s="52"/>
      <c r="E2878" s="52"/>
      <c r="F2878" s="52"/>
      <c r="G2878" s="52"/>
      <c r="H2878" s="52"/>
    </row>
    <row r="2879" spans="1:8" ht="15.75">
      <c r="A2879" s="50">
        <v>43585</v>
      </c>
      <c r="B2879" s="51">
        <v>5626.34</v>
      </c>
      <c r="C2879" s="52"/>
      <c r="D2879" s="52"/>
      <c r="E2879" s="52"/>
      <c r="F2879" s="52"/>
      <c r="G2879" s="52"/>
      <c r="H2879" s="52"/>
    </row>
    <row r="2880" spans="1:8" ht="15.75">
      <c r="A2880" s="50">
        <v>43587</v>
      </c>
      <c r="B2880" s="51">
        <v>5618.91</v>
      </c>
      <c r="C2880" s="52"/>
      <c r="D2880" s="52"/>
      <c r="E2880" s="52"/>
      <c r="F2880" s="52"/>
      <c r="G2880" s="52"/>
      <c r="H2880" s="52"/>
    </row>
    <row r="2881" spans="1:8" ht="15.75">
      <c r="A2881" s="50">
        <v>43588</v>
      </c>
      <c r="B2881" s="51">
        <v>5649.76</v>
      </c>
      <c r="C2881" s="52"/>
      <c r="D2881" s="52"/>
      <c r="E2881" s="52"/>
      <c r="F2881" s="52"/>
      <c r="G2881" s="52"/>
      <c r="H2881" s="52"/>
    </row>
    <row r="2882" spans="1:8" ht="15.75">
      <c r="A2882" s="50">
        <v>43591</v>
      </c>
      <c r="B2882" s="51">
        <v>5574.08</v>
      </c>
      <c r="C2882" s="52"/>
      <c r="D2882" s="52"/>
      <c r="E2882" s="52"/>
      <c r="F2882" s="52"/>
      <c r="G2882" s="52"/>
      <c r="H2882" s="52"/>
    </row>
    <row r="2883" spans="1:8" ht="15.75">
      <c r="A2883" s="50">
        <v>43592</v>
      </c>
      <c r="B2883" s="51">
        <v>5486.26</v>
      </c>
      <c r="C2883" s="52"/>
      <c r="D2883" s="52"/>
      <c r="E2883" s="52"/>
      <c r="F2883" s="52"/>
      <c r="G2883" s="52"/>
      <c r="H2883" s="52"/>
    </row>
    <row r="2884" spans="1:8" ht="15.75">
      <c r="A2884" s="50">
        <v>43593</v>
      </c>
      <c r="B2884" s="51">
        <v>5524.04</v>
      </c>
      <c r="C2884" s="52"/>
      <c r="D2884" s="52"/>
      <c r="E2884" s="52"/>
      <c r="F2884" s="52"/>
      <c r="G2884" s="52"/>
      <c r="H2884" s="52"/>
    </row>
    <row r="2885" spans="1:8" ht="15.75">
      <c r="A2885" s="50">
        <v>43594</v>
      </c>
      <c r="B2885" s="51">
        <v>5407.01</v>
      </c>
      <c r="C2885" s="52"/>
      <c r="D2885" s="52"/>
      <c r="E2885" s="52"/>
      <c r="F2885" s="52"/>
      <c r="G2885" s="52"/>
      <c r="H2885" s="52"/>
    </row>
    <row r="2886" spans="1:8" ht="15.75">
      <c r="A2886" s="50">
        <v>43595</v>
      </c>
      <c r="B2886" s="51">
        <v>5440.96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43598</v>
      </c>
      <c r="B2887" s="51">
        <v>5358.53</v>
      </c>
      <c r="C2887" s="52"/>
      <c r="D2887" s="52"/>
      <c r="E2887" s="52"/>
      <c r="F2887" s="52"/>
      <c r="G2887" s="52"/>
      <c r="H2887" s="52"/>
    </row>
    <row r="2888" spans="1:8" ht="15.75">
      <c r="A2888" s="50">
        <v>43599</v>
      </c>
      <c r="B2888" s="51">
        <v>5410.66</v>
      </c>
      <c r="C2888" s="52"/>
      <c r="D2888" s="52"/>
      <c r="E2888" s="52"/>
      <c r="F2888" s="52"/>
      <c r="G2888" s="52"/>
      <c r="H2888" s="52"/>
    </row>
    <row r="2889" spans="1:8" ht="15.75">
      <c r="A2889" s="50">
        <v>43600</v>
      </c>
      <c r="B2889" s="51">
        <v>5449.1</v>
      </c>
      <c r="C2889" s="52"/>
      <c r="D2889" s="52"/>
      <c r="E2889" s="52"/>
      <c r="F2889" s="52"/>
      <c r="G2889" s="52"/>
      <c r="H2889" s="52"/>
    </row>
    <row r="2890" spans="1:8" ht="15.75">
      <c r="A2890" s="50">
        <v>43601</v>
      </c>
      <c r="B2890" s="51">
        <v>5529.4</v>
      </c>
      <c r="C2890" s="52"/>
      <c r="D2890" s="52"/>
      <c r="E2890" s="52"/>
      <c r="F2890" s="52"/>
      <c r="G2890" s="52"/>
      <c r="H2890" s="52"/>
    </row>
    <row r="2891" spans="1:8" ht="15.75">
      <c r="A2891" s="50">
        <v>43602</v>
      </c>
      <c r="B2891" s="51">
        <v>5485.93</v>
      </c>
      <c r="C2891" s="52"/>
      <c r="D2891" s="52"/>
      <c r="E2891" s="52"/>
      <c r="F2891" s="52"/>
      <c r="G2891" s="52"/>
      <c r="H2891" s="52"/>
    </row>
    <row r="2892" spans="1:8" ht="15.75">
      <c r="A2892" s="50">
        <v>43605</v>
      </c>
      <c r="B2892" s="51">
        <v>5395.22</v>
      </c>
      <c r="C2892" s="52"/>
      <c r="D2892" s="52"/>
      <c r="E2892" s="52"/>
      <c r="F2892" s="52"/>
      <c r="G2892" s="52"/>
      <c r="H2892" s="52"/>
    </row>
    <row r="2893" spans="1:8" ht="15.75">
      <c r="A2893" s="50">
        <v>43606</v>
      </c>
      <c r="B2893" s="51">
        <v>5441.38</v>
      </c>
      <c r="C2893" s="52"/>
      <c r="D2893" s="52"/>
      <c r="E2893" s="52"/>
      <c r="F2893" s="52"/>
      <c r="G2893" s="52"/>
      <c r="H2893" s="52"/>
    </row>
    <row r="2894" spans="1:8" ht="15.75">
      <c r="A2894" s="50">
        <v>43607</v>
      </c>
      <c r="B2894" s="51">
        <v>5453.18</v>
      </c>
      <c r="C2894" s="52"/>
      <c r="D2894" s="52"/>
      <c r="E2894" s="52"/>
      <c r="F2894" s="52"/>
      <c r="G2894" s="52"/>
      <c r="H2894" s="52"/>
    </row>
    <row r="2895" spans="1:8" ht="15.75">
      <c r="A2895" s="50">
        <v>43608</v>
      </c>
      <c r="B2895" s="51">
        <v>5339.94</v>
      </c>
      <c r="C2895" s="52"/>
      <c r="D2895" s="52"/>
      <c r="E2895" s="52"/>
      <c r="F2895" s="52"/>
      <c r="G2895" s="52"/>
      <c r="H2895" s="52"/>
    </row>
    <row r="2896" spans="1:8" ht="15.75">
      <c r="A2896" s="50">
        <v>43609</v>
      </c>
      <c r="B2896" s="51">
        <v>5365.07</v>
      </c>
      <c r="C2896" s="52"/>
      <c r="D2896" s="52"/>
      <c r="E2896" s="52"/>
      <c r="F2896" s="52"/>
      <c r="G2896" s="52"/>
      <c r="H2896" s="52"/>
    </row>
    <row r="2897" spans="1:8" ht="15.75">
      <c r="A2897" s="50">
        <v>43612</v>
      </c>
      <c r="B2897" s="51">
        <v>5391.91</v>
      </c>
      <c r="C2897" s="52"/>
      <c r="D2897" s="52"/>
      <c r="E2897" s="52"/>
      <c r="F2897" s="52"/>
      <c r="G2897" s="52"/>
      <c r="H2897" s="52"/>
    </row>
    <row r="2898" spans="1:8" ht="15.75">
      <c r="A2898" s="50">
        <v>43613</v>
      </c>
      <c r="B2898" s="51">
        <v>5372</v>
      </c>
      <c r="C2898" s="52"/>
      <c r="D2898" s="52"/>
      <c r="E2898" s="52"/>
      <c r="F2898" s="52"/>
      <c r="G2898" s="52"/>
      <c r="H2898" s="52"/>
    </row>
    <row r="2899" spans="1:8" ht="15.75">
      <c r="A2899" s="50">
        <v>43614</v>
      </c>
      <c r="B2899" s="51">
        <v>5287.06</v>
      </c>
      <c r="C2899" s="52"/>
      <c r="D2899" s="52"/>
      <c r="E2899" s="52"/>
      <c r="F2899" s="52"/>
      <c r="G2899" s="52"/>
      <c r="H2899" s="52"/>
    </row>
    <row r="2900" spans="1:8" ht="15.75">
      <c r="A2900" s="50">
        <v>43615</v>
      </c>
      <c r="B2900" s="51">
        <v>5315.81</v>
      </c>
      <c r="C2900" s="52"/>
      <c r="D2900" s="52"/>
      <c r="E2900" s="52"/>
      <c r="F2900" s="52"/>
      <c r="G2900" s="52"/>
      <c r="H2900" s="52"/>
    </row>
    <row r="2901" spans="1:8" ht="15.75">
      <c r="A2901" s="50">
        <v>43616</v>
      </c>
      <c r="B2901" s="51">
        <v>5235.0600000000004</v>
      </c>
      <c r="C2901" s="52"/>
      <c r="D2901" s="52"/>
      <c r="E2901" s="52"/>
      <c r="F2901" s="52"/>
      <c r="G2901" s="52"/>
      <c r="H2901" s="52"/>
    </row>
    <row r="2902" spans="1:8" ht="15.75">
      <c r="A2902" s="50">
        <v>43619</v>
      </c>
      <c r="B2902" s="51">
        <v>5264.55</v>
      </c>
      <c r="C2902" s="52"/>
      <c r="D2902" s="52"/>
      <c r="E2902" s="52"/>
      <c r="F2902" s="52"/>
      <c r="G2902" s="52"/>
      <c r="H2902" s="52"/>
    </row>
    <row r="2903" spans="1:8" ht="15.75">
      <c r="A2903" s="50">
        <v>43620</v>
      </c>
      <c r="B2903" s="51">
        <v>5343.62</v>
      </c>
      <c r="C2903" s="52"/>
      <c r="D2903" s="52"/>
      <c r="E2903" s="52"/>
      <c r="F2903" s="52"/>
      <c r="G2903" s="52"/>
      <c r="H2903" s="52"/>
    </row>
    <row r="2904" spans="1:8" ht="15.75">
      <c r="A2904" s="50">
        <v>43621</v>
      </c>
      <c r="B2904" s="51">
        <v>5348.46</v>
      </c>
      <c r="C2904" s="52"/>
      <c r="D2904" s="52"/>
      <c r="E2904" s="52"/>
      <c r="F2904" s="52"/>
      <c r="G2904" s="52"/>
      <c r="H2904" s="52"/>
    </row>
    <row r="2905" spans="1:8" ht="15.75">
      <c r="A2905" s="50">
        <v>43622</v>
      </c>
      <c r="B2905" s="51">
        <v>5336.35</v>
      </c>
      <c r="C2905" s="52"/>
      <c r="D2905" s="52"/>
      <c r="E2905" s="52"/>
      <c r="F2905" s="52"/>
      <c r="G2905" s="52"/>
      <c r="H2905" s="52"/>
    </row>
    <row r="2906" spans="1:8" ht="15.75">
      <c r="A2906" s="50">
        <v>43623</v>
      </c>
      <c r="B2906" s="51">
        <v>5377.74</v>
      </c>
      <c r="C2906" s="52"/>
      <c r="D2906" s="52"/>
      <c r="E2906" s="52"/>
      <c r="F2906" s="52"/>
      <c r="G2906" s="52"/>
      <c r="H2906" s="52"/>
    </row>
    <row r="2907" spans="1:8" ht="15.75">
      <c r="A2907" s="50">
        <v>43627</v>
      </c>
      <c r="B2907" s="51">
        <v>5426.95</v>
      </c>
      <c r="C2907" s="52"/>
      <c r="D2907" s="52"/>
      <c r="E2907" s="52"/>
      <c r="F2907" s="52"/>
      <c r="G2907" s="52"/>
      <c r="H2907" s="52"/>
    </row>
    <row r="2908" spans="1:8" ht="15.75">
      <c r="A2908" s="50">
        <v>43628</v>
      </c>
      <c r="B2908" s="51">
        <v>5409.09</v>
      </c>
      <c r="C2908" s="52"/>
      <c r="D2908" s="52"/>
      <c r="E2908" s="52"/>
      <c r="F2908" s="52"/>
      <c r="G2908" s="52"/>
      <c r="H2908" s="52"/>
    </row>
    <row r="2909" spans="1:8" ht="15.75">
      <c r="A2909" s="50">
        <v>43629</v>
      </c>
      <c r="B2909" s="51">
        <v>5433.1</v>
      </c>
      <c r="C2909" s="52"/>
      <c r="D2909" s="52"/>
      <c r="E2909" s="52"/>
      <c r="F2909" s="52"/>
      <c r="G2909" s="52"/>
      <c r="H2909" s="52"/>
    </row>
    <row r="2910" spans="1:8" ht="15.75">
      <c r="A2910" s="50">
        <v>43630</v>
      </c>
      <c r="B2910" s="51">
        <v>5400.79</v>
      </c>
      <c r="C2910" s="52"/>
      <c r="D2910" s="52"/>
      <c r="E2910" s="52"/>
      <c r="F2910" s="52"/>
      <c r="G2910" s="52"/>
      <c r="H2910" s="52"/>
    </row>
    <row r="2911" spans="1:8" ht="15.75">
      <c r="A2911" s="50">
        <v>43633</v>
      </c>
      <c r="B2911" s="51">
        <v>5396.37</v>
      </c>
      <c r="C2911" s="52"/>
      <c r="D2911" s="52"/>
      <c r="E2911" s="52"/>
      <c r="F2911" s="52"/>
      <c r="G2911" s="52"/>
      <c r="H2911" s="52"/>
    </row>
    <row r="2912" spans="1:8" ht="15.75">
      <c r="A2912" s="50">
        <v>43634</v>
      </c>
      <c r="B2912" s="51">
        <v>5506.09</v>
      </c>
      <c r="C2912" s="52"/>
      <c r="D2912" s="52"/>
      <c r="E2912" s="52"/>
      <c r="F2912" s="52"/>
      <c r="G2912" s="52"/>
      <c r="H2912" s="52"/>
    </row>
    <row r="2913" spans="1:8" ht="15.75">
      <c r="A2913" s="50">
        <v>43635</v>
      </c>
      <c r="B2913" s="51">
        <v>5494.98</v>
      </c>
      <c r="C2913" s="52"/>
      <c r="D2913" s="52"/>
      <c r="E2913" s="52"/>
      <c r="F2913" s="52"/>
      <c r="G2913" s="52"/>
      <c r="H2913" s="52"/>
    </row>
    <row r="2914" spans="1:8" ht="15.75">
      <c r="A2914" s="50">
        <v>43636</v>
      </c>
      <c r="B2914" s="51">
        <v>5516.06</v>
      </c>
      <c r="C2914" s="52"/>
      <c r="D2914" s="52"/>
      <c r="E2914" s="52"/>
      <c r="F2914" s="52"/>
      <c r="G2914" s="52"/>
      <c r="H2914" s="52"/>
    </row>
    <row r="2915" spans="1:8" ht="15.75">
      <c r="A2915" s="50">
        <v>43637</v>
      </c>
      <c r="B2915" s="51">
        <v>5508.97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43640</v>
      </c>
      <c r="B2916" s="51">
        <v>5479.79</v>
      </c>
      <c r="C2916" s="52"/>
      <c r="D2916" s="52"/>
      <c r="E2916" s="52"/>
      <c r="F2916" s="52"/>
      <c r="G2916" s="52"/>
      <c r="H2916" s="52"/>
    </row>
    <row r="2917" spans="1:8" ht="15.75">
      <c r="A2917" s="50">
        <v>43641</v>
      </c>
      <c r="B2917" s="51">
        <v>5459.2</v>
      </c>
      <c r="C2917" s="52"/>
      <c r="D2917" s="52"/>
      <c r="E2917" s="52"/>
      <c r="F2917" s="52"/>
      <c r="G2917" s="52"/>
      <c r="H2917" s="52"/>
    </row>
    <row r="2918" spans="1:8" ht="15.75">
      <c r="A2918" s="50">
        <v>43642</v>
      </c>
      <c r="B2918" s="51">
        <v>5466.74</v>
      </c>
      <c r="C2918" s="52"/>
      <c r="D2918" s="52"/>
      <c r="E2918" s="52"/>
      <c r="F2918" s="52"/>
      <c r="G2918" s="52"/>
      <c r="H2918" s="52"/>
    </row>
    <row r="2919" spans="1:8" ht="15.75">
      <c r="A2919" s="50">
        <v>43643</v>
      </c>
      <c r="B2919" s="51">
        <v>5478.22</v>
      </c>
      <c r="C2919" s="52"/>
      <c r="D2919" s="52"/>
      <c r="E2919" s="52"/>
      <c r="F2919" s="52"/>
      <c r="G2919" s="52"/>
      <c r="H2919" s="52"/>
    </row>
    <row r="2920" spans="1:8" ht="15.75">
      <c r="A2920" s="50">
        <v>43644</v>
      </c>
      <c r="B2920" s="51">
        <v>5535.26</v>
      </c>
      <c r="C2920" s="52"/>
      <c r="D2920" s="52"/>
      <c r="E2920" s="52"/>
      <c r="F2920" s="52"/>
      <c r="G2920" s="52"/>
      <c r="H2920" s="52"/>
    </row>
    <row r="2921" spans="1:8" ht="15.75">
      <c r="A2921" s="50">
        <v>43647</v>
      </c>
      <c r="B2921" s="51">
        <v>5589.98</v>
      </c>
      <c r="C2921" s="52"/>
      <c r="D2921" s="52"/>
      <c r="E2921" s="52"/>
      <c r="F2921" s="52"/>
      <c r="G2921" s="52"/>
      <c r="H2921" s="52"/>
    </row>
    <row r="2922" spans="1:8" ht="15.75">
      <c r="A2922" s="50">
        <v>43648</v>
      </c>
      <c r="B2922" s="51">
        <v>5592.36</v>
      </c>
      <c r="C2922" s="52"/>
      <c r="D2922" s="52"/>
      <c r="E2922" s="52"/>
      <c r="F2922" s="52"/>
      <c r="G2922" s="52"/>
      <c r="H2922" s="52"/>
    </row>
    <row r="2923" spans="1:8" ht="15.75">
      <c r="A2923" s="50">
        <v>43649</v>
      </c>
      <c r="B2923" s="51">
        <v>5632.33</v>
      </c>
      <c r="C2923" s="52"/>
      <c r="D2923" s="52"/>
      <c r="E2923" s="52"/>
      <c r="F2923" s="52"/>
      <c r="G2923" s="52"/>
      <c r="H2923" s="52"/>
    </row>
    <row r="2924" spans="1:8" ht="15.75">
      <c r="A2924" s="50">
        <v>43650</v>
      </c>
      <c r="B2924" s="51">
        <v>5638.43</v>
      </c>
      <c r="C2924" s="52"/>
      <c r="D2924" s="52"/>
      <c r="E2924" s="52"/>
      <c r="F2924" s="52"/>
      <c r="G2924" s="52"/>
      <c r="H2924" s="52"/>
    </row>
    <row r="2925" spans="1:8" ht="15.75">
      <c r="A2925" s="50">
        <v>43651</v>
      </c>
      <c r="B2925" s="51">
        <v>5611.03</v>
      </c>
      <c r="C2925" s="52"/>
      <c r="D2925" s="52"/>
      <c r="E2925" s="52"/>
      <c r="F2925" s="52"/>
      <c r="G2925" s="52"/>
      <c r="H2925" s="52"/>
    </row>
    <row r="2926" spans="1:8" ht="15.75">
      <c r="A2926" s="50">
        <v>43654</v>
      </c>
      <c r="B2926" s="51">
        <v>5599.86</v>
      </c>
      <c r="C2926" s="52"/>
      <c r="D2926" s="52"/>
      <c r="E2926" s="52"/>
      <c r="F2926" s="52"/>
      <c r="G2926" s="52"/>
      <c r="H2926" s="52"/>
    </row>
    <row r="2927" spans="1:8" ht="15.75">
      <c r="A2927" s="50">
        <v>43655</v>
      </c>
      <c r="B2927" s="51">
        <v>5552.11</v>
      </c>
      <c r="C2927" s="52"/>
      <c r="D2927" s="52"/>
      <c r="E2927" s="52"/>
      <c r="F2927" s="52"/>
      <c r="G2927" s="52"/>
      <c r="H2927" s="52"/>
    </row>
    <row r="2928" spans="1:8" ht="15.75">
      <c r="A2928" s="50">
        <v>43656</v>
      </c>
      <c r="B2928" s="51">
        <v>5523.92</v>
      </c>
      <c r="C2928" s="52"/>
      <c r="D2928" s="52"/>
      <c r="E2928" s="52"/>
      <c r="F2928" s="52"/>
      <c r="G2928" s="52"/>
      <c r="H2928" s="52"/>
    </row>
    <row r="2929" spans="1:8" ht="15.75">
      <c r="A2929" s="50">
        <v>43657</v>
      </c>
      <c r="B2929" s="51">
        <v>5505.49</v>
      </c>
      <c r="C2929" s="52"/>
      <c r="D2929" s="52"/>
      <c r="E2929" s="52"/>
      <c r="F2929" s="52"/>
      <c r="G2929" s="52"/>
      <c r="H2929" s="52"/>
    </row>
    <row r="2930" spans="1:8" ht="15.75">
      <c r="A2930" s="50">
        <v>43658</v>
      </c>
      <c r="B2930" s="51">
        <v>5501.56</v>
      </c>
      <c r="C2930" s="52"/>
      <c r="D2930" s="52"/>
      <c r="E2930" s="52"/>
      <c r="F2930" s="52"/>
      <c r="G2930" s="52"/>
      <c r="H2930" s="52"/>
    </row>
    <row r="2931" spans="1:8" ht="15.75">
      <c r="A2931" s="50">
        <v>43661</v>
      </c>
      <c r="B2931" s="51">
        <v>5530.14</v>
      </c>
      <c r="C2931" s="52"/>
      <c r="D2931" s="52"/>
      <c r="E2931" s="52"/>
      <c r="F2931" s="52"/>
      <c r="G2931" s="52"/>
      <c r="H2931" s="52"/>
    </row>
    <row r="2932" spans="1:8" ht="15.75">
      <c r="A2932" s="50">
        <v>43662</v>
      </c>
      <c r="B2932" s="51">
        <v>5549.62</v>
      </c>
      <c r="C2932" s="52"/>
      <c r="D2932" s="52"/>
      <c r="E2932" s="52"/>
      <c r="F2932" s="52"/>
      <c r="G2932" s="52"/>
      <c r="H2932" s="52"/>
    </row>
    <row r="2933" spans="1:8" ht="15.75">
      <c r="A2933" s="50">
        <v>43663</v>
      </c>
      <c r="B2933" s="51">
        <v>5509.46</v>
      </c>
      <c r="C2933" s="52"/>
      <c r="D2933" s="52"/>
      <c r="E2933" s="52"/>
      <c r="F2933" s="52"/>
      <c r="G2933" s="52"/>
      <c r="H2933" s="52"/>
    </row>
    <row r="2934" spans="1:8" ht="15.75">
      <c r="A2934" s="50">
        <v>43664</v>
      </c>
      <c r="B2934" s="51">
        <v>5458.94</v>
      </c>
      <c r="C2934" s="52"/>
      <c r="D2934" s="52"/>
      <c r="E2934" s="52"/>
      <c r="F2934" s="52"/>
      <c r="G2934" s="52"/>
      <c r="H2934" s="52"/>
    </row>
    <row r="2935" spans="1:8" ht="15.75">
      <c r="A2935" s="50">
        <v>43665</v>
      </c>
      <c r="B2935" s="51">
        <v>5473.32</v>
      </c>
      <c r="C2935" s="52"/>
      <c r="D2935" s="52"/>
      <c r="E2935" s="52"/>
      <c r="F2935" s="52"/>
      <c r="G2935" s="52"/>
      <c r="H2935" s="52"/>
    </row>
    <row r="2936" spans="1:8" ht="15.75">
      <c r="A2936" s="50">
        <v>43668</v>
      </c>
      <c r="B2936" s="51">
        <v>5486.42</v>
      </c>
      <c r="C2936" s="52"/>
      <c r="D2936" s="52"/>
      <c r="E2936" s="52"/>
      <c r="F2936" s="52"/>
      <c r="G2936" s="52"/>
      <c r="H2936" s="52"/>
    </row>
    <row r="2937" spans="1:8" ht="15.75">
      <c r="A2937" s="50">
        <v>43669</v>
      </c>
      <c r="B2937" s="51">
        <v>5576.3</v>
      </c>
      <c r="C2937" s="52"/>
      <c r="D2937" s="52"/>
      <c r="E2937" s="52"/>
      <c r="F2937" s="52"/>
      <c r="G2937" s="52"/>
      <c r="H2937" s="52"/>
    </row>
    <row r="2938" spans="1:8" ht="15.75">
      <c r="A2938" s="50">
        <v>43670</v>
      </c>
      <c r="B2938" s="51">
        <v>5590.65</v>
      </c>
      <c r="C2938" s="52"/>
      <c r="D2938" s="52"/>
      <c r="E2938" s="52"/>
      <c r="F2938" s="52"/>
      <c r="G2938" s="52"/>
      <c r="H2938" s="52"/>
    </row>
    <row r="2939" spans="1:8" ht="15.75">
      <c r="A2939" s="50">
        <v>43671</v>
      </c>
      <c r="B2939" s="51">
        <v>5518.87</v>
      </c>
      <c r="C2939" s="52"/>
      <c r="D2939" s="52"/>
      <c r="E2939" s="52"/>
      <c r="F2939" s="52"/>
      <c r="G2939" s="52"/>
      <c r="H2939" s="52"/>
    </row>
    <row r="2940" spans="1:8" ht="15.75">
      <c r="A2940" s="50">
        <v>43672</v>
      </c>
      <c r="B2940" s="51">
        <v>5544.68</v>
      </c>
      <c r="C2940" s="52"/>
      <c r="D2940" s="52"/>
      <c r="E2940" s="52"/>
      <c r="F2940" s="52"/>
      <c r="G2940" s="52"/>
      <c r="H2940" s="52"/>
    </row>
    <row r="2941" spans="1:8" ht="15.75">
      <c r="A2941" s="50">
        <v>43675</v>
      </c>
      <c r="B2941" s="51">
        <v>5543.59</v>
      </c>
      <c r="C2941" s="52"/>
      <c r="D2941" s="52"/>
      <c r="E2941" s="52"/>
      <c r="F2941" s="52"/>
      <c r="G2941" s="52"/>
      <c r="H2941" s="52"/>
    </row>
    <row r="2942" spans="1:8" ht="15.75">
      <c r="A2942" s="50">
        <v>43676</v>
      </c>
      <c r="B2942" s="51">
        <v>5422.95</v>
      </c>
      <c r="C2942" s="52"/>
      <c r="D2942" s="52"/>
      <c r="E2942" s="52"/>
      <c r="F2942" s="52"/>
      <c r="G2942" s="52"/>
      <c r="H2942" s="52"/>
    </row>
    <row r="2943" spans="1:8" ht="15.75">
      <c r="A2943" s="50">
        <v>43677</v>
      </c>
      <c r="B2943" s="51">
        <v>5441.61</v>
      </c>
      <c r="C2943" s="52"/>
      <c r="D2943" s="52"/>
      <c r="E2943" s="52"/>
      <c r="F2943" s="52"/>
      <c r="G2943" s="52"/>
      <c r="H2943" s="52"/>
    </row>
    <row r="2944" spans="1:8" ht="15.75">
      <c r="A2944" s="50">
        <v>43678</v>
      </c>
      <c r="B2944" s="51">
        <v>5470.23</v>
      </c>
      <c r="C2944" s="52"/>
      <c r="D2944" s="52"/>
      <c r="E2944" s="52"/>
      <c r="F2944" s="52"/>
      <c r="G2944" s="52"/>
      <c r="H2944" s="52"/>
    </row>
    <row r="2945" spans="1:8" ht="15.75">
      <c r="A2945" s="50">
        <v>43679</v>
      </c>
      <c r="B2945" s="51">
        <v>5300.27</v>
      </c>
      <c r="C2945" s="52"/>
      <c r="D2945" s="52"/>
      <c r="E2945" s="52"/>
      <c r="F2945" s="52"/>
      <c r="G2945" s="52"/>
      <c r="H2945" s="52"/>
    </row>
    <row r="2946" spans="1:8" ht="15.75">
      <c r="A2946" s="50">
        <v>43682</v>
      </c>
      <c r="B2946" s="51">
        <v>5204.76</v>
      </c>
      <c r="C2946" s="52"/>
      <c r="D2946" s="52"/>
      <c r="E2946" s="52"/>
      <c r="F2946" s="52"/>
      <c r="G2946" s="52"/>
      <c r="H2946" s="52"/>
    </row>
    <row r="2947" spans="1:8" ht="15.75">
      <c r="A2947" s="50">
        <v>43683</v>
      </c>
      <c r="B2947" s="51">
        <v>5164.34</v>
      </c>
      <c r="C2947" s="52"/>
      <c r="D2947" s="52"/>
      <c r="E2947" s="52"/>
      <c r="F2947" s="52"/>
      <c r="G2947" s="52"/>
      <c r="H2947" s="52"/>
    </row>
    <row r="2948" spans="1:8" ht="15.75">
      <c r="A2948" s="50">
        <v>43684</v>
      </c>
      <c r="B2948" s="51">
        <v>5201.03</v>
      </c>
      <c r="C2948" s="52"/>
      <c r="D2948" s="52"/>
      <c r="E2948" s="52"/>
      <c r="F2948" s="52"/>
      <c r="G2948" s="52"/>
      <c r="H2948" s="52"/>
    </row>
    <row r="2949" spans="1:8" ht="15.75">
      <c r="A2949" s="50">
        <v>43685</v>
      </c>
      <c r="B2949" s="51">
        <v>5288.21</v>
      </c>
      <c r="C2949" s="52"/>
      <c r="D2949" s="52"/>
      <c r="E2949" s="52"/>
      <c r="F2949" s="52"/>
      <c r="G2949" s="52"/>
      <c r="H2949" s="52"/>
    </row>
    <row r="2950" spans="1:8" ht="15.75">
      <c r="A2950" s="50">
        <v>43686</v>
      </c>
      <c r="B2950" s="51">
        <v>5220.5200000000004</v>
      </c>
      <c r="C2950" s="52"/>
      <c r="D2950" s="52"/>
      <c r="E2950" s="52"/>
      <c r="F2950" s="52"/>
      <c r="G2950" s="52"/>
      <c r="H2950" s="52"/>
    </row>
    <row r="2951" spans="1:8" ht="15.75">
      <c r="A2951" s="50">
        <v>43689</v>
      </c>
      <c r="B2951" s="51">
        <v>5214.22</v>
      </c>
      <c r="C2951" s="52"/>
      <c r="D2951" s="52"/>
      <c r="E2951" s="52"/>
      <c r="F2951" s="52"/>
      <c r="G2951" s="52"/>
      <c r="H2951" s="52"/>
    </row>
    <row r="2952" spans="1:8" ht="15.75">
      <c r="A2952" s="50">
        <v>43690</v>
      </c>
      <c r="B2952" s="51">
        <v>5245.67</v>
      </c>
      <c r="C2952" s="52"/>
      <c r="D2952" s="52"/>
      <c r="E2952" s="52"/>
      <c r="F2952" s="52"/>
      <c r="G2952" s="52"/>
      <c r="H2952" s="52"/>
    </row>
    <row r="2953" spans="1:8" ht="15.75">
      <c r="A2953" s="50">
        <v>43691</v>
      </c>
      <c r="B2953" s="51">
        <v>5130.72</v>
      </c>
      <c r="C2953" s="52"/>
      <c r="D2953" s="52"/>
      <c r="E2953" s="52"/>
      <c r="F2953" s="52"/>
      <c r="G2953" s="52"/>
      <c r="H2953" s="52"/>
    </row>
    <row r="2954" spans="1:8" ht="15.75">
      <c r="A2954" s="50">
        <v>43692</v>
      </c>
      <c r="B2954" s="51">
        <v>5095.0200000000004</v>
      </c>
      <c r="C2954" s="52"/>
      <c r="D2954" s="52"/>
      <c r="E2954" s="52"/>
      <c r="F2954" s="52"/>
      <c r="G2954" s="52"/>
      <c r="H2954" s="52"/>
    </row>
    <row r="2955" spans="1:8" ht="15.75">
      <c r="A2955" s="50">
        <v>43693</v>
      </c>
      <c r="B2955" s="51">
        <v>5162.01</v>
      </c>
      <c r="C2955" s="52"/>
      <c r="D2955" s="52"/>
      <c r="E2955" s="52"/>
      <c r="F2955" s="52"/>
      <c r="G2955" s="52"/>
      <c r="H2955" s="52"/>
    </row>
    <row r="2956" spans="1:8" ht="15.75">
      <c r="A2956" s="50">
        <v>43696</v>
      </c>
      <c r="B2956" s="51">
        <v>5230.1499999999996</v>
      </c>
      <c r="C2956" s="52"/>
      <c r="D2956" s="52"/>
      <c r="E2956" s="52"/>
      <c r="F2956" s="52"/>
      <c r="G2956" s="52"/>
      <c r="H2956" s="52"/>
    </row>
    <row r="2957" spans="1:8" ht="15.75">
      <c r="A2957" s="50">
        <v>43697</v>
      </c>
      <c r="B2957" s="51">
        <v>5201.49</v>
      </c>
      <c r="C2957" s="52"/>
      <c r="D2957" s="52"/>
      <c r="E2957" s="52"/>
      <c r="F2957" s="52"/>
      <c r="G2957" s="52"/>
      <c r="H2957" s="52"/>
    </row>
    <row r="2958" spans="1:8" ht="15.75">
      <c r="A2958" s="50">
        <v>43698</v>
      </c>
      <c r="B2958" s="51">
        <v>5269.2</v>
      </c>
      <c r="C2958" s="52"/>
      <c r="D2958" s="52"/>
      <c r="E2958" s="52"/>
      <c r="F2958" s="52"/>
      <c r="G2958" s="52"/>
      <c r="H2958" s="52"/>
    </row>
    <row r="2959" spans="1:8" ht="15.75">
      <c r="A2959" s="50">
        <v>43699</v>
      </c>
      <c r="B2959" s="51">
        <v>5244.29</v>
      </c>
      <c r="C2959" s="52"/>
      <c r="D2959" s="52"/>
      <c r="E2959" s="52"/>
      <c r="F2959" s="52"/>
      <c r="G2959" s="52"/>
      <c r="H2959" s="52"/>
    </row>
    <row r="2960" spans="1:8" ht="15.75">
      <c r="A2960" s="50">
        <v>43700</v>
      </c>
      <c r="B2960" s="51">
        <v>5183.78</v>
      </c>
      <c r="C2960" s="52"/>
      <c r="D2960" s="52"/>
      <c r="E2960" s="52"/>
      <c r="F2960" s="52"/>
      <c r="G2960" s="52"/>
      <c r="H2960" s="52"/>
    </row>
    <row r="2961" spans="1:8" ht="15.75">
      <c r="A2961" s="50">
        <v>43703</v>
      </c>
      <c r="B2961" s="51">
        <v>5204.5600000000004</v>
      </c>
      <c r="C2961" s="52"/>
      <c r="D2961" s="52"/>
      <c r="E2961" s="52"/>
      <c r="F2961" s="52"/>
      <c r="G2961" s="52"/>
      <c r="H2961" s="52"/>
    </row>
    <row r="2962" spans="1:8" ht="15.75">
      <c r="A2962" s="50">
        <v>43704</v>
      </c>
      <c r="B2962" s="51">
        <v>5236.6899999999996</v>
      </c>
      <c r="C2962" s="52"/>
      <c r="D2962" s="52"/>
      <c r="E2962" s="52"/>
      <c r="F2962" s="52"/>
      <c r="G2962" s="52"/>
      <c r="H2962" s="52"/>
    </row>
    <row r="2963" spans="1:8" ht="15.75">
      <c r="A2963" s="50">
        <v>43705</v>
      </c>
      <c r="B2963" s="51">
        <v>5223.74</v>
      </c>
      <c r="C2963" s="52"/>
      <c r="D2963" s="52"/>
      <c r="E2963" s="52"/>
      <c r="F2963" s="52"/>
      <c r="G2963" s="52"/>
      <c r="H2963" s="52"/>
    </row>
    <row r="2964" spans="1:8" ht="15.75">
      <c r="A2964" s="50">
        <v>43706</v>
      </c>
      <c r="B2964" s="51">
        <v>5285.29</v>
      </c>
      <c r="C2964" s="52"/>
      <c r="D2964" s="52"/>
      <c r="E2964" s="52"/>
      <c r="F2964" s="52"/>
      <c r="G2964" s="52"/>
      <c r="H2964" s="52"/>
    </row>
    <row r="2965" spans="1:8" ht="15.75">
      <c r="A2965" s="50">
        <v>43707</v>
      </c>
      <c r="B2965" s="51">
        <v>5327.67</v>
      </c>
      <c r="C2965" s="52"/>
      <c r="D2965" s="52"/>
      <c r="E2965" s="52"/>
      <c r="F2965" s="52"/>
      <c r="G2965" s="52"/>
      <c r="H2965" s="52"/>
    </row>
    <row r="2966" spans="1:8" ht="15.75">
      <c r="A2966" s="50">
        <v>43710</v>
      </c>
      <c r="B2966" s="51">
        <v>5334.13</v>
      </c>
      <c r="C2966" s="52"/>
      <c r="D2966" s="52"/>
      <c r="E2966" s="52"/>
      <c r="F2966" s="52"/>
      <c r="G2966" s="52"/>
      <c r="H2966" s="52"/>
    </row>
    <row r="2967" spans="1:8" ht="15.75">
      <c r="A2967" s="50">
        <v>43711</v>
      </c>
      <c r="B2967" s="51">
        <v>5314.98</v>
      </c>
      <c r="C2967" s="52"/>
      <c r="D2967" s="52"/>
      <c r="E2967" s="52"/>
      <c r="F2967" s="52"/>
      <c r="G2967" s="52"/>
      <c r="H2967" s="52"/>
    </row>
    <row r="2968" spans="1:8" ht="15.75">
      <c r="A2968" s="50">
        <v>43712</v>
      </c>
      <c r="B2968" s="51">
        <v>5365.96</v>
      </c>
      <c r="C2968" s="52"/>
      <c r="D2968" s="52"/>
      <c r="E2968" s="52"/>
      <c r="F2968" s="52"/>
      <c r="G2968" s="52"/>
      <c r="H2968" s="52"/>
    </row>
    <row r="2969" spans="1:8" ht="15.75">
      <c r="A2969" s="50">
        <v>43713</v>
      </c>
      <c r="B2969" s="51">
        <v>5411.38</v>
      </c>
      <c r="C2969" s="52"/>
      <c r="D2969" s="52"/>
      <c r="E2969" s="52"/>
      <c r="F2969" s="52"/>
      <c r="G2969" s="52"/>
      <c r="H2969" s="52"/>
    </row>
    <row r="2970" spans="1:8" ht="15.75">
      <c r="A2970" s="50">
        <v>43714</v>
      </c>
      <c r="B2970" s="51">
        <v>5440.35</v>
      </c>
      <c r="C2970" s="52"/>
      <c r="D2970" s="52"/>
      <c r="E2970" s="52"/>
      <c r="F2970" s="52"/>
      <c r="G2970" s="52"/>
      <c r="H2970" s="52"/>
    </row>
    <row r="2971" spans="1:8" ht="15.75">
      <c r="A2971" s="50">
        <v>43717</v>
      </c>
      <c r="B2971" s="51">
        <v>5455.74</v>
      </c>
      <c r="C2971" s="52"/>
      <c r="D2971" s="52"/>
      <c r="E2971" s="52"/>
      <c r="F2971" s="52"/>
      <c r="G2971" s="52"/>
      <c r="H2971" s="52"/>
    </row>
    <row r="2972" spans="1:8" ht="15.75">
      <c r="A2972" s="50">
        <v>43718</v>
      </c>
      <c r="B2972" s="51">
        <v>5474.8</v>
      </c>
      <c r="C2972" s="52"/>
      <c r="D2972" s="52"/>
      <c r="E2972" s="52"/>
      <c r="F2972" s="52"/>
      <c r="G2972" s="52"/>
      <c r="H2972" s="52"/>
    </row>
    <row r="2973" spans="1:8" ht="15.75">
      <c r="A2973" s="50">
        <v>43719</v>
      </c>
      <c r="B2973" s="51">
        <v>5515.09</v>
      </c>
      <c r="C2973" s="52"/>
      <c r="D2973" s="52"/>
      <c r="E2973" s="52"/>
      <c r="F2973" s="52"/>
      <c r="G2973" s="52"/>
      <c r="H2973" s="52"/>
    </row>
    <row r="2974" spans="1:8" ht="15.75">
      <c r="A2974" s="50">
        <v>43720</v>
      </c>
      <c r="B2974" s="51">
        <v>5537.88</v>
      </c>
      <c r="C2974" s="52"/>
      <c r="D2974" s="52"/>
      <c r="E2974" s="52"/>
      <c r="F2974" s="52"/>
      <c r="G2974" s="52"/>
      <c r="H2974" s="52"/>
    </row>
    <row r="2975" spans="1:8" ht="15.75">
      <c r="A2975" s="50">
        <v>43721</v>
      </c>
      <c r="B2975" s="51">
        <v>5563.88</v>
      </c>
      <c r="C2975" s="52"/>
      <c r="D2975" s="52"/>
      <c r="E2975" s="52"/>
      <c r="F2975" s="52"/>
      <c r="G2975" s="52"/>
      <c r="H2975" s="52"/>
    </row>
    <row r="2976" spans="1:8" ht="15.75">
      <c r="A2976" s="50">
        <v>43724</v>
      </c>
      <c r="B2976" s="51">
        <v>5524.54</v>
      </c>
      <c r="C2976" s="52"/>
      <c r="D2976" s="52"/>
      <c r="E2976" s="52"/>
      <c r="F2976" s="52"/>
      <c r="G2976" s="52"/>
      <c r="H2976" s="52"/>
    </row>
    <row r="2977" spans="1:8" ht="15.75">
      <c r="A2977" s="50">
        <v>43725</v>
      </c>
      <c r="B2977" s="51">
        <v>5521.07</v>
      </c>
      <c r="C2977" s="52"/>
      <c r="D2977" s="52"/>
      <c r="E2977" s="52"/>
      <c r="F2977" s="52"/>
      <c r="G2977" s="52"/>
      <c r="H2977" s="52"/>
    </row>
    <row r="2978" spans="1:8" ht="15.75">
      <c r="A2978" s="50">
        <v>43726</v>
      </c>
      <c r="B2978" s="51">
        <v>5528.65</v>
      </c>
      <c r="C2978" s="52"/>
      <c r="D2978" s="52"/>
      <c r="E2978" s="52"/>
      <c r="F2978" s="52"/>
      <c r="G2978" s="52"/>
      <c r="H2978" s="52"/>
    </row>
    <row r="2979" spans="1:8" ht="15.75">
      <c r="A2979" s="50">
        <v>43727</v>
      </c>
      <c r="B2979" s="51">
        <v>5559.01</v>
      </c>
      <c r="C2979" s="52"/>
      <c r="D2979" s="52"/>
      <c r="E2979" s="52"/>
      <c r="F2979" s="52"/>
      <c r="G2979" s="52"/>
      <c r="H2979" s="52"/>
    </row>
    <row r="2980" spans="1:8" ht="15.75">
      <c r="A2980" s="50">
        <v>43728</v>
      </c>
      <c r="B2980" s="51">
        <v>5563.61</v>
      </c>
      <c r="C2980" s="52"/>
      <c r="D2980" s="52"/>
      <c r="E2980" s="52"/>
      <c r="F2980" s="52"/>
      <c r="G2980" s="52"/>
      <c r="H2980" s="52"/>
    </row>
    <row r="2981" spans="1:8" ht="15.75">
      <c r="A2981" s="50">
        <v>43731</v>
      </c>
      <c r="B2981" s="51">
        <v>5507.53</v>
      </c>
      <c r="C2981" s="52"/>
      <c r="D2981" s="52"/>
      <c r="E2981" s="52"/>
      <c r="F2981" s="52"/>
      <c r="G2981" s="52"/>
      <c r="H2981" s="52"/>
    </row>
    <row r="2982" spans="1:8" ht="15.75">
      <c r="A2982" s="50">
        <v>43732</v>
      </c>
      <c r="B2982" s="51">
        <v>5491.83</v>
      </c>
      <c r="C2982" s="52"/>
      <c r="D2982" s="52"/>
      <c r="E2982" s="52"/>
      <c r="F2982" s="52"/>
      <c r="G2982" s="52"/>
      <c r="H2982" s="52"/>
    </row>
    <row r="2983" spans="1:8" ht="15.75">
      <c r="A2983" s="50">
        <v>43733</v>
      </c>
      <c r="B2983" s="51">
        <v>5459.27</v>
      </c>
      <c r="C2983" s="52"/>
      <c r="D2983" s="52"/>
      <c r="E2983" s="52"/>
      <c r="F2983" s="52"/>
      <c r="G2983" s="52"/>
      <c r="H2983" s="52"/>
    </row>
    <row r="2984" spans="1:8" ht="15.75">
      <c r="A2984" s="50">
        <v>43734</v>
      </c>
      <c r="B2984" s="51">
        <v>5483.53</v>
      </c>
      <c r="C2984" s="52"/>
      <c r="D2984" s="52"/>
      <c r="E2984" s="52"/>
      <c r="F2984" s="52"/>
      <c r="G2984" s="52"/>
      <c r="H2984" s="52"/>
    </row>
    <row r="2985" spans="1:8" ht="15.75">
      <c r="A2985" s="50">
        <v>43735</v>
      </c>
      <c r="B2985" s="51">
        <v>5524.76</v>
      </c>
      <c r="C2985" s="52"/>
      <c r="D2985" s="52"/>
      <c r="E2985" s="52"/>
      <c r="F2985" s="52"/>
      <c r="G2985" s="52"/>
      <c r="H2985" s="52"/>
    </row>
    <row r="2986" spans="1:8" ht="15.75">
      <c r="A2986" s="50">
        <v>43738</v>
      </c>
      <c r="B2986" s="51">
        <v>5545.79</v>
      </c>
      <c r="C2986" s="52"/>
      <c r="D2986" s="52"/>
      <c r="E2986" s="52"/>
      <c r="F2986" s="52"/>
      <c r="G2986" s="52"/>
      <c r="H2986" s="52"/>
    </row>
    <row r="2987" spans="1:8" ht="15.75">
      <c r="A2987" s="50">
        <v>43739</v>
      </c>
      <c r="B2987" s="51">
        <v>5472.5</v>
      </c>
      <c r="C2987" s="52"/>
      <c r="D2987" s="52"/>
      <c r="E2987" s="52"/>
      <c r="F2987" s="52"/>
      <c r="G2987" s="52"/>
      <c r="H2987" s="52"/>
    </row>
    <row r="2988" spans="1:8" ht="15.75">
      <c r="A2988" s="50">
        <v>43740</v>
      </c>
      <c r="B2988" s="51">
        <v>5321.41</v>
      </c>
      <c r="C2988" s="52"/>
      <c r="D2988" s="52"/>
      <c r="E2988" s="52"/>
      <c r="F2988" s="52"/>
      <c r="G2988" s="52"/>
      <c r="H2988" s="52"/>
    </row>
    <row r="2989" spans="1:8" ht="15.75">
      <c r="A2989" s="50">
        <v>43742</v>
      </c>
      <c r="B2989" s="51">
        <v>5360.49</v>
      </c>
      <c r="C2989" s="52"/>
      <c r="D2989" s="52"/>
      <c r="E2989" s="52"/>
      <c r="F2989" s="52"/>
      <c r="G2989" s="52"/>
      <c r="H2989" s="52"/>
    </row>
    <row r="2990" spans="1:8" ht="15.75">
      <c r="A2990" s="50">
        <v>43745</v>
      </c>
      <c r="B2990" s="51">
        <v>5398.24</v>
      </c>
      <c r="C2990" s="52"/>
      <c r="D2990" s="52"/>
      <c r="E2990" s="52"/>
      <c r="F2990" s="52"/>
      <c r="G2990" s="52"/>
      <c r="H2990" s="52"/>
    </row>
    <row r="2991" spans="1:8" ht="15.75">
      <c r="A2991" s="50">
        <v>43746</v>
      </c>
      <c r="B2991" s="51">
        <v>5341.47</v>
      </c>
      <c r="C2991" s="52"/>
      <c r="D2991" s="52"/>
      <c r="E2991" s="52"/>
      <c r="F2991" s="52"/>
      <c r="G2991" s="52"/>
      <c r="H2991" s="52"/>
    </row>
    <row r="2992" spans="1:8" ht="15.75">
      <c r="A2992" s="50">
        <v>43747</v>
      </c>
      <c r="B2992" s="51">
        <v>5396.83</v>
      </c>
      <c r="C2992" s="52"/>
      <c r="D2992" s="52"/>
      <c r="E2992" s="52"/>
      <c r="F2992" s="52"/>
      <c r="G2992" s="52"/>
      <c r="H2992" s="52"/>
    </row>
    <row r="2993" spans="1:8" ht="15.75">
      <c r="A2993" s="50">
        <v>43748</v>
      </c>
      <c r="B2993" s="51">
        <v>5428.04</v>
      </c>
      <c r="C2993" s="52"/>
      <c r="D2993" s="52"/>
      <c r="E2993" s="52"/>
      <c r="F2993" s="52"/>
      <c r="G2993" s="52"/>
      <c r="H2993" s="52"/>
    </row>
    <row r="2994" spans="1:8" ht="15.75">
      <c r="A2994" s="50">
        <v>43749</v>
      </c>
      <c r="B2994" s="51">
        <v>5583.08</v>
      </c>
      <c r="C2994" s="52"/>
      <c r="D2994" s="52"/>
      <c r="E2994" s="52"/>
      <c r="F2994" s="52"/>
      <c r="G2994" s="52"/>
      <c r="H2994" s="52"/>
    </row>
    <row r="2995" spans="1:8" ht="15.75">
      <c r="A2995" s="50">
        <v>43752</v>
      </c>
      <c r="B2995" s="51">
        <v>5571.89</v>
      </c>
      <c r="C2995" s="52"/>
      <c r="D2995" s="52"/>
      <c r="E2995" s="52"/>
      <c r="F2995" s="52"/>
      <c r="G2995" s="52"/>
      <c r="H2995" s="52"/>
    </row>
    <row r="2996" spans="1:8" ht="15.75">
      <c r="A2996" s="50">
        <v>43753</v>
      </c>
      <c r="B2996" s="51">
        <v>5635.8</v>
      </c>
      <c r="C2996" s="52"/>
      <c r="D2996" s="52"/>
      <c r="E2996" s="52"/>
      <c r="F2996" s="52"/>
      <c r="G2996" s="52"/>
      <c r="H2996" s="52"/>
    </row>
    <row r="2997" spans="1:8" ht="15.75">
      <c r="A2997" s="50">
        <v>43754</v>
      </c>
      <c r="B2997" s="51">
        <v>5653.79</v>
      </c>
      <c r="C2997" s="52"/>
      <c r="D2997" s="52"/>
      <c r="E2997" s="52"/>
      <c r="F2997" s="52"/>
      <c r="G2997" s="52"/>
      <c r="H2997" s="52"/>
    </row>
    <row r="2998" spans="1:8" ht="15.75">
      <c r="A2998" s="50">
        <v>43755</v>
      </c>
      <c r="B2998" s="51">
        <v>5647.03</v>
      </c>
      <c r="C2998" s="52"/>
      <c r="D2998" s="52"/>
      <c r="E2998" s="52"/>
      <c r="F2998" s="52"/>
      <c r="G2998" s="52"/>
      <c r="H2998" s="52"/>
    </row>
    <row r="2999" spans="1:8" ht="15.75">
      <c r="A2999" s="50">
        <v>43756</v>
      </c>
      <c r="B2999" s="51">
        <v>5637.5</v>
      </c>
      <c r="C2999" s="52"/>
      <c r="D2999" s="52"/>
      <c r="E2999" s="52"/>
      <c r="F2999" s="52"/>
      <c r="G2999" s="52"/>
      <c r="H2999" s="52"/>
    </row>
    <row r="3000" spans="1:8" ht="15.75">
      <c r="A3000" s="50">
        <v>43759</v>
      </c>
      <c r="B3000" s="51">
        <v>5688.53</v>
      </c>
      <c r="C3000" s="52"/>
      <c r="D3000" s="52"/>
      <c r="E3000" s="52"/>
      <c r="F3000" s="52"/>
      <c r="G3000" s="52"/>
      <c r="H3000" s="52"/>
    </row>
    <row r="3001" spans="1:8" ht="15.75">
      <c r="A3001" s="50">
        <v>43760</v>
      </c>
      <c r="B3001" s="51">
        <v>5691.53</v>
      </c>
      <c r="C3001" s="52"/>
      <c r="D3001" s="52"/>
      <c r="E3001" s="52"/>
      <c r="F3001" s="52"/>
      <c r="G3001" s="52"/>
      <c r="H3001" s="52"/>
    </row>
    <row r="3002" spans="1:8" ht="15.75">
      <c r="A3002" s="50">
        <v>43761</v>
      </c>
      <c r="B3002" s="51">
        <v>5710.95</v>
      </c>
      <c r="C3002" s="52"/>
      <c r="D3002" s="52"/>
      <c r="E3002" s="52"/>
      <c r="F3002" s="52"/>
      <c r="G3002" s="52"/>
      <c r="H3002" s="52"/>
    </row>
    <row r="3003" spans="1:8" ht="15.75">
      <c r="A3003" s="50">
        <v>43762</v>
      </c>
      <c r="B3003" s="51">
        <v>5743.93</v>
      </c>
      <c r="C3003" s="52"/>
      <c r="D3003" s="52"/>
      <c r="E3003" s="52"/>
      <c r="F3003" s="52"/>
      <c r="G3003" s="52"/>
      <c r="H3003" s="52"/>
    </row>
    <row r="3004" spans="1:8" ht="15.75">
      <c r="A3004" s="50">
        <v>43763</v>
      </c>
      <c r="B3004" s="51">
        <v>5753.93</v>
      </c>
      <c r="C3004" s="52"/>
      <c r="D3004" s="52"/>
      <c r="E3004" s="52"/>
      <c r="F3004" s="52"/>
      <c r="G3004" s="52"/>
      <c r="H3004" s="52"/>
    </row>
    <row r="3005" spans="1:8" ht="15.75">
      <c r="A3005" s="50">
        <v>43766</v>
      </c>
      <c r="B3005" s="51">
        <v>5774.99</v>
      </c>
      <c r="C3005" s="52"/>
      <c r="D3005" s="52"/>
      <c r="E3005" s="52"/>
      <c r="F3005" s="52"/>
      <c r="G3005" s="52"/>
      <c r="H3005" s="52"/>
    </row>
    <row r="3006" spans="1:8" ht="15.75">
      <c r="A3006" s="50">
        <v>43767</v>
      </c>
      <c r="B3006" s="51">
        <v>5774.06</v>
      </c>
      <c r="C3006" s="52"/>
      <c r="D3006" s="52"/>
      <c r="E3006" s="52"/>
      <c r="F3006" s="52"/>
      <c r="G3006" s="52"/>
      <c r="H3006" s="52"/>
    </row>
    <row r="3007" spans="1:8" ht="15.75">
      <c r="A3007" s="50">
        <v>43768</v>
      </c>
      <c r="B3007" s="51">
        <v>5760.94</v>
      </c>
      <c r="C3007" s="52"/>
      <c r="D3007" s="52"/>
      <c r="E3007" s="52"/>
      <c r="F3007" s="52"/>
      <c r="G3007" s="52"/>
      <c r="H3007" s="52"/>
    </row>
    <row r="3008" spans="1:8" ht="15.75">
      <c r="A3008" s="50">
        <v>43769</v>
      </c>
      <c r="B3008" s="51">
        <v>5741.56</v>
      </c>
      <c r="C3008" s="52"/>
      <c r="D3008" s="52"/>
      <c r="E3008" s="52"/>
      <c r="F3008" s="52"/>
      <c r="G3008" s="52"/>
      <c r="H3008" s="52"/>
    </row>
    <row r="3009" spans="1:8" ht="15.75">
      <c r="A3009" s="50">
        <v>43770</v>
      </c>
      <c r="B3009" s="51">
        <v>5783.62</v>
      </c>
      <c r="C3009" s="52"/>
      <c r="D3009" s="52"/>
      <c r="E3009" s="52"/>
      <c r="F3009" s="52"/>
      <c r="G3009" s="52"/>
      <c r="H3009" s="52"/>
    </row>
    <row r="3010" spans="1:8" ht="15.75">
      <c r="A3010" s="50">
        <v>43773</v>
      </c>
      <c r="B3010" s="51">
        <v>5861.81</v>
      </c>
      <c r="C3010" s="52"/>
      <c r="D3010" s="52"/>
      <c r="E3010" s="52"/>
      <c r="F3010" s="52"/>
      <c r="G3010" s="52"/>
      <c r="H3010" s="52"/>
    </row>
    <row r="3011" spans="1:8" ht="15.75">
      <c r="A3011" s="50">
        <v>43774</v>
      </c>
      <c r="B3011" s="51">
        <v>5867.27</v>
      </c>
      <c r="C3011" s="52"/>
      <c r="D3011" s="52"/>
      <c r="E3011" s="52"/>
      <c r="F3011" s="52"/>
      <c r="G3011" s="52"/>
      <c r="H3011" s="52"/>
    </row>
    <row r="3012" spans="1:8" ht="15.75">
      <c r="A3012" s="50">
        <v>43775</v>
      </c>
      <c r="B3012" s="51">
        <v>5881.27</v>
      </c>
      <c r="C3012" s="52"/>
      <c r="D3012" s="52"/>
      <c r="E3012" s="52"/>
      <c r="F3012" s="52"/>
      <c r="G3012" s="52"/>
      <c r="H3012" s="52"/>
    </row>
    <row r="3013" spans="1:8" ht="15.75">
      <c r="A3013" s="50">
        <v>43776</v>
      </c>
      <c r="B3013" s="51">
        <v>5930.17</v>
      </c>
      <c r="C3013" s="52"/>
      <c r="D3013" s="52"/>
      <c r="E3013" s="52"/>
      <c r="F3013" s="52"/>
      <c r="G3013" s="52"/>
      <c r="H3013" s="52"/>
    </row>
    <row r="3014" spans="1:8" ht="15.75">
      <c r="A3014" s="50">
        <v>43777</v>
      </c>
      <c r="B3014" s="51">
        <v>5902.99</v>
      </c>
      <c r="C3014" s="52"/>
      <c r="D3014" s="52"/>
      <c r="E3014" s="52"/>
      <c r="F3014" s="52"/>
      <c r="G3014" s="52"/>
      <c r="H3014" s="52"/>
    </row>
    <row r="3015" spans="1:8" ht="15.75">
      <c r="A3015" s="50">
        <v>43780</v>
      </c>
      <c r="B3015" s="51">
        <v>5889.52</v>
      </c>
      <c r="C3015" s="52"/>
      <c r="D3015" s="52"/>
      <c r="E3015" s="52"/>
      <c r="F3015" s="52"/>
      <c r="G3015" s="52"/>
      <c r="H3015" s="52"/>
    </row>
    <row r="3016" spans="1:8" ht="15.75">
      <c r="A3016" s="50">
        <v>43781</v>
      </c>
      <c r="B3016" s="51">
        <v>5927.51</v>
      </c>
      <c r="C3016" s="52"/>
      <c r="D3016" s="52"/>
      <c r="E3016" s="52"/>
      <c r="F3016" s="52"/>
      <c r="G3016" s="52"/>
      <c r="H3016" s="52"/>
    </row>
    <row r="3017" spans="1:8" ht="15.75">
      <c r="A3017" s="50">
        <v>43782</v>
      </c>
      <c r="B3017" s="51">
        <v>5903.66</v>
      </c>
      <c r="C3017" s="52"/>
      <c r="D3017" s="52"/>
      <c r="E3017" s="52"/>
      <c r="F3017" s="52"/>
      <c r="G3017" s="52"/>
      <c r="H3017" s="52"/>
    </row>
    <row r="3018" spans="1:8" ht="15.75">
      <c r="A3018" s="50">
        <v>43783</v>
      </c>
      <c r="B3018" s="51">
        <v>5881.42</v>
      </c>
      <c r="C3018" s="52"/>
      <c r="D3018" s="52"/>
      <c r="E3018" s="52"/>
      <c r="F3018" s="52"/>
      <c r="G3018" s="52"/>
      <c r="H3018" s="52"/>
    </row>
    <row r="3019" spans="1:8" ht="15.75">
      <c r="A3019" s="50">
        <v>43784</v>
      </c>
      <c r="B3019" s="51">
        <v>5908.88</v>
      </c>
      <c r="C3019" s="52"/>
      <c r="D3019" s="52"/>
      <c r="E3019" s="52"/>
      <c r="F3019" s="52"/>
      <c r="G3019" s="52"/>
      <c r="H3019" s="52"/>
    </row>
    <row r="3020" spans="1:8" ht="15.75">
      <c r="A3020" s="50">
        <v>43787</v>
      </c>
      <c r="B3020" s="51">
        <v>5893.38</v>
      </c>
      <c r="C3020" s="52"/>
      <c r="D3020" s="52"/>
      <c r="E3020" s="52"/>
      <c r="F3020" s="52"/>
      <c r="G3020" s="52"/>
      <c r="H3020" s="52"/>
    </row>
    <row r="3021" spans="1:8" ht="15.75">
      <c r="A3021" s="50">
        <v>43788</v>
      </c>
      <c r="B3021" s="51">
        <v>5899.67</v>
      </c>
      <c r="C3021" s="52"/>
      <c r="D3021" s="52"/>
      <c r="E3021" s="52"/>
      <c r="F3021" s="52"/>
      <c r="G3021" s="52"/>
      <c r="H3021" s="52"/>
    </row>
    <row r="3022" spans="1:8" ht="15.75">
      <c r="A3022" s="50">
        <v>43789</v>
      </c>
      <c r="B3022" s="51">
        <v>5871.57</v>
      </c>
      <c r="C3022" s="52"/>
      <c r="D3022" s="52"/>
      <c r="E3022" s="52"/>
      <c r="F3022" s="52"/>
      <c r="G3022" s="52"/>
      <c r="H3022" s="52"/>
    </row>
    <row r="3023" spans="1:8" ht="15.75">
      <c r="A3023" s="50">
        <v>43790</v>
      </c>
      <c r="B3023" s="51">
        <v>5862.45</v>
      </c>
      <c r="C3023" s="52"/>
      <c r="D3023" s="52"/>
      <c r="E3023" s="52"/>
      <c r="F3023" s="52"/>
      <c r="G3023" s="52"/>
      <c r="H3023" s="52"/>
    </row>
    <row r="3024" spans="1:8" ht="15.75">
      <c r="A3024" s="50">
        <v>43791</v>
      </c>
      <c r="B3024" s="51">
        <v>5874.13</v>
      </c>
      <c r="C3024" s="52"/>
      <c r="D3024" s="52"/>
      <c r="E3024" s="52"/>
      <c r="F3024" s="52"/>
      <c r="G3024" s="52"/>
      <c r="H3024" s="52"/>
    </row>
    <row r="3025" spans="1:8" ht="15.75">
      <c r="A3025" s="50">
        <v>43794</v>
      </c>
      <c r="B3025" s="51">
        <v>5910.97</v>
      </c>
      <c r="C3025" s="52"/>
      <c r="D3025" s="52"/>
      <c r="E3025" s="52"/>
      <c r="F3025" s="52"/>
      <c r="G3025" s="52"/>
      <c r="H3025" s="52"/>
    </row>
    <row r="3026" spans="1:8" ht="15.75">
      <c r="A3026" s="50">
        <v>43795</v>
      </c>
      <c r="B3026" s="51">
        <v>5906.5</v>
      </c>
      <c r="C3026" s="52"/>
      <c r="D3026" s="52"/>
      <c r="E3026" s="52"/>
      <c r="F3026" s="52"/>
      <c r="G3026" s="52"/>
      <c r="H3026" s="52"/>
    </row>
    <row r="3027" spans="1:8" ht="15.75">
      <c r="A3027" s="50">
        <v>43796</v>
      </c>
      <c r="B3027" s="51">
        <v>5929.1</v>
      </c>
      <c r="C3027" s="52"/>
      <c r="D3027" s="52"/>
      <c r="E3027" s="52"/>
      <c r="F3027" s="52"/>
      <c r="G3027" s="52"/>
      <c r="H3027" s="52"/>
    </row>
    <row r="3028" spans="1:8" ht="15.75">
      <c r="A3028" s="50">
        <v>43797</v>
      </c>
      <c r="B3028" s="51">
        <v>5910.59</v>
      </c>
      <c r="C3028" s="52"/>
      <c r="D3028" s="52"/>
      <c r="E3028" s="52"/>
      <c r="F3028" s="52"/>
      <c r="G3028" s="52"/>
      <c r="H3028" s="52"/>
    </row>
    <row r="3029" spans="1:8" ht="15.75">
      <c r="A3029" s="50">
        <v>43798</v>
      </c>
      <c r="B3029" s="51">
        <v>5906.48</v>
      </c>
      <c r="C3029" s="52"/>
      <c r="D3029" s="52"/>
      <c r="E3029" s="52"/>
      <c r="F3029" s="52"/>
      <c r="G3029" s="52"/>
      <c r="H3029" s="52"/>
    </row>
    <row r="3030" spans="1:8" ht="15.75">
      <c r="A3030" s="50">
        <v>43801</v>
      </c>
      <c r="B3030" s="51">
        <v>5782.91</v>
      </c>
      <c r="C3030" s="52"/>
      <c r="D3030" s="52"/>
      <c r="E3030" s="52"/>
      <c r="F3030" s="52"/>
      <c r="G3030" s="52"/>
      <c r="H3030" s="52"/>
    </row>
    <row r="3031" spans="1:8" ht="15.75">
      <c r="A3031" s="50">
        <v>43802</v>
      </c>
      <c r="B3031" s="51">
        <v>5793.88</v>
      </c>
      <c r="C3031" s="52"/>
      <c r="D3031" s="52"/>
      <c r="E3031" s="52"/>
      <c r="F3031" s="52"/>
      <c r="G3031" s="52"/>
      <c r="H3031" s="52"/>
    </row>
    <row r="3032" spans="1:8" ht="15.75">
      <c r="A3032" s="50">
        <v>43803</v>
      </c>
      <c r="B3032" s="51">
        <v>5861.34</v>
      </c>
      <c r="C3032" s="52"/>
      <c r="D3032" s="52"/>
      <c r="E3032" s="52"/>
      <c r="F3032" s="52"/>
      <c r="G3032" s="52"/>
      <c r="H3032" s="52"/>
    </row>
    <row r="3033" spans="1:8" ht="15.75">
      <c r="A3033" s="50">
        <v>43804</v>
      </c>
      <c r="B3033" s="51">
        <v>5823.09</v>
      </c>
      <c r="C3033" s="52"/>
      <c r="D3033" s="52"/>
      <c r="E3033" s="52"/>
      <c r="F3033" s="52"/>
      <c r="G3033" s="52"/>
      <c r="H3033" s="52"/>
    </row>
    <row r="3034" spans="1:8" ht="15.75">
      <c r="A3034" s="50">
        <v>43805</v>
      </c>
      <c r="B3034" s="51">
        <v>5872.93</v>
      </c>
      <c r="C3034" s="52"/>
      <c r="D3034" s="52"/>
      <c r="E3034" s="52"/>
      <c r="F3034" s="52"/>
      <c r="G3034" s="52"/>
      <c r="H3034" s="52"/>
    </row>
    <row r="3035" spans="1:8" ht="15.75">
      <c r="A3035" s="50">
        <v>43808</v>
      </c>
      <c r="B3035" s="51">
        <v>5845.73</v>
      </c>
      <c r="C3035" s="52"/>
      <c r="D3035" s="52"/>
      <c r="E3035" s="52"/>
      <c r="F3035" s="52"/>
      <c r="G3035" s="52"/>
      <c r="H3035" s="52"/>
    </row>
    <row r="3036" spans="1:8" ht="15.75">
      <c r="A3036" s="50">
        <v>43809</v>
      </c>
      <c r="B3036" s="51">
        <v>5830.17</v>
      </c>
      <c r="C3036" s="52"/>
      <c r="D3036" s="52"/>
      <c r="E3036" s="52"/>
      <c r="F3036" s="52"/>
      <c r="G3036" s="52"/>
      <c r="H3036" s="52"/>
    </row>
    <row r="3037" spans="1:8" ht="15.75">
      <c r="A3037" s="50">
        <v>43810</v>
      </c>
      <c r="B3037" s="51">
        <v>5864.08</v>
      </c>
      <c r="C3037" s="52"/>
      <c r="D3037" s="52"/>
      <c r="E3037" s="52"/>
      <c r="F3037" s="52"/>
      <c r="G3037" s="52"/>
      <c r="H3037" s="52"/>
    </row>
    <row r="3038" spans="1:8" ht="15.75">
      <c r="A3038" s="50">
        <v>43811</v>
      </c>
      <c r="B3038" s="51">
        <v>5897.48</v>
      </c>
      <c r="C3038" s="52"/>
      <c r="D3038" s="52"/>
      <c r="E3038" s="52"/>
      <c r="F3038" s="52"/>
      <c r="G3038" s="52"/>
      <c r="H3038" s="52"/>
    </row>
    <row r="3039" spans="1:8" ht="15.75">
      <c r="A3039" s="50">
        <v>43812</v>
      </c>
      <c r="B3039" s="51">
        <v>5924.74</v>
      </c>
      <c r="C3039" s="52"/>
      <c r="D3039" s="52"/>
      <c r="E3039" s="52"/>
      <c r="F3039" s="52"/>
      <c r="G3039" s="52"/>
      <c r="H3039" s="52"/>
    </row>
    <row r="3040" spans="1:8" ht="15.75">
      <c r="A3040" s="50">
        <v>43815</v>
      </c>
      <c r="B3040" s="51">
        <v>5980.47</v>
      </c>
      <c r="C3040" s="52"/>
      <c r="D3040" s="52"/>
      <c r="E3040" s="52"/>
      <c r="F3040" s="52"/>
      <c r="G3040" s="52"/>
      <c r="H3040" s="52"/>
    </row>
    <row r="3041" spans="1:8" ht="15.75">
      <c r="A3041" s="50">
        <v>43816</v>
      </c>
      <c r="B3041" s="51">
        <v>5927.01</v>
      </c>
      <c r="C3041" s="52"/>
      <c r="D3041" s="52"/>
      <c r="E3041" s="52"/>
      <c r="F3041" s="52"/>
      <c r="G3041" s="52"/>
      <c r="H3041" s="52"/>
    </row>
    <row r="3042" spans="1:8" ht="15.75">
      <c r="A3042" s="50">
        <v>43817</v>
      </c>
      <c r="B3042" s="51">
        <v>5897.72</v>
      </c>
      <c r="C3042" s="52"/>
      <c r="D3042" s="52"/>
      <c r="E3042" s="52"/>
      <c r="F3042" s="52"/>
      <c r="G3042" s="52"/>
      <c r="H3042" s="52"/>
    </row>
    <row r="3043" spans="1:8" ht="15.75">
      <c r="A3043" s="50">
        <v>43818</v>
      </c>
      <c r="B3043" s="51">
        <v>5893.16</v>
      </c>
      <c r="C3043" s="52"/>
      <c r="D3043" s="52"/>
      <c r="E3043" s="52"/>
      <c r="F3043" s="52"/>
      <c r="G3043" s="52"/>
      <c r="H3043" s="52"/>
    </row>
    <row r="3044" spans="1:8" ht="15.75">
      <c r="A3044" s="50">
        <v>43819</v>
      </c>
      <c r="B3044" s="51">
        <v>5940.83</v>
      </c>
      <c r="C3044" s="52"/>
      <c r="D3044" s="52"/>
      <c r="E3044" s="52"/>
      <c r="F3044" s="52"/>
      <c r="G3044" s="52"/>
      <c r="H3044" s="52"/>
    </row>
    <row r="3045" spans="1:8" ht="15.75">
      <c r="A3045" s="50">
        <v>43822</v>
      </c>
      <c r="B3045" s="51">
        <v>5932.84</v>
      </c>
      <c r="C3045" s="52"/>
      <c r="D3045" s="52"/>
      <c r="E3045" s="52"/>
      <c r="F3045" s="52"/>
      <c r="G3045" s="52"/>
      <c r="H3045" s="52"/>
    </row>
    <row r="3046" spans="1:8" ht="15.75">
      <c r="A3046" s="50">
        <v>43826</v>
      </c>
      <c r="B3046" s="51">
        <v>5948.95</v>
      </c>
      <c r="C3046" s="52"/>
      <c r="D3046" s="52"/>
      <c r="E3046" s="52"/>
      <c r="F3046" s="52"/>
      <c r="G3046" s="52"/>
      <c r="H3046" s="52"/>
    </row>
    <row r="3047" spans="1:8" ht="15.75">
      <c r="A3047" s="50">
        <v>43829</v>
      </c>
      <c r="B3047" s="51">
        <v>5909.66</v>
      </c>
      <c r="C3047" s="52"/>
      <c r="D3047" s="52"/>
      <c r="E3047" s="52"/>
      <c r="F3047" s="52"/>
      <c r="G3047" s="52"/>
      <c r="H3047" s="52"/>
    </row>
    <row r="3048" spans="1:8" ht="15.75">
      <c r="A3048" s="50">
        <v>43832</v>
      </c>
      <c r="B3048" s="51">
        <v>5970.73</v>
      </c>
      <c r="C3048" s="52"/>
      <c r="D3048" s="52"/>
      <c r="E3048" s="52"/>
      <c r="F3048" s="52"/>
      <c r="G3048" s="52"/>
      <c r="H3048" s="52"/>
    </row>
    <row r="3049" spans="1:8" ht="15.75">
      <c r="A3049" s="50">
        <v>43833</v>
      </c>
      <c r="B3049" s="51">
        <v>5896.33</v>
      </c>
      <c r="C3049" s="52"/>
      <c r="D3049" s="52"/>
      <c r="E3049" s="52"/>
      <c r="F3049" s="52"/>
      <c r="G3049" s="52"/>
      <c r="H3049" s="52"/>
    </row>
    <row r="3050" spans="1:8" ht="15.75">
      <c r="A3050" s="50">
        <v>43836</v>
      </c>
      <c r="B3050" s="51">
        <v>5855.23</v>
      </c>
      <c r="C3050" s="52"/>
      <c r="D3050" s="52"/>
      <c r="E3050" s="52"/>
      <c r="F3050" s="52"/>
      <c r="G3050" s="52"/>
      <c r="H3050" s="52"/>
    </row>
    <row r="3051" spans="1:8" ht="15.75">
      <c r="A3051" s="50">
        <v>43837</v>
      </c>
      <c r="B3051" s="51">
        <v>5899.76</v>
      </c>
      <c r="C3051" s="52"/>
      <c r="D3051" s="52"/>
      <c r="E3051" s="52"/>
      <c r="F3051" s="52"/>
      <c r="G3051" s="52"/>
      <c r="H3051" s="52"/>
    </row>
    <row r="3052" spans="1:8" ht="15.75">
      <c r="A3052" s="50">
        <v>43838</v>
      </c>
      <c r="B3052" s="51">
        <v>5941.4</v>
      </c>
      <c r="C3052" s="52"/>
      <c r="D3052" s="52"/>
      <c r="E3052" s="52"/>
      <c r="F3052" s="52"/>
      <c r="G3052" s="52"/>
      <c r="H3052" s="52"/>
    </row>
    <row r="3053" spans="1:8" ht="15.75">
      <c r="A3053" s="50">
        <v>43839</v>
      </c>
      <c r="B3053" s="51">
        <v>6019.41</v>
      </c>
      <c r="C3053" s="52"/>
      <c r="D3053" s="52"/>
      <c r="E3053" s="52"/>
      <c r="F3053" s="52"/>
      <c r="G3053" s="52"/>
      <c r="H3053" s="52"/>
    </row>
    <row r="3054" spans="1:8" ht="15.75">
      <c r="A3054" s="50">
        <v>43840</v>
      </c>
      <c r="B3054" s="51">
        <v>6014.16</v>
      </c>
      <c r="C3054" s="52"/>
      <c r="D3054" s="52"/>
      <c r="E3054" s="52"/>
      <c r="F3054" s="52"/>
      <c r="G3054" s="52"/>
      <c r="H3054" s="52"/>
    </row>
    <row r="3055" spans="1:8" ht="15.75">
      <c r="A3055" s="50">
        <v>43843</v>
      </c>
      <c r="B3055" s="51">
        <v>5999.99</v>
      </c>
      <c r="C3055" s="52"/>
      <c r="D3055" s="52"/>
      <c r="E3055" s="52"/>
      <c r="F3055" s="52"/>
      <c r="G3055" s="52"/>
      <c r="H3055" s="52"/>
    </row>
    <row r="3056" spans="1:8" ht="15.75">
      <c r="A3056" s="50">
        <v>43844</v>
      </c>
      <c r="B3056" s="51">
        <v>6002.2</v>
      </c>
      <c r="C3056" s="52"/>
      <c r="D3056" s="52"/>
      <c r="E3056" s="52"/>
      <c r="F3056" s="52"/>
      <c r="G3056" s="52"/>
      <c r="H3056" s="52"/>
    </row>
    <row r="3057" spans="1:8" ht="15.75">
      <c r="A3057" s="50">
        <v>43845</v>
      </c>
      <c r="B3057" s="51">
        <v>5991.41</v>
      </c>
      <c r="C3057" s="52"/>
      <c r="D3057" s="52"/>
      <c r="E3057" s="52"/>
      <c r="F3057" s="52"/>
      <c r="G3057" s="52"/>
      <c r="H3057" s="52"/>
    </row>
    <row r="3058" spans="1:8" ht="15.75">
      <c r="A3058" s="50">
        <v>43846</v>
      </c>
      <c r="B3058" s="51">
        <v>5990.13</v>
      </c>
      <c r="C3058" s="52"/>
      <c r="D3058" s="52"/>
      <c r="E3058" s="52"/>
      <c r="F3058" s="52"/>
      <c r="G3058" s="52"/>
      <c r="H3058" s="52"/>
    </row>
    <row r="3059" spans="1:8" ht="15.75">
      <c r="A3059" s="50">
        <v>43847</v>
      </c>
      <c r="B3059" s="51">
        <v>6033.27</v>
      </c>
      <c r="C3059" s="52"/>
      <c r="D3059" s="52"/>
      <c r="E3059" s="52"/>
      <c r="F3059" s="52"/>
      <c r="G3059" s="52"/>
      <c r="H3059" s="52"/>
    </row>
    <row r="3060" spans="1:8" ht="15.75">
      <c r="A3060" s="50">
        <v>43850</v>
      </c>
      <c r="B3060" s="51">
        <v>6043.44</v>
      </c>
      <c r="C3060" s="52"/>
      <c r="D3060" s="52"/>
      <c r="E3060" s="52"/>
      <c r="F3060" s="52"/>
      <c r="G3060" s="52"/>
      <c r="H3060" s="52"/>
    </row>
    <row r="3061" spans="1:8" ht="15.75">
      <c r="A3061" s="50">
        <v>43851</v>
      </c>
      <c r="B3061" s="51">
        <v>6046.53</v>
      </c>
      <c r="C3061" s="52"/>
      <c r="D3061" s="52"/>
      <c r="E3061" s="52"/>
      <c r="F3061" s="52"/>
      <c r="G3061" s="52"/>
      <c r="H3061" s="52"/>
    </row>
    <row r="3062" spans="1:8" ht="15.75">
      <c r="A3062" s="50">
        <v>43852</v>
      </c>
      <c r="B3062" s="51">
        <v>6028.64</v>
      </c>
      <c r="C3062" s="52"/>
      <c r="D3062" s="52"/>
      <c r="E3062" s="52"/>
      <c r="F3062" s="52"/>
      <c r="G3062" s="52"/>
      <c r="H3062" s="52"/>
    </row>
    <row r="3063" spans="1:8" ht="15.75">
      <c r="A3063" s="50">
        <v>43853</v>
      </c>
      <c r="B3063" s="51">
        <v>5971.84</v>
      </c>
      <c r="C3063" s="52"/>
      <c r="D3063" s="52"/>
      <c r="E3063" s="52"/>
      <c r="F3063" s="52"/>
      <c r="G3063" s="52"/>
      <c r="H3063" s="52"/>
    </row>
    <row r="3064" spans="1:8" ht="15.75">
      <c r="A3064" s="50">
        <v>43854</v>
      </c>
      <c r="B3064" s="51">
        <v>6055.81</v>
      </c>
      <c r="C3064" s="52"/>
      <c r="D3064" s="52"/>
      <c r="E3064" s="52"/>
      <c r="F3064" s="52"/>
      <c r="G3064" s="52"/>
      <c r="H3064" s="52"/>
    </row>
    <row r="3065" spans="1:8" ht="15.75">
      <c r="A3065" s="50">
        <v>43857</v>
      </c>
      <c r="B3065" s="51">
        <v>5889.92</v>
      </c>
      <c r="C3065" s="52"/>
      <c r="D3065" s="52"/>
      <c r="E3065" s="52"/>
      <c r="F3065" s="52"/>
      <c r="G3065" s="52"/>
      <c r="H3065" s="52"/>
    </row>
    <row r="3066" spans="1:8" ht="15.75">
      <c r="A3066" s="50">
        <v>43858</v>
      </c>
      <c r="B3066" s="51">
        <v>5942.97</v>
      </c>
      <c r="C3066" s="52"/>
      <c r="D3066" s="52"/>
      <c r="E3066" s="52"/>
      <c r="F3066" s="52"/>
      <c r="G3066" s="52"/>
      <c r="H3066" s="52"/>
    </row>
    <row r="3067" spans="1:8" ht="15.75">
      <c r="A3067" s="50">
        <v>43859</v>
      </c>
      <c r="B3067" s="51">
        <v>5952.47</v>
      </c>
      <c r="C3067" s="52"/>
      <c r="D3067" s="52"/>
      <c r="E3067" s="52"/>
      <c r="F3067" s="52"/>
      <c r="G3067" s="52"/>
      <c r="H3067" s="52"/>
    </row>
    <row r="3068" spans="1:8" ht="15.75">
      <c r="A3068" s="50">
        <v>43860</v>
      </c>
      <c r="B3068" s="51">
        <v>5868.67</v>
      </c>
      <c r="C3068" s="52"/>
      <c r="D3068" s="52"/>
      <c r="E3068" s="52"/>
      <c r="F3068" s="52"/>
      <c r="G3068" s="52"/>
      <c r="H3068" s="52"/>
    </row>
    <row r="3069" spans="1:8" ht="15.75">
      <c r="A3069" s="50">
        <v>43861</v>
      </c>
      <c r="B3069" s="51">
        <v>5790.54</v>
      </c>
      <c r="C3069" s="52"/>
      <c r="D3069" s="52"/>
      <c r="E3069" s="52"/>
      <c r="F3069" s="52"/>
      <c r="G3069" s="52"/>
      <c r="H3069" s="52"/>
    </row>
    <row r="3070" spans="1:8" ht="15.75">
      <c r="A3070" s="50">
        <v>43864</v>
      </c>
      <c r="B3070" s="51">
        <v>5818.74</v>
      </c>
      <c r="C3070" s="52"/>
      <c r="D3070" s="52"/>
      <c r="E3070" s="52"/>
      <c r="F3070" s="52"/>
      <c r="G3070" s="52"/>
      <c r="H3070" s="52"/>
    </row>
    <row r="3071" spans="1:8" ht="15.75">
      <c r="A3071" s="50">
        <v>43865</v>
      </c>
      <c r="B3071" s="51">
        <v>5924.26</v>
      </c>
      <c r="C3071" s="52"/>
      <c r="D3071" s="52"/>
      <c r="E3071" s="52"/>
      <c r="F3071" s="52"/>
      <c r="G3071" s="52"/>
      <c r="H3071" s="52"/>
    </row>
    <row r="3072" spans="1:8" ht="15.75">
      <c r="A3072" s="50">
        <v>43866</v>
      </c>
      <c r="B3072" s="51">
        <v>6011.95</v>
      </c>
      <c r="C3072" s="52"/>
      <c r="D3072" s="52"/>
      <c r="E3072" s="52"/>
      <c r="F3072" s="52"/>
      <c r="G3072" s="52"/>
      <c r="H3072" s="52"/>
    </row>
    <row r="3073" spans="1:8" ht="15.75">
      <c r="A3073" s="50">
        <v>43867</v>
      </c>
      <c r="B3073" s="51">
        <v>6038.41</v>
      </c>
      <c r="C3073" s="52"/>
      <c r="D3073" s="52"/>
      <c r="E3073" s="52"/>
      <c r="F3073" s="52"/>
      <c r="G3073" s="52"/>
      <c r="H3073" s="52"/>
    </row>
    <row r="3074" spans="1:8" ht="15.75">
      <c r="A3074" s="50">
        <v>43868</v>
      </c>
      <c r="B3074" s="51">
        <v>6011.25</v>
      </c>
      <c r="C3074" s="52"/>
      <c r="D3074" s="52"/>
      <c r="E3074" s="52"/>
      <c r="F3074" s="52"/>
      <c r="G3074" s="52"/>
      <c r="H3074" s="52"/>
    </row>
    <row r="3075" spans="1:8" ht="15.75">
      <c r="A3075" s="50">
        <v>43871</v>
      </c>
      <c r="B3075" s="51">
        <v>6002.43</v>
      </c>
      <c r="C3075" s="52"/>
      <c r="D3075" s="52"/>
      <c r="E3075" s="52"/>
      <c r="F3075" s="52"/>
      <c r="G3075" s="52"/>
      <c r="H3075" s="52"/>
    </row>
    <row r="3076" spans="1:8" ht="15.75">
      <c r="A3076" s="50">
        <v>43872</v>
      </c>
      <c r="B3076" s="51">
        <v>6061.94</v>
      </c>
      <c r="C3076" s="52"/>
      <c r="D3076" s="52"/>
      <c r="E3076" s="52"/>
      <c r="F3076" s="52"/>
      <c r="G3076" s="52"/>
      <c r="H3076" s="52"/>
    </row>
    <row r="3077" spans="1:8" ht="15.75">
      <c r="A3077" s="50">
        <v>43873</v>
      </c>
      <c r="B3077" s="51">
        <v>6116.31</v>
      </c>
      <c r="C3077" s="52"/>
      <c r="D3077" s="52"/>
      <c r="E3077" s="52"/>
      <c r="F3077" s="52"/>
      <c r="G3077" s="52"/>
      <c r="H3077" s="52"/>
    </row>
    <row r="3078" spans="1:8" ht="15.75">
      <c r="A3078" s="50">
        <v>43874</v>
      </c>
      <c r="B3078" s="51">
        <v>6114.74</v>
      </c>
      <c r="C3078" s="52"/>
      <c r="D3078" s="52"/>
      <c r="E3078" s="52"/>
      <c r="F3078" s="52"/>
      <c r="G3078" s="52"/>
      <c r="H3078" s="52"/>
    </row>
    <row r="3079" spans="1:8" ht="15.75">
      <c r="A3079" s="50">
        <v>43875</v>
      </c>
      <c r="B3079" s="51">
        <v>6114.27</v>
      </c>
      <c r="C3079" s="52"/>
      <c r="D3079" s="52"/>
      <c r="E3079" s="52"/>
      <c r="F3079" s="52"/>
      <c r="G3079" s="52"/>
      <c r="H3079" s="52"/>
    </row>
    <row r="3080" spans="1:8" ht="15.75">
      <c r="A3080" s="50">
        <v>43878</v>
      </c>
      <c r="B3080" s="51">
        <v>6131.79</v>
      </c>
      <c r="C3080" s="52"/>
      <c r="D3080" s="52"/>
      <c r="E3080" s="52"/>
      <c r="F3080" s="52"/>
      <c r="G3080" s="52"/>
      <c r="H3080" s="52"/>
    </row>
    <row r="3081" spans="1:8" ht="15.75">
      <c r="A3081" s="50">
        <v>43879</v>
      </c>
      <c r="B3081" s="51">
        <v>6086.13</v>
      </c>
      <c r="C3081" s="52"/>
      <c r="D3081" s="52"/>
      <c r="E3081" s="52"/>
      <c r="F3081" s="52"/>
      <c r="G3081" s="52"/>
      <c r="H3081" s="52"/>
    </row>
    <row r="3082" spans="1:8" ht="15.75">
      <c r="A3082" s="50">
        <v>43880</v>
      </c>
      <c r="B3082" s="51">
        <v>6134.21</v>
      </c>
      <c r="C3082" s="52"/>
      <c r="D3082" s="52"/>
      <c r="E3082" s="52"/>
      <c r="F3082" s="52"/>
      <c r="G3082" s="52"/>
      <c r="H3082" s="52"/>
    </row>
    <row r="3083" spans="1:8" ht="15.75">
      <c r="A3083" s="50">
        <v>43881</v>
      </c>
      <c r="B3083" s="51">
        <v>6078.56</v>
      </c>
      <c r="C3083" s="52"/>
      <c r="D3083" s="52"/>
      <c r="E3083" s="52"/>
      <c r="F3083" s="52"/>
      <c r="G3083" s="52"/>
      <c r="H3083" s="52"/>
    </row>
    <row r="3084" spans="1:8" ht="15.75">
      <c r="A3084" s="50">
        <v>43882</v>
      </c>
      <c r="B3084" s="51">
        <v>6039.07</v>
      </c>
      <c r="C3084" s="52"/>
      <c r="D3084" s="52"/>
      <c r="E3084" s="52"/>
      <c r="F3084" s="52"/>
      <c r="G3084" s="52"/>
      <c r="H3084" s="52"/>
    </row>
    <row r="3085" spans="1:8" ht="15.75">
      <c r="A3085" s="50">
        <v>43885</v>
      </c>
      <c r="B3085" s="51">
        <v>5797.14</v>
      </c>
      <c r="C3085" s="52"/>
      <c r="D3085" s="52"/>
      <c r="E3085" s="52"/>
      <c r="F3085" s="52"/>
      <c r="G3085" s="52"/>
      <c r="H3085" s="52"/>
    </row>
    <row r="3086" spans="1:8" ht="15.75">
      <c r="A3086" s="50">
        <v>43886</v>
      </c>
      <c r="B3086" s="51">
        <v>5688.2</v>
      </c>
      <c r="C3086" s="52"/>
      <c r="D3086" s="52"/>
      <c r="E3086" s="52"/>
      <c r="F3086" s="52"/>
      <c r="G3086" s="52"/>
      <c r="H3086" s="52"/>
    </row>
    <row r="3087" spans="1:8" ht="15.75">
      <c r="A3087" s="50">
        <v>43887</v>
      </c>
      <c r="B3087" s="51">
        <v>5681.34</v>
      </c>
      <c r="C3087" s="52"/>
      <c r="D3087" s="52"/>
      <c r="E3087" s="52"/>
      <c r="F3087" s="52"/>
      <c r="G3087" s="52"/>
      <c r="H3087" s="52"/>
    </row>
    <row r="3088" spans="1:8" ht="15.75">
      <c r="A3088" s="50">
        <v>43888</v>
      </c>
      <c r="B3088" s="51">
        <v>5499.98</v>
      </c>
      <c r="C3088" s="52"/>
      <c r="D3088" s="52"/>
      <c r="E3088" s="52"/>
      <c r="F3088" s="52"/>
      <c r="G3088" s="52"/>
      <c r="H3088" s="52"/>
    </row>
    <row r="3089" spans="1:8" ht="15.75">
      <c r="A3089" s="50">
        <v>43889</v>
      </c>
      <c r="B3089" s="51">
        <v>5287.76</v>
      </c>
      <c r="C3089" s="52"/>
      <c r="D3089" s="52"/>
      <c r="E3089" s="52"/>
      <c r="F3089" s="52"/>
      <c r="G3089" s="52"/>
      <c r="H3089" s="52"/>
    </row>
    <row r="3090" spans="1:8" ht="15.75">
      <c r="A3090" s="50">
        <v>43892</v>
      </c>
      <c r="B3090" s="51">
        <v>5273.53</v>
      </c>
      <c r="C3090" s="52"/>
      <c r="D3090" s="52"/>
      <c r="E3090" s="52"/>
      <c r="F3090" s="52"/>
      <c r="G3090" s="52"/>
      <c r="H3090" s="52"/>
    </row>
    <row r="3091" spans="1:8" ht="15.75">
      <c r="A3091" s="50">
        <v>43893</v>
      </c>
      <c r="B3091" s="51">
        <v>5330.32</v>
      </c>
      <c r="C3091" s="52"/>
      <c r="D3091" s="52"/>
      <c r="E3091" s="52"/>
      <c r="F3091" s="52"/>
      <c r="G3091" s="52"/>
      <c r="H3091" s="52"/>
    </row>
    <row r="3092" spans="1:8" ht="15.75">
      <c r="A3092" s="50">
        <v>43894</v>
      </c>
      <c r="B3092" s="51">
        <v>5393.8</v>
      </c>
      <c r="C3092" s="52"/>
      <c r="D3092" s="52"/>
      <c r="E3092" s="52"/>
      <c r="F3092" s="52"/>
      <c r="G3092" s="52"/>
      <c r="H3092" s="52"/>
    </row>
    <row r="3093" spans="1:8" ht="15.75">
      <c r="A3093" s="50">
        <v>43895</v>
      </c>
      <c r="B3093" s="51">
        <v>5309.98</v>
      </c>
      <c r="C3093" s="52"/>
      <c r="D3093" s="52"/>
      <c r="E3093" s="52"/>
      <c r="F3093" s="52"/>
      <c r="G3093" s="52"/>
      <c r="H3093" s="52"/>
    </row>
    <row r="3094" spans="1:8" ht="15.75">
      <c r="A3094" s="50">
        <v>43896</v>
      </c>
      <c r="B3094" s="51">
        <v>5130.9799999999996</v>
      </c>
      <c r="C3094" s="52"/>
      <c r="D3094" s="52"/>
      <c r="E3094" s="52"/>
      <c r="F3094" s="52"/>
      <c r="G3094" s="52"/>
      <c r="H3094" s="52"/>
    </row>
    <row r="3095" spans="1:8" ht="15.75">
      <c r="A3095" s="50">
        <v>43899</v>
      </c>
      <c r="B3095" s="51">
        <v>4723.32</v>
      </c>
      <c r="C3095" s="52"/>
      <c r="D3095" s="52"/>
      <c r="E3095" s="52"/>
      <c r="F3095" s="52"/>
      <c r="G3095" s="52"/>
      <c r="H3095" s="52"/>
    </row>
    <row r="3096" spans="1:8" ht="15.75">
      <c r="A3096" s="50">
        <v>43900</v>
      </c>
      <c r="B3096" s="51">
        <v>4656.7700000000004</v>
      </c>
      <c r="C3096" s="52"/>
      <c r="D3096" s="52"/>
      <c r="E3096" s="52"/>
      <c r="F3096" s="52"/>
      <c r="G3096" s="52"/>
      <c r="H3096" s="52"/>
    </row>
    <row r="3097" spans="1:8" ht="15.75">
      <c r="A3097" s="50">
        <v>43901</v>
      </c>
      <c r="B3097" s="51">
        <v>4640.3100000000004</v>
      </c>
      <c r="C3097" s="52"/>
      <c r="D3097" s="52"/>
      <c r="E3097" s="52"/>
      <c r="F3097" s="52"/>
      <c r="G3097" s="52"/>
      <c r="H3097" s="52"/>
    </row>
    <row r="3098" spans="1:8" ht="15.75">
      <c r="A3098" s="50">
        <v>43902</v>
      </c>
      <c r="B3098" s="51">
        <v>4072.35</v>
      </c>
      <c r="C3098" s="52"/>
      <c r="D3098" s="52"/>
      <c r="E3098" s="52"/>
      <c r="F3098" s="52"/>
      <c r="G3098" s="52"/>
      <c r="H3098" s="52"/>
    </row>
    <row r="3099" spans="1:8" ht="15.75">
      <c r="A3099" s="50">
        <v>43903</v>
      </c>
      <c r="B3099" s="51">
        <v>4103.92</v>
      </c>
      <c r="C3099" s="52"/>
      <c r="D3099" s="52"/>
      <c r="E3099" s="52"/>
      <c r="F3099" s="52"/>
      <c r="G3099" s="52"/>
      <c r="H3099" s="52"/>
    </row>
    <row r="3100" spans="1:8" ht="15.75">
      <c r="A3100" s="50">
        <v>43906</v>
      </c>
      <c r="B3100" s="51">
        <v>3886.24</v>
      </c>
      <c r="C3100" s="52"/>
      <c r="D3100" s="52"/>
      <c r="E3100" s="52"/>
      <c r="F3100" s="52"/>
      <c r="G3100" s="52"/>
      <c r="H3100" s="52"/>
    </row>
    <row r="3101" spans="1:8" ht="15.75">
      <c r="A3101" s="50">
        <v>43907</v>
      </c>
      <c r="B3101" s="51">
        <v>3973.66</v>
      </c>
      <c r="C3101" s="52"/>
      <c r="D3101" s="52"/>
      <c r="E3101" s="52"/>
      <c r="F3101" s="52"/>
      <c r="G3101" s="52"/>
      <c r="H3101" s="52"/>
    </row>
    <row r="3102" spans="1:8" ht="15.75">
      <c r="A3102" s="50">
        <v>43908</v>
      </c>
      <c r="B3102" s="51">
        <v>3753.08</v>
      </c>
      <c r="C3102" s="52"/>
      <c r="D3102" s="52"/>
      <c r="E3102" s="52"/>
      <c r="F3102" s="52"/>
      <c r="G3102" s="52"/>
      <c r="H3102" s="52"/>
    </row>
    <row r="3103" spans="1:8" ht="15.75">
      <c r="A3103" s="50">
        <v>43909</v>
      </c>
      <c r="B3103" s="51">
        <v>3828.28</v>
      </c>
      <c r="C3103" s="52"/>
      <c r="D3103" s="52"/>
      <c r="E3103" s="52"/>
      <c r="F3103" s="52"/>
      <c r="G3103" s="52"/>
      <c r="H3103" s="52"/>
    </row>
    <row r="3104" spans="1:8" ht="15.75">
      <c r="A3104" s="50">
        <v>43910</v>
      </c>
      <c r="B3104" s="51">
        <v>3969.36</v>
      </c>
      <c r="C3104" s="52"/>
      <c r="D3104" s="52"/>
      <c r="E3104" s="52"/>
      <c r="F3104" s="52"/>
      <c r="G3104" s="52"/>
      <c r="H3104" s="52"/>
    </row>
    <row r="3105" spans="1:8" ht="15.75">
      <c r="A3105" s="50">
        <v>43913</v>
      </c>
      <c r="B3105" s="51">
        <v>3885.87</v>
      </c>
      <c r="C3105" s="52"/>
      <c r="D3105" s="52"/>
      <c r="E3105" s="52"/>
      <c r="F3105" s="52"/>
      <c r="G3105" s="52"/>
      <c r="H3105" s="52"/>
    </row>
    <row r="3106" spans="1:8" ht="15.75">
      <c r="A3106" s="50">
        <v>43914</v>
      </c>
      <c r="B3106" s="51">
        <v>4312.38</v>
      </c>
      <c r="C3106" s="52"/>
      <c r="D3106" s="52"/>
      <c r="E3106" s="52"/>
      <c r="F3106" s="52"/>
      <c r="G3106" s="52"/>
      <c r="H3106" s="52"/>
    </row>
    <row r="3107" spans="1:8" ht="15.75">
      <c r="A3107" s="50">
        <v>43915</v>
      </c>
      <c r="B3107" s="51">
        <v>4389.6000000000004</v>
      </c>
      <c r="C3107" s="52"/>
      <c r="D3107" s="52"/>
      <c r="E3107" s="52"/>
      <c r="F3107" s="52"/>
      <c r="G3107" s="52"/>
      <c r="H3107" s="52"/>
    </row>
    <row r="3108" spans="1:8" ht="15.75">
      <c r="A3108" s="50">
        <v>43916</v>
      </c>
      <c r="B3108" s="51">
        <v>4445.92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43917</v>
      </c>
      <c r="B3109" s="51">
        <v>4282.13</v>
      </c>
      <c r="C3109" s="52"/>
      <c r="D3109" s="52"/>
      <c r="E3109" s="52"/>
      <c r="F3109" s="52"/>
      <c r="G3109" s="52"/>
      <c r="H3109" s="52"/>
    </row>
    <row r="3110" spans="1:8" ht="15.75">
      <c r="A3110" s="50">
        <v>43920</v>
      </c>
      <c r="B3110" s="51">
        <v>4363.68</v>
      </c>
      <c r="C3110" s="52"/>
      <c r="D3110" s="52"/>
      <c r="E3110" s="52"/>
      <c r="F3110" s="52"/>
      <c r="G3110" s="52"/>
      <c r="H3110" s="52"/>
    </row>
    <row r="3111" spans="1:8" ht="15.75">
      <c r="A3111" s="50">
        <v>43921</v>
      </c>
      <c r="B3111" s="51">
        <v>4416.97</v>
      </c>
      <c r="C3111" s="52"/>
      <c r="D3111" s="52"/>
      <c r="E3111" s="52"/>
      <c r="F3111" s="52"/>
      <c r="G3111" s="52"/>
      <c r="H3111" s="52"/>
    </row>
    <row r="3112" spans="1:8" ht="15.75">
      <c r="A3112" s="50">
        <v>43922</v>
      </c>
      <c r="B3112" s="51">
        <v>4243.12</v>
      </c>
      <c r="C3112" s="52"/>
      <c r="D3112" s="52"/>
      <c r="E3112" s="52"/>
      <c r="F3112" s="52"/>
      <c r="G3112" s="52"/>
      <c r="H3112" s="52"/>
    </row>
    <row r="3113" spans="1:8" ht="15.75">
      <c r="A3113" s="50">
        <v>43923</v>
      </c>
      <c r="B3113" s="51">
        <v>4254.7</v>
      </c>
      <c r="C3113" s="52"/>
      <c r="D3113" s="52"/>
      <c r="E3113" s="52"/>
      <c r="F3113" s="52"/>
      <c r="G3113" s="52"/>
      <c r="H3113" s="52"/>
    </row>
    <row r="3114" spans="1:8" ht="15.75">
      <c r="A3114" s="50">
        <v>43924</v>
      </c>
      <c r="B3114" s="51">
        <v>4234.68</v>
      </c>
      <c r="C3114" s="52"/>
      <c r="D3114" s="52"/>
      <c r="E3114" s="52"/>
      <c r="F3114" s="52"/>
      <c r="G3114" s="52"/>
      <c r="H3114" s="52"/>
    </row>
    <row r="3115" spans="1:8" ht="15.75">
      <c r="A3115" s="50">
        <v>43927</v>
      </c>
      <c r="B3115" s="51">
        <v>4651.3599999999997</v>
      </c>
      <c r="C3115" s="52"/>
      <c r="D3115" s="52"/>
      <c r="E3115" s="52"/>
      <c r="F3115" s="52"/>
      <c r="G3115" s="52"/>
      <c r="H3115" s="52"/>
    </row>
    <row r="3116" spans="1:8" ht="15.75">
      <c r="A3116" s="50">
        <v>43928</v>
      </c>
      <c r="B3116" s="51">
        <v>4604.07</v>
      </c>
      <c r="C3116" s="52"/>
      <c r="D3116" s="52"/>
      <c r="E3116" s="52"/>
      <c r="F3116" s="52"/>
      <c r="G3116" s="52"/>
      <c r="H3116" s="52"/>
    </row>
    <row r="3117" spans="1:8" ht="15.75">
      <c r="A3117" s="50">
        <v>43929</v>
      </c>
      <c r="B3117" s="51">
        <v>4593.4799999999996</v>
      </c>
      <c r="C3117" s="52"/>
      <c r="D3117" s="52"/>
      <c r="E3117" s="52"/>
      <c r="F3117" s="52"/>
      <c r="G3117" s="52"/>
      <c r="H3117" s="52"/>
    </row>
    <row r="3118" spans="1:8" ht="15.75">
      <c r="A3118" s="50">
        <v>43930</v>
      </c>
      <c r="B3118" s="51">
        <v>4696.55</v>
      </c>
      <c r="C3118" s="52"/>
      <c r="D3118" s="52"/>
      <c r="E3118" s="52"/>
      <c r="F3118" s="52"/>
      <c r="G3118" s="52"/>
      <c r="H3118" s="52"/>
    </row>
    <row r="3119" spans="1:8" ht="15.75">
      <c r="A3119" s="50">
        <v>43935</v>
      </c>
      <c r="B3119" s="51">
        <v>4755.1499999999996</v>
      </c>
      <c r="C3119" s="52"/>
      <c r="D3119" s="52"/>
      <c r="E3119" s="52"/>
      <c r="F3119" s="52"/>
      <c r="G3119" s="52"/>
      <c r="H3119" s="52"/>
    </row>
    <row r="3120" spans="1:8" ht="15.75">
      <c r="A3120" s="50">
        <v>43936</v>
      </c>
      <c r="B3120" s="51">
        <v>4569.8599999999997</v>
      </c>
      <c r="C3120" s="52"/>
      <c r="D3120" s="52"/>
      <c r="E3120" s="52"/>
      <c r="F3120" s="52"/>
      <c r="G3120" s="52"/>
      <c r="H3120" s="52"/>
    </row>
    <row r="3121" spans="1:8" ht="15.75">
      <c r="A3121" s="50">
        <v>43937</v>
      </c>
      <c r="B3121" s="51">
        <v>4579.54</v>
      </c>
      <c r="C3121" s="52"/>
      <c r="D3121" s="52"/>
      <c r="E3121" s="52"/>
      <c r="F3121" s="52"/>
      <c r="G3121" s="52"/>
      <c r="H3121" s="52"/>
    </row>
    <row r="3122" spans="1:8" ht="15.75">
      <c r="A3122" s="50">
        <v>43938</v>
      </c>
      <c r="B3122" s="51">
        <v>4723.68</v>
      </c>
      <c r="C3122" s="52"/>
      <c r="D3122" s="52"/>
      <c r="E3122" s="52"/>
      <c r="F3122" s="52"/>
      <c r="G3122" s="52"/>
      <c r="H3122" s="52"/>
    </row>
    <row r="3123" spans="1:8" ht="15.75">
      <c r="A3123" s="50">
        <v>43941</v>
      </c>
      <c r="B3123" s="51">
        <v>4745.96</v>
      </c>
      <c r="C3123" s="52"/>
      <c r="D3123" s="52"/>
      <c r="E3123" s="52"/>
      <c r="F3123" s="52"/>
      <c r="G3123" s="52"/>
      <c r="H3123" s="52"/>
    </row>
    <row r="3124" spans="1:8" ht="15.75">
      <c r="A3124" s="50">
        <v>43942</v>
      </c>
      <c r="B3124" s="51">
        <v>4556.57</v>
      </c>
      <c r="C3124" s="52"/>
      <c r="D3124" s="52"/>
      <c r="E3124" s="52"/>
      <c r="F3124" s="52"/>
      <c r="G3124" s="52"/>
      <c r="H3124" s="52"/>
    </row>
    <row r="3125" spans="1:8" ht="15.75">
      <c r="A3125" s="50">
        <v>43943</v>
      </c>
      <c r="B3125" s="51">
        <v>4630</v>
      </c>
      <c r="C3125" s="52"/>
      <c r="D3125" s="52"/>
      <c r="E3125" s="52"/>
      <c r="F3125" s="52"/>
      <c r="G3125" s="52"/>
      <c r="H3125" s="52"/>
    </row>
    <row r="3126" spans="1:8" ht="15.75">
      <c r="A3126" s="50">
        <v>43944</v>
      </c>
      <c r="B3126" s="51">
        <v>4673.8999999999996</v>
      </c>
      <c r="C3126" s="52"/>
      <c r="D3126" s="52"/>
      <c r="E3126" s="52"/>
      <c r="F3126" s="52"/>
      <c r="G3126" s="52"/>
      <c r="H3126" s="52"/>
    </row>
    <row r="3127" spans="1:8" ht="15.75">
      <c r="A3127" s="50">
        <v>43945</v>
      </c>
      <c r="B3127" s="51">
        <v>4594.8999999999996</v>
      </c>
      <c r="C3127" s="52"/>
      <c r="D3127" s="52"/>
      <c r="E3127" s="52"/>
      <c r="F3127" s="52"/>
      <c r="G3127" s="52"/>
      <c r="H3127" s="52"/>
    </row>
    <row r="3128" spans="1:8" ht="15.75">
      <c r="A3128" s="50">
        <v>43948</v>
      </c>
      <c r="B3128" s="51">
        <v>4738.8900000000003</v>
      </c>
      <c r="C3128" s="52"/>
      <c r="D3128" s="52"/>
      <c r="E3128" s="52"/>
      <c r="F3128" s="52"/>
      <c r="G3128" s="52"/>
      <c r="H3128" s="52"/>
    </row>
    <row r="3129" spans="1:8" ht="15.75">
      <c r="A3129" s="50">
        <v>43949</v>
      </c>
      <c r="B3129" s="51">
        <v>4799.1899999999996</v>
      </c>
      <c r="C3129" s="52"/>
      <c r="D3129" s="52"/>
      <c r="E3129" s="52"/>
      <c r="F3129" s="52"/>
      <c r="G3129" s="52"/>
      <c r="H3129" s="52"/>
    </row>
    <row r="3130" spans="1:8" ht="15.75">
      <c r="A3130" s="50">
        <v>43950</v>
      </c>
      <c r="B3130" s="51">
        <v>4921.7</v>
      </c>
      <c r="C3130" s="52"/>
      <c r="D3130" s="52"/>
      <c r="E3130" s="52"/>
      <c r="F3130" s="52"/>
      <c r="G3130" s="52"/>
      <c r="H3130" s="52"/>
    </row>
    <row r="3131" spans="1:8" ht="15.75">
      <c r="A3131" s="50">
        <v>43951</v>
      </c>
      <c r="B3131" s="51">
        <v>4804.6000000000004</v>
      </c>
      <c r="C3131" s="52"/>
      <c r="D3131" s="52"/>
      <c r="E3131" s="52"/>
      <c r="F3131" s="52"/>
      <c r="G3131" s="52"/>
      <c r="H3131" s="52"/>
    </row>
    <row r="3132" spans="1:8" ht="15.75">
      <c r="A3132" s="50"/>
      <c r="B3132" s="51"/>
      <c r="C3132" s="52"/>
      <c r="D3132" s="52"/>
      <c r="E3132" s="52"/>
      <c r="F3132" s="52"/>
      <c r="G3132" s="52"/>
      <c r="H3132" s="52"/>
    </row>
    <row r="3133" spans="1:8" ht="15.75">
      <c r="A3133" s="99"/>
      <c r="B3133" s="100"/>
      <c r="C3133" s="52"/>
      <c r="D3133" s="52"/>
      <c r="E3133" s="52"/>
      <c r="F3133" s="52"/>
      <c r="G3133" s="52"/>
      <c r="H3133" s="52"/>
    </row>
    <row r="3134" spans="1:8" ht="15.75">
      <c r="A3134" s="99"/>
      <c r="B3134" s="100"/>
      <c r="C3134" s="52"/>
      <c r="D3134" s="52"/>
      <c r="E3134" s="52"/>
      <c r="F3134" s="52"/>
      <c r="G3134" s="52"/>
      <c r="H3134" s="52"/>
    </row>
    <row r="3135" spans="1:8" ht="15.75">
      <c r="A3135" s="99"/>
      <c r="B3135" s="100"/>
      <c r="C3135" s="52"/>
      <c r="D3135" s="52"/>
      <c r="E3135" s="52"/>
      <c r="F3135" s="52"/>
      <c r="G3135" s="52"/>
      <c r="H3135" s="52"/>
    </row>
    <row r="3136" spans="1:8" ht="15.75">
      <c r="A3136" s="99"/>
      <c r="B3136" s="100"/>
      <c r="C3136" s="52"/>
      <c r="D3136" s="52"/>
      <c r="E3136" s="52"/>
      <c r="F3136" s="52"/>
      <c r="G3136" s="52"/>
      <c r="H3136" s="52"/>
    </row>
    <row r="3137" spans="1:8" ht="15.75">
      <c r="A3137" s="99"/>
      <c r="B3137" s="100"/>
      <c r="C3137" s="52"/>
      <c r="D3137" s="52"/>
      <c r="E3137" s="52"/>
      <c r="F3137" s="52"/>
      <c r="G3137" s="52"/>
      <c r="H3137" s="52"/>
    </row>
    <row r="3138" spans="1:8" ht="15.75">
      <c r="A3138" s="99"/>
      <c r="B3138" s="100"/>
      <c r="C3138" s="52"/>
      <c r="D3138" s="52"/>
      <c r="E3138" s="52"/>
      <c r="F3138" s="52"/>
      <c r="G3138" s="52"/>
      <c r="H3138" s="52"/>
    </row>
    <row r="3139" spans="1:8" ht="15.75">
      <c r="A3139" s="99"/>
      <c r="B3139" s="100"/>
      <c r="C3139" s="52"/>
      <c r="D3139" s="52"/>
      <c r="E3139" s="52"/>
      <c r="F3139" s="52"/>
      <c r="G3139" s="52"/>
      <c r="H3139" s="52"/>
    </row>
    <row r="3140" spans="1:8" ht="15.75">
      <c r="A3140" s="99"/>
      <c r="B3140" s="100"/>
      <c r="C3140" s="52"/>
      <c r="D3140" s="52"/>
      <c r="E3140" s="52"/>
      <c r="F3140" s="52"/>
      <c r="G3140" s="52"/>
      <c r="H3140" s="52"/>
    </row>
    <row r="3141" spans="1:8" ht="15.75">
      <c r="A3141" s="99"/>
      <c r="B3141" s="100"/>
      <c r="C3141" s="52"/>
      <c r="D3141" s="52"/>
      <c r="E3141" s="52"/>
      <c r="F3141" s="52"/>
      <c r="G3141" s="52"/>
      <c r="H3141" s="52"/>
    </row>
    <row r="3142" spans="1:8" ht="15.75">
      <c r="A3142" s="99"/>
      <c r="B3142" s="100"/>
      <c r="C3142" s="52"/>
      <c r="D3142" s="52"/>
      <c r="E3142" s="52"/>
      <c r="F3142" s="52"/>
      <c r="G3142" s="52"/>
      <c r="H3142" s="52"/>
    </row>
    <row r="3143" spans="1:8" ht="15.75">
      <c r="A3143" s="99"/>
      <c r="B3143" s="100"/>
      <c r="C3143" s="52"/>
      <c r="D3143" s="52"/>
      <c r="E3143" s="52"/>
      <c r="F3143" s="52"/>
      <c r="G3143" s="52"/>
      <c r="H3143" s="52"/>
    </row>
    <row r="3144" spans="1:8" ht="15.75">
      <c r="A3144" s="99"/>
      <c r="B3144" s="100"/>
      <c r="C3144" s="52"/>
      <c r="D3144" s="52"/>
      <c r="E3144" s="52"/>
      <c r="F3144" s="52"/>
      <c r="G3144" s="52"/>
      <c r="H3144" s="52"/>
    </row>
    <row r="3145" spans="1:8" ht="15.75">
      <c r="A3145" s="99"/>
      <c r="B3145" s="100"/>
      <c r="C3145" s="52"/>
      <c r="D3145" s="52"/>
      <c r="E3145" s="52"/>
      <c r="F3145" s="52"/>
      <c r="G3145" s="52"/>
      <c r="H3145" s="52"/>
    </row>
    <row r="3146" spans="1:8" ht="15.75">
      <c r="A3146" s="99"/>
      <c r="B3146" s="100"/>
      <c r="C3146" s="52"/>
      <c r="D3146" s="52"/>
      <c r="E3146" s="52"/>
      <c r="F3146" s="52"/>
      <c r="G3146" s="52"/>
      <c r="H3146" s="52"/>
    </row>
    <row r="3147" spans="1:8" ht="15.75">
      <c r="A3147" s="99"/>
      <c r="B3147" s="100"/>
      <c r="C3147" s="52"/>
      <c r="D3147" s="52"/>
      <c r="E3147" s="52"/>
      <c r="F3147" s="52"/>
      <c r="G3147" s="52"/>
      <c r="H3147" s="52"/>
    </row>
    <row r="3148" spans="1:8" ht="15.75">
      <c r="A3148" s="99"/>
      <c r="B3148" s="100"/>
      <c r="C3148" s="52"/>
      <c r="D3148" s="52"/>
      <c r="E3148" s="52"/>
      <c r="F3148" s="52"/>
      <c r="G3148" s="52"/>
      <c r="H3148" s="52"/>
    </row>
    <row r="3149" spans="1:8" ht="15.75">
      <c r="A3149" s="99"/>
      <c r="B3149" s="100"/>
      <c r="C3149" s="52"/>
      <c r="D3149" s="52"/>
      <c r="E3149" s="52"/>
      <c r="F3149" s="52"/>
      <c r="G3149" s="52"/>
      <c r="H3149" s="52"/>
    </row>
    <row r="3150" spans="1:8" ht="15.75">
      <c r="A3150" s="99"/>
      <c r="B3150" s="100"/>
      <c r="C3150" s="52"/>
      <c r="D3150" s="52"/>
      <c r="E3150" s="52"/>
      <c r="F3150" s="52"/>
      <c r="G3150" s="52"/>
      <c r="H3150" s="52"/>
    </row>
    <row r="3151" spans="1:8" ht="15.75">
      <c r="A3151" s="99"/>
      <c r="B3151" s="100"/>
      <c r="C3151" s="52"/>
      <c r="D3151" s="52"/>
      <c r="E3151" s="52"/>
      <c r="F3151" s="52"/>
      <c r="G3151" s="52"/>
      <c r="H3151" s="52"/>
    </row>
    <row r="3152" spans="1:8" ht="15.75">
      <c r="A3152" s="99"/>
      <c r="B3152" s="100"/>
      <c r="C3152" s="52"/>
      <c r="D3152" s="52"/>
      <c r="E3152" s="52"/>
      <c r="F3152" s="52"/>
      <c r="G3152" s="52"/>
      <c r="H3152" s="52"/>
    </row>
    <row r="3153" spans="1:8" ht="15.75">
      <c r="A3153" s="99"/>
      <c r="B3153" s="100"/>
      <c r="C3153" s="52"/>
      <c r="D3153" s="52"/>
      <c r="E3153" s="52"/>
      <c r="F3153" s="52"/>
      <c r="G3153" s="52"/>
      <c r="H3153" s="52"/>
    </row>
    <row r="3154" spans="1:8" ht="15.75">
      <c r="A3154" s="99"/>
      <c r="B3154" s="100"/>
      <c r="C3154" s="52"/>
      <c r="D3154" s="52"/>
      <c r="E3154" s="52"/>
      <c r="F3154" s="52"/>
      <c r="G3154" s="52"/>
      <c r="H3154" s="52"/>
    </row>
    <row r="3155" spans="1:8" ht="15.75">
      <c r="A3155" s="99"/>
      <c r="B3155" s="100"/>
      <c r="C3155" s="52"/>
      <c r="D3155" s="52"/>
      <c r="E3155" s="52"/>
      <c r="F3155" s="52"/>
      <c r="G3155" s="52"/>
      <c r="H3155" s="52"/>
    </row>
    <row r="3156" spans="1:8" ht="15.75">
      <c r="A3156" s="99"/>
      <c r="B3156" s="100"/>
      <c r="C3156" s="52"/>
      <c r="D3156" s="52"/>
      <c r="E3156" s="52"/>
      <c r="F3156" s="52"/>
      <c r="G3156" s="52"/>
      <c r="H3156" s="52"/>
    </row>
    <row r="3157" spans="1:8" ht="15.75">
      <c r="A3157" s="99"/>
      <c r="B3157" s="100"/>
      <c r="C3157" s="52"/>
      <c r="D3157" s="52"/>
      <c r="E3157" s="52"/>
      <c r="F3157" s="52"/>
      <c r="G3157" s="52"/>
      <c r="H3157" s="52"/>
    </row>
    <row r="3158" spans="1:8" ht="15.75">
      <c r="A3158" s="99"/>
      <c r="B3158" s="100"/>
      <c r="C3158" s="52"/>
      <c r="D3158" s="52"/>
      <c r="E3158" s="52"/>
      <c r="F3158" s="52"/>
      <c r="G3158" s="52"/>
      <c r="H3158" s="52"/>
    </row>
    <row r="3159" spans="1:8" ht="15.75">
      <c r="A3159" s="99"/>
      <c r="B3159" s="100"/>
      <c r="C3159" s="52"/>
      <c r="D3159" s="52"/>
      <c r="E3159" s="52"/>
      <c r="F3159" s="52"/>
      <c r="G3159" s="52"/>
      <c r="H3159" s="52"/>
    </row>
    <row r="3160" spans="1:8" ht="15.75">
      <c r="A3160" s="99"/>
      <c r="B3160" s="100"/>
      <c r="C3160" s="52"/>
      <c r="D3160" s="52"/>
      <c r="E3160" s="52"/>
      <c r="F3160" s="52"/>
      <c r="G3160" s="52"/>
      <c r="H3160" s="52"/>
    </row>
    <row r="3161" spans="1:8" ht="15.75">
      <c r="A3161" s="99"/>
      <c r="B3161" s="100"/>
      <c r="C3161" s="52"/>
      <c r="D3161" s="52"/>
      <c r="E3161" s="52"/>
      <c r="F3161" s="52"/>
      <c r="G3161" s="52"/>
      <c r="H3161" s="52"/>
    </row>
    <row r="3162" spans="1:8" ht="15.75">
      <c r="A3162" s="99"/>
      <c r="B3162" s="100"/>
      <c r="C3162" s="52"/>
      <c r="D3162" s="52"/>
      <c r="E3162" s="52"/>
      <c r="F3162" s="52"/>
      <c r="G3162" s="52"/>
      <c r="H3162" s="52"/>
    </row>
    <row r="3163" spans="1:8" ht="15.75">
      <c r="A3163" s="99"/>
      <c r="B3163" s="100"/>
      <c r="C3163" s="52"/>
      <c r="D3163" s="52"/>
      <c r="E3163" s="52"/>
      <c r="F3163" s="52"/>
      <c r="G3163" s="52"/>
      <c r="H3163" s="52"/>
    </row>
    <row r="3164" spans="1:8" ht="15.75">
      <c r="A3164" s="99"/>
      <c r="B3164" s="100"/>
      <c r="C3164" s="52"/>
      <c r="D3164" s="52"/>
      <c r="E3164" s="52"/>
      <c r="F3164" s="52"/>
      <c r="G3164" s="52"/>
      <c r="H3164" s="52"/>
    </row>
    <row r="3165" spans="1:8" ht="15.75">
      <c r="A3165" s="99"/>
      <c r="B3165" s="100"/>
      <c r="C3165" s="52"/>
      <c r="D3165" s="52"/>
      <c r="E3165" s="52"/>
      <c r="F3165" s="52"/>
      <c r="G3165" s="52"/>
      <c r="H3165" s="52"/>
    </row>
    <row r="3166" spans="1:8" ht="15.75">
      <c r="A3166" s="99"/>
      <c r="B3166" s="100"/>
      <c r="C3166" s="52"/>
      <c r="D3166" s="52"/>
      <c r="E3166" s="52"/>
      <c r="F3166" s="52"/>
      <c r="G3166" s="52"/>
      <c r="H3166" s="52"/>
    </row>
    <row r="3167" spans="1:8" ht="15.75">
      <c r="A3167" s="99"/>
      <c r="B3167" s="100"/>
      <c r="C3167" s="52"/>
      <c r="D3167" s="27"/>
      <c r="E3167" s="27"/>
      <c r="F3167" s="27"/>
      <c r="G3167" s="52"/>
      <c r="H3167" s="52"/>
    </row>
    <row r="3168" spans="1:8" ht="15.75">
      <c r="A3168" s="99"/>
      <c r="B3168" s="100"/>
      <c r="C3168" s="52"/>
      <c r="D3168" s="27"/>
      <c r="E3168" s="27"/>
      <c r="F3168" s="27"/>
      <c r="G3168" s="52"/>
      <c r="H3168" s="52"/>
    </row>
    <row r="3169" spans="1:8" ht="15.75">
      <c r="A3169" s="99"/>
      <c r="B3169" s="100"/>
      <c r="C3169" s="52"/>
      <c r="D3169" s="27"/>
      <c r="E3169" s="27"/>
      <c r="F3169" s="27"/>
      <c r="G3169" s="52"/>
      <c r="H3169" s="52"/>
    </row>
    <row r="3170" spans="1:8" ht="15.75">
      <c r="A3170" s="99"/>
      <c r="B3170" s="100"/>
      <c r="C3170" s="52"/>
      <c r="D3170" s="27"/>
      <c r="E3170" s="27"/>
      <c r="F3170" s="27"/>
      <c r="G3170" s="52"/>
      <c r="H3170" s="52"/>
    </row>
    <row r="3171" spans="1:8" ht="15.75">
      <c r="C3171" s="52"/>
      <c r="D3171" s="27"/>
      <c r="E3171" s="27"/>
      <c r="F3171" s="27"/>
      <c r="G3171" s="52"/>
      <c r="H3171" s="52"/>
    </row>
    <row r="3172" spans="1:8" ht="15.75">
      <c r="C3172" s="27"/>
      <c r="D3172" s="27"/>
      <c r="E3172" s="27"/>
      <c r="F3172" s="27"/>
      <c r="G3172" s="52"/>
      <c r="H3172" s="27"/>
    </row>
    <row r="3173" spans="1:8" ht="15.75">
      <c r="C3173" s="27"/>
      <c r="G3173" s="52"/>
      <c r="H3173" s="27"/>
    </row>
    <row r="3174" spans="1:8" ht="15.75">
      <c r="C3174" s="27"/>
      <c r="G3174" s="52"/>
      <c r="H3174" s="27"/>
    </row>
    <row r="3175" spans="1:8" ht="15.75">
      <c r="C3175" s="27"/>
      <c r="G3175" s="52"/>
      <c r="H3175" s="27"/>
    </row>
    <row r="3176" spans="1:8" ht="15.75">
      <c r="C3176" s="27"/>
      <c r="G3176" s="52"/>
      <c r="H3176" s="27"/>
    </row>
    <row r="3177" spans="1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E2"/>
    <mergeCell ref="A3:B3"/>
    <mergeCell ref="D3:H3"/>
    <mergeCell ref="J3:O3"/>
    <mergeCell ref="Q3:V3"/>
  </mergeCells>
  <conditionalFormatting sqref="M54 M106 F6:F147 M6:M52">
    <cfRule type="cellIs" dxfId="176" priority="27" operator="lessThan">
      <formula>0</formula>
    </cfRule>
    <cfRule type="cellIs" dxfId="175" priority="28" operator="greaterThan">
      <formula>0</formula>
    </cfRule>
  </conditionalFormatting>
  <conditionalFormatting sqref="H7:H155">
    <cfRule type="cellIs" dxfId="174" priority="25" operator="lessThan">
      <formula>0</formula>
    </cfRule>
    <cfRule type="cellIs" dxfId="173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72" priority="23" operator="lessThan">
      <formula>0</formula>
    </cfRule>
    <cfRule type="cellIs" dxfId="171" priority="24" operator="greaterThan">
      <formula>0</formula>
    </cfRule>
  </conditionalFormatting>
  <conditionalFormatting sqref="G6:H6">
    <cfRule type="cellIs" dxfId="170" priority="21" operator="lessThan">
      <formula>0</formula>
    </cfRule>
    <cfRule type="cellIs" dxfId="169" priority="22" operator="greaterThan">
      <formula>0</formula>
    </cfRule>
  </conditionalFormatting>
  <conditionalFormatting sqref="F148:F150">
    <cfRule type="cellIs" dxfId="168" priority="19" operator="lessThan">
      <formula>0</formula>
    </cfRule>
    <cfRule type="cellIs" dxfId="167" priority="20" operator="greaterThan">
      <formula>0</formula>
    </cfRule>
  </conditionalFormatting>
  <conditionalFormatting sqref="N6:O6">
    <cfRule type="cellIs" dxfId="166" priority="17" operator="lessThan">
      <formula>0</formula>
    </cfRule>
    <cfRule type="cellIs" dxfId="165" priority="18" operator="greaterThan">
      <formula>0</formula>
    </cfRule>
  </conditionalFormatting>
  <conditionalFormatting sqref="U6:V6">
    <cfRule type="cellIs" dxfId="164" priority="15" operator="lessThan">
      <formula>0</formula>
    </cfRule>
    <cfRule type="cellIs" dxfId="163" priority="16" operator="greaterThan">
      <formula>0</formula>
    </cfRule>
  </conditionalFormatting>
  <conditionalFormatting sqref="T6:T17">
    <cfRule type="cellIs" dxfId="162" priority="14" operator="greaterThan">
      <formula>0</formula>
    </cfRule>
  </conditionalFormatting>
  <conditionalFormatting sqref="T6:T17">
    <cfRule type="cellIs" dxfId="161" priority="13" operator="lessThan">
      <formula>0</formula>
    </cfRule>
  </conditionalFormatting>
  <conditionalFormatting sqref="M53">
    <cfRule type="cellIs" dxfId="160" priority="11" operator="lessThan">
      <formula>0</formula>
    </cfRule>
    <cfRule type="cellIs" dxfId="159" priority="12" operator="greaterThan">
      <formula>0</formula>
    </cfRule>
  </conditionalFormatting>
  <conditionalFormatting sqref="AH6:AH15 AI6:AJ6 AO6:AO13 AP6:AQ6 AT6:AT8 AU6:AV6">
    <cfRule type="cellIs" dxfId="158" priority="10" operator="greaterThan">
      <formula>0</formula>
    </cfRule>
  </conditionalFormatting>
  <conditionalFormatting sqref="AH6:AH15 AI6:AJ6 AO6:AO13 AP6:AQ6 AT6:AT8 AU6:AV6">
    <cfRule type="cellIs" dxfId="157" priority="9" operator="lessThan">
      <formula>0</formula>
    </cfRule>
  </conditionalFormatting>
  <conditionalFormatting sqref="M107">
    <cfRule type="cellIs" dxfId="156" priority="5" operator="lessThan">
      <formula>0</formula>
    </cfRule>
    <cfRule type="cellIs" dxfId="155" priority="6" operator="greaterThan">
      <formula>0</formula>
    </cfRule>
  </conditionalFormatting>
  <conditionalFormatting sqref="M110:M157">
    <cfRule type="cellIs" dxfId="154" priority="3" operator="lessThan">
      <formula>0</formula>
    </cfRule>
    <cfRule type="cellIs" dxfId="153" priority="4" operator="greaterThan">
      <formula>0</formula>
    </cfRule>
  </conditionalFormatting>
  <conditionalFormatting sqref="M58:M105">
    <cfRule type="cellIs" dxfId="152" priority="7" operator="lessThan">
      <formula>0</formula>
    </cfRule>
    <cfRule type="cellIs" dxfId="151" priority="8" operator="greaterThan">
      <formula>0</formula>
    </cfRule>
  </conditionalFormatting>
  <conditionalFormatting sqref="N59:O59 N111:O111">
    <cfRule type="cellIs" dxfId="150" priority="1" operator="lessThan">
      <formula>0</formula>
    </cfRule>
    <cfRule type="cellIs" dxfId="149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A33D3-6CDC-4EF2-ACEB-3F2814191523}">
  <dimension ref="A1:AV3365"/>
  <sheetViews>
    <sheetView topLeftCell="A73"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47</v>
      </c>
      <c r="B1" s="101"/>
      <c r="C1" s="101"/>
      <c r="D1" s="101"/>
      <c r="E1" s="101"/>
      <c r="F1" s="101"/>
      <c r="G1" s="101"/>
      <c r="H1" s="101"/>
      <c r="I1" s="101"/>
      <c r="J1" s="27"/>
      <c r="K1" s="27"/>
      <c r="L1" s="27"/>
    </row>
    <row r="2" spans="1:48" ht="15.75">
      <c r="A2" s="222" t="s">
        <v>48</v>
      </c>
      <c r="B2" s="222"/>
      <c r="C2" s="222"/>
      <c r="D2" s="222"/>
      <c r="E2" s="222"/>
      <c r="F2" s="27"/>
      <c r="G2" s="27"/>
      <c r="H2" s="27"/>
      <c r="I2" s="27"/>
      <c r="J2" s="27"/>
      <c r="K2" s="27"/>
      <c r="L2" s="2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39448</v>
      </c>
      <c r="B6" s="102">
        <v>572.08000000000004</v>
      </c>
      <c r="C6" s="52"/>
      <c r="D6" s="53">
        <v>39448</v>
      </c>
      <c r="E6" s="54">
        <f t="shared" ref="E6:E69" si="0">AVERAGEIFS($B$6:$B$3364,$A$6:$A$3364,"&gt;="&amp;D6,$A$6:$A$3364,"&lt;="&amp;EOMONTH(D6,0))</f>
        <v>603.76086956521738</v>
      </c>
      <c r="F6" s="55"/>
      <c r="G6" s="56">
        <f>AVERAGE(F6:F150)</f>
        <v>6.5641469101021394E-3</v>
      </c>
      <c r="H6" s="56">
        <f>_xlfn.STDEV.P(F6:F150)</f>
        <v>3.6951552953811417E-2</v>
      </c>
      <c r="J6" s="57">
        <v>39448</v>
      </c>
      <c r="K6" s="58" t="s">
        <v>46</v>
      </c>
      <c r="L6" s="59">
        <v>39539</v>
      </c>
      <c r="M6" s="60">
        <f>$E$9/$E$6-1</f>
        <v>-4.2891690097969781E-2</v>
      </c>
      <c r="N6" s="61">
        <f>AVERAGE(M6:M53)</f>
        <v>1.9525534969617207E-2</v>
      </c>
      <c r="O6" s="62">
        <f>_xlfn.STDEV.P(M6:M53)</f>
        <v>5.8990659032795441E-2</v>
      </c>
      <c r="Q6" s="63">
        <v>39448</v>
      </c>
      <c r="R6" s="64" t="s">
        <v>46</v>
      </c>
      <c r="S6" s="65">
        <v>39814</v>
      </c>
      <c r="T6" s="66">
        <f>E18/E6-1</f>
        <v>7.5883510145563271E-2</v>
      </c>
      <c r="U6" s="67">
        <f>AVERAGE(T6:T17)</f>
        <v>8.5724720253180994E-2</v>
      </c>
      <c r="V6" s="66">
        <f>_xlfn.STDEV.P(T6:T17)</f>
        <v>0.15870234651630089</v>
      </c>
      <c r="X6" s="68">
        <v>39448</v>
      </c>
      <c r="Y6" s="68" t="s">
        <v>46</v>
      </c>
      <c r="Z6" s="69">
        <v>40179</v>
      </c>
      <c r="AA6" s="70">
        <f>E30/E6-1</f>
        <v>0.29807849350088222</v>
      </c>
      <c r="AB6" s="71">
        <f>AVERAGE(AA6:AA11)</f>
        <v>0.18699329013827606</v>
      </c>
      <c r="AC6" s="70">
        <f>_xlfn.STDEV.P(AA6:AA11)</f>
        <v>0.27928156207926186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39449</v>
      </c>
      <c r="B7" s="102">
        <v>582.55999999999995</v>
      </c>
      <c r="C7" s="52"/>
      <c r="D7" s="53">
        <v>39479</v>
      </c>
      <c r="E7" s="54">
        <f t="shared" si="0"/>
        <v>627.03571428571433</v>
      </c>
      <c r="F7" s="55">
        <f t="shared" ref="F7:F70" si="1">E7/E6-1</f>
        <v>3.8549773418170785E-2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3.182899174984799E-2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0.20652327251047531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0.63723221118060369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39450</v>
      </c>
      <c r="B8" s="102">
        <v>586.04</v>
      </c>
      <c r="C8" s="52"/>
      <c r="D8" s="53">
        <v>39508</v>
      </c>
      <c r="E8" s="54">
        <f t="shared" si="0"/>
        <v>618.92714285714294</v>
      </c>
      <c r="F8" s="55">
        <f t="shared" si="1"/>
        <v>-1.2931594235917276E-2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1.6971806748179885E-2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0.29971736464542009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-0.2868782771893803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39451</v>
      </c>
      <c r="B9" s="102">
        <v>583.64</v>
      </c>
      <c r="C9" s="52"/>
      <c r="D9" s="53">
        <v>39539</v>
      </c>
      <c r="E9" s="54">
        <f t="shared" si="0"/>
        <v>577.86454545454535</v>
      </c>
      <c r="F9" s="55">
        <f t="shared" si="1"/>
        <v>-6.634479983062469E-2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7.124183504997017E-2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0.25968326323566671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0.10480002673931721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39454</v>
      </c>
      <c r="B10" s="102">
        <v>584.22</v>
      </c>
      <c r="C10" s="52"/>
      <c r="D10" s="53">
        <v>39569</v>
      </c>
      <c r="E10" s="54">
        <f t="shared" si="0"/>
        <v>572.37</v>
      </c>
      <c r="F10" s="55">
        <f t="shared" si="1"/>
        <v>-9.5083622931450007E-3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3.9287843545583456E-2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-2.1005308622089491E-2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8.0415790694104095E-2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39455</v>
      </c>
      <c r="B11" s="102">
        <v>597.19000000000005</v>
      </c>
      <c r="C11" s="52"/>
      <c r="D11" s="53">
        <v>39600</v>
      </c>
      <c r="E11" s="54">
        <f t="shared" si="0"/>
        <v>572.06428571428569</v>
      </c>
      <c r="F11" s="55">
        <f t="shared" si="1"/>
        <v>-5.3412003723873891E-4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-1.6296974414356513E-2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-0.27157753857999101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0.28831149590412952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39456</v>
      </c>
      <c r="B12" s="102">
        <v>599.42999999999995</v>
      </c>
      <c r="C12" s="52"/>
      <c r="D12" s="53">
        <v>39630</v>
      </c>
      <c r="E12" s="54">
        <f t="shared" si="0"/>
        <v>596.25739130434772</v>
      </c>
      <c r="F12" s="55">
        <f t="shared" si="1"/>
        <v>4.2290886171742592E-2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6.2264851236174312E-2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0.18330925399174314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39457</v>
      </c>
      <c r="B13" s="102">
        <v>604.27</v>
      </c>
      <c r="C13" s="52"/>
      <c r="D13" s="53">
        <v>39661</v>
      </c>
      <c r="E13" s="54">
        <f t="shared" si="0"/>
        <v>559.47142857142865</v>
      </c>
      <c r="F13" s="55">
        <f t="shared" si="1"/>
        <v>-6.1694770193871595E-2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0.11097180501269976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-6.6347175928511359E-2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39458</v>
      </c>
      <c r="B14" s="102">
        <v>606.36</v>
      </c>
      <c r="C14" s="52"/>
      <c r="D14" s="53">
        <v>39692</v>
      </c>
      <c r="E14" s="54">
        <f t="shared" si="0"/>
        <v>576.91545454545462</v>
      </c>
      <c r="F14" s="55">
        <f t="shared" si="1"/>
        <v>3.1179475989628447E-2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9.2860948340329763E-2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0.10785438617995147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39461</v>
      </c>
      <c r="B15" s="102">
        <v>608.32000000000005</v>
      </c>
      <c r="C15" s="52"/>
      <c r="D15" s="53">
        <v>39722</v>
      </c>
      <c r="E15" s="54">
        <f t="shared" si="0"/>
        <v>606.37695652173898</v>
      </c>
      <c r="F15" s="55">
        <f t="shared" si="1"/>
        <v>5.1067278132628235E-2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8.8623717372094957E-2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-2.4767330281066924E-2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39462</v>
      </c>
      <c r="B16" s="102">
        <v>601.34</v>
      </c>
      <c r="C16" s="52"/>
      <c r="D16" s="53">
        <v>39753</v>
      </c>
      <c r="E16" s="54">
        <f t="shared" si="0"/>
        <v>598.37350000000004</v>
      </c>
      <c r="F16" s="55">
        <f t="shared" si="1"/>
        <v>-1.3198813767013595E-2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3.7727668103379575E-2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3.6605966283673519E-2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39463</v>
      </c>
      <c r="B17" s="102">
        <v>597.65</v>
      </c>
      <c r="C17" s="52"/>
      <c r="D17" s="53">
        <v>39783</v>
      </c>
      <c r="E17" s="54">
        <f t="shared" si="0"/>
        <v>609.10000000000014</v>
      </c>
      <c r="F17" s="55">
        <f t="shared" si="1"/>
        <v>1.7926094654927338E-2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5.2744123601953241E-2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0.24281697945733716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39464</v>
      </c>
      <c r="B18" s="102">
        <v>599.4</v>
      </c>
      <c r="C18" s="52"/>
      <c r="D18" s="53">
        <v>39814</v>
      </c>
      <c r="E18" s="54">
        <f t="shared" si="0"/>
        <v>649.57636363636368</v>
      </c>
      <c r="F18" s="55">
        <f t="shared" si="1"/>
        <v>6.6452739511350334E-2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7.8962561620110616E-3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39465</v>
      </c>
      <c r="B19" s="102">
        <v>604.73</v>
      </c>
      <c r="C19" s="52"/>
      <c r="D19" s="53">
        <v>39845</v>
      </c>
      <c r="E19" s="54">
        <f t="shared" si="0"/>
        <v>734.83749999999998</v>
      </c>
      <c r="F19" s="55">
        <f t="shared" si="1"/>
        <v>0.1312565252318294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7.2977533457698751E-2</v>
      </c>
      <c r="N19" s="78"/>
      <c r="O19" s="78"/>
    </row>
    <row r="20" spans="1:48" ht="15.75">
      <c r="A20" s="50">
        <v>39468</v>
      </c>
      <c r="B20" s="102">
        <v>598.71</v>
      </c>
      <c r="C20" s="52"/>
      <c r="D20" s="53">
        <v>39873</v>
      </c>
      <c r="E20" s="54">
        <f t="shared" si="0"/>
        <v>709.06954545454539</v>
      </c>
      <c r="F20" s="55">
        <f t="shared" si="1"/>
        <v>-3.5066194288471353E-2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0.10524798279202496</v>
      </c>
      <c r="N20" s="78"/>
      <c r="O20" s="78"/>
    </row>
    <row r="21" spans="1:48" ht="15.75">
      <c r="A21" s="50">
        <v>39469</v>
      </c>
      <c r="B21" s="102">
        <v>608.34</v>
      </c>
      <c r="C21" s="52"/>
      <c r="D21" s="53">
        <v>39904</v>
      </c>
      <c r="E21" s="54">
        <f t="shared" si="0"/>
        <v>675.09681818181821</v>
      </c>
      <c r="F21" s="55">
        <f t="shared" si="1"/>
        <v>-4.7911699903779081E-2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5.3889718379332541E-2</v>
      </c>
      <c r="N21" s="78"/>
      <c r="O21" s="78"/>
    </row>
    <row r="22" spans="1:48" ht="15.75">
      <c r="A22" s="50">
        <v>39470</v>
      </c>
      <c r="B22" s="102">
        <v>608.94000000000005</v>
      </c>
      <c r="C22" s="52"/>
      <c r="D22" s="53">
        <v>39934</v>
      </c>
      <c r="E22" s="54">
        <f t="shared" si="0"/>
        <v>680.65523809523802</v>
      </c>
      <c r="F22" s="55">
        <f t="shared" si="1"/>
        <v>8.2335151991825839E-3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-2.3074034635034102E-2</v>
      </c>
      <c r="N22" s="78"/>
      <c r="O22" s="78"/>
    </row>
    <row r="23" spans="1:48" ht="15.75">
      <c r="A23" s="50">
        <v>39471</v>
      </c>
      <c r="B23" s="102">
        <v>618.82000000000005</v>
      </c>
      <c r="C23" s="52"/>
      <c r="D23" s="53">
        <v>39965</v>
      </c>
      <c r="E23" s="54">
        <f t="shared" si="0"/>
        <v>675.2227272727273</v>
      </c>
      <c r="F23" s="55">
        <f t="shared" si="1"/>
        <v>-7.9812958432717851E-3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3.4376563981147301E-2</v>
      </c>
      <c r="N23" s="78"/>
      <c r="O23" s="78"/>
    </row>
    <row r="24" spans="1:48" ht="15.75">
      <c r="A24" s="50">
        <v>39472</v>
      </c>
      <c r="B24" s="102">
        <v>621.95000000000005</v>
      </c>
      <c r="C24" s="52"/>
      <c r="D24" s="53">
        <v>39995</v>
      </c>
      <c r="E24" s="54">
        <f t="shared" si="0"/>
        <v>664.0947826086956</v>
      </c>
      <c r="F24" s="55">
        <f t="shared" si="1"/>
        <v>-1.648040596764011E-2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3.7303976508175296E-2</v>
      </c>
      <c r="N24" s="78"/>
      <c r="O24" s="78"/>
    </row>
    <row r="25" spans="1:48" ht="15.75">
      <c r="A25" s="50">
        <v>39475</v>
      </c>
      <c r="B25" s="102">
        <v>627.9</v>
      </c>
      <c r="C25" s="52"/>
      <c r="D25" s="53">
        <v>40026</v>
      </c>
      <c r="E25" s="54">
        <f t="shared" si="0"/>
        <v>666.0671428571427</v>
      </c>
      <c r="F25" s="55">
        <f t="shared" si="1"/>
        <v>2.9699981088531224E-3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-6.6027757538220322E-2</v>
      </c>
      <c r="N25" s="78"/>
      <c r="O25" s="78"/>
    </row>
    <row r="26" spans="1:48" ht="15.75">
      <c r="A26" s="50">
        <v>39476</v>
      </c>
      <c r="B26" s="102">
        <v>625.80999999999995</v>
      </c>
      <c r="C26" s="52"/>
      <c r="D26" s="53">
        <v>40057</v>
      </c>
      <c r="E26" s="54">
        <f t="shared" si="0"/>
        <v>685.6845454545454</v>
      </c>
      <c r="F26" s="55">
        <f t="shared" si="1"/>
        <v>2.945259018971047E-2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-9.2099540317154394E-2</v>
      </c>
      <c r="N26" s="78"/>
      <c r="O26" s="78"/>
    </row>
    <row r="27" spans="1:48" ht="15.75">
      <c r="A27" s="50">
        <v>39477</v>
      </c>
      <c r="B27" s="102">
        <v>625.78</v>
      </c>
      <c r="C27" s="52"/>
      <c r="D27" s="53">
        <v>40087</v>
      </c>
      <c r="E27" s="54">
        <f t="shared" si="0"/>
        <v>705.44454545454562</v>
      </c>
      <c r="F27" s="55">
        <f t="shared" si="1"/>
        <v>2.8817916534637833E-2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-0.13811078161828216</v>
      </c>
      <c r="N27" s="78"/>
      <c r="O27" s="78"/>
    </row>
    <row r="28" spans="1:48" ht="15.75">
      <c r="A28" s="50">
        <v>39478</v>
      </c>
      <c r="B28" s="102">
        <v>623.02</v>
      </c>
      <c r="C28" s="52"/>
      <c r="D28" s="53">
        <v>40118</v>
      </c>
      <c r="E28" s="54">
        <f t="shared" si="0"/>
        <v>757.96809523809532</v>
      </c>
      <c r="F28" s="55">
        <f t="shared" si="1"/>
        <v>7.4454540930225299E-2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-1.8087667447195366E-2</v>
      </c>
      <c r="N28" s="78"/>
      <c r="O28" s="78"/>
    </row>
    <row r="29" spans="1:48" ht="15.75">
      <c r="A29" s="50">
        <v>39479</v>
      </c>
      <c r="B29" s="102">
        <v>611.66</v>
      </c>
      <c r="C29" s="52"/>
      <c r="D29" s="53">
        <v>40148</v>
      </c>
      <c r="E29" s="54">
        <f t="shared" si="0"/>
        <v>773.91636363636349</v>
      </c>
      <c r="F29" s="55">
        <f t="shared" si="1"/>
        <v>2.1040817546889468E-2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-5.197251082098564E-2</v>
      </c>
      <c r="N29" s="78"/>
      <c r="O29" s="78"/>
    </row>
    <row r="30" spans="1:48" ht="15.75">
      <c r="A30" s="50">
        <v>39482</v>
      </c>
      <c r="B30" s="102">
        <v>609.52</v>
      </c>
      <c r="C30" s="52"/>
      <c r="D30" s="53">
        <v>40179</v>
      </c>
      <c r="E30" s="54">
        <f t="shared" si="0"/>
        <v>783.72900000000004</v>
      </c>
      <c r="F30" s="55">
        <f t="shared" si="1"/>
        <v>1.267919483900104E-2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2.7586487816969818E-2</v>
      </c>
      <c r="N30" s="78"/>
      <c r="O30" s="78"/>
    </row>
    <row r="31" spans="1:48" ht="15.75">
      <c r="A31" s="50">
        <v>39483</v>
      </c>
      <c r="B31" s="102">
        <v>606.54</v>
      </c>
      <c r="C31" s="52"/>
      <c r="D31" s="53">
        <v>40210</v>
      </c>
      <c r="E31" s="54">
        <f t="shared" si="0"/>
        <v>802.59100000000012</v>
      </c>
      <c r="F31" s="55">
        <f t="shared" si="1"/>
        <v>2.4066992544616861E-2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3.0621808763744873E-2</v>
      </c>
      <c r="N31" s="78"/>
      <c r="O31" s="78"/>
    </row>
    <row r="32" spans="1:48" ht="15.75">
      <c r="A32" s="50">
        <v>39484</v>
      </c>
      <c r="B32" s="102">
        <v>616.26</v>
      </c>
      <c r="C32" s="52"/>
      <c r="D32" s="53">
        <v>40238</v>
      </c>
      <c r="E32" s="54">
        <f t="shared" si="0"/>
        <v>821.76739130434794</v>
      </c>
      <c r="F32" s="55">
        <f t="shared" si="1"/>
        <v>2.3893105335529352E-2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-4.9938493779081439E-3</v>
      </c>
      <c r="N32" s="78"/>
      <c r="O32" s="78"/>
    </row>
    <row r="33" spans="1:15" ht="15.75">
      <c r="A33" s="50">
        <v>39485</v>
      </c>
      <c r="B33" s="102">
        <v>628.95000000000005</v>
      </c>
      <c r="C33" s="52"/>
      <c r="D33" s="53">
        <v>40269</v>
      </c>
      <c r="E33" s="54">
        <f t="shared" si="0"/>
        <v>856.50681818181829</v>
      </c>
      <c r="F33" s="55">
        <f t="shared" si="1"/>
        <v>4.2274039156421583E-2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0.12293542442385696</v>
      </c>
      <c r="N33" s="78"/>
      <c r="O33" s="78"/>
    </row>
    <row r="34" spans="1:15" ht="15.75">
      <c r="A34" s="50">
        <v>39486</v>
      </c>
      <c r="B34" s="102">
        <v>636.42999999999995</v>
      </c>
      <c r="C34" s="52"/>
      <c r="D34" s="53">
        <v>40299</v>
      </c>
      <c r="E34" s="54">
        <f t="shared" si="0"/>
        <v>963.2842857142856</v>
      </c>
      <c r="F34" s="55">
        <f t="shared" si="1"/>
        <v>0.12466622012318962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2.5038404416870996E-2</v>
      </c>
      <c r="N34" s="78"/>
      <c r="O34" s="78"/>
    </row>
    <row r="35" spans="1:15" ht="15.75">
      <c r="A35" s="50">
        <v>39489</v>
      </c>
      <c r="B35" s="102">
        <v>635.62</v>
      </c>
      <c r="C35" s="52"/>
      <c r="D35" s="53">
        <v>40330</v>
      </c>
      <c r="E35" s="54">
        <f t="shared" si="0"/>
        <v>1011.0322727272728</v>
      </c>
      <c r="F35" s="55">
        <f t="shared" si="1"/>
        <v>4.9567908166986863E-2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-7.3359547958605886E-2</v>
      </c>
      <c r="N35" s="78"/>
      <c r="O35" s="78"/>
    </row>
    <row r="36" spans="1:15" ht="15.75">
      <c r="A36" s="50">
        <v>39490</v>
      </c>
      <c r="B36" s="102">
        <v>621.78</v>
      </c>
      <c r="C36" s="52"/>
      <c r="D36" s="53">
        <v>40360</v>
      </c>
      <c r="E36" s="54">
        <f t="shared" si="0"/>
        <v>932.4136363636361</v>
      </c>
      <c r="F36" s="55">
        <f t="shared" si="1"/>
        <v>-7.7760758468730096E-2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5.1873423013906184E-3</v>
      </c>
      <c r="N36" s="78"/>
      <c r="O36" s="78"/>
    </row>
    <row r="37" spans="1:15" ht="15.75">
      <c r="A37" s="50">
        <v>39491</v>
      </c>
      <c r="B37" s="102">
        <v>621.23</v>
      </c>
      <c r="C37" s="52"/>
      <c r="D37" s="53">
        <v>40391</v>
      </c>
      <c r="E37" s="54">
        <f t="shared" si="0"/>
        <v>944.88090909090897</v>
      </c>
      <c r="F37" s="55">
        <f t="shared" si="1"/>
        <v>1.3370967820563573E-2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-2.2116739905480021E-2</v>
      </c>
      <c r="N37" s="78"/>
      <c r="O37" s="78"/>
    </row>
    <row r="38" spans="1:15" ht="15.75">
      <c r="A38" s="50">
        <v>39492</v>
      </c>
      <c r="B38" s="102">
        <v>620.41</v>
      </c>
      <c r="C38" s="52"/>
      <c r="D38" s="53">
        <v>40422</v>
      </c>
      <c r="E38" s="54">
        <f t="shared" si="0"/>
        <v>972.25590909090943</v>
      </c>
      <c r="F38" s="55">
        <f t="shared" si="1"/>
        <v>2.8971905069326231E-2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8.131504758674768E-2</v>
      </c>
      <c r="N38" s="78"/>
      <c r="O38" s="78"/>
    </row>
    <row r="39" spans="1:15" ht="15.75">
      <c r="A39" s="50">
        <v>39493</v>
      </c>
      <c r="B39" s="102">
        <v>614.55999999999995</v>
      </c>
      <c r="C39" s="52"/>
      <c r="D39" s="53">
        <v>40452</v>
      </c>
      <c r="E39" s="54">
        <f t="shared" si="0"/>
        <v>967.59142857142854</v>
      </c>
      <c r="F39" s="55">
        <f t="shared" si="1"/>
        <v>-4.7975851582556794E-3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0.10800665971421797</v>
      </c>
      <c r="N39" s="78"/>
      <c r="O39" s="78"/>
    </row>
    <row r="40" spans="1:15" ht="15.75">
      <c r="A40" s="50">
        <v>39496</v>
      </c>
      <c r="B40" s="102">
        <v>618.05999999999995</v>
      </c>
      <c r="C40" s="52"/>
      <c r="D40" s="53">
        <v>40483</v>
      </c>
      <c r="E40" s="54">
        <f t="shared" si="0"/>
        <v>1006.3700000000001</v>
      </c>
      <c r="F40" s="55">
        <f t="shared" si="1"/>
        <v>4.0077423469764506E-2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-5.2588267494166563E-2</v>
      </c>
      <c r="N40" s="78"/>
      <c r="O40" s="78"/>
    </row>
    <row r="41" spans="1:15" ht="15.75">
      <c r="A41" s="50">
        <v>39497</v>
      </c>
      <c r="B41" s="102">
        <v>629.91</v>
      </c>
      <c r="C41" s="52"/>
      <c r="D41" s="53">
        <v>40513</v>
      </c>
      <c r="E41" s="54">
        <f t="shared" si="0"/>
        <v>1052.836086956522</v>
      </c>
      <c r="F41" s="55">
        <f t="shared" si="1"/>
        <v>4.6171971498079056E-2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-2.400115113169099E-2</v>
      </c>
      <c r="N41" s="78"/>
      <c r="O41" s="78"/>
    </row>
    <row r="42" spans="1:15" ht="15.75">
      <c r="A42" s="50">
        <v>39498</v>
      </c>
      <c r="B42" s="102">
        <v>641.70000000000005</v>
      </c>
      <c r="C42" s="52"/>
      <c r="D42" s="53">
        <v>40544</v>
      </c>
      <c r="E42" s="54">
        <f t="shared" si="0"/>
        <v>1018.6261904761906</v>
      </c>
      <c r="F42" s="55">
        <f t="shared" si="1"/>
        <v>-3.2493088814255389E-2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5.972862690553038E-2</v>
      </c>
      <c r="N42" s="78"/>
      <c r="O42" s="78"/>
    </row>
    <row r="43" spans="1:15" ht="15.75">
      <c r="A43" s="50">
        <v>39499</v>
      </c>
      <c r="B43" s="102">
        <v>638.28</v>
      </c>
      <c r="C43" s="52"/>
      <c r="D43" s="53">
        <v>40575</v>
      </c>
      <c r="E43" s="54">
        <f t="shared" si="0"/>
        <v>1006.8665000000001</v>
      </c>
      <c r="F43" s="55">
        <f t="shared" si="1"/>
        <v>-1.1544657486857846E-2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-9.5485099987402289E-2</v>
      </c>
      <c r="N43" s="78"/>
      <c r="O43" s="78"/>
    </row>
    <row r="44" spans="1:15" ht="15.75">
      <c r="A44" s="50">
        <v>39500</v>
      </c>
      <c r="B44" s="102">
        <v>637.19000000000005</v>
      </c>
      <c r="C44" s="52"/>
      <c r="D44" s="53">
        <v>40603</v>
      </c>
      <c r="E44" s="54">
        <f t="shared" si="0"/>
        <v>1015.2760869565217</v>
      </c>
      <c r="F44" s="55">
        <f t="shared" si="1"/>
        <v>8.3522363257906296E-3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1.5522534875402894E-2</v>
      </c>
      <c r="N44" s="78"/>
      <c r="O44" s="78"/>
    </row>
    <row r="45" spans="1:15" ht="15.75">
      <c r="A45" s="50">
        <v>39503</v>
      </c>
      <c r="B45" s="102">
        <v>632.95000000000005</v>
      </c>
      <c r="C45" s="52"/>
      <c r="D45" s="53">
        <v>40634</v>
      </c>
      <c r="E45" s="54">
        <f t="shared" si="0"/>
        <v>1026.669523809524</v>
      </c>
      <c r="F45" s="55">
        <f t="shared" si="1"/>
        <v>1.1222008475700651E-2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1.8628775370657102E-3</v>
      </c>
      <c r="N45" s="78"/>
      <c r="O45" s="78"/>
    </row>
    <row r="46" spans="1:15" ht="15.75">
      <c r="A46" s="50">
        <v>39504</v>
      </c>
      <c r="B46" s="102">
        <v>631.94000000000005</v>
      </c>
      <c r="C46" s="52"/>
      <c r="D46" s="53">
        <v>40664</v>
      </c>
      <c r="E46" s="54">
        <f t="shared" si="0"/>
        <v>1056.2745454545452</v>
      </c>
      <c r="F46" s="55">
        <f t="shared" si="1"/>
        <v>2.8835979795299505E-2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-4.6418359595559178E-3</v>
      </c>
      <c r="N46" s="78"/>
      <c r="O46" s="78"/>
    </row>
    <row r="47" spans="1:15" ht="15.75">
      <c r="A47" s="50">
        <v>39505</v>
      </c>
      <c r="B47" s="102">
        <v>634.21</v>
      </c>
      <c r="C47" s="52"/>
      <c r="D47" s="53">
        <v>40695</v>
      </c>
      <c r="E47" s="54">
        <f t="shared" si="0"/>
        <v>1061.5836363636365</v>
      </c>
      <c r="F47" s="55">
        <f t="shared" si="1"/>
        <v>5.0262414558202018E-3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-2.7942154269881114E-2</v>
      </c>
      <c r="N47" s="78"/>
      <c r="O47" s="78"/>
    </row>
    <row r="48" spans="1:15" ht="15.75">
      <c r="A48" s="50">
        <v>39506</v>
      </c>
      <c r="B48" s="102">
        <v>638.51</v>
      </c>
      <c r="C48" s="52"/>
      <c r="D48" s="53">
        <v>40725</v>
      </c>
      <c r="E48" s="54">
        <f t="shared" si="0"/>
        <v>1101.5933333333332</v>
      </c>
      <c r="F48" s="55">
        <f t="shared" si="1"/>
        <v>3.7688690367107203E-2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2.270072098324416E-3</v>
      </c>
      <c r="N48" s="78"/>
      <c r="O48" s="78"/>
    </row>
    <row r="49" spans="1:15" ht="15.75">
      <c r="A49" s="50">
        <v>39507</v>
      </c>
      <c r="B49" s="102">
        <v>642.04</v>
      </c>
      <c r="C49" s="52"/>
      <c r="D49" s="53">
        <v>40756</v>
      </c>
      <c r="E49" s="54">
        <f t="shared" si="0"/>
        <v>1230.2847826086959</v>
      </c>
      <c r="F49" s="55">
        <f t="shared" si="1"/>
        <v>0.11682301025365915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6.8950140783493152E-2</v>
      </c>
      <c r="N49" s="78"/>
      <c r="O49" s="78"/>
    </row>
    <row r="50" spans="1:15" ht="15.75">
      <c r="A50" s="50">
        <v>39510</v>
      </c>
      <c r="B50" s="102">
        <v>647.15</v>
      </c>
      <c r="C50" s="52"/>
      <c r="D50" s="53">
        <v>40787</v>
      </c>
      <c r="E50" s="54">
        <f t="shared" si="0"/>
        <v>1287.4654545454543</v>
      </c>
      <c r="F50" s="55">
        <f t="shared" si="1"/>
        <v>4.6477590184861528E-2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1.0414402833932357E-2</v>
      </c>
      <c r="N50" s="78"/>
      <c r="O50" s="78"/>
    </row>
    <row r="51" spans="1:15" ht="15.75">
      <c r="A51" s="50">
        <v>39511</v>
      </c>
      <c r="B51" s="102">
        <v>634.52</v>
      </c>
      <c r="C51" s="52"/>
      <c r="D51" s="53">
        <v>40817</v>
      </c>
      <c r="E51" s="54">
        <f t="shared" si="0"/>
        <v>1217.5338095238094</v>
      </c>
      <c r="F51" s="55">
        <f t="shared" si="1"/>
        <v>-5.4317298203806708E-2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0.10259353185341924</v>
      </c>
      <c r="N51" s="78"/>
      <c r="O51" s="78"/>
    </row>
    <row r="52" spans="1:15" ht="15.75">
      <c r="A52" s="50">
        <v>39512</v>
      </c>
      <c r="B52" s="102">
        <v>647.66</v>
      </c>
      <c r="C52" s="52"/>
      <c r="D52" s="53">
        <v>40848</v>
      </c>
      <c r="E52" s="54">
        <f t="shared" si="0"/>
        <v>1283.3554545454544</v>
      </c>
      <c r="F52" s="55">
        <f t="shared" si="1"/>
        <v>5.4061451523377935E-2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7.3113543325116437E-2</v>
      </c>
      <c r="N52" s="78"/>
      <c r="O52" s="78"/>
    </row>
    <row r="53" spans="1:15" ht="15.75">
      <c r="A53" s="50">
        <v>39513</v>
      </c>
      <c r="B53" s="102">
        <v>634.35</v>
      </c>
      <c r="C53" s="52"/>
      <c r="D53" s="53">
        <v>40878</v>
      </c>
      <c r="E53" s="54">
        <f t="shared" si="0"/>
        <v>1245.9231818181818</v>
      </c>
      <c r="F53" s="55">
        <f t="shared" si="1"/>
        <v>-2.9167501953331065E-2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3.9552754238828536E-2</v>
      </c>
      <c r="N53" s="78"/>
      <c r="O53" s="78"/>
    </row>
    <row r="54" spans="1:15" ht="15.75">
      <c r="A54" s="50">
        <v>39514</v>
      </c>
      <c r="B54" s="102">
        <v>633.63</v>
      </c>
      <c r="C54" s="52"/>
      <c r="D54" s="53">
        <v>40909</v>
      </c>
      <c r="E54" s="54">
        <f t="shared" si="0"/>
        <v>1283.1463636363635</v>
      </c>
      <c r="F54" s="55">
        <f t="shared" si="1"/>
        <v>2.9875984620385543E-2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39517</v>
      </c>
      <c r="B55" s="102">
        <v>633.41999999999996</v>
      </c>
      <c r="C55" s="52"/>
      <c r="D55" s="53">
        <v>40940</v>
      </c>
      <c r="E55" s="54">
        <f t="shared" si="0"/>
        <v>1315.8504761904762</v>
      </c>
      <c r="F55" s="55">
        <f t="shared" si="1"/>
        <v>2.5487437350039333E-2</v>
      </c>
      <c r="G55" s="81"/>
      <c r="H55" s="55"/>
      <c r="J55" s="87"/>
      <c r="K55" s="88"/>
      <c r="L55" s="89"/>
    </row>
    <row r="56" spans="1:15" ht="15.75">
      <c r="A56" s="50">
        <v>39518</v>
      </c>
      <c r="B56" s="102">
        <v>634.69000000000005</v>
      </c>
      <c r="C56" s="52"/>
      <c r="D56" s="53">
        <v>40969</v>
      </c>
      <c r="E56" s="54">
        <f t="shared" si="0"/>
        <v>1268.5613636363632</v>
      </c>
      <c r="F56" s="55">
        <f t="shared" si="1"/>
        <v>-3.5938059384239329E-2</v>
      </c>
      <c r="G56" s="76"/>
      <c r="H56" s="77"/>
      <c r="J56" s="90"/>
      <c r="K56" s="90"/>
      <c r="L56" s="90"/>
      <c r="M56" s="90"/>
    </row>
    <row r="57" spans="1:15" ht="18">
      <c r="A57" s="50">
        <v>39519</v>
      </c>
      <c r="B57" s="102">
        <v>633.25</v>
      </c>
      <c r="C57" s="52"/>
      <c r="D57" s="53">
        <v>41000</v>
      </c>
      <c r="E57" s="54">
        <f t="shared" si="0"/>
        <v>1253.539</v>
      </c>
      <c r="F57" s="55">
        <f t="shared" si="1"/>
        <v>-1.1842047272590195E-2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39520</v>
      </c>
      <c r="B58" s="102">
        <v>636.86</v>
      </c>
      <c r="C58" s="52"/>
      <c r="D58" s="53">
        <v>41030</v>
      </c>
      <c r="E58" s="54">
        <f t="shared" si="0"/>
        <v>1241.6695652173912</v>
      </c>
      <c r="F58" s="55">
        <f t="shared" si="1"/>
        <v>-9.468739929598291E-3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39521</v>
      </c>
      <c r="B59" s="102">
        <v>639.39</v>
      </c>
      <c r="C59" s="52"/>
      <c r="D59" s="53">
        <v>41061</v>
      </c>
      <c r="E59" s="54">
        <f t="shared" si="0"/>
        <v>1275.8842857142856</v>
      </c>
      <c r="F59" s="55">
        <f t="shared" si="1"/>
        <v>2.7555415269362893E-2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39524</v>
      </c>
      <c r="B60" s="102">
        <v>639.12</v>
      </c>
      <c r="C60" s="52"/>
      <c r="D60" s="53">
        <v>41091</v>
      </c>
      <c r="E60" s="54">
        <f t="shared" si="0"/>
        <v>1296.6313636363634</v>
      </c>
      <c r="F60" s="55">
        <f t="shared" si="1"/>
        <v>1.6260940082401643E-2</v>
      </c>
      <c r="G60" s="76"/>
      <c r="H60" s="77"/>
      <c r="J60" s="87"/>
      <c r="K60" s="88"/>
      <c r="L60" s="89"/>
      <c r="M60" s="92"/>
    </row>
    <row r="61" spans="1:15" ht="15.75">
      <c r="A61" s="50">
        <v>39525</v>
      </c>
      <c r="B61" s="102">
        <v>629.04</v>
      </c>
      <c r="C61" s="52"/>
      <c r="D61" s="53">
        <v>41122</v>
      </c>
      <c r="E61" s="54">
        <f t="shared" si="0"/>
        <v>1314.0021739130439</v>
      </c>
      <c r="F61" s="55">
        <f t="shared" si="1"/>
        <v>1.3396876524692791E-2</v>
      </c>
      <c r="G61" s="81"/>
      <c r="H61" s="55"/>
      <c r="J61" s="95"/>
      <c r="K61" s="88"/>
      <c r="L61" s="96"/>
      <c r="M61" s="92"/>
    </row>
    <row r="62" spans="1:15" ht="15.75">
      <c r="A62" s="50">
        <v>39526</v>
      </c>
      <c r="B62" s="102">
        <v>603.12</v>
      </c>
      <c r="C62" s="52"/>
      <c r="D62" s="53">
        <v>41153</v>
      </c>
      <c r="E62" s="54">
        <f t="shared" si="0"/>
        <v>1356.7684999999999</v>
      </c>
      <c r="F62" s="55">
        <f t="shared" si="1"/>
        <v>3.2546617453150573E-2</v>
      </c>
      <c r="G62" s="76"/>
      <c r="H62" s="77"/>
      <c r="J62" s="87"/>
      <c r="K62" s="88"/>
      <c r="L62" s="89"/>
      <c r="M62" s="92"/>
    </row>
    <row r="63" spans="1:15" ht="15.75">
      <c r="A63" s="50">
        <v>39527</v>
      </c>
      <c r="B63" s="102">
        <v>589.19000000000005</v>
      </c>
      <c r="C63" s="52"/>
      <c r="D63" s="53">
        <v>41183</v>
      </c>
      <c r="E63" s="54">
        <f t="shared" si="0"/>
        <v>1345.0008695652175</v>
      </c>
      <c r="F63" s="55">
        <f t="shared" si="1"/>
        <v>-8.6732780387975827E-3</v>
      </c>
      <c r="G63" s="76"/>
      <c r="H63" s="77"/>
      <c r="J63" s="87"/>
      <c r="K63" s="88"/>
      <c r="L63" s="89"/>
      <c r="M63" s="92"/>
    </row>
    <row r="64" spans="1:15" ht="15.75">
      <c r="A64" s="50">
        <v>39528</v>
      </c>
      <c r="B64" s="102">
        <v>595.79999999999995</v>
      </c>
      <c r="C64" s="52"/>
      <c r="D64" s="53">
        <v>41214</v>
      </c>
      <c r="E64" s="54">
        <f t="shared" si="0"/>
        <v>1342.2413636363638</v>
      </c>
      <c r="F64" s="55">
        <f t="shared" si="1"/>
        <v>-2.0516759440800669E-3</v>
      </c>
      <c r="G64" s="81"/>
      <c r="H64" s="55"/>
      <c r="J64" s="87"/>
      <c r="K64" s="88"/>
      <c r="L64" s="89"/>
      <c r="M64" s="92"/>
    </row>
    <row r="65" spans="1:13" ht="15.75">
      <c r="A65" s="50">
        <v>39531</v>
      </c>
      <c r="B65" s="102">
        <v>592.08000000000004</v>
      </c>
      <c r="C65" s="52"/>
      <c r="D65" s="53">
        <v>41244</v>
      </c>
      <c r="E65" s="54">
        <f t="shared" si="0"/>
        <v>1282.4295238095237</v>
      </c>
      <c r="F65" s="55">
        <f t="shared" si="1"/>
        <v>-4.4561165709272599E-2</v>
      </c>
      <c r="G65" s="76"/>
      <c r="H65" s="77"/>
      <c r="J65" s="87"/>
      <c r="K65" s="88"/>
      <c r="L65" s="96"/>
      <c r="M65" s="92"/>
    </row>
    <row r="66" spans="1:13" ht="15.75">
      <c r="A66" s="50">
        <v>39532</v>
      </c>
      <c r="B66" s="102">
        <v>601.04999999999995</v>
      </c>
      <c r="C66" s="52"/>
      <c r="D66" s="53">
        <v>41275</v>
      </c>
      <c r="E66" s="54">
        <f t="shared" si="0"/>
        <v>1256.1934782608698</v>
      </c>
      <c r="F66" s="55">
        <f t="shared" si="1"/>
        <v>-2.0458079809889562E-2</v>
      </c>
      <c r="G66" s="76"/>
      <c r="H66" s="77"/>
      <c r="J66" s="95"/>
      <c r="K66" s="88"/>
      <c r="L66" s="89"/>
      <c r="M66" s="92"/>
    </row>
    <row r="67" spans="1:13" ht="15.75">
      <c r="A67" s="50">
        <v>39533</v>
      </c>
      <c r="B67" s="102">
        <v>602.91999999999996</v>
      </c>
      <c r="C67" s="52"/>
      <c r="D67" s="53">
        <v>41306</v>
      </c>
      <c r="E67" s="54">
        <f t="shared" si="0"/>
        <v>1219.7084999999997</v>
      </c>
      <c r="F67" s="55">
        <f t="shared" si="1"/>
        <v>-2.9044075528382396E-2</v>
      </c>
      <c r="G67" s="81"/>
      <c r="H67" s="55"/>
      <c r="J67" s="87"/>
      <c r="K67" s="88"/>
      <c r="L67" s="89"/>
      <c r="M67" s="92"/>
    </row>
    <row r="68" spans="1:13" ht="15.75">
      <c r="A68" s="50">
        <v>39534</v>
      </c>
      <c r="B68" s="102">
        <v>600.87</v>
      </c>
      <c r="C68" s="52"/>
      <c r="D68" s="53">
        <v>41334</v>
      </c>
      <c r="E68" s="54">
        <f t="shared" si="0"/>
        <v>1229.6185</v>
      </c>
      <c r="F68" s="55">
        <f t="shared" si="1"/>
        <v>8.1248921361130044E-3</v>
      </c>
      <c r="G68" s="76"/>
      <c r="H68" s="77"/>
      <c r="J68" s="87"/>
      <c r="K68" s="88"/>
      <c r="L68" s="89"/>
      <c r="M68" s="92"/>
    </row>
    <row r="69" spans="1:13" ht="15.75">
      <c r="A69" s="50">
        <v>39535</v>
      </c>
      <c r="B69" s="102">
        <v>588.41</v>
      </c>
      <c r="C69" s="52"/>
      <c r="D69" s="53">
        <v>41365</v>
      </c>
      <c r="E69" s="54">
        <f t="shared" si="0"/>
        <v>1140.4986363636365</v>
      </c>
      <c r="F69" s="55">
        <f t="shared" si="1"/>
        <v>-7.2477653545683918E-2</v>
      </c>
      <c r="G69" s="76"/>
      <c r="H69" s="77"/>
      <c r="J69" s="87"/>
      <c r="K69" s="88"/>
      <c r="L69" s="96"/>
      <c r="M69" s="92"/>
    </row>
    <row r="70" spans="1:13" ht="15.75">
      <c r="A70" s="50">
        <v>39538</v>
      </c>
      <c r="B70" s="102">
        <v>580.95000000000005</v>
      </c>
      <c r="C70" s="52"/>
      <c r="D70" s="53">
        <v>41395</v>
      </c>
      <c r="E70" s="54">
        <f t="shared" ref="E70:E133" si="2">AVERAGEIFS($B$6:$B$3364,$A$6:$A$3364,"&gt;="&amp;D70,$A$6:$A$3364,"&lt;="&amp;EOMONTH(D70,0))</f>
        <v>1091.2078260869564</v>
      </c>
      <c r="F70" s="55">
        <f t="shared" si="1"/>
        <v>-4.3218649023412103E-2</v>
      </c>
      <c r="G70" s="81"/>
      <c r="H70" s="55"/>
      <c r="J70" s="87"/>
      <c r="K70" s="88"/>
      <c r="L70" s="89"/>
      <c r="M70" s="92"/>
    </row>
    <row r="71" spans="1:13" ht="15.75">
      <c r="A71" s="50">
        <v>39539</v>
      </c>
      <c r="B71" s="102">
        <v>565.48</v>
      </c>
      <c r="C71" s="52"/>
      <c r="D71" s="53">
        <v>41426</v>
      </c>
      <c r="E71" s="54">
        <f t="shared" si="2"/>
        <v>1016.682272727273</v>
      </c>
      <c r="F71" s="55">
        <f t="shared" ref="F71:F134" si="3">E71/E70-1</f>
        <v>-6.8296388257157337E-2</v>
      </c>
      <c r="G71" s="76"/>
      <c r="H71" s="77"/>
      <c r="J71" s="95"/>
      <c r="K71" s="88"/>
      <c r="L71" s="89"/>
      <c r="M71" s="92"/>
    </row>
    <row r="72" spans="1:13" ht="15.75">
      <c r="A72" s="50">
        <v>39540</v>
      </c>
      <c r="B72" s="102">
        <v>576.25</v>
      </c>
      <c r="C72" s="52"/>
      <c r="D72" s="53">
        <v>41456</v>
      </c>
      <c r="E72" s="54">
        <f t="shared" si="2"/>
        <v>982.98347826086967</v>
      </c>
      <c r="F72" s="55">
        <f t="shared" si="3"/>
        <v>-3.3145846416703595E-2</v>
      </c>
      <c r="G72" s="76"/>
      <c r="H72" s="77"/>
      <c r="J72" s="87"/>
      <c r="K72" s="88"/>
      <c r="L72" s="89"/>
      <c r="M72" s="92"/>
    </row>
    <row r="73" spans="1:13" ht="15.75">
      <c r="A73" s="50">
        <v>39541</v>
      </c>
      <c r="B73" s="102">
        <v>575.97</v>
      </c>
      <c r="C73" s="52"/>
      <c r="D73" s="53">
        <v>41487</v>
      </c>
      <c r="E73" s="54">
        <f t="shared" si="2"/>
        <v>1016.1236363636363</v>
      </c>
      <c r="F73" s="55">
        <f t="shared" si="3"/>
        <v>3.3713850573968251E-2</v>
      </c>
      <c r="G73" s="81"/>
      <c r="H73" s="55"/>
      <c r="J73" s="87"/>
      <c r="K73" s="88"/>
      <c r="L73" s="96"/>
      <c r="M73" s="92"/>
    </row>
    <row r="74" spans="1:13" ht="15.75">
      <c r="A74" s="50">
        <v>39542</v>
      </c>
      <c r="B74" s="102">
        <v>581.04999999999995</v>
      </c>
      <c r="C74" s="52"/>
      <c r="D74" s="53">
        <v>41518</v>
      </c>
      <c r="E74" s="54">
        <f t="shared" si="2"/>
        <v>1011.0086363636365</v>
      </c>
      <c r="F74" s="55">
        <f t="shared" si="3"/>
        <v>-5.033836254714652E-3</v>
      </c>
      <c r="G74" s="76"/>
      <c r="H74" s="77"/>
      <c r="J74" s="87"/>
      <c r="K74" s="88"/>
      <c r="L74" s="89"/>
      <c r="M74" s="92"/>
    </row>
    <row r="75" spans="1:13" ht="15.75">
      <c r="A75" s="50">
        <v>39545</v>
      </c>
      <c r="B75" s="102">
        <v>586.05999999999995</v>
      </c>
      <c r="C75" s="52"/>
      <c r="D75" s="53">
        <v>41548</v>
      </c>
      <c r="E75" s="54">
        <f t="shared" si="2"/>
        <v>965.20359999999971</v>
      </c>
      <c r="F75" s="55">
        <f t="shared" si="3"/>
        <v>-4.530627604565951E-2</v>
      </c>
      <c r="G75" s="76"/>
      <c r="H75" s="77"/>
      <c r="J75" s="87"/>
      <c r="K75" s="88"/>
      <c r="L75" s="89"/>
      <c r="M75" s="92"/>
    </row>
    <row r="76" spans="1:13" ht="15.75">
      <c r="A76" s="50">
        <v>39546</v>
      </c>
      <c r="B76" s="102">
        <v>582.91</v>
      </c>
      <c r="C76" s="52"/>
      <c r="D76" s="53">
        <v>41579</v>
      </c>
      <c r="E76" s="54">
        <f t="shared" si="2"/>
        <v>944.45952380952383</v>
      </c>
      <c r="F76" s="55">
        <f t="shared" si="3"/>
        <v>-2.149191755032398E-2</v>
      </c>
      <c r="G76" s="81"/>
      <c r="H76" s="55"/>
      <c r="J76" s="95"/>
      <c r="K76" s="88"/>
      <c r="L76" s="89"/>
      <c r="M76" s="92"/>
    </row>
    <row r="77" spans="1:13" ht="15.75">
      <c r="A77" s="50">
        <v>39547</v>
      </c>
      <c r="B77" s="102">
        <v>589.91999999999996</v>
      </c>
      <c r="C77" s="52"/>
      <c r="D77" s="53">
        <v>41609</v>
      </c>
      <c r="E77" s="54">
        <f t="shared" si="2"/>
        <v>891.245</v>
      </c>
      <c r="F77" s="55">
        <f t="shared" si="3"/>
        <v>-5.6343890307633759E-2</v>
      </c>
      <c r="G77" s="76"/>
      <c r="H77" s="77"/>
      <c r="J77" s="87"/>
      <c r="K77" s="88"/>
      <c r="L77" s="96"/>
      <c r="M77" s="92"/>
    </row>
    <row r="78" spans="1:13" ht="15.75">
      <c r="A78" s="50">
        <v>39548</v>
      </c>
      <c r="B78" s="102">
        <v>590.13</v>
      </c>
      <c r="C78" s="52"/>
      <c r="D78" s="53">
        <v>41640</v>
      </c>
      <c r="E78" s="54">
        <f t="shared" si="2"/>
        <v>915.03954545454542</v>
      </c>
      <c r="F78" s="55">
        <f t="shared" si="3"/>
        <v>2.6698096993021503E-2</v>
      </c>
      <c r="G78" s="76"/>
      <c r="H78" s="77"/>
      <c r="J78" s="87"/>
      <c r="K78" s="88"/>
      <c r="L78" s="89"/>
      <c r="M78" s="92"/>
    </row>
    <row r="79" spans="1:13" ht="15.75">
      <c r="A79" s="50">
        <v>39549</v>
      </c>
      <c r="B79" s="102">
        <v>586.66999999999996</v>
      </c>
      <c r="C79" s="52"/>
      <c r="D79" s="53">
        <v>41671</v>
      </c>
      <c r="E79" s="54">
        <f t="shared" si="2"/>
        <v>952.47799999999984</v>
      </c>
      <c r="F79" s="55">
        <f t="shared" si="3"/>
        <v>4.0914575475376802E-2</v>
      </c>
      <c r="G79" s="81"/>
      <c r="H79" s="55"/>
      <c r="J79" s="87"/>
      <c r="K79" s="88"/>
      <c r="L79" s="89"/>
      <c r="M79" s="92"/>
    </row>
    <row r="80" spans="1:13" ht="15.75">
      <c r="A80" s="50">
        <v>39552</v>
      </c>
      <c r="B80" s="102">
        <v>583.79999999999995</v>
      </c>
      <c r="C80" s="52"/>
      <c r="D80" s="53">
        <v>41699</v>
      </c>
      <c r="E80" s="54">
        <f t="shared" si="2"/>
        <v>966.73520000000019</v>
      </c>
      <c r="F80" s="55">
        <f t="shared" si="3"/>
        <v>1.4968534706313763E-2</v>
      </c>
      <c r="G80" s="76"/>
      <c r="H80" s="77"/>
      <c r="J80" s="87"/>
      <c r="K80" s="88"/>
      <c r="L80" s="89"/>
      <c r="M80" s="92"/>
    </row>
    <row r="81" spans="1:13" ht="15.75">
      <c r="A81" s="50">
        <v>39553</v>
      </c>
      <c r="B81" s="102">
        <v>588.08000000000004</v>
      </c>
      <c r="C81" s="52"/>
      <c r="D81" s="53">
        <v>41730</v>
      </c>
      <c r="E81" s="54">
        <f t="shared" si="2"/>
        <v>940.28227272727281</v>
      </c>
      <c r="F81" s="55">
        <f t="shared" si="3"/>
        <v>-2.7363157225191892E-2</v>
      </c>
      <c r="G81" s="76"/>
      <c r="H81" s="77"/>
      <c r="J81" s="95"/>
      <c r="K81" s="88"/>
      <c r="L81" s="96"/>
      <c r="M81" s="92"/>
    </row>
    <row r="82" spans="1:13" ht="15.75">
      <c r="A82" s="50">
        <v>39554</v>
      </c>
      <c r="B82" s="102">
        <v>592.79999999999995</v>
      </c>
      <c r="C82" s="52"/>
      <c r="D82" s="53">
        <v>41760</v>
      </c>
      <c r="E82" s="54">
        <f t="shared" si="2"/>
        <v>937.72782608695661</v>
      </c>
      <c r="F82" s="55">
        <f t="shared" si="3"/>
        <v>-2.7166806334730786E-3</v>
      </c>
      <c r="G82" s="81"/>
      <c r="H82" s="55"/>
      <c r="J82" s="87"/>
      <c r="K82" s="88"/>
      <c r="L82" s="89"/>
      <c r="M82" s="92"/>
    </row>
    <row r="83" spans="1:13" ht="15.75">
      <c r="A83" s="50">
        <v>39555</v>
      </c>
      <c r="B83" s="102">
        <v>591.01</v>
      </c>
      <c r="C83" s="52"/>
      <c r="D83" s="53">
        <v>41791</v>
      </c>
      <c r="E83" s="54">
        <f t="shared" si="2"/>
        <v>941.82</v>
      </c>
      <c r="F83" s="55">
        <f t="shared" si="3"/>
        <v>4.363925010223646E-3</v>
      </c>
      <c r="G83" s="76"/>
      <c r="H83" s="77"/>
      <c r="J83" s="87"/>
      <c r="K83" s="88"/>
      <c r="L83" s="89"/>
      <c r="M83" s="92"/>
    </row>
    <row r="84" spans="1:13" ht="15.75">
      <c r="A84" s="50">
        <v>39556</v>
      </c>
      <c r="B84" s="102">
        <v>579.45000000000005</v>
      </c>
      <c r="C84" s="52"/>
      <c r="D84" s="53">
        <v>41821</v>
      </c>
      <c r="E84" s="54">
        <f t="shared" si="2"/>
        <v>969.07541666666668</v>
      </c>
      <c r="F84" s="55">
        <f t="shared" si="3"/>
        <v>2.8939093103423907E-2</v>
      </c>
      <c r="G84" s="76"/>
      <c r="H84" s="77"/>
      <c r="J84" s="87"/>
      <c r="K84" s="88"/>
      <c r="L84" s="89"/>
      <c r="M84" s="92"/>
    </row>
    <row r="85" spans="1:13" ht="15.75">
      <c r="A85" s="50">
        <v>39559</v>
      </c>
      <c r="B85" s="102">
        <v>576.5</v>
      </c>
      <c r="C85" s="52"/>
      <c r="D85" s="53">
        <v>41852</v>
      </c>
      <c r="E85" s="54">
        <f t="shared" si="2"/>
        <v>972.47043478260866</v>
      </c>
      <c r="F85" s="55">
        <f t="shared" si="3"/>
        <v>3.5033580024348421E-3</v>
      </c>
      <c r="G85" s="81"/>
      <c r="H85" s="55"/>
      <c r="J85" s="87"/>
      <c r="K85" s="88"/>
      <c r="L85" s="96"/>
      <c r="M85" s="92"/>
    </row>
    <row r="86" spans="1:13" ht="15.75">
      <c r="A86" s="50">
        <v>39560</v>
      </c>
      <c r="B86" s="102">
        <v>572.54</v>
      </c>
      <c r="C86" s="52"/>
      <c r="D86" s="53">
        <v>41883</v>
      </c>
      <c r="E86" s="54">
        <f t="shared" si="2"/>
        <v>959.4313636363637</v>
      </c>
      <c r="F86" s="55">
        <f t="shared" si="3"/>
        <v>-1.3408192866202429E-2</v>
      </c>
      <c r="G86" s="76"/>
      <c r="H86" s="77"/>
      <c r="J86" s="95"/>
      <c r="K86" s="88"/>
      <c r="L86" s="89"/>
      <c r="M86" s="92"/>
    </row>
    <row r="87" spans="1:13" ht="15.75">
      <c r="A87" s="50">
        <v>39561</v>
      </c>
      <c r="B87" s="102">
        <v>569.25</v>
      </c>
      <c r="C87" s="52"/>
      <c r="D87" s="53">
        <v>41913</v>
      </c>
      <c r="E87" s="54">
        <f t="shared" si="2"/>
        <v>964.23599999999976</v>
      </c>
      <c r="F87" s="55">
        <f t="shared" si="3"/>
        <v>5.0077958108705189E-3</v>
      </c>
      <c r="G87" s="76"/>
      <c r="H87" s="77"/>
      <c r="J87" s="87"/>
      <c r="K87" s="88"/>
      <c r="L87" s="89"/>
      <c r="M87" s="92"/>
    </row>
    <row r="88" spans="1:13" ht="15.75">
      <c r="A88" s="50">
        <v>39562</v>
      </c>
      <c r="B88" s="102">
        <v>566.16</v>
      </c>
      <c r="C88" s="52"/>
      <c r="D88" s="53">
        <v>41944</v>
      </c>
      <c r="E88" s="54">
        <f t="shared" si="2"/>
        <v>942.56095238095247</v>
      </c>
      <c r="F88" s="55">
        <f t="shared" si="3"/>
        <v>-2.2478986077109075E-2</v>
      </c>
      <c r="G88" s="81"/>
      <c r="H88" s="55"/>
      <c r="J88" s="87"/>
      <c r="K88" s="88"/>
      <c r="L88" s="89"/>
      <c r="M88" s="92"/>
    </row>
    <row r="89" spans="1:13" ht="15.75">
      <c r="A89" s="50">
        <v>39563</v>
      </c>
      <c r="B89" s="102">
        <v>567.05999999999995</v>
      </c>
      <c r="C89" s="52"/>
      <c r="D89" s="53">
        <v>41974</v>
      </c>
      <c r="E89" s="54">
        <f t="shared" si="2"/>
        <v>971.85359999999969</v>
      </c>
      <c r="F89" s="55">
        <f t="shared" si="3"/>
        <v>3.1077722395620899E-2</v>
      </c>
      <c r="G89" s="76"/>
      <c r="H89" s="77"/>
      <c r="J89" s="87"/>
      <c r="K89" s="88"/>
      <c r="L89" s="96"/>
      <c r="M89" s="92"/>
    </row>
    <row r="90" spans="1:13" ht="15.75">
      <c r="A90" s="50">
        <v>39566</v>
      </c>
      <c r="B90" s="102">
        <v>570.69000000000005</v>
      </c>
      <c r="C90" s="52"/>
      <c r="D90" s="53">
        <v>42005</v>
      </c>
      <c r="E90" s="54">
        <f t="shared" si="2"/>
        <v>1082.7747619047618</v>
      </c>
      <c r="F90" s="55">
        <f t="shared" si="3"/>
        <v>0.11413361220739637</v>
      </c>
      <c r="G90" s="76"/>
      <c r="H90" s="77"/>
      <c r="J90" s="87"/>
      <c r="K90" s="88"/>
      <c r="L90" s="89"/>
      <c r="M90" s="92"/>
    </row>
    <row r="91" spans="1:13" ht="15.75">
      <c r="A91" s="50">
        <v>39567</v>
      </c>
      <c r="B91" s="102">
        <v>559.58000000000004</v>
      </c>
      <c r="C91" s="52"/>
      <c r="D91" s="53">
        <v>42036</v>
      </c>
      <c r="E91" s="54">
        <f t="shared" si="2"/>
        <v>1081.0295000000001</v>
      </c>
      <c r="F91" s="55">
        <f t="shared" si="3"/>
        <v>-1.6118420618629337E-3</v>
      </c>
      <c r="G91" s="81"/>
      <c r="H91" s="55"/>
      <c r="J91" s="95"/>
      <c r="K91" s="88"/>
      <c r="L91" s="89"/>
      <c r="M91" s="92"/>
    </row>
    <row r="92" spans="1:13" ht="15.75">
      <c r="A92" s="50">
        <v>39568</v>
      </c>
      <c r="B92" s="102">
        <v>561.66</v>
      </c>
      <c r="C92" s="52"/>
      <c r="D92" s="53">
        <v>42064</v>
      </c>
      <c r="E92" s="54">
        <f t="shared" si="2"/>
        <v>1090.2969230769231</v>
      </c>
      <c r="F92" s="55">
        <f t="shared" si="3"/>
        <v>8.5727753746989155E-3</v>
      </c>
      <c r="G92" s="76"/>
      <c r="H92" s="77"/>
      <c r="J92" s="87"/>
      <c r="K92" s="88"/>
      <c r="L92" s="89"/>
      <c r="M92" s="92"/>
    </row>
    <row r="93" spans="1:13" ht="15.75">
      <c r="A93" s="50">
        <v>39569</v>
      </c>
      <c r="B93" s="102">
        <v>551.20000000000005</v>
      </c>
      <c r="C93" s="52"/>
      <c r="D93" s="53">
        <v>42095</v>
      </c>
      <c r="E93" s="54">
        <f t="shared" si="2"/>
        <v>1109.8857142857144</v>
      </c>
      <c r="F93" s="55">
        <f t="shared" si="3"/>
        <v>1.7966473897321311E-2</v>
      </c>
      <c r="G93" s="76"/>
      <c r="H93" s="77"/>
      <c r="J93" s="87"/>
      <c r="K93" s="88"/>
      <c r="L93" s="96"/>
      <c r="M93" s="92"/>
    </row>
    <row r="94" spans="1:13" ht="15.75">
      <c r="A94" s="50">
        <v>39570</v>
      </c>
      <c r="B94" s="102">
        <v>555.05999999999995</v>
      </c>
      <c r="C94" s="52"/>
      <c r="D94" s="53">
        <v>42125</v>
      </c>
      <c r="E94" s="54">
        <f t="shared" si="2"/>
        <v>1073.95</v>
      </c>
      <c r="F94" s="55">
        <f t="shared" si="3"/>
        <v>-3.2377851001390123E-2</v>
      </c>
      <c r="G94" s="81"/>
      <c r="H94" s="55"/>
      <c r="J94" s="87"/>
      <c r="K94" s="88"/>
      <c r="L94" s="89"/>
      <c r="M94" s="92"/>
    </row>
    <row r="95" spans="1:13" ht="15.75">
      <c r="A95" s="50">
        <v>39573</v>
      </c>
      <c r="B95" s="102">
        <v>563.94000000000005</v>
      </c>
      <c r="C95" s="52"/>
      <c r="D95" s="53">
        <v>42156</v>
      </c>
      <c r="E95" s="54">
        <f t="shared" si="2"/>
        <v>1052.9472727272725</v>
      </c>
      <c r="F95" s="55">
        <f t="shared" si="3"/>
        <v>-1.9556522438407331E-2</v>
      </c>
      <c r="G95" s="76"/>
      <c r="H95" s="77"/>
      <c r="J95" s="87"/>
      <c r="K95" s="88"/>
      <c r="L95" s="89"/>
      <c r="M95" s="92"/>
    </row>
    <row r="96" spans="1:13" ht="15.75">
      <c r="A96" s="50">
        <v>39574</v>
      </c>
      <c r="B96" s="102">
        <v>564.03</v>
      </c>
      <c r="C96" s="52"/>
      <c r="D96" s="53">
        <v>42186</v>
      </c>
      <c r="E96" s="54">
        <f t="shared" si="2"/>
        <v>1028.4649999999999</v>
      </c>
      <c r="F96" s="55">
        <f t="shared" si="3"/>
        <v>-2.3251185848898515E-2</v>
      </c>
      <c r="G96" s="76"/>
      <c r="H96" s="77"/>
      <c r="J96" s="95"/>
      <c r="K96" s="88"/>
      <c r="L96" s="89"/>
      <c r="M96" s="92"/>
    </row>
    <row r="97" spans="1:15" ht="15.75">
      <c r="A97" s="50">
        <v>39575</v>
      </c>
      <c r="B97" s="102">
        <v>563.84</v>
      </c>
      <c r="C97" s="52"/>
      <c r="D97" s="53">
        <v>42217</v>
      </c>
      <c r="E97" s="54">
        <f t="shared" si="2"/>
        <v>1004.1227272727275</v>
      </c>
      <c r="F97" s="55">
        <f t="shared" si="3"/>
        <v>-2.3668547522057048E-2</v>
      </c>
      <c r="G97" s="81"/>
      <c r="H97" s="55"/>
      <c r="J97" s="87"/>
      <c r="K97" s="88"/>
      <c r="L97" s="96"/>
      <c r="M97" s="92"/>
    </row>
    <row r="98" spans="1:15" ht="15.75">
      <c r="A98" s="50">
        <v>39576</v>
      </c>
      <c r="B98" s="102">
        <v>573.39</v>
      </c>
      <c r="C98" s="52"/>
      <c r="D98" s="53">
        <v>42248</v>
      </c>
      <c r="E98" s="54">
        <f t="shared" si="2"/>
        <v>1000.4152173913043</v>
      </c>
      <c r="F98" s="55">
        <f t="shared" si="3"/>
        <v>-3.6922875866908234E-3</v>
      </c>
      <c r="G98" s="76"/>
      <c r="H98" s="77"/>
      <c r="J98" s="87"/>
      <c r="K98" s="88"/>
      <c r="L98" s="89"/>
      <c r="M98" s="92"/>
    </row>
    <row r="99" spans="1:15" ht="15.75">
      <c r="A99" s="50">
        <v>39577</v>
      </c>
      <c r="B99" s="102">
        <v>571.35</v>
      </c>
      <c r="C99" s="52"/>
      <c r="D99" s="53">
        <v>42278</v>
      </c>
      <c r="E99" s="54">
        <f t="shared" si="2"/>
        <v>1033.7999999999997</v>
      </c>
      <c r="F99" s="55">
        <f t="shared" si="3"/>
        <v>3.3370926419681979E-2</v>
      </c>
      <c r="G99" s="76"/>
      <c r="H99" s="77"/>
      <c r="J99" s="87"/>
      <c r="K99" s="88"/>
      <c r="L99" s="89"/>
      <c r="M99" s="92"/>
    </row>
    <row r="100" spans="1:15" ht="15.75">
      <c r="A100" s="50">
        <v>39580</v>
      </c>
      <c r="B100" s="102">
        <v>568.15</v>
      </c>
      <c r="C100" s="52"/>
      <c r="D100" s="53">
        <v>42309</v>
      </c>
      <c r="E100" s="54">
        <f t="shared" si="2"/>
        <v>1011.1019047619045</v>
      </c>
      <c r="F100" s="55">
        <f t="shared" si="3"/>
        <v>-2.1955983012280189E-2</v>
      </c>
      <c r="G100" s="81"/>
      <c r="H100" s="55"/>
      <c r="J100" s="87"/>
      <c r="K100" s="88"/>
      <c r="L100" s="89"/>
      <c r="M100" s="92"/>
    </row>
    <row r="101" spans="1:15" ht="15.75">
      <c r="A101" s="50">
        <v>39581</v>
      </c>
      <c r="B101" s="102">
        <v>560.15</v>
      </c>
      <c r="C101" s="52"/>
      <c r="D101" s="53">
        <v>42339</v>
      </c>
      <c r="E101" s="54">
        <f t="shared" si="2"/>
        <v>980.49782608695659</v>
      </c>
      <c r="F101" s="55">
        <f t="shared" si="3"/>
        <v>-3.0268045714101022E-2</v>
      </c>
      <c r="G101" s="76"/>
      <c r="H101" s="77"/>
      <c r="J101" s="87"/>
      <c r="K101" s="88"/>
      <c r="L101" s="96"/>
      <c r="M101" s="92"/>
    </row>
    <row r="102" spans="1:15" ht="15.75">
      <c r="A102" s="50">
        <v>39582</v>
      </c>
      <c r="B102" s="102">
        <v>558.66999999999996</v>
      </c>
      <c r="C102" s="52"/>
      <c r="D102" s="53">
        <v>42370</v>
      </c>
      <c r="E102" s="54">
        <f t="shared" si="2"/>
        <v>1010.9357142857145</v>
      </c>
      <c r="F102" s="55">
        <f t="shared" si="3"/>
        <v>3.1043300034872878E-2</v>
      </c>
      <c r="G102" s="76"/>
      <c r="H102" s="77"/>
      <c r="J102" s="87"/>
      <c r="K102" s="88"/>
      <c r="L102" s="89"/>
      <c r="M102" s="92"/>
    </row>
    <row r="103" spans="1:15" ht="15.75">
      <c r="A103" s="50">
        <v>39583</v>
      </c>
      <c r="B103" s="102">
        <v>570.78</v>
      </c>
      <c r="C103" s="52"/>
      <c r="D103" s="53">
        <v>42401</v>
      </c>
      <c r="E103" s="54">
        <f t="shared" si="2"/>
        <v>1085.2021739130435</v>
      </c>
      <c r="F103" s="55">
        <f t="shared" si="3"/>
        <v>7.3463088283316269E-2</v>
      </c>
      <c r="G103" s="81"/>
      <c r="H103" s="55"/>
      <c r="J103" s="95"/>
      <c r="K103" s="88"/>
      <c r="L103" s="89"/>
      <c r="M103" s="92"/>
    </row>
    <row r="104" spans="1:15" ht="15.75">
      <c r="A104" s="50">
        <v>39584</v>
      </c>
      <c r="B104" s="102">
        <v>579.44000000000005</v>
      </c>
      <c r="C104" s="52"/>
      <c r="D104" s="53">
        <v>42430</v>
      </c>
      <c r="E104" s="54">
        <f t="shared" si="2"/>
        <v>1116.826</v>
      </c>
      <c r="F104" s="55">
        <f t="shared" si="3"/>
        <v>2.9140953498947297E-2</v>
      </c>
      <c r="G104" s="76"/>
      <c r="H104" s="77"/>
      <c r="J104" s="87"/>
      <c r="K104" s="88"/>
      <c r="L104" s="89"/>
      <c r="M104" s="92"/>
    </row>
    <row r="105" spans="1:15" ht="15.75">
      <c r="A105" s="50">
        <v>39587</v>
      </c>
      <c r="B105" s="102">
        <v>583.12</v>
      </c>
      <c r="C105" s="52"/>
      <c r="D105" s="53">
        <v>42461</v>
      </c>
      <c r="E105" s="54">
        <f t="shared" si="2"/>
        <v>1093.1400000000001</v>
      </c>
      <c r="F105" s="55">
        <f t="shared" si="3"/>
        <v>-2.1208317141613753E-2</v>
      </c>
      <c r="G105" s="76"/>
      <c r="H105" s="77"/>
      <c r="J105" s="87"/>
      <c r="K105" s="88"/>
      <c r="L105" s="96"/>
      <c r="M105" s="92"/>
    </row>
    <row r="106" spans="1:15" ht="15.75">
      <c r="A106" s="50">
        <v>39588</v>
      </c>
      <c r="B106" s="102">
        <v>587.29</v>
      </c>
      <c r="C106" s="52"/>
      <c r="D106" s="53">
        <v>42491</v>
      </c>
      <c r="E106" s="54">
        <f t="shared" si="2"/>
        <v>1113.1314814814814</v>
      </c>
      <c r="F106" s="55">
        <f t="shared" si="3"/>
        <v>1.8288125474761996E-2</v>
      </c>
      <c r="G106" s="81"/>
      <c r="H106" s="55"/>
      <c r="J106" s="87"/>
      <c r="K106" s="88"/>
      <c r="L106" s="96"/>
      <c r="M106" s="92"/>
    </row>
    <row r="107" spans="1:15" ht="15.75">
      <c r="A107" s="50">
        <v>39589</v>
      </c>
      <c r="B107" s="102">
        <v>590.28</v>
      </c>
      <c r="C107" s="52"/>
      <c r="D107" s="53">
        <v>42522</v>
      </c>
      <c r="E107" s="54">
        <f t="shared" si="2"/>
        <v>1137.2676923076922</v>
      </c>
      <c r="F107" s="55">
        <f t="shared" si="3"/>
        <v>2.1683162526395794E-2</v>
      </c>
      <c r="G107" s="76"/>
      <c r="H107" s="77"/>
      <c r="J107" s="87"/>
      <c r="K107" s="88"/>
      <c r="L107" s="89"/>
      <c r="M107" s="94"/>
    </row>
    <row r="108" spans="1:15" ht="15.75">
      <c r="A108" s="50">
        <v>39590</v>
      </c>
      <c r="B108" s="102">
        <v>586.27</v>
      </c>
      <c r="C108" s="52"/>
      <c r="D108" s="53">
        <v>42552</v>
      </c>
      <c r="E108" s="54">
        <f t="shared" si="2"/>
        <v>1211.2064000000003</v>
      </c>
      <c r="F108" s="55">
        <f t="shared" si="3"/>
        <v>6.5014339361276541E-2</v>
      </c>
      <c r="G108" s="76"/>
      <c r="H108" s="77"/>
      <c r="J108" s="90"/>
      <c r="K108" s="90"/>
      <c r="L108" s="90"/>
      <c r="M108" s="90"/>
    </row>
    <row r="109" spans="1:15" ht="18">
      <c r="A109" s="50">
        <v>39591</v>
      </c>
      <c r="B109" s="102">
        <v>586.72</v>
      </c>
      <c r="C109" s="52"/>
      <c r="D109" s="53">
        <v>42583</v>
      </c>
      <c r="E109" s="54">
        <f t="shared" si="2"/>
        <v>1193.3425925925928</v>
      </c>
      <c r="F109" s="55">
        <f t="shared" si="3"/>
        <v>-1.4748772304544855E-2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39594</v>
      </c>
      <c r="B110" s="102">
        <v>589.01</v>
      </c>
      <c r="C110" s="52"/>
      <c r="D110" s="53">
        <v>42614</v>
      </c>
      <c r="E110" s="54">
        <f t="shared" si="2"/>
        <v>1183.5960000000005</v>
      </c>
      <c r="F110" s="55">
        <f t="shared" si="3"/>
        <v>-8.1674723194262722E-3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39595</v>
      </c>
      <c r="B111" s="102">
        <v>577.72</v>
      </c>
      <c r="C111" s="52"/>
      <c r="D111" s="53">
        <v>42644</v>
      </c>
      <c r="E111" s="54">
        <f t="shared" si="2"/>
        <v>1147.5111538461538</v>
      </c>
      <c r="F111" s="55">
        <f t="shared" si="3"/>
        <v>-3.0487468827071651E-2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39596</v>
      </c>
      <c r="B112" s="102">
        <v>575.89</v>
      </c>
      <c r="C112" s="52"/>
      <c r="D112" s="53">
        <v>42675</v>
      </c>
      <c r="E112" s="54">
        <f t="shared" si="2"/>
        <v>1140.5526923076925</v>
      </c>
      <c r="F112" s="55">
        <f t="shared" si="3"/>
        <v>-6.0639598274390138E-3</v>
      </c>
      <c r="G112" s="81"/>
      <c r="H112" s="55"/>
      <c r="J112" s="87"/>
      <c r="K112" s="88"/>
      <c r="L112" s="87"/>
      <c r="M112" s="92"/>
    </row>
    <row r="113" spans="1:13" ht="15.75">
      <c r="A113" s="50">
        <v>39597</v>
      </c>
      <c r="B113" s="102">
        <v>565.63</v>
      </c>
      <c r="C113" s="52"/>
      <c r="D113" s="53">
        <v>42705</v>
      </c>
      <c r="E113" s="54">
        <f t="shared" si="2"/>
        <v>1091.6709090909092</v>
      </c>
      <c r="F113" s="55">
        <f t="shared" si="3"/>
        <v>-4.2857978896073901E-2</v>
      </c>
      <c r="G113" s="76"/>
      <c r="H113" s="77"/>
      <c r="J113" s="87"/>
      <c r="K113" s="88"/>
      <c r="L113" s="87"/>
      <c r="M113" s="92"/>
    </row>
    <row r="114" spans="1:13" ht="15.75">
      <c r="A114" s="50">
        <v>39598</v>
      </c>
      <c r="B114" s="102">
        <v>570.21</v>
      </c>
      <c r="C114" s="52"/>
      <c r="D114" s="53">
        <v>42736</v>
      </c>
      <c r="E114" s="54">
        <f t="shared" si="2"/>
        <v>1119.9695652173912</v>
      </c>
      <c r="F114" s="55">
        <f t="shared" si="3"/>
        <v>2.5922332353847999E-2</v>
      </c>
      <c r="G114" s="76"/>
      <c r="H114" s="77"/>
      <c r="J114" s="95"/>
      <c r="K114" s="88"/>
      <c r="L114" s="87"/>
      <c r="M114" s="92"/>
    </row>
    <row r="115" spans="1:13" ht="15.75">
      <c r="A115" s="50">
        <v>39601</v>
      </c>
      <c r="B115" s="102">
        <v>573.04</v>
      </c>
      <c r="C115" s="52"/>
      <c r="D115" s="53">
        <v>42767</v>
      </c>
      <c r="E115" s="54">
        <f t="shared" si="2"/>
        <v>1161.0521739130431</v>
      </c>
      <c r="F115" s="55">
        <f t="shared" si="3"/>
        <v>3.6681897411808384E-2</v>
      </c>
      <c r="G115" s="81"/>
      <c r="H115" s="55"/>
      <c r="J115" s="87"/>
      <c r="K115" s="88"/>
      <c r="L115" s="87"/>
      <c r="M115" s="92"/>
    </row>
    <row r="116" spans="1:13" ht="15.75">
      <c r="A116" s="50">
        <v>39602</v>
      </c>
      <c r="B116" s="102">
        <v>571.08000000000004</v>
      </c>
      <c r="C116" s="52"/>
      <c r="D116" s="53">
        <v>42795</v>
      </c>
      <c r="E116" s="54">
        <f t="shared" si="2"/>
        <v>1153.376153846154</v>
      </c>
      <c r="F116" s="55">
        <f t="shared" si="3"/>
        <v>-6.6112619564880903E-3</v>
      </c>
      <c r="G116" s="76"/>
      <c r="H116" s="77"/>
      <c r="J116" s="87"/>
      <c r="K116" s="88"/>
      <c r="L116" s="87"/>
      <c r="M116" s="92"/>
    </row>
    <row r="117" spans="1:13" ht="15.75">
      <c r="A117" s="50">
        <v>39603</v>
      </c>
      <c r="B117" s="102">
        <v>569.54999999999995</v>
      </c>
      <c r="C117" s="52"/>
      <c r="D117" s="53">
        <v>42826</v>
      </c>
      <c r="E117" s="54">
        <f t="shared" si="2"/>
        <v>1186.8638095238098</v>
      </c>
      <c r="F117" s="55">
        <f t="shared" si="3"/>
        <v>2.9034461624670049E-2</v>
      </c>
      <c r="G117" s="76"/>
      <c r="H117" s="77"/>
      <c r="J117" s="87"/>
      <c r="K117" s="88"/>
      <c r="L117" s="87"/>
      <c r="M117" s="92"/>
    </row>
    <row r="118" spans="1:13" ht="15.75">
      <c r="A118" s="50">
        <v>39604</v>
      </c>
      <c r="B118" s="102">
        <v>563.70000000000005</v>
      </c>
      <c r="C118" s="52"/>
      <c r="D118" s="53">
        <v>42856</v>
      </c>
      <c r="E118" s="54">
        <f t="shared" si="2"/>
        <v>1126.4804545454544</v>
      </c>
      <c r="F118" s="55">
        <f t="shared" si="3"/>
        <v>-5.0876397522460648E-2</v>
      </c>
      <c r="G118" s="81"/>
      <c r="H118" s="55"/>
      <c r="J118" s="95"/>
      <c r="K118" s="88"/>
      <c r="L118" s="87"/>
      <c r="M118" s="92"/>
    </row>
    <row r="119" spans="1:13" ht="15.75">
      <c r="A119" s="50">
        <v>39605</v>
      </c>
      <c r="B119" s="102">
        <v>571.72</v>
      </c>
      <c r="C119" s="52"/>
      <c r="D119" s="53">
        <v>42887</v>
      </c>
      <c r="E119" s="54">
        <f t="shared" si="2"/>
        <v>1122.32</v>
      </c>
      <c r="F119" s="55">
        <f t="shared" si="3"/>
        <v>-3.6933215562389154E-3</v>
      </c>
      <c r="G119" s="76"/>
      <c r="H119" s="77"/>
      <c r="J119" s="87"/>
      <c r="K119" s="88"/>
      <c r="L119" s="87"/>
      <c r="M119" s="92"/>
    </row>
    <row r="120" spans="1:13" ht="15.75">
      <c r="A120" s="50">
        <v>39608</v>
      </c>
      <c r="B120" s="102">
        <v>570.83000000000004</v>
      </c>
      <c r="C120" s="52"/>
      <c r="D120" s="53">
        <v>42917</v>
      </c>
      <c r="E120" s="54">
        <f t="shared" si="2"/>
        <v>1073.5359999999996</v>
      </c>
      <c r="F120" s="55">
        <f t="shared" si="3"/>
        <v>-4.3467103856297928E-2</v>
      </c>
      <c r="G120" s="76"/>
      <c r="H120" s="77"/>
      <c r="J120" s="87"/>
      <c r="K120" s="88"/>
      <c r="L120" s="87"/>
      <c r="M120" s="92"/>
    </row>
    <row r="121" spans="1:13" ht="15.75">
      <c r="A121" s="50">
        <v>39609</v>
      </c>
      <c r="B121" s="102">
        <v>561.1</v>
      </c>
      <c r="C121" s="52"/>
      <c r="D121" s="53">
        <v>42948</v>
      </c>
      <c r="E121" s="54">
        <f t="shared" si="2"/>
        <v>1086.0773913043479</v>
      </c>
      <c r="F121" s="55">
        <f t="shared" si="3"/>
        <v>1.1682320205701702E-2</v>
      </c>
      <c r="G121" s="81"/>
      <c r="H121" s="55"/>
      <c r="J121" s="87"/>
      <c r="K121" s="88"/>
      <c r="L121" s="87"/>
      <c r="M121" s="92"/>
    </row>
    <row r="122" spans="1:13" ht="15.75">
      <c r="A122" s="50">
        <v>39610</v>
      </c>
      <c r="B122" s="102">
        <v>566.04999999999995</v>
      </c>
      <c r="C122" s="52"/>
      <c r="D122" s="53">
        <v>42979</v>
      </c>
      <c r="E122" s="54">
        <f t="shared" si="2"/>
        <v>1104.745714285714</v>
      </c>
      <c r="F122" s="55">
        <f t="shared" si="3"/>
        <v>1.7188759411468801E-2</v>
      </c>
      <c r="G122" s="76"/>
      <c r="H122" s="77"/>
      <c r="J122" s="95"/>
      <c r="K122" s="88"/>
      <c r="L122" s="87"/>
      <c r="M122" s="92"/>
    </row>
    <row r="123" spans="1:13" ht="15.75">
      <c r="A123" s="50">
        <v>39611</v>
      </c>
      <c r="B123" s="102">
        <v>562.36</v>
      </c>
      <c r="C123" s="52"/>
      <c r="D123" s="53">
        <v>43009</v>
      </c>
      <c r="E123" s="54">
        <f t="shared" si="2"/>
        <v>1090.2</v>
      </c>
      <c r="F123" s="55">
        <f t="shared" si="3"/>
        <v>-1.3166572268731302E-2</v>
      </c>
      <c r="G123" s="76"/>
      <c r="H123" s="77"/>
      <c r="J123" s="95"/>
      <c r="K123" s="88"/>
      <c r="L123" s="87"/>
      <c r="M123" s="92"/>
    </row>
    <row r="124" spans="1:13" ht="15.75">
      <c r="A124" s="50">
        <v>39612</v>
      </c>
      <c r="B124" s="102">
        <v>566.41</v>
      </c>
      <c r="C124" s="52"/>
      <c r="D124" s="53">
        <v>43040</v>
      </c>
      <c r="E124" s="54">
        <f t="shared" si="2"/>
        <v>1091.1286363636364</v>
      </c>
      <c r="F124" s="55">
        <f t="shared" si="3"/>
        <v>8.5180367238701926E-4</v>
      </c>
      <c r="G124" s="81"/>
      <c r="H124" s="55"/>
      <c r="J124" s="87"/>
      <c r="K124" s="88"/>
      <c r="L124" s="87"/>
      <c r="M124" s="92"/>
    </row>
    <row r="125" spans="1:13" ht="15.75">
      <c r="A125" s="50">
        <v>39615</v>
      </c>
      <c r="B125" s="102">
        <v>570.4</v>
      </c>
      <c r="C125" s="52"/>
      <c r="D125" s="53">
        <v>43070</v>
      </c>
      <c r="E125" s="54">
        <f t="shared" si="2"/>
        <v>1068.5659999999998</v>
      </c>
      <c r="F125" s="55">
        <f t="shared" si="3"/>
        <v>-2.0678255167814297E-2</v>
      </c>
      <c r="G125" s="76"/>
      <c r="H125" s="77"/>
      <c r="J125" s="87"/>
      <c r="K125" s="88"/>
      <c r="L125" s="87"/>
      <c r="M125" s="92"/>
    </row>
    <row r="126" spans="1:13" ht="15.75">
      <c r="A126" s="50">
        <v>39616</v>
      </c>
      <c r="B126" s="102">
        <v>569.39</v>
      </c>
      <c r="C126" s="52"/>
      <c r="D126" s="53">
        <v>43101</v>
      </c>
      <c r="E126" s="54">
        <f t="shared" si="2"/>
        <v>1092.2309090909091</v>
      </c>
      <c r="F126" s="55">
        <f t="shared" si="3"/>
        <v>2.2146417807519025E-2</v>
      </c>
      <c r="G126" s="76"/>
      <c r="H126" s="77"/>
      <c r="J126" s="87"/>
      <c r="K126" s="88"/>
      <c r="L126" s="87"/>
      <c r="M126" s="92"/>
    </row>
    <row r="127" spans="1:13" ht="15.75">
      <c r="A127" s="50">
        <v>39617</v>
      </c>
      <c r="B127" s="102">
        <v>575.70000000000005</v>
      </c>
      <c r="C127" s="52"/>
      <c r="D127" s="53">
        <v>43132</v>
      </c>
      <c r="E127" s="54">
        <f t="shared" si="2"/>
        <v>1076.7805000000003</v>
      </c>
      <c r="F127" s="55">
        <f t="shared" si="3"/>
        <v>-1.4145735084322597E-2</v>
      </c>
      <c r="G127" s="81"/>
      <c r="H127" s="55"/>
      <c r="J127" s="95"/>
      <c r="K127" s="88"/>
      <c r="L127" s="87"/>
      <c r="M127" s="92"/>
    </row>
    <row r="128" spans="1:13" ht="15.75">
      <c r="A128" s="50">
        <v>39618</v>
      </c>
      <c r="B128" s="102">
        <v>579.83000000000004</v>
      </c>
      <c r="C128" s="52"/>
      <c r="D128" s="53">
        <v>43160</v>
      </c>
      <c r="E128" s="54">
        <f t="shared" si="2"/>
        <v>1074.8709523809523</v>
      </c>
      <c r="F128" s="55">
        <f t="shared" si="3"/>
        <v>-1.7733861442029708E-3</v>
      </c>
      <c r="G128" s="76"/>
      <c r="H128" s="77"/>
      <c r="J128" s="87"/>
      <c r="K128" s="88"/>
      <c r="L128" s="87"/>
      <c r="M128" s="92"/>
    </row>
    <row r="129" spans="1:13" ht="15.75">
      <c r="A129" s="50">
        <v>39619</v>
      </c>
      <c r="B129" s="102">
        <v>578.03</v>
      </c>
      <c r="C129" s="52"/>
      <c r="D129" s="53">
        <v>43191</v>
      </c>
      <c r="E129" s="54">
        <f t="shared" si="2"/>
        <v>1087.1609523809525</v>
      </c>
      <c r="F129" s="55">
        <f t="shared" si="3"/>
        <v>1.1433930717707597E-2</v>
      </c>
      <c r="G129" s="76"/>
      <c r="H129" s="77"/>
      <c r="J129" s="87"/>
      <c r="K129" s="88"/>
      <c r="L129" s="87"/>
      <c r="M129" s="92"/>
    </row>
    <row r="130" spans="1:13" ht="15.75">
      <c r="A130" s="50">
        <v>39622</v>
      </c>
      <c r="B130" s="102">
        <v>569.77</v>
      </c>
      <c r="C130" s="52"/>
      <c r="D130" s="53">
        <v>43221</v>
      </c>
      <c r="E130" s="54">
        <f t="shared" si="2"/>
        <v>1106.10962962963</v>
      </c>
      <c r="F130" s="55">
        <f t="shared" si="3"/>
        <v>1.7429504993882183E-2</v>
      </c>
      <c r="G130" s="81"/>
      <c r="H130" s="55"/>
      <c r="J130" s="87"/>
      <c r="K130" s="88"/>
      <c r="L130" s="87"/>
      <c r="M130" s="92"/>
    </row>
    <row r="131" spans="1:13" ht="15.75">
      <c r="A131" s="50">
        <v>39623</v>
      </c>
      <c r="B131" s="102">
        <v>571.54999999999995</v>
      </c>
      <c r="C131" s="52"/>
      <c r="D131" s="53">
        <v>43252</v>
      </c>
      <c r="E131" s="54">
        <f t="shared" si="2"/>
        <v>1098.0968</v>
      </c>
      <c r="F131" s="55">
        <f t="shared" si="3"/>
        <v>-7.2441550231445717E-3</v>
      </c>
      <c r="G131" s="76"/>
      <c r="H131" s="77"/>
      <c r="J131" s="95"/>
      <c r="K131" s="88"/>
      <c r="L131" s="87"/>
      <c r="M131" s="92"/>
    </row>
    <row r="132" spans="1:13" ht="15.75">
      <c r="A132" s="50">
        <v>39624</v>
      </c>
      <c r="B132" s="102">
        <v>565.75</v>
      </c>
      <c r="C132" s="52"/>
      <c r="D132" s="53">
        <v>43282</v>
      </c>
      <c r="E132" s="54">
        <f t="shared" si="2"/>
        <v>1056.7833333333331</v>
      </c>
      <c r="F132" s="55">
        <f t="shared" si="3"/>
        <v>-3.7622791239048325E-2</v>
      </c>
      <c r="G132" s="76"/>
      <c r="H132" s="77"/>
      <c r="J132" s="87"/>
      <c r="K132" s="88"/>
      <c r="L132" s="87"/>
      <c r="M132" s="92"/>
    </row>
    <row r="133" spans="1:13" ht="15.75">
      <c r="A133" s="50">
        <v>39625</v>
      </c>
      <c r="B133" s="102">
        <v>582.17999999999995</v>
      </c>
      <c r="C133" s="52"/>
      <c r="D133" s="53">
        <v>43313</v>
      </c>
      <c r="E133" s="54">
        <f t="shared" si="2"/>
        <v>1041.2144444444441</v>
      </c>
      <c r="F133" s="55">
        <f t="shared" si="3"/>
        <v>-1.4732337649365879E-2</v>
      </c>
      <c r="G133" s="81"/>
      <c r="H133" s="55"/>
      <c r="J133" s="95"/>
      <c r="K133" s="88"/>
      <c r="L133" s="87"/>
      <c r="M133" s="92"/>
    </row>
    <row r="134" spans="1:13" ht="15.75">
      <c r="A134" s="50">
        <v>39626</v>
      </c>
      <c r="B134" s="102">
        <v>587.73</v>
      </c>
      <c r="C134" s="52"/>
      <c r="D134" s="53">
        <v>43344</v>
      </c>
      <c r="E134" s="54">
        <f t="shared" ref="E134:E150" si="4">AVERAGEIFS($B$6:$B$3364,$A$6:$A$3364,"&gt;="&amp;D134,$A$6:$A$3364,"&lt;="&amp;EOMONTH(D134,0))</f>
        <v>1027.2791666666665</v>
      </c>
      <c r="F134" s="55">
        <f t="shared" si="3"/>
        <v>-1.3383676966960412E-2</v>
      </c>
      <c r="G134" s="76"/>
      <c r="H134" s="77"/>
      <c r="J134" s="87"/>
      <c r="K134" s="88"/>
      <c r="L134" s="87"/>
      <c r="M134" s="92"/>
    </row>
    <row r="135" spans="1:13" ht="15.75">
      <c r="A135" s="50">
        <v>39629</v>
      </c>
      <c r="B135" s="102">
        <v>587.17999999999995</v>
      </c>
      <c r="C135" s="52"/>
      <c r="D135" s="53">
        <v>43374</v>
      </c>
      <c r="E135" s="54">
        <f t="shared" si="4"/>
        <v>1059.1823076923074</v>
      </c>
      <c r="F135" s="55">
        <f t="shared" ref="F135:F150" si="5">E135/E134-1</f>
        <v>3.1055960308394859E-2</v>
      </c>
      <c r="G135" s="76"/>
      <c r="H135" s="77"/>
      <c r="J135" s="87"/>
      <c r="K135" s="88"/>
      <c r="L135" s="87"/>
      <c r="M135" s="92"/>
    </row>
    <row r="136" spans="1:13" ht="15.75">
      <c r="A136" s="50">
        <v>39630</v>
      </c>
      <c r="B136" s="102">
        <v>595.03</v>
      </c>
      <c r="C136" s="52"/>
      <c r="D136" s="53">
        <v>43405</v>
      </c>
      <c r="E136" s="54">
        <f t="shared" si="4"/>
        <v>1076.154</v>
      </c>
      <c r="F136" s="55">
        <f t="shared" si="5"/>
        <v>1.6023391048392455E-2</v>
      </c>
      <c r="G136" s="81"/>
      <c r="H136" s="55"/>
      <c r="J136" s="87"/>
      <c r="K136" s="88"/>
      <c r="L136" s="87"/>
      <c r="M136" s="92"/>
    </row>
    <row r="137" spans="1:13" ht="15.75">
      <c r="A137" s="50">
        <v>39631</v>
      </c>
      <c r="B137" s="102">
        <v>594.9</v>
      </c>
      <c r="C137" s="52"/>
      <c r="D137" s="53">
        <v>43435</v>
      </c>
      <c r="E137" s="54">
        <f t="shared" si="4"/>
        <v>1099.9284615384618</v>
      </c>
      <c r="F137" s="55">
        <f t="shared" si="5"/>
        <v>2.2092062602993456E-2</v>
      </c>
      <c r="G137" s="76"/>
      <c r="H137" s="77"/>
      <c r="J137" s="95"/>
      <c r="K137" s="88"/>
      <c r="L137" s="87"/>
      <c r="M137" s="92"/>
    </row>
    <row r="138" spans="1:13" ht="15.75">
      <c r="A138" s="50">
        <v>39632</v>
      </c>
      <c r="B138" s="102">
        <v>594.91999999999996</v>
      </c>
      <c r="C138" s="52"/>
      <c r="D138" s="53">
        <v>43466</v>
      </c>
      <c r="E138" s="54">
        <f t="shared" si="4"/>
        <v>1132.2130769230771</v>
      </c>
      <c r="F138" s="55">
        <f t="shared" si="5"/>
        <v>2.935155922727839E-2</v>
      </c>
      <c r="G138" s="76"/>
      <c r="H138" s="77"/>
      <c r="J138" s="87"/>
      <c r="K138" s="88"/>
      <c r="L138" s="87"/>
      <c r="M138" s="92"/>
    </row>
    <row r="139" spans="1:13" ht="15.75">
      <c r="A139" s="50">
        <v>39633</v>
      </c>
      <c r="B139" s="102">
        <v>594.23</v>
      </c>
      <c r="C139" s="52"/>
      <c r="D139" s="53">
        <v>43497</v>
      </c>
      <c r="E139" s="54">
        <f t="shared" si="4"/>
        <v>1161.8858333333335</v>
      </c>
      <c r="F139" s="55">
        <f t="shared" si="5"/>
        <v>2.6207749243539524E-2</v>
      </c>
      <c r="G139" s="81"/>
      <c r="H139" s="55"/>
      <c r="J139" s="95"/>
      <c r="K139" s="88"/>
      <c r="L139" s="87"/>
      <c r="M139" s="92"/>
    </row>
    <row r="140" spans="1:13" ht="15.75">
      <c r="A140" s="50">
        <v>39636</v>
      </c>
      <c r="B140" s="102">
        <v>589.11</v>
      </c>
      <c r="C140" s="52"/>
      <c r="D140" s="53">
        <v>43525</v>
      </c>
      <c r="E140" s="54">
        <f t="shared" si="4"/>
        <v>1150.9061538461538</v>
      </c>
      <c r="F140" s="55">
        <f t="shared" si="5"/>
        <v>-9.4498780966113527E-3</v>
      </c>
      <c r="G140" s="76"/>
      <c r="H140" s="77"/>
      <c r="J140" s="87"/>
      <c r="K140" s="88"/>
      <c r="L140" s="87"/>
      <c r="M140" s="92"/>
    </row>
    <row r="141" spans="1:13" ht="15.75">
      <c r="A141" s="50">
        <v>39637</v>
      </c>
      <c r="B141" s="102">
        <v>587.35</v>
      </c>
      <c r="C141" s="52"/>
      <c r="D141" s="53">
        <v>43556</v>
      </c>
      <c r="E141" s="54">
        <f t="shared" si="4"/>
        <v>1144.0044</v>
      </c>
      <c r="F141" s="55">
        <f t="shared" si="5"/>
        <v>-5.9967998460075389E-3</v>
      </c>
      <c r="G141" s="76"/>
      <c r="H141" s="77"/>
      <c r="J141" s="87"/>
      <c r="K141" s="88"/>
      <c r="L141" s="87"/>
      <c r="M141" s="92"/>
    </row>
    <row r="142" spans="1:13" ht="15.75">
      <c r="A142" s="50">
        <v>39638</v>
      </c>
      <c r="B142" s="102">
        <v>589.97</v>
      </c>
      <c r="C142" s="52"/>
      <c r="D142" s="53">
        <v>43586</v>
      </c>
      <c r="E142" s="54">
        <f t="shared" si="4"/>
        <v>1150.4203703703704</v>
      </c>
      <c r="F142" s="55">
        <f t="shared" si="5"/>
        <v>5.6083441378114163E-3</v>
      </c>
      <c r="G142" s="81"/>
      <c r="H142" s="55"/>
      <c r="J142" s="87"/>
      <c r="K142" s="88"/>
      <c r="L142" s="87"/>
      <c r="M142" s="92"/>
    </row>
    <row r="143" spans="1:13" ht="15.75">
      <c r="A143" s="50">
        <v>39639</v>
      </c>
      <c r="B143" s="102">
        <v>600.03</v>
      </c>
      <c r="C143" s="52"/>
      <c r="D143" s="53">
        <v>43617</v>
      </c>
      <c r="E143" s="54">
        <f t="shared" si="4"/>
        <v>1201.8966666666668</v>
      </c>
      <c r="F143" s="55">
        <f t="shared" si="5"/>
        <v>4.4745640482464655E-2</v>
      </c>
      <c r="G143" s="76"/>
      <c r="H143" s="77"/>
      <c r="J143" s="95"/>
      <c r="K143" s="88"/>
      <c r="L143" s="87"/>
      <c r="M143" s="92"/>
    </row>
    <row r="144" spans="1:13" ht="15.75">
      <c r="A144" s="50">
        <v>39640</v>
      </c>
      <c r="B144" s="102">
        <v>604.94000000000005</v>
      </c>
      <c r="C144" s="52"/>
      <c r="D144" s="53">
        <v>43647</v>
      </c>
      <c r="E144" s="54">
        <f t="shared" si="4"/>
        <v>1261.3718518518517</v>
      </c>
      <c r="F144" s="55">
        <f t="shared" si="5"/>
        <v>4.9484441412199764E-2</v>
      </c>
      <c r="G144" s="76"/>
      <c r="H144" s="77"/>
      <c r="J144" s="95"/>
      <c r="K144" s="88"/>
      <c r="L144" s="87"/>
      <c r="M144" s="92"/>
    </row>
    <row r="145" spans="1:13" ht="15.75">
      <c r="A145" s="50">
        <v>39643</v>
      </c>
      <c r="B145" s="102">
        <v>611.67999999999995</v>
      </c>
      <c r="C145" s="52"/>
      <c r="D145" s="53">
        <v>43678</v>
      </c>
      <c r="E145" s="54">
        <f t="shared" si="4"/>
        <v>1342.3061538461541</v>
      </c>
      <c r="F145" s="55">
        <f t="shared" si="5"/>
        <v>6.4163713400993361E-2</v>
      </c>
      <c r="G145" s="81"/>
      <c r="H145" s="55"/>
      <c r="J145" s="87"/>
      <c r="K145" s="88"/>
      <c r="L145" s="87"/>
      <c r="M145" s="92"/>
    </row>
    <row r="146" spans="1:13" ht="15.75">
      <c r="A146" s="50">
        <v>39644</v>
      </c>
      <c r="B146" s="102">
        <v>614.34</v>
      </c>
      <c r="C146" s="52"/>
      <c r="D146" s="53">
        <v>43709</v>
      </c>
      <c r="E146" s="54">
        <f t="shared" si="4"/>
        <v>1368.2230434782607</v>
      </c>
      <c r="F146" s="55">
        <f t="shared" si="5"/>
        <v>1.9307733602983213E-2</v>
      </c>
      <c r="G146" s="76"/>
      <c r="H146" s="77"/>
      <c r="J146" s="87"/>
      <c r="K146" s="88"/>
      <c r="L146" s="87"/>
      <c r="M146" s="92"/>
    </row>
    <row r="147" spans="1:13" ht="15.75">
      <c r="A147" s="50">
        <v>39645</v>
      </c>
      <c r="B147" s="102">
        <v>606.89</v>
      </c>
      <c r="C147" s="52"/>
      <c r="D147" s="53">
        <v>43739</v>
      </c>
      <c r="E147" s="54">
        <f t="shared" si="4"/>
        <v>1353.5952173913045</v>
      </c>
      <c r="F147" s="55">
        <f t="shared" si="5"/>
        <v>-1.069111221060115E-2</v>
      </c>
      <c r="G147" s="76"/>
      <c r="H147" s="77"/>
      <c r="J147" s="87"/>
      <c r="K147" s="88"/>
      <c r="L147" s="87"/>
      <c r="M147" s="92"/>
    </row>
    <row r="148" spans="1:13" ht="15.75">
      <c r="A148" s="50">
        <v>39646</v>
      </c>
      <c r="B148" s="102">
        <v>603.82000000000005</v>
      </c>
      <c r="C148" s="52"/>
      <c r="D148" s="53">
        <v>43770</v>
      </c>
      <c r="E148" s="54">
        <f t="shared" si="4"/>
        <v>1336.4540000000002</v>
      </c>
      <c r="F148" s="55">
        <f t="shared" si="5"/>
        <v>-1.2663473667068215E-2</v>
      </c>
      <c r="G148" s="81"/>
      <c r="H148" s="55"/>
      <c r="J148" s="95"/>
      <c r="K148" s="88"/>
      <c r="L148" s="87"/>
      <c r="M148" s="92"/>
    </row>
    <row r="149" spans="1:13" ht="15.75">
      <c r="A149" s="50">
        <v>39647</v>
      </c>
      <c r="B149" s="102">
        <v>602.66999999999996</v>
      </c>
      <c r="C149" s="52"/>
      <c r="D149" s="53">
        <v>43800</v>
      </c>
      <c r="E149" s="54">
        <f t="shared" si="4"/>
        <v>1334.6752000000001</v>
      </c>
      <c r="F149" s="55">
        <f t="shared" si="5"/>
        <v>-1.3309848300053773E-3</v>
      </c>
      <c r="G149" s="76"/>
      <c r="H149" s="77"/>
      <c r="J149" s="87"/>
      <c r="K149" s="88"/>
      <c r="L149" s="87"/>
      <c r="M149" s="92"/>
    </row>
    <row r="150" spans="1:13" ht="15.75">
      <c r="A150" s="50">
        <v>39650</v>
      </c>
      <c r="B150" s="102">
        <v>606.74</v>
      </c>
      <c r="C150" s="52"/>
      <c r="D150" s="53">
        <v>43831</v>
      </c>
      <c r="E150" s="54">
        <f t="shared" si="4"/>
        <v>1407.1336363636365</v>
      </c>
      <c r="F150" s="55">
        <f t="shared" si="5"/>
        <v>5.4289190631275908E-2</v>
      </c>
      <c r="G150" s="76"/>
      <c r="H150" s="77"/>
      <c r="J150" s="87"/>
      <c r="K150" s="88"/>
      <c r="L150" s="87"/>
      <c r="M150" s="92"/>
    </row>
    <row r="151" spans="1:13" ht="15.75">
      <c r="A151" s="50">
        <v>39651</v>
      </c>
      <c r="B151" s="102">
        <v>598.85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39652</v>
      </c>
      <c r="B152" s="102">
        <v>587.03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39653</v>
      </c>
      <c r="B153" s="102">
        <v>591.52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39654</v>
      </c>
      <c r="B154" s="102">
        <v>591.71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39657</v>
      </c>
      <c r="B155" s="102">
        <v>591.46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39658</v>
      </c>
      <c r="B156" s="102">
        <v>588.97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39659</v>
      </c>
      <c r="B157" s="102">
        <v>581.88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39660</v>
      </c>
      <c r="B158" s="102">
        <v>585.88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39661</v>
      </c>
      <c r="B159" s="102">
        <v>584.96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39664</v>
      </c>
      <c r="B160" s="102">
        <v>574.52</v>
      </c>
      <c r="C160" s="52"/>
      <c r="D160" s="95"/>
      <c r="E160" s="52"/>
      <c r="F160" s="52"/>
      <c r="G160" s="52"/>
      <c r="H160" s="52"/>
    </row>
    <row r="161" spans="1:8" ht="15.75">
      <c r="A161" s="50">
        <v>39665</v>
      </c>
      <c r="B161" s="102">
        <v>565.86</v>
      </c>
      <c r="C161" s="52"/>
      <c r="D161" s="95"/>
      <c r="E161" s="52"/>
      <c r="F161" s="52"/>
      <c r="G161" s="52"/>
      <c r="H161" s="52"/>
    </row>
    <row r="162" spans="1:8" ht="15.75">
      <c r="A162" s="50">
        <v>39666</v>
      </c>
      <c r="B162" s="102">
        <v>570.65</v>
      </c>
      <c r="C162" s="52"/>
      <c r="D162" s="95"/>
      <c r="E162" s="52"/>
      <c r="F162" s="52"/>
      <c r="G162" s="52"/>
      <c r="H162" s="52"/>
    </row>
    <row r="163" spans="1:8" ht="15.75">
      <c r="A163" s="50">
        <v>39667</v>
      </c>
      <c r="B163" s="102">
        <v>569.16999999999996</v>
      </c>
      <c r="C163" s="52"/>
      <c r="D163" s="95"/>
      <c r="E163" s="52"/>
      <c r="F163" s="52"/>
      <c r="G163" s="52"/>
      <c r="H163" s="52"/>
    </row>
    <row r="164" spans="1:8" ht="15.75">
      <c r="A164" s="50">
        <v>39668</v>
      </c>
      <c r="B164" s="102">
        <v>570.66999999999996</v>
      </c>
      <c r="C164" s="52"/>
      <c r="D164" s="52"/>
      <c r="E164" s="52"/>
      <c r="F164" s="52"/>
      <c r="G164" s="52"/>
      <c r="H164" s="52"/>
    </row>
    <row r="165" spans="1:8" ht="15.75">
      <c r="A165" s="50">
        <v>39671</v>
      </c>
      <c r="B165" s="102">
        <v>552.80999999999995</v>
      </c>
      <c r="C165" s="52"/>
      <c r="D165" s="52"/>
      <c r="E165" s="52"/>
      <c r="F165" s="52"/>
      <c r="G165" s="52"/>
      <c r="H165" s="52"/>
    </row>
    <row r="166" spans="1:8" ht="15.75">
      <c r="A166" s="50">
        <v>39672</v>
      </c>
      <c r="B166" s="102">
        <v>544.22</v>
      </c>
      <c r="C166" s="52"/>
      <c r="D166" s="52"/>
      <c r="E166" s="52"/>
      <c r="F166" s="52"/>
      <c r="G166" s="52"/>
      <c r="H166" s="52"/>
    </row>
    <row r="167" spans="1:8" ht="15.75">
      <c r="A167" s="50">
        <v>39673</v>
      </c>
      <c r="B167" s="102">
        <v>553.95000000000005</v>
      </c>
      <c r="C167" s="52"/>
      <c r="D167" s="52"/>
      <c r="E167" s="52"/>
      <c r="F167" s="52"/>
      <c r="G167" s="52"/>
      <c r="H167" s="52"/>
    </row>
    <row r="168" spans="1:8" ht="15.75">
      <c r="A168" s="50">
        <v>39674</v>
      </c>
      <c r="B168" s="102">
        <v>544.96</v>
      </c>
      <c r="C168" s="52"/>
      <c r="D168" s="52"/>
      <c r="E168" s="52"/>
      <c r="F168" s="52"/>
      <c r="G168" s="52"/>
      <c r="H168" s="52"/>
    </row>
    <row r="169" spans="1:8" ht="15.75">
      <c r="A169" s="50">
        <v>39675</v>
      </c>
      <c r="B169" s="102">
        <v>535.51</v>
      </c>
      <c r="C169" s="52"/>
      <c r="D169" s="52"/>
      <c r="E169" s="52"/>
      <c r="F169" s="52"/>
      <c r="G169" s="52"/>
      <c r="H169" s="52"/>
    </row>
    <row r="170" spans="1:8" ht="15.75">
      <c r="A170" s="50">
        <v>39678</v>
      </c>
      <c r="B170" s="102">
        <v>544.59</v>
      </c>
      <c r="C170" s="52"/>
      <c r="D170" s="52"/>
      <c r="E170" s="52"/>
      <c r="F170" s="52"/>
      <c r="G170" s="52"/>
      <c r="H170" s="52"/>
    </row>
    <row r="171" spans="1:8" ht="15.75">
      <c r="A171" s="50">
        <v>39679</v>
      </c>
      <c r="B171" s="102">
        <v>550.84</v>
      </c>
      <c r="C171" s="52"/>
      <c r="D171" s="52"/>
      <c r="E171" s="52"/>
      <c r="F171" s="52"/>
      <c r="G171" s="52"/>
      <c r="H171" s="52"/>
    </row>
    <row r="172" spans="1:8" ht="15.75">
      <c r="A172" s="50">
        <v>39680</v>
      </c>
      <c r="B172" s="102">
        <v>551.85</v>
      </c>
      <c r="C172" s="52"/>
      <c r="D172" s="52"/>
      <c r="E172" s="52"/>
      <c r="F172" s="52"/>
      <c r="G172" s="52"/>
      <c r="H172" s="52"/>
    </row>
    <row r="173" spans="1:8" ht="15.75">
      <c r="A173" s="50">
        <v>39681</v>
      </c>
      <c r="B173" s="102">
        <v>561.49</v>
      </c>
      <c r="C173" s="52"/>
      <c r="D173" s="52"/>
      <c r="E173" s="52"/>
      <c r="F173" s="52"/>
      <c r="G173" s="52"/>
      <c r="H173" s="52"/>
    </row>
    <row r="174" spans="1:8" ht="15.75">
      <c r="A174" s="50">
        <v>39682</v>
      </c>
      <c r="B174" s="102">
        <v>556.41</v>
      </c>
      <c r="C174" s="52"/>
      <c r="D174" s="52"/>
      <c r="E174" s="52"/>
      <c r="F174" s="52"/>
      <c r="G174" s="52"/>
      <c r="H174" s="52"/>
    </row>
    <row r="175" spans="1:8" ht="15.75">
      <c r="A175" s="50">
        <v>39685</v>
      </c>
      <c r="B175" s="102">
        <v>557.20000000000005</v>
      </c>
      <c r="C175" s="52"/>
      <c r="D175" s="52"/>
      <c r="E175" s="52"/>
      <c r="F175" s="52"/>
      <c r="G175" s="52"/>
      <c r="H175" s="52"/>
    </row>
    <row r="176" spans="1:8" ht="15.75">
      <c r="A176" s="50">
        <v>39686</v>
      </c>
      <c r="B176" s="102">
        <v>563.1</v>
      </c>
      <c r="C176" s="52"/>
      <c r="D176" s="52"/>
      <c r="E176" s="52"/>
      <c r="F176" s="52"/>
      <c r="G176" s="52"/>
      <c r="H176" s="52"/>
    </row>
    <row r="177" spans="1:8" ht="15.75">
      <c r="A177" s="50">
        <v>39687</v>
      </c>
      <c r="B177" s="102">
        <v>561.91</v>
      </c>
      <c r="C177" s="52"/>
      <c r="D177" s="52"/>
      <c r="E177" s="52"/>
      <c r="F177" s="52"/>
      <c r="G177" s="52"/>
      <c r="H177" s="52"/>
    </row>
    <row r="178" spans="1:8" ht="15.75">
      <c r="A178" s="50">
        <v>39688</v>
      </c>
      <c r="B178" s="102">
        <v>567.75</v>
      </c>
      <c r="C178" s="52"/>
      <c r="D178" s="52"/>
      <c r="E178" s="52"/>
      <c r="F178" s="52"/>
      <c r="G178" s="52"/>
      <c r="H178" s="52"/>
    </row>
    <row r="179" spans="1:8" ht="15.75">
      <c r="A179" s="50">
        <v>39689</v>
      </c>
      <c r="B179" s="102">
        <v>566.48</v>
      </c>
      <c r="C179" s="52"/>
      <c r="D179" s="52"/>
      <c r="E179" s="52"/>
      <c r="F179" s="52"/>
      <c r="G179" s="52"/>
      <c r="H179" s="52"/>
    </row>
    <row r="180" spans="1:8" ht="15.75">
      <c r="A180" s="50">
        <v>39692</v>
      </c>
      <c r="B180" s="102">
        <v>560.84</v>
      </c>
      <c r="C180" s="52"/>
      <c r="D180" s="52"/>
      <c r="E180" s="52"/>
      <c r="F180" s="52"/>
      <c r="G180" s="52"/>
      <c r="H180" s="52"/>
    </row>
    <row r="181" spans="1:8" ht="15.75">
      <c r="A181" s="50">
        <v>39693</v>
      </c>
      <c r="B181" s="102">
        <v>554.87</v>
      </c>
      <c r="C181" s="52"/>
      <c r="D181" s="52"/>
      <c r="E181" s="52"/>
      <c r="F181" s="52"/>
      <c r="G181" s="52"/>
      <c r="H181" s="52"/>
    </row>
    <row r="182" spans="1:8" ht="15.75">
      <c r="A182" s="50">
        <v>39694</v>
      </c>
      <c r="B182" s="102">
        <v>552.85</v>
      </c>
      <c r="C182" s="52"/>
      <c r="D182" s="52"/>
      <c r="E182" s="52"/>
      <c r="F182" s="52"/>
      <c r="G182" s="52"/>
      <c r="H182" s="52"/>
    </row>
    <row r="183" spans="1:8" ht="15.75">
      <c r="A183" s="50">
        <v>39695</v>
      </c>
      <c r="B183" s="102">
        <v>558.55999999999995</v>
      </c>
      <c r="C183" s="52"/>
      <c r="D183" s="52"/>
      <c r="E183" s="52"/>
      <c r="F183" s="52"/>
      <c r="G183" s="52"/>
      <c r="H183" s="52"/>
    </row>
    <row r="184" spans="1:8" ht="15.75">
      <c r="A184" s="50">
        <v>39696</v>
      </c>
      <c r="B184" s="102">
        <v>562.91999999999996</v>
      </c>
      <c r="C184" s="52"/>
      <c r="D184" s="52"/>
      <c r="E184" s="52"/>
      <c r="F184" s="52"/>
      <c r="G184" s="52"/>
      <c r="H184" s="52"/>
    </row>
    <row r="185" spans="1:8" ht="15.75">
      <c r="A185" s="50">
        <v>39699</v>
      </c>
      <c r="B185" s="102">
        <v>568.32000000000005</v>
      </c>
      <c r="C185" s="52"/>
      <c r="D185" s="52"/>
      <c r="E185" s="52"/>
      <c r="F185" s="52"/>
      <c r="G185" s="52"/>
      <c r="H185" s="52"/>
    </row>
    <row r="186" spans="1:8" ht="15.75">
      <c r="A186" s="50">
        <v>39700</v>
      </c>
      <c r="B186" s="102">
        <v>550.4</v>
      </c>
      <c r="C186" s="52"/>
      <c r="D186" s="52"/>
      <c r="E186" s="52"/>
      <c r="F186" s="52"/>
      <c r="G186" s="52"/>
      <c r="H186" s="52"/>
    </row>
    <row r="187" spans="1:8" ht="15.75">
      <c r="A187" s="50">
        <v>39701</v>
      </c>
      <c r="B187" s="102">
        <v>538.77</v>
      </c>
      <c r="C187" s="52"/>
      <c r="D187" s="52"/>
      <c r="E187" s="52"/>
      <c r="F187" s="52"/>
      <c r="G187" s="52"/>
      <c r="H187" s="52"/>
    </row>
    <row r="188" spans="1:8" ht="15.75">
      <c r="A188" s="50">
        <v>39702</v>
      </c>
      <c r="B188" s="102">
        <v>533.5</v>
      </c>
      <c r="C188" s="52"/>
      <c r="D188" s="52"/>
      <c r="E188" s="52"/>
      <c r="F188" s="52"/>
      <c r="G188" s="52"/>
      <c r="H188" s="52"/>
    </row>
    <row r="189" spans="1:8" ht="15.75">
      <c r="A189" s="50">
        <v>39703</v>
      </c>
      <c r="B189" s="102">
        <v>537.41999999999996</v>
      </c>
      <c r="C189" s="52"/>
      <c r="D189" s="52"/>
      <c r="E189" s="52"/>
      <c r="F189" s="52"/>
      <c r="G189" s="52"/>
      <c r="H189" s="52"/>
    </row>
    <row r="190" spans="1:8" ht="15.75">
      <c r="A190" s="50">
        <v>39706</v>
      </c>
      <c r="B190" s="102">
        <v>551.91</v>
      </c>
      <c r="C190" s="52"/>
      <c r="D190" s="52"/>
      <c r="E190" s="52"/>
      <c r="F190" s="52"/>
      <c r="G190" s="52"/>
      <c r="H190" s="52"/>
    </row>
    <row r="191" spans="1:8" ht="15.75">
      <c r="A191" s="50">
        <v>39707</v>
      </c>
      <c r="B191" s="102">
        <v>552.29999999999995</v>
      </c>
      <c r="C191" s="52"/>
      <c r="D191" s="52"/>
      <c r="E191" s="52"/>
      <c r="F191" s="52"/>
      <c r="G191" s="52"/>
      <c r="H191" s="52"/>
    </row>
    <row r="192" spans="1:8" ht="15.75">
      <c r="A192" s="50">
        <v>39708</v>
      </c>
      <c r="B192" s="102">
        <v>603.32000000000005</v>
      </c>
      <c r="C192" s="52"/>
      <c r="D192" s="52"/>
      <c r="E192" s="52"/>
      <c r="F192" s="52"/>
      <c r="G192" s="52"/>
      <c r="H192" s="52"/>
    </row>
    <row r="193" spans="1:8" ht="15.75">
      <c r="A193" s="50">
        <v>39709</v>
      </c>
      <c r="B193" s="102">
        <v>594.94000000000005</v>
      </c>
      <c r="C193" s="52"/>
      <c r="D193" s="52"/>
      <c r="E193" s="52"/>
      <c r="F193" s="52"/>
      <c r="G193" s="52"/>
      <c r="H193" s="52"/>
    </row>
    <row r="194" spans="1:8" ht="15.75">
      <c r="A194" s="50">
        <v>39710</v>
      </c>
      <c r="B194" s="102">
        <v>603.84</v>
      </c>
      <c r="C194" s="52"/>
      <c r="D194" s="52"/>
      <c r="E194" s="52"/>
      <c r="F194" s="52"/>
      <c r="G194" s="52"/>
      <c r="H194" s="52"/>
    </row>
    <row r="195" spans="1:8" ht="15.75">
      <c r="A195" s="50">
        <v>39713</v>
      </c>
      <c r="B195" s="102">
        <v>606.94000000000005</v>
      </c>
      <c r="C195" s="52"/>
      <c r="D195" s="52"/>
      <c r="E195" s="52"/>
      <c r="F195" s="52"/>
      <c r="G195" s="52"/>
      <c r="H195" s="52"/>
    </row>
    <row r="196" spans="1:8" ht="15.75">
      <c r="A196" s="50">
        <v>39714</v>
      </c>
      <c r="B196" s="102">
        <v>608.1</v>
      </c>
      <c r="C196" s="52"/>
      <c r="D196" s="52"/>
      <c r="E196" s="52"/>
      <c r="F196" s="52"/>
      <c r="G196" s="52"/>
      <c r="H196" s="52"/>
    </row>
    <row r="197" spans="1:8" ht="15.75">
      <c r="A197" s="50">
        <v>39715</v>
      </c>
      <c r="B197" s="102">
        <v>603.55999999999995</v>
      </c>
      <c r="C197" s="52"/>
      <c r="D197" s="52"/>
      <c r="E197" s="52"/>
      <c r="F197" s="52"/>
      <c r="G197" s="52"/>
      <c r="H197" s="52"/>
    </row>
    <row r="198" spans="1:8" ht="15.75">
      <c r="A198" s="50">
        <v>39716</v>
      </c>
      <c r="B198" s="102">
        <v>600.08000000000004</v>
      </c>
      <c r="C198" s="52"/>
      <c r="D198" s="52"/>
      <c r="E198" s="52"/>
      <c r="F198" s="52"/>
      <c r="G198" s="52"/>
      <c r="H198" s="52"/>
    </row>
    <row r="199" spans="1:8" ht="15.75">
      <c r="A199" s="50">
        <v>39717</v>
      </c>
      <c r="B199" s="102">
        <v>602.38</v>
      </c>
      <c r="C199" s="52"/>
      <c r="D199" s="52"/>
      <c r="E199" s="52"/>
      <c r="F199" s="52"/>
      <c r="G199" s="52"/>
      <c r="H199" s="52"/>
    </row>
    <row r="200" spans="1:8" ht="15.75">
      <c r="A200" s="50">
        <v>39720</v>
      </c>
      <c r="B200" s="102">
        <v>628.62</v>
      </c>
      <c r="C200" s="52"/>
      <c r="D200" s="52"/>
      <c r="E200" s="52"/>
      <c r="F200" s="52"/>
      <c r="G200" s="52"/>
      <c r="H200" s="52"/>
    </row>
    <row r="201" spans="1:8" ht="15.75">
      <c r="A201" s="50">
        <v>39721</v>
      </c>
      <c r="B201" s="102">
        <v>617.70000000000005</v>
      </c>
      <c r="C201" s="52"/>
      <c r="D201" s="52"/>
      <c r="E201" s="52"/>
      <c r="F201" s="52"/>
      <c r="G201" s="52"/>
      <c r="H201" s="52"/>
    </row>
    <row r="202" spans="1:8" ht="15.75">
      <c r="A202" s="50">
        <v>39722</v>
      </c>
      <c r="B202" s="102">
        <v>621.55999999999995</v>
      </c>
      <c r="C202" s="52"/>
      <c r="D202" s="52"/>
      <c r="E202" s="52"/>
      <c r="F202" s="52"/>
      <c r="G202" s="52"/>
      <c r="H202" s="52"/>
    </row>
    <row r="203" spans="1:8" ht="15.75">
      <c r="A203" s="50">
        <v>39723</v>
      </c>
      <c r="B203" s="102">
        <v>606.48</v>
      </c>
      <c r="C203" s="52"/>
      <c r="D203" s="52"/>
      <c r="E203" s="52"/>
      <c r="F203" s="52"/>
      <c r="G203" s="52"/>
      <c r="H203" s="52"/>
    </row>
    <row r="204" spans="1:8" ht="15.75">
      <c r="A204" s="50">
        <v>39724</v>
      </c>
      <c r="B204" s="102">
        <v>607.12</v>
      </c>
      <c r="C204" s="52"/>
      <c r="D204" s="52"/>
      <c r="E204" s="52"/>
      <c r="F204" s="52"/>
      <c r="G204" s="52"/>
      <c r="H204" s="52"/>
    </row>
    <row r="205" spans="1:8" ht="15.75">
      <c r="A205" s="50">
        <v>39727</v>
      </c>
      <c r="B205" s="102">
        <v>637.01</v>
      </c>
      <c r="C205" s="52"/>
      <c r="D205" s="52"/>
      <c r="E205" s="52"/>
      <c r="F205" s="52"/>
      <c r="G205" s="52"/>
      <c r="H205" s="52"/>
    </row>
    <row r="206" spans="1:8" ht="15.75">
      <c r="A206" s="50">
        <v>39728</v>
      </c>
      <c r="B206" s="102">
        <v>652.54</v>
      </c>
      <c r="C206" s="52"/>
      <c r="D206" s="52"/>
      <c r="E206" s="52"/>
      <c r="F206" s="52"/>
      <c r="G206" s="52"/>
      <c r="H206" s="52"/>
    </row>
    <row r="207" spans="1:8" ht="15.75">
      <c r="A207" s="50">
        <v>39729</v>
      </c>
      <c r="B207" s="102">
        <v>666.45</v>
      </c>
      <c r="C207" s="52"/>
      <c r="D207" s="52"/>
      <c r="E207" s="52"/>
      <c r="F207" s="52"/>
      <c r="G207" s="52"/>
      <c r="H207" s="52"/>
    </row>
    <row r="208" spans="1:8" ht="15.75">
      <c r="A208" s="50">
        <v>39730</v>
      </c>
      <c r="B208" s="102">
        <v>671.79</v>
      </c>
      <c r="C208" s="52"/>
      <c r="D208" s="52"/>
      <c r="E208" s="52"/>
      <c r="F208" s="52"/>
      <c r="G208" s="52"/>
      <c r="H208" s="52"/>
    </row>
    <row r="209" spans="1:8" ht="15.75">
      <c r="A209" s="50">
        <v>39731</v>
      </c>
      <c r="B209" s="102">
        <v>635.55999999999995</v>
      </c>
      <c r="C209" s="52"/>
      <c r="D209" s="52"/>
      <c r="E209" s="52"/>
      <c r="F209" s="52"/>
      <c r="G209" s="52"/>
      <c r="H209" s="52"/>
    </row>
    <row r="210" spans="1:8" ht="15.75">
      <c r="A210" s="50">
        <v>39734</v>
      </c>
      <c r="B210" s="102">
        <v>615.23</v>
      </c>
      <c r="C210" s="52"/>
      <c r="D210" s="52"/>
      <c r="E210" s="52"/>
      <c r="F210" s="52"/>
      <c r="G210" s="52"/>
      <c r="H210" s="52"/>
    </row>
    <row r="211" spans="1:8" ht="15.75">
      <c r="A211" s="50">
        <v>39735</v>
      </c>
      <c r="B211" s="102">
        <v>617.33000000000004</v>
      </c>
      <c r="C211" s="52"/>
      <c r="D211" s="52"/>
      <c r="E211" s="52"/>
      <c r="F211" s="52"/>
      <c r="G211" s="52"/>
      <c r="H211" s="52"/>
    </row>
    <row r="212" spans="1:8" ht="15.75">
      <c r="A212" s="50">
        <v>39736</v>
      </c>
      <c r="B212" s="102">
        <v>629.24</v>
      </c>
      <c r="C212" s="52"/>
      <c r="D212" s="52"/>
      <c r="E212" s="52"/>
      <c r="F212" s="52"/>
      <c r="G212" s="52"/>
      <c r="H212" s="52"/>
    </row>
    <row r="213" spans="1:8" ht="15.75">
      <c r="A213" s="50">
        <v>39737</v>
      </c>
      <c r="B213" s="102">
        <v>594.73</v>
      </c>
      <c r="C213" s="52"/>
      <c r="D213" s="52"/>
      <c r="E213" s="52"/>
      <c r="F213" s="52"/>
      <c r="G213" s="52"/>
      <c r="H213" s="52"/>
    </row>
    <row r="214" spans="1:8" ht="15.75">
      <c r="A214" s="50">
        <v>39738</v>
      </c>
      <c r="B214" s="102">
        <v>584.41</v>
      </c>
      <c r="C214" s="52"/>
      <c r="D214" s="52"/>
      <c r="E214" s="52"/>
      <c r="F214" s="52"/>
      <c r="G214" s="52"/>
      <c r="H214" s="52"/>
    </row>
    <row r="215" spans="1:8" ht="15.75">
      <c r="A215" s="50">
        <v>39741</v>
      </c>
      <c r="B215" s="102">
        <v>597.07000000000005</v>
      </c>
      <c r="C215" s="52"/>
      <c r="D215" s="52"/>
      <c r="E215" s="52"/>
      <c r="F215" s="52"/>
      <c r="G215" s="52"/>
      <c r="H215" s="52"/>
    </row>
    <row r="216" spans="1:8" ht="15.75">
      <c r="A216" s="50">
        <v>39742</v>
      </c>
      <c r="B216" s="102">
        <v>594.45000000000005</v>
      </c>
      <c r="C216" s="52"/>
      <c r="D216" s="52"/>
      <c r="E216" s="52"/>
      <c r="F216" s="52"/>
      <c r="G216" s="52"/>
      <c r="H216" s="52"/>
    </row>
    <row r="217" spans="1:8" ht="15.75">
      <c r="A217" s="50">
        <v>39743</v>
      </c>
      <c r="B217" s="102">
        <v>565.92999999999995</v>
      </c>
      <c r="C217" s="52"/>
      <c r="D217" s="52"/>
      <c r="E217" s="52"/>
      <c r="F217" s="52"/>
      <c r="G217" s="52"/>
      <c r="H217" s="52"/>
    </row>
    <row r="218" spans="1:8" ht="15.75">
      <c r="A218" s="50">
        <v>39744</v>
      </c>
      <c r="B218" s="102">
        <v>558.66999999999996</v>
      </c>
      <c r="C218" s="52"/>
      <c r="D218" s="52"/>
      <c r="E218" s="52"/>
      <c r="F218" s="52"/>
      <c r="G218" s="52"/>
      <c r="H218" s="52"/>
    </row>
    <row r="219" spans="1:8" ht="15.75">
      <c r="A219" s="50">
        <v>39745</v>
      </c>
      <c r="B219" s="102">
        <v>582.71</v>
      </c>
      <c r="C219" s="52"/>
      <c r="D219" s="52"/>
      <c r="E219" s="52"/>
      <c r="F219" s="52"/>
      <c r="G219" s="52"/>
      <c r="H219" s="52"/>
    </row>
    <row r="220" spans="1:8" ht="15.75">
      <c r="A220" s="50">
        <v>39748</v>
      </c>
      <c r="B220" s="102">
        <v>588.49</v>
      </c>
      <c r="C220" s="52"/>
      <c r="D220" s="52"/>
      <c r="E220" s="52"/>
      <c r="F220" s="52"/>
      <c r="G220" s="52"/>
      <c r="H220" s="52"/>
    </row>
    <row r="221" spans="1:8" ht="15.75">
      <c r="A221" s="50">
        <v>39749</v>
      </c>
      <c r="B221" s="102">
        <v>589.72</v>
      </c>
      <c r="C221" s="52"/>
      <c r="D221" s="52"/>
      <c r="E221" s="52"/>
      <c r="F221" s="52"/>
      <c r="G221" s="52"/>
      <c r="H221" s="52"/>
    </row>
    <row r="222" spans="1:8" ht="15.75">
      <c r="A222" s="50">
        <v>39750</v>
      </c>
      <c r="B222" s="102">
        <v>586.79999999999995</v>
      </c>
      <c r="C222" s="52"/>
      <c r="D222" s="52"/>
      <c r="E222" s="52"/>
      <c r="F222" s="52"/>
      <c r="G222" s="52"/>
      <c r="H222" s="52"/>
    </row>
    <row r="223" spans="1:8" ht="15.75">
      <c r="A223" s="50">
        <v>39751</v>
      </c>
      <c r="B223" s="102">
        <v>574.13</v>
      </c>
      <c r="C223" s="52"/>
      <c r="D223" s="52"/>
      <c r="E223" s="52"/>
      <c r="F223" s="52"/>
      <c r="G223" s="52"/>
      <c r="H223" s="52"/>
    </row>
    <row r="224" spans="1:8" ht="15.75">
      <c r="A224" s="50">
        <v>39752</v>
      </c>
      <c r="B224" s="102">
        <v>569.25</v>
      </c>
      <c r="C224" s="52"/>
      <c r="D224" s="52"/>
      <c r="E224" s="52"/>
      <c r="F224" s="52"/>
      <c r="G224" s="52"/>
      <c r="H224" s="52"/>
    </row>
    <row r="225" spans="1:8" ht="15.75">
      <c r="A225" s="50">
        <v>39755</v>
      </c>
      <c r="B225" s="102">
        <v>577.44000000000005</v>
      </c>
      <c r="C225" s="52"/>
      <c r="D225" s="52"/>
      <c r="E225" s="52"/>
      <c r="F225" s="52"/>
      <c r="G225" s="52"/>
      <c r="H225" s="52"/>
    </row>
    <row r="226" spans="1:8" ht="15.75">
      <c r="A226" s="50">
        <v>39756</v>
      </c>
      <c r="B226" s="102">
        <v>589.15</v>
      </c>
      <c r="C226" s="52"/>
      <c r="D226" s="52"/>
      <c r="E226" s="52"/>
      <c r="F226" s="52"/>
      <c r="G226" s="52"/>
      <c r="H226" s="52"/>
    </row>
    <row r="227" spans="1:8" ht="15.75">
      <c r="A227" s="50">
        <v>39757</v>
      </c>
      <c r="B227" s="102">
        <v>575.77</v>
      </c>
      <c r="C227" s="52"/>
      <c r="D227" s="52"/>
      <c r="E227" s="52"/>
      <c r="F227" s="52"/>
      <c r="G227" s="52"/>
      <c r="H227" s="52"/>
    </row>
    <row r="228" spans="1:8" ht="15.75">
      <c r="A228" s="50">
        <v>39758</v>
      </c>
      <c r="B228" s="102">
        <v>577.77</v>
      </c>
      <c r="C228" s="52"/>
      <c r="D228" s="52"/>
      <c r="E228" s="52"/>
      <c r="F228" s="52"/>
      <c r="G228" s="52"/>
      <c r="H228" s="52"/>
    </row>
    <row r="229" spans="1:8" ht="15.75">
      <c r="A229" s="50">
        <v>39759</v>
      </c>
      <c r="B229" s="102">
        <v>579.61</v>
      </c>
      <c r="C229" s="52"/>
      <c r="D229" s="52"/>
      <c r="E229" s="52"/>
      <c r="F229" s="52"/>
      <c r="G229" s="52"/>
      <c r="H229" s="52"/>
    </row>
    <row r="230" spans="1:8" ht="15.75">
      <c r="A230" s="50">
        <v>39762</v>
      </c>
      <c r="B230" s="102">
        <v>585.9</v>
      </c>
      <c r="C230" s="52"/>
      <c r="D230" s="52"/>
      <c r="E230" s="52"/>
      <c r="F230" s="52"/>
      <c r="G230" s="52"/>
      <c r="H230" s="52"/>
    </row>
    <row r="231" spans="1:8" ht="15.75">
      <c r="A231" s="50">
        <v>39763</v>
      </c>
      <c r="B231" s="102">
        <v>584.70000000000005</v>
      </c>
      <c r="C231" s="52"/>
      <c r="D231" s="52"/>
      <c r="E231" s="52"/>
      <c r="F231" s="52"/>
      <c r="G231" s="52"/>
      <c r="H231" s="52"/>
    </row>
    <row r="232" spans="1:8" ht="15.75">
      <c r="A232" s="50">
        <v>39764</v>
      </c>
      <c r="B232" s="102">
        <v>572.52</v>
      </c>
      <c r="C232" s="52"/>
      <c r="D232" s="52"/>
      <c r="E232" s="52"/>
      <c r="F232" s="52"/>
      <c r="G232" s="52"/>
      <c r="H232" s="52"/>
    </row>
    <row r="233" spans="1:8" ht="15.75">
      <c r="A233" s="50">
        <v>39765</v>
      </c>
      <c r="B233" s="102">
        <v>575.09</v>
      </c>
      <c r="C233" s="52"/>
      <c r="D233" s="52"/>
      <c r="E233" s="52"/>
      <c r="F233" s="52"/>
      <c r="G233" s="52"/>
      <c r="H233" s="52"/>
    </row>
    <row r="234" spans="1:8" ht="15.75">
      <c r="A234" s="50">
        <v>39766</v>
      </c>
      <c r="B234" s="102">
        <v>590.19000000000005</v>
      </c>
      <c r="C234" s="52"/>
      <c r="D234" s="52"/>
      <c r="E234" s="52"/>
      <c r="F234" s="52"/>
      <c r="G234" s="52"/>
      <c r="H234" s="52"/>
    </row>
    <row r="235" spans="1:8" ht="15.75">
      <c r="A235" s="50">
        <v>39769</v>
      </c>
      <c r="B235" s="102">
        <v>584.71</v>
      </c>
      <c r="C235" s="52"/>
      <c r="D235" s="52"/>
      <c r="E235" s="52"/>
      <c r="F235" s="52"/>
      <c r="G235" s="52"/>
      <c r="H235" s="52"/>
    </row>
    <row r="236" spans="1:8" ht="15.75">
      <c r="A236" s="50">
        <v>39770</v>
      </c>
      <c r="B236" s="102">
        <v>584.54999999999995</v>
      </c>
      <c r="C236" s="52"/>
      <c r="D236" s="52"/>
      <c r="E236" s="52"/>
      <c r="F236" s="52"/>
      <c r="G236" s="52"/>
      <c r="H236" s="52"/>
    </row>
    <row r="237" spans="1:8" ht="15.75">
      <c r="A237" s="50">
        <v>39771</v>
      </c>
      <c r="B237" s="102">
        <v>589.25</v>
      </c>
      <c r="C237" s="52"/>
      <c r="D237" s="52"/>
      <c r="E237" s="52"/>
      <c r="F237" s="52"/>
      <c r="G237" s="52"/>
      <c r="H237" s="52"/>
    </row>
    <row r="238" spans="1:8" ht="15.75">
      <c r="A238" s="50">
        <v>39772</v>
      </c>
      <c r="B238" s="102">
        <v>598.03</v>
      </c>
      <c r="C238" s="52"/>
      <c r="D238" s="52"/>
      <c r="E238" s="52"/>
      <c r="F238" s="52"/>
      <c r="G238" s="52"/>
      <c r="H238" s="52"/>
    </row>
    <row r="239" spans="1:8" ht="15.75">
      <c r="A239" s="50">
        <v>39773</v>
      </c>
      <c r="B239" s="102">
        <v>636.63</v>
      </c>
      <c r="C239" s="52"/>
      <c r="D239" s="52"/>
      <c r="E239" s="52"/>
      <c r="F239" s="52"/>
      <c r="G239" s="52"/>
      <c r="H239" s="52"/>
    </row>
    <row r="240" spans="1:8" ht="15.75">
      <c r="A240" s="50">
        <v>39776</v>
      </c>
      <c r="B240" s="102">
        <v>631.76</v>
      </c>
      <c r="C240" s="52"/>
      <c r="D240" s="52"/>
      <c r="E240" s="52"/>
      <c r="F240" s="52"/>
      <c r="G240" s="52"/>
      <c r="H240" s="52"/>
    </row>
    <row r="241" spans="1:8" ht="15.75">
      <c r="A241" s="50">
        <v>39777</v>
      </c>
      <c r="B241" s="102">
        <v>627.02</v>
      </c>
      <c r="C241" s="52"/>
      <c r="D241" s="52"/>
      <c r="E241" s="52"/>
      <c r="F241" s="52"/>
      <c r="G241" s="52"/>
      <c r="H241" s="52"/>
    </row>
    <row r="242" spans="1:8" ht="15.75">
      <c r="A242" s="50">
        <v>39778</v>
      </c>
      <c r="B242" s="102">
        <v>630.1</v>
      </c>
      <c r="C242" s="52"/>
      <c r="D242" s="52"/>
      <c r="E242" s="52"/>
      <c r="F242" s="52"/>
      <c r="G242" s="52"/>
      <c r="H242" s="52"/>
    </row>
    <row r="243" spans="1:8" ht="15.75">
      <c r="A243" s="50">
        <v>39779</v>
      </c>
      <c r="B243" s="102">
        <v>632.73</v>
      </c>
      <c r="C243" s="52"/>
      <c r="D243" s="52"/>
      <c r="E243" s="52"/>
      <c r="F243" s="52"/>
      <c r="G243" s="52"/>
      <c r="H243" s="52"/>
    </row>
    <row r="244" spans="1:8" ht="15.75">
      <c r="A244" s="50">
        <v>39780</v>
      </c>
      <c r="B244" s="102">
        <v>644.54999999999995</v>
      </c>
      <c r="C244" s="52"/>
      <c r="D244" s="52"/>
      <c r="E244" s="52"/>
      <c r="F244" s="52"/>
      <c r="G244" s="52"/>
      <c r="H244" s="52"/>
    </row>
    <row r="245" spans="1:8" ht="15.75">
      <c r="A245" s="50">
        <v>39783</v>
      </c>
      <c r="B245" s="102">
        <v>610.67999999999995</v>
      </c>
      <c r="C245" s="52"/>
      <c r="D245" s="52"/>
      <c r="E245" s="52"/>
      <c r="F245" s="52"/>
      <c r="G245" s="52"/>
      <c r="H245" s="52"/>
    </row>
    <row r="246" spans="1:8" ht="15.75">
      <c r="A246" s="50">
        <v>39784</v>
      </c>
      <c r="B246" s="102">
        <v>611.02</v>
      </c>
      <c r="C246" s="52"/>
      <c r="D246" s="52"/>
      <c r="E246" s="52"/>
      <c r="F246" s="52"/>
      <c r="G246" s="52"/>
      <c r="H246" s="52"/>
    </row>
    <row r="247" spans="1:8" ht="15.75">
      <c r="A247" s="50">
        <v>39785</v>
      </c>
      <c r="B247" s="102">
        <v>609.96</v>
      </c>
      <c r="C247" s="52"/>
      <c r="D247" s="52"/>
      <c r="E247" s="52"/>
      <c r="F247" s="52"/>
      <c r="G247" s="52"/>
      <c r="H247" s="52"/>
    </row>
    <row r="248" spans="1:8" ht="15.75">
      <c r="A248" s="50">
        <v>39786</v>
      </c>
      <c r="B248" s="102">
        <v>600.57000000000005</v>
      </c>
      <c r="C248" s="52"/>
      <c r="D248" s="52"/>
      <c r="E248" s="52"/>
      <c r="F248" s="52"/>
      <c r="G248" s="52"/>
      <c r="H248" s="52"/>
    </row>
    <row r="249" spans="1:8" ht="15.75">
      <c r="A249" s="50">
        <v>39787</v>
      </c>
      <c r="B249" s="102">
        <v>594.32000000000005</v>
      </c>
      <c r="C249" s="52"/>
      <c r="D249" s="52"/>
      <c r="E249" s="52"/>
      <c r="F249" s="52"/>
      <c r="G249" s="52"/>
      <c r="H249" s="52"/>
    </row>
    <row r="250" spans="1:8" ht="15.75">
      <c r="A250" s="50">
        <v>39790</v>
      </c>
      <c r="B250" s="102">
        <v>597.87</v>
      </c>
      <c r="C250" s="52"/>
      <c r="D250" s="52"/>
      <c r="E250" s="52"/>
      <c r="F250" s="52"/>
      <c r="G250" s="52"/>
      <c r="H250" s="52"/>
    </row>
    <row r="251" spans="1:8" ht="15.75">
      <c r="A251" s="50">
        <v>39791</v>
      </c>
      <c r="B251" s="102">
        <v>600.44000000000005</v>
      </c>
      <c r="C251" s="52"/>
      <c r="D251" s="52"/>
      <c r="E251" s="52"/>
      <c r="F251" s="52"/>
      <c r="G251" s="52"/>
      <c r="H251" s="52"/>
    </row>
    <row r="252" spans="1:8" ht="15.75">
      <c r="A252" s="50">
        <v>39792</v>
      </c>
      <c r="B252" s="102">
        <v>617.67999999999995</v>
      </c>
      <c r="C252" s="52"/>
      <c r="D252" s="52"/>
      <c r="E252" s="52"/>
      <c r="F252" s="52"/>
      <c r="G252" s="52"/>
      <c r="H252" s="52"/>
    </row>
    <row r="253" spans="1:8" ht="15.75">
      <c r="A253" s="50">
        <v>39793</v>
      </c>
      <c r="B253" s="102">
        <v>615.49</v>
      </c>
      <c r="C253" s="52"/>
      <c r="D253" s="52"/>
      <c r="E253" s="52"/>
      <c r="F253" s="52"/>
      <c r="G253" s="52"/>
      <c r="H253" s="52"/>
    </row>
    <row r="254" spans="1:8" ht="15.75">
      <c r="A254" s="50">
        <v>39794</v>
      </c>
      <c r="B254" s="102">
        <v>615.49</v>
      </c>
      <c r="C254" s="52"/>
      <c r="D254" s="52"/>
      <c r="E254" s="52"/>
      <c r="F254" s="52"/>
      <c r="G254" s="52"/>
      <c r="H254" s="52"/>
    </row>
    <row r="255" spans="1:8" ht="15.75">
      <c r="A255" s="50">
        <v>39797</v>
      </c>
      <c r="B255" s="102">
        <v>610.41999999999996</v>
      </c>
      <c r="C255" s="52"/>
      <c r="D255" s="52"/>
      <c r="E255" s="52"/>
      <c r="F255" s="52"/>
      <c r="G255" s="52"/>
      <c r="H255" s="52"/>
    </row>
    <row r="256" spans="1:8" ht="15.75">
      <c r="A256" s="50">
        <v>39798</v>
      </c>
      <c r="B256" s="102">
        <v>608.27</v>
      </c>
      <c r="C256" s="52"/>
      <c r="D256" s="52"/>
      <c r="E256" s="52"/>
      <c r="F256" s="52"/>
      <c r="G256" s="52"/>
      <c r="H256" s="52"/>
    </row>
    <row r="257" spans="1:8" ht="15.75">
      <c r="A257" s="50">
        <v>39799</v>
      </c>
      <c r="B257" s="102">
        <v>600.47</v>
      </c>
      <c r="C257" s="52"/>
      <c r="D257" s="52"/>
      <c r="E257" s="52"/>
      <c r="F257" s="52"/>
      <c r="G257" s="52"/>
      <c r="H257" s="52"/>
    </row>
    <row r="258" spans="1:8" ht="15.75">
      <c r="A258" s="50">
        <v>39800</v>
      </c>
      <c r="B258" s="102">
        <v>596.63</v>
      </c>
      <c r="C258" s="52"/>
      <c r="D258" s="52"/>
      <c r="E258" s="52"/>
      <c r="F258" s="52"/>
      <c r="G258" s="52"/>
      <c r="H258" s="52"/>
    </row>
    <row r="259" spans="1:8" ht="15.75">
      <c r="A259" s="50">
        <v>39801</v>
      </c>
      <c r="B259" s="102">
        <v>602.28</v>
      </c>
      <c r="C259" s="52"/>
      <c r="D259" s="52"/>
      <c r="E259" s="52"/>
      <c r="F259" s="52"/>
      <c r="G259" s="52"/>
      <c r="H259" s="52"/>
    </row>
    <row r="260" spans="1:8" ht="15.75">
      <c r="A260" s="50">
        <v>39804</v>
      </c>
      <c r="B260" s="102">
        <v>606.77</v>
      </c>
      <c r="C260" s="52"/>
      <c r="D260" s="52"/>
      <c r="E260" s="52"/>
      <c r="F260" s="52"/>
      <c r="G260" s="52"/>
      <c r="H260" s="52"/>
    </row>
    <row r="261" spans="1:8" ht="15.75">
      <c r="A261" s="50">
        <v>39805</v>
      </c>
      <c r="B261" s="102">
        <v>601.94000000000005</v>
      </c>
      <c r="C261" s="52"/>
      <c r="D261" s="52"/>
      <c r="E261" s="52"/>
      <c r="F261" s="52"/>
      <c r="G261" s="52"/>
      <c r="H261" s="52"/>
    </row>
    <row r="262" spans="1:8" ht="15.75">
      <c r="A262" s="50">
        <v>39806</v>
      </c>
      <c r="B262" s="102">
        <v>605.26</v>
      </c>
      <c r="C262" s="52"/>
      <c r="D262" s="52"/>
      <c r="E262" s="52"/>
      <c r="F262" s="52"/>
      <c r="G262" s="52"/>
      <c r="H262" s="52"/>
    </row>
    <row r="263" spans="1:8" ht="15.75">
      <c r="A263" s="50">
        <v>39807</v>
      </c>
      <c r="B263" s="102">
        <v>603.28</v>
      </c>
      <c r="C263" s="52"/>
      <c r="D263" s="52"/>
      <c r="E263" s="52"/>
      <c r="F263" s="52"/>
      <c r="G263" s="52"/>
      <c r="H263" s="52"/>
    </row>
    <row r="264" spans="1:8" ht="15.75">
      <c r="A264" s="50">
        <v>39808</v>
      </c>
      <c r="B264" s="102">
        <v>619.47</v>
      </c>
      <c r="C264" s="52"/>
      <c r="D264" s="52"/>
      <c r="E264" s="52"/>
      <c r="F264" s="52"/>
      <c r="G264" s="52"/>
      <c r="H264" s="52"/>
    </row>
    <row r="265" spans="1:8" ht="15.75">
      <c r="A265" s="50">
        <v>39811</v>
      </c>
      <c r="B265" s="102">
        <v>631.33000000000004</v>
      </c>
      <c r="C265" s="52"/>
      <c r="D265" s="52"/>
      <c r="E265" s="52"/>
      <c r="F265" s="52"/>
      <c r="G265" s="52"/>
      <c r="H265" s="52"/>
    </row>
    <row r="266" spans="1:8" ht="15.75">
      <c r="A266" s="50">
        <v>39812</v>
      </c>
      <c r="B266" s="102">
        <v>619.76</v>
      </c>
      <c r="C266" s="52"/>
      <c r="D266" s="52"/>
      <c r="E266" s="52"/>
      <c r="F266" s="52"/>
      <c r="G266" s="52"/>
      <c r="H266" s="52"/>
    </row>
    <row r="267" spans="1:8" ht="15.75">
      <c r="A267" s="50">
        <v>39813</v>
      </c>
      <c r="B267" s="102">
        <v>629.9</v>
      </c>
      <c r="C267" s="52"/>
      <c r="D267" s="52"/>
      <c r="E267" s="52"/>
      <c r="F267" s="52"/>
      <c r="G267" s="52"/>
      <c r="H267" s="52"/>
    </row>
    <row r="268" spans="1:8" ht="15.75">
      <c r="A268" s="50">
        <v>39814</v>
      </c>
      <c r="B268" s="102">
        <v>633.25</v>
      </c>
      <c r="C268" s="52"/>
      <c r="D268" s="52"/>
      <c r="E268" s="52"/>
      <c r="F268" s="52"/>
      <c r="G268" s="52"/>
      <c r="H268" s="52"/>
    </row>
    <row r="269" spans="1:8" ht="15.75">
      <c r="A269" s="50">
        <v>39815</v>
      </c>
      <c r="B269" s="102">
        <v>628.69000000000005</v>
      </c>
      <c r="C269" s="52"/>
      <c r="D269" s="52"/>
      <c r="E269" s="52"/>
      <c r="F269" s="52"/>
      <c r="G269" s="52"/>
      <c r="H269" s="52"/>
    </row>
    <row r="270" spans="1:8" ht="15.75">
      <c r="A270" s="50">
        <v>39818</v>
      </c>
      <c r="B270" s="102">
        <v>629.44000000000005</v>
      </c>
      <c r="C270" s="52"/>
      <c r="D270" s="52"/>
      <c r="E270" s="52"/>
      <c r="F270" s="52"/>
      <c r="G270" s="52"/>
      <c r="H270" s="52"/>
    </row>
    <row r="271" spans="1:8" ht="15.75">
      <c r="A271" s="50">
        <v>39819</v>
      </c>
      <c r="B271" s="102">
        <v>638.12</v>
      </c>
      <c r="C271" s="52"/>
      <c r="D271" s="52"/>
      <c r="E271" s="52"/>
      <c r="F271" s="52"/>
      <c r="G271" s="52"/>
      <c r="H271" s="52"/>
    </row>
    <row r="272" spans="1:8" ht="15.75">
      <c r="A272" s="50">
        <v>39820</v>
      </c>
      <c r="B272" s="102">
        <v>613.6</v>
      </c>
      <c r="C272" s="52"/>
      <c r="D272" s="52"/>
      <c r="E272" s="52"/>
      <c r="F272" s="52"/>
      <c r="G272" s="52"/>
      <c r="H272" s="52"/>
    </row>
    <row r="273" spans="1:8" ht="15.75">
      <c r="A273" s="50">
        <v>39821</v>
      </c>
      <c r="B273" s="102">
        <v>624.62</v>
      </c>
      <c r="C273" s="52"/>
      <c r="D273" s="52"/>
      <c r="E273" s="52"/>
      <c r="F273" s="52"/>
      <c r="G273" s="52"/>
      <c r="H273" s="52"/>
    </row>
    <row r="274" spans="1:8" ht="15.75">
      <c r="A274" s="50">
        <v>39822</v>
      </c>
      <c r="B274" s="102">
        <v>635.17999999999995</v>
      </c>
      <c r="C274" s="52"/>
      <c r="D274" s="52"/>
      <c r="E274" s="52"/>
      <c r="F274" s="52"/>
      <c r="G274" s="52"/>
      <c r="H274" s="52"/>
    </row>
    <row r="275" spans="1:8" ht="15.75">
      <c r="A275" s="50">
        <v>39825</v>
      </c>
      <c r="B275" s="102">
        <v>614.91999999999996</v>
      </c>
      <c r="C275" s="52"/>
      <c r="D275" s="52"/>
      <c r="E275" s="52"/>
      <c r="F275" s="52"/>
      <c r="G275" s="52"/>
      <c r="H275" s="52"/>
    </row>
    <row r="276" spans="1:8" ht="15.75">
      <c r="A276" s="50">
        <v>39826</v>
      </c>
      <c r="B276" s="102">
        <v>623.16</v>
      </c>
      <c r="C276" s="52"/>
      <c r="D276" s="52"/>
      <c r="E276" s="52"/>
      <c r="F276" s="52"/>
      <c r="G276" s="52"/>
      <c r="H276" s="52"/>
    </row>
    <row r="277" spans="1:8" ht="15.75">
      <c r="A277" s="50">
        <v>39827</v>
      </c>
      <c r="B277" s="102">
        <v>618.04</v>
      </c>
      <c r="C277" s="52"/>
      <c r="D277" s="52"/>
      <c r="E277" s="52"/>
      <c r="F277" s="52"/>
      <c r="G277" s="52"/>
      <c r="H277" s="52"/>
    </row>
    <row r="278" spans="1:8" ht="15.75">
      <c r="A278" s="50">
        <v>39828</v>
      </c>
      <c r="B278" s="102">
        <v>622.58000000000004</v>
      </c>
      <c r="C278" s="52"/>
      <c r="D278" s="52"/>
      <c r="E278" s="52"/>
      <c r="F278" s="52"/>
      <c r="G278" s="52"/>
      <c r="H278" s="52"/>
    </row>
    <row r="279" spans="1:8" ht="15.75">
      <c r="A279" s="50">
        <v>39829</v>
      </c>
      <c r="B279" s="102">
        <v>635.5</v>
      </c>
      <c r="C279" s="52"/>
      <c r="D279" s="52"/>
      <c r="E279" s="52"/>
      <c r="F279" s="52"/>
      <c r="G279" s="52"/>
      <c r="H279" s="52"/>
    </row>
    <row r="280" spans="1:8" ht="15.75">
      <c r="A280" s="50">
        <v>39832</v>
      </c>
      <c r="B280" s="102">
        <v>638.48</v>
      </c>
      <c r="C280" s="52"/>
      <c r="D280" s="52"/>
      <c r="E280" s="52"/>
      <c r="F280" s="52"/>
      <c r="G280" s="52"/>
      <c r="H280" s="52"/>
    </row>
    <row r="281" spans="1:8" ht="15.75">
      <c r="A281" s="50">
        <v>39833</v>
      </c>
      <c r="B281" s="102">
        <v>665.37</v>
      </c>
      <c r="C281" s="52"/>
      <c r="D281" s="52"/>
      <c r="E281" s="52"/>
      <c r="F281" s="52"/>
      <c r="G281" s="52"/>
      <c r="H281" s="52"/>
    </row>
    <row r="282" spans="1:8" ht="15.75">
      <c r="A282" s="50">
        <v>39834</v>
      </c>
      <c r="B282" s="102">
        <v>652.66</v>
      </c>
      <c r="C282" s="52"/>
      <c r="D282" s="52"/>
      <c r="E282" s="52"/>
      <c r="F282" s="52"/>
      <c r="G282" s="52"/>
      <c r="H282" s="52"/>
    </row>
    <row r="283" spans="1:8" ht="15.75">
      <c r="A283" s="50">
        <v>39835</v>
      </c>
      <c r="B283" s="102">
        <v>657.79</v>
      </c>
      <c r="C283" s="52"/>
      <c r="D283" s="52"/>
      <c r="E283" s="52"/>
      <c r="F283" s="52"/>
      <c r="G283" s="52"/>
      <c r="H283" s="52"/>
    </row>
    <row r="284" spans="1:8" ht="15.75">
      <c r="A284" s="50">
        <v>39836</v>
      </c>
      <c r="B284" s="102">
        <v>693.44</v>
      </c>
      <c r="C284" s="52"/>
      <c r="D284" s="52"/>
      <c r="E284" s="52"/>
      <c r="F284" s="52"/>
      <c r="G284" s="52"/>
      <c r="H284" s="52"/>
    </row>
    <row r="285" spans="1:8" ht="15.75">
      <c r="A285" s="50">
        <v>39839</v>
      </c>
      <c r="B285" s="102">
        <v>685.25</v>
      </c>
      <c r="C285" s="52"/>
      <c r="D285" s="52"/>
      <c r="E285" s="52"/>
      <c r="F285" s="52"/>
      <c r="G285" s="52"/>
      <c r="H285" s="52"/>
    </row>
    <row r="286" spans="1:8" ht="15.75">
      <c r="A286" s="50">
        <v>39840</v>
      </c>
      <c r="B286" s="102">
        <v>683.02</v>
      </c>
      <c r="C286" s="52"/>
      <c r="D286" s="52"/>
      <c r="E286" s="52"/>
      <c r="F286" s="52"/>
      <c r="G286" s="52"/>
      <c r="H286" s="52"/>
    </row>
    <row r="287" spans="1:8" ht="15.75">
      <c r="A287" s="50">
        <v>39841</v>
      </c>
      <c r="B287" s="102">
        <v>673.17</v>
      </c>
      <c r="C287" s="52"/>
      <c r="D287" s="52"/>
      <c r="E287" s="52"/>
      <c r="F287" s="52"/>
      <c r="G287" s="52"/>
      <c r="H287" s="52"/>
    </row>
    <row r="288" spans="1:8" ht="15.75">
      <c r="A288" s="50">
        <v>39842</v>
      </c>
      <c r="B288" s="102">
        <v>700.42</v>
      </c>
      <c r="C288" s="52"/>
      <c r="D288" s="52"/>
      <c r="E288" s="52"/>
      <c r="F288" s="52"/>
      <c r="G288" s="52"/>
      <c r="H288" s="52"/>
    </row>
    <row r="289" spans="1:8" ht="15.75">
      <c r="A289" s="50">
        <v>39843</v>
      </c>
      <c r="B289" s="102">
        <v>723.98</v>
      </c>
      <c r="C289" s="52"/>
      <c r="D289" s="52"/>
      <c r="E289" s="52"/>
      <c r="F289" s="52"/>
      <c r="G289" s="52"/>
      <c r="H289" s="52"/>
    </row>
    <row r="290" spans="1:8" ht="15.75">
      <c r="A290" s="50">
        <v>39846</v>
      </c>
      <c r="B290" s="102">
        <v>703.34</v>
      </c>
      <c r="C290" s="52"/>
      <c r="D290" s="52"/>
      <c r="E290" s="52"/>
      <c r="F290" s="52"/>
      <c r="G290" s="52"/>
      <c r="H290" s="52"/>
    </row>
    <row r="291" spans="1:8" ht="15.75">
      <c r="A291" s="50">
        <v>39847</v>
      </c>
      <c r="B291" s="102">
        <v>690.81</v>
      </c>
      <c r="C291" s="52"/>
      <c r="D291" s="52"/>
      <c r="E291" s="52"/>
      <c r="F291" s="52"/>
      <c r="G291" s="52"/>
      <c r="H291" s="52"/>
    </row>
    <row r="292" spans="1:8" ht="15.75">
      <c r="A292" s="50">
        <v>39848</v>
      </c>
      <c r="B292" s="102">
        <v>705.41</v>
      </c>
      <c r="C292" s="52"/>
      <c r="D292" s="52"/>
      <c r="E292" s="52"/>
      <c r="F292" s="52"/>
      <c r="G292" s="52"/>
      <c r="H292" s="52"/>
    </row>
    <row r="293" spans="1:8" ht="15.75">
      <c r="A293" s="50">
        <v>39849</v>
      </c>
      <c r="B293" s="102">
        <v>711.68</v>
      </c>
      <c r="C293" s="52"/>
      <c r="D293" s="52"/>
      <c r="E293" s="52"/>
      <c r="F293" s="52"/>
      <c r="G293" s="52"/>
      <c r="H293" s="52"/>
    </row>
    <row r="294" spans="1:8" ht="15.75">
      <c r="A294" s="50">
        <v>39850</v>
      </c>
      <c r="B294" s="102">
        <v>704.41</v>
      </c>
      <c r="C294" s="52"/>
      <c r="D294" s="52"/>
      <c r="E294" s="52"/>
      <c r="F294" s="52"/>
      <c r="G294" s="52"/>
      <c r="H294" s="52"/>
    </row>
    <row r="295" spans="1:8" ht="15.75">
      <c r="A295" s="50">
        <v>39853</v>
      </c>
      <c r="B295" s="102">
        <v>687.64</v>
      </c>
      <c r="C295" s="52"/>
      <c r="D295" s="52"/>
      <c r="E295" s="52"/>
      <c r="F295" s="52"/>
      <c r="G295" s="52"/>
      <c r="H295" s="52"/>
    </row>
    <row r="296" spans="1:8" ht="15.75">
      <c r="A296" s="50">
        <v>39854</v>
      </c>
      <c r="B296" s="102">
        <v>709.99</v>
      </c>
      <c r="C296" s="52"/>
      <c r="D296" s="52"/>
      <c r="E296" s="52"/>
      <c r="F296" s="52"/>
      <c r="G296" s="52"/>
      <c r="H296" s="52"/>
    </row>
    <row r="297" spans="1:8" ht="15.75">
      <c r="A297" s="50">
        <v>39855</v>
      </c>
      <c r="B297" s="102">
        <v>727.98</v>
      </c>
      <c r="C297" s="52"/>
      <c r="D297" s="52"/>
      <c r="E297" s="52"/>
      <c r="F297" s="52"/>
      <c r="G297" s="52"/>
      <c r="H297" s="52"/>
    </row>
    <row r="298" spans="1:8" ht="15.75">
      <c r="A298" s="50">
        <v>39856</v>
      </c>
      <c r="B298" s="102">
        <v>732.11</v>
      </c>
      <c r="C298" s="52"/>
      <c r="D298" s="52"/>
      <c r="E298" s="52"/>
      <c r="F298" s="52"/>
      <c r="G298" s="52"/>
      <c r="H298" s="52"/>
    </row>
    <row r="299" spans="1:8" ht="15.75">
      <c r="A299" s="50">
        <v>39857</v>
      </c>
      <c r="B299" s="102">
        <v>732.04</v>
      </c>
      <c r="C299" s="52"/>
      <c r="D299" s="52"/>
      <c r="E299" s="52"/>
      <c r="F299" s="52"/>
      <c r="G299" s="52"/>
      <c r="H299" s="52"/>
    </row>
    <row r="300" spans="1:8" ht="15.75">
      <c r="A300" s="50">
        <v>39860</v>
      </c>
      <c r="B300" s="102">
        <v>735.99</v>
      </c>
      <c r="C300" s="52"/>
      <c r="D300" s="52"/>
      <c r="E300" s="52"/>
      <c r="F300" s="52"/>
      <c r="G300" s="52"/>
      <c r="H300" s="52"/>
    </row>
    <row r="301" spans="1:8" ht="15.75">
      <c r="A301" s="50">
        <v>39861</v>
      </c>
      <c r="B301" s="102">
        <v>770.07</v>
      </c>
      <c r="C301" s="52"/>
      <c r="D301" s="52"/>
      <c r="E301" s="52"/>
      <c r="F301" s="52"/>
      <c r="G301" s="52"/>
      <c r="H301" s="52"/>
    </row>
    <row r="302" spans="1:8" ht="15.75">
      <c r="A302" s="50">
        <v>39862</v>
      </c>
      <c r="B302" s="102">
        <v>782.99</v>
      </c>
      <c r="C302" s="52"/>
      <c r="D302" s="52"/>
      <c r="E302" s="52"/>
      <c r="F302" s="52"/>
      <c r="G302" s="52"/>
      <c r="H302" s="52"/>
    </row>
    <row r="303" spans="1:8" ht="15.75">
      <c r="A303" s="50">
        <v>39863</v>
      </c>
      <c r="B303" s="102">
        <v>770.12</v>
      </c>
      <c r="C303" s="52"/>
      <c r="D303" s="52"/>
      <c r="E303" s="52"/>
      <c r="F303" s="52"/>
      <c r="G303" s="52"/>
      <c r="H303" s="52"/>
    </row>
    <row r="304" spans="1:8" ht="15.75">
      <c r="A304" s="50">
        <v>39864</v>
      </c>
      <c r="B304" s="102">
        <v>774.6</v>
      </c>
      <c r="C304" s="52"/>
      <c r="D304" s="52"/>
      <c r="E304" s="52"/>
      <c r="F304" s="52"/>
      <c r="G304" s="52"/>
      <c r="H304" s="52"/>
    </row>
    <row r="305" spans="1:8" ht="15.75">
      <c r="A305" s="50">
        <v>39867</v>
      </c>
      <c r="B305" s="102">
        <v>778.24</v>
      </c>
      <c r="C305" s="52"/>
      <c r="D305" s="52"/>
      <c r="E305" s="52"/>
      <c r="F305" s="52"/>
      <c r="G305" s="52"/>
      <c r="H305" s="52"/>
    </row>
    <row r="306" spans="1:8" ht="15.75">
      <c r="A306" s="50">
        <v>39868</v>
      </c>
      <c r="B306" s="102">
        <v>747.36</v>
      </c>
      <c r="C306" s="52"/>
      <c r="D306" s="52"/>
      <c r="E306" s="52"/>
      <c r="F306" s="52"/>
      <c r="G306" s="52"/>
      <c r="H306" s="52"/>
    </row>
    <row r="307" spans="1:8" ht="15.75">
      <c r="A307" s="50">
        <v>39869</v>
      </c>
      <c r="B307" s="102">
        <v>747.58</v>
      </c>
      <c r="C307" s="52"/>
      <c r="D307" s="52"/>
      <c r="E307" s="52"/>
      <c r="F307" s="52"/>
      <c r="G307" s="52"/>
      <c r="H307" s="52"/>
    </row>
    <row r="308" spans="1:8" ht="15.75">
      <c r="A308" s="50">
        <v>39870</v>
      </c>
      <c r="B308" s="102">
        <v>742.64</v>
      </c>
      <c r="C308" s="52"/>
      <c r="D308" s="52"/>
      <c r="E308" s="52"/>
      <c r="F308" s="52"/>
      <c r="G308" s="52"/>
      <c r="H308" s="52"/>
    </row>
    <row r="309" spans="1:8" ht="15.75">
      <c r="A309" s="50">
        <v>39871</v>
      </c>
      <c r="B309" s="102">
        <v>741.75</v>
      </c>
      <c r="C309" s="52"/>
      <c r="D309" s="52"/>
      <c r="E309" s="52"/>
      <c r="F309" s="52"/>
      <c r="G309" s="52"/>
      <c r="H309" s="52"/>
    </row>
    <row r="310" spans="1:8" ht="15.75">
      <c r="A310" s="50">
        <v>39874</v>
      </c>
      <c r="B310" s="102">
        <v>737.92</v>
      </c>
      <c r="C310" s="52"/>
      <c r="D310" s="52"/>
      <c r="E310" s="52"/>
      <c r="F310" s="52"/>
      <c r="G310" s="52"/>
      <c r="H310" s="52"/>
    </row>
    <row r="311" spans="1:8" ht="15.75">
      <c r="A311" s="50">
        <v>39875</v>
      </c>
      <c r="B311" s="102">
        <v>729.15</v>
      </c>
      <c r="C311" s="52"/>
      <c r="D311" s="52"/>
      <c r="E311" s="52"/>
      <c r="F311" s="52"/>
      <c r="G311" s="52"/>
      <c r="H311" s="52"/>
    </row>
    <row r="312" spans="1:8" ht="15.75">
      <c r="A312" s="50">
        <v>39876</v>
      </c>
      <c r="B312" s="102">
        <v>718.59</v>
      </c>
      <c r="C312" s="52"/>
      <c r="D312" s="52"/>
      <c r="E312" s="52"/>
      <c r="F312" s="52"/>
      <c r="G312" s="52"/>
      <c r="H312" s="52"/>
    </row>
    <row r="313" spans="1:8" ht="15.75">
      <c r="A313" s="50">
        <v>39877</v>
      </c>
      <c r="B313" s="102">
        <v>742.43</v>
      </c>
      <c r="C313" s="52"/>
      <c r="D313" s="52"/>
      <c r="E313" s="52"/>
      <c r="F313" s="52"/>
      <c r="G313" s="52"/>
      <c r="H313" s="52"/>
    </row>
    <row r="314" spans="1:8" ht="15.75">
      <c r="A314" s="50">
        <v>39878</v>
      </c>
      <c r="B314" s="102">
        <v>742.45</v>
      </c>
      <c r="C314" s="52"/>
      <c r="D314" s="52"/>
      <c r="E314" s="52"/>
      <c r="F314" s="52"/>
      <c r="G314" s="52"/>
      <c r="H314" s="52"/>
    </row>
    <row r="315" spans="1:8" ht="15.75">
      <c r="A315" s="50">
        <v>39881</v>
      </c>
      <c r="B315" s="102">
        <v>731.42</v>
      </c>
      <c r="C315" s="52"/>
      <c r="D315" s="52"/>
      <c r="E315" s="52"/>
      <c r="F315" s="52"/>
      <c r="G315" s="52"/>
      <c r="H315" s="52"/>
    </row>
    <row r="316" spans="1:8" ht="15.75">
      <c r="A316" s="50">
        <v>39882</v>
      </c>
      <c r="B316" s="102">
        <v>705.34</v>
      </c>
      <c r="C316" s="52"/>
      <c r="D316" s="52"/>
      <c r="E316" s="52"/>
      <c r="F316" s="52"/>
      <c r="G316" s="52"/>
      <c r="H316" s="52"/>
    </row>
    <row r="317" spans="1:8" ht="15.75">
      <c r="A317" s="50">
        <v>39883</v>
      </c>
      <c r="B317" s="102">
        <v>708.55</v>
      </c>
      <c r="C317" s="52"/>
      <c r="D317" s="52"/>
      <c r="E317" s="52"/>
      <c r="F317" s="52"/>
      <c r="G317" s="52"/>
      <c r="H317" s="52"/>
    </row>
    <row r="318" spans="1:8" ht="15.75">
      <c r="A318" s="50">
        <v>39884</v>
      </c>
      <c r="B318" s="102">
        <v>717.82</v>
      </c>
      <c r="C318" s="52"/>
      <c r="D318" s="52"/>
      <c r="E318" s="52"/>
      <c r="F318" s="52"/>
      <c r="G318" s="52"/>
      <c r="H318" s="52"/>
    </row>
    <row r="319" spans="1:8" ht="15.75">
      <c r="A319" s="50">
        <v>39885</v>
      </c>
      <c r="B319" s="102">
        <v>717.75</v>
      </c>
      <c r="C319" s="52"/>
      <c r="D319" s="52"/>
      <c r="E319" s="52"/>
      <c r="F319" s="52"/>
      <c r="G319" s="52"/>
      <c r="H319" s="52"/>
    </row>
    <row r="320" spans="1:8" ht="15.75">
      <c r="A320" s="50">
        <v>39888</v>
      </c>
      <c r="B320" s="102">
        <v>711.71</v>
      </c>
      <c r="C320" s="52"/>
      <c r="D320" s="52"/>
      <c r="E320" s="52"/>
      <c r="F320" s="52"/>
      <c r="G320" s="52"/>
      <c r="H320" s="52"/>
    </row>
    <row r="321" spans="1:8" ht="15.75">
      <c r="A321" s="50">
        <v>39889</v>
      </c>
      <c r="B321" s="102">
        <v>701.93</v>
      </c>
      <c r="C321" s="52"/>
      <c r="D321" s="52"/>
      <c r="E321" s="52"/>
      <c r="F321" s="52"/>
      <c r="G321" s="52"/>
      <c r="H321" s="52"/>
    </row>
    <row r="322" spans="1:8" ht="15.75">
      <c r="A322" s="50">
        <v>39890</v>
      </c>
      <c r="B322" s="102">
        <v>693.84</v>
      </c>
      <c r="C322" s="52"/>
      <c r="D322" s="52"/>
      <c r="E322" s="52"/>
      <c r="F322" s="52"/>
      <c r="G322" s="52"/>
      <c r="H322" s="52"/>
    </row>
    <row r="323" spans="1:8" ht="15.75">
      <c r="A323" s="50">
        <v>39891</v>
      </c>
      <c r="B323" s="102">
        <v>698.57</v>
      </c>
      <c r="C323" s="52"/>
      <c r="D323" s="52"/>
      <c r="E323" s="52"/>
      <c r="F323" s="52"/>
      <c r="G323" s="52"/>
      <c r="H323" s="52"/>
    </row>
    <row r="324" spans="1:8" ht="15.75">
      <c r="A324" s="50">
        <v>39892</v>
      </c>
      <c r="B324" s="102">
        <v>701.41</v>
      </c>
      <c r="C324" s="52"/>
      <c r="D324" s="52"/>
      <c r="E324" s="52"/>
      <c r="F324" s="52"/>
      <c r="G324" s="52"/>
      <c r="H324" s="52"/>
    </row>
    <row r="325" spans="1:8" ht="15.75">
      <c r="A325" s="50">
        <v>39895</v>
      </c>
      <c r="B325" s="102">
        <v>691.16</v>
      </c>
      <c r="C325" s="52"/>
      <c r="D325" s="52"/>
      <c r="E325" s="52"/>
      <c r="F325" s="52"/>
      <c r="G325" s="52"/>
      <c r="H325" s="52"/>
    </row>
    <row r="326" spans="1:8" ht="15.75">
      <c r="A326" s="50">
        <v>39896</v>
      </c>
      <c r="B326" s="102">
        <v>688.32</v>
      </c>
      <c r="C326" s="52"/>
      <c r="D326" s="52"/>
      <c r="E326" s="52"/>
      <c r="F326" s="52"/>
      <c r="G326" s="52"/>
      <c r="H326" s="52"/>
    </row>
    <row r="327" spans="1:8" ht="15.75">
      <c r="A327" s="50">
        <v>39897</v>
      </c>
      <c r="B327" s="102">
        <v>689.43</v>
      </c>
      <c r="C327" s="52"/>
      <c r="D327" s="52"/>
      <c r="E327" s="52"/>
      <c r="F327" s="52"/>
      <c r="G327" s="52"/>
      <c r="H327" s="52"/>
    </row>
    <row r="328" spans="1:8" ht="15.75">
      <c r="A328" s="50">
        <v>39898</v>
      </c>
      <c r="B328" s="102">
        <v>690.16</v>
      </c>
      <c r="C328" s="52"/>
      <c r="D328" s="52"/>
      <c r="E328" s="52"/>
      <c r="F328" s="52"/>
      <c r="G328" s="52"/>
      <c r="H328" s="52"/>
    </row>
    <row r="329" spans="1:8" ht="15.75">
      <c r="A329" s="50">
        <v>39899</v>
      </c>
      <c r="B329" s="102">
        <v>694.49</v>
      </c>
      <c r="C329" s="52"/>
      <c r="D329" s="52"/>
      <c r="E329" s="52"/>
      <c r="F329" s="52"/>
      <c r="G329" s="52"/>
      <c r="H329" s="52"/>
    </row>
    <row r="330" spans="1:8" ht="15.75">
      <c r="A330" s="50">
        <v>39902</v>
      </c>
      <c r="B330" s="102">
        <v>694.27</v>
      </c>
      <c r="C330" s="52"/>
      <c r="D330" s="52"/>
      <c r="E330" s="52"/>
      <c r="F330" s="52"/>
      <c r="G330" s="52"/>
      <c r="H330" s="52"/>
    </row>
    <row r="331" spans="1:8" ht="15.75">
      <c r="A331" s="50">
        <v>39903</v>
      </c>
      <c r="B331" s="102">
        <v>692.82</v>
      </c>
      <c r="C331" s="52"/>
      <c r="D331" s="52"/>
      <c r="E331" s="52"/>
      <c r="F331" s="52"/>
      <c r="G331" s="52"/>
      <c r="H331" s="52"/>
    </row>
    <row r="332" spans="1:8" ht="15.75">
      <c r="A332" s="50">
        <v>39904</v>
      </c>
      <c r="B332" s="102">
        <v>700.79</v>
      </c>
      <c r="C332" s="52"/>
      <c r="D332" s="52"/>
      <c r="E332" s="52"/>
      <c r="F332" s="52"/>
      <c r="G332" s="52"/>
      <c r="H332" s="52"/>
    </row>
    <row r="333" spans="1:8" ht="15.75">
      <c r="A333" s="50">
        <v>39905</v>
      </c>
      <c r="B333" s="102">
        <v>673.29</v>
      </c>
      <c r="C333" s="52"/>
      <c r="D333" s="52"/>
      <c r="E333" s="52"/>
      <c r="F333" s="52"/>
      <c r="G333" s="52"/>
      <c r="H333" s="52"/>
    </row>
    <row r="334" spans="1:8" ht="15.75">
      <c r="A334" s="50">
        <v>39906</v>
      </c>
      <c r="B334" s="102">
        <v>663.59</v>
      </c>
      <c r="C334" s="52"/>
      <c r="D334" s="52"/>
      <c r="E334" s="52"/>
      <c r="F334" s="52"/>
      <c r="G334" s="52"/>
      <c r="H334" s="52"/>
    </row>
    <row r="335" spans="1:8" ht="15.75">
      <c r="A335" s="50">
        <v>39909</v>
      </c>
      <c r="B335" s="102">
        <v>651</v>
      </c>
      <c r="C335" s="52"/>
      <c r="D335" s="52"/>
      <c r="E335" s="52"/>
      <c r="F335" s="52"/>
      <c r="G335" s="52"/>
      <c r="H335" s="52"/>
    </row>
    <row r="336" spans="1:8" ht="15.75">
      <c r="A336" s="50">
        <v>39910</v>
      </c>
      <c r="B336" s="102">
        <v>666.04</v>
      </c>
      <c r="C336" s="52"/>
      <c r="D336" s="52"/>
      <c r="E336" s="52"/>
      <c r="F336" s="52"/>
      <c r="G336" s="52"/>
      <c r="H336" s="52"/>
    </row>
    <row r="337" spans="1:8" ht="15.75">
      <c r="A337" s="50">
        <v>39911</v>
      </c>
      <c r="B337" s="102">
        <v>664.12</v>
      </c>
      <c r="C337" s="52"/>
      <c r="D337" s="52"/>
      <c r="E337" s="52"/>
      <c r="F337" s="52"/>
      <c r="G337" s="52"/>
      <c r="H337" s="52"/>
    </row>
    <row r="338" spans="1:8" ht="15.75">
      <c r="A338" s="50">
        <v>39912</v>
      </c>
      <c r="B338" s="102">
        <v>668.31</v>
      </c>
      <c r="C338" s="52"/>
      <c r="D338" s="52"/>
      <c r="E338" s="52"/>
      <c r="F338" s="52"/>
      <c r="G338" s="52"/>
      <c r="H338" s="52"/>
    </row>
    <row r="339" spans="1:8" ht="15.75">
      <c r="A339" s="50">
        <v>39913</v>
      </c>
      <c r="B339" s="102">
        <v>668.55</v>
      </c>
      <c r="C339" s="52"/>
      <c r="D339" s="52"/>
      <c r="E339" s="52"/>
      <c r="F339" s="52"/>
      <c r="G339" s="52"/>
      <c r="H339" s="52"/>
    </row>
    <row r="340" spans="1:8" ht="15.75">
      <c r="A340" s="50">
        <v>39916</v>
      </c>
      <c r="B340" s="102">
        <v>669.42</v>
      </c>
      <c r="C340" s="52"/>
      <c r="D340" s="52"/>
      <c r="E340" s="52"/>
      <c r="F340" s="52"/>
      <c r="G340" s="52"/>
      <c r="H340" s="52"/>
    </row>
    <row r="341" spans="1:8" ht="15.75">
      <c r="A341" s="50">
        <v>39917</v>
      </c>
      <c r="B341" s="102">
        <v>670.84</v>
      </c>
      <c r="C341" s="52"/>
      <c r="D341" s="52"/>
      <c r="E341" s="52"/>
      <c r="F341" s="52"/>
      <c r="G341" s="52"/>
      <c r="H341" s="52"/>
    </row>
    <row r="342" spans="1:8" ht="15.75">
      <c r="A342" s="50">
        <v>39918</v>
      </c>
      <c r="B342" s="102">
        <v>673.88</v>
      </c>
      <c r="C342" s="52"/>
      <c r="D342" s="52"/>
      <c r="E342" s="52"/>
      <c r="F342" s="52"/>
      <c r="G342" s="52"/>
      <c r="H342" s="52"/>
    </row>
    <row r="343" spans="1:8" ht="15.75">
      <c r="A343" s="50">
        <v>39919</v>
      </c>
      <c r="B343" s="102">
        <v>665.21</v>
      </c>
      <c r="C343" s="52"/>
      <c r="D343" s="52"/>
      <c r="E343" s="52"/>
      <c r="F343" s="52"/>
      <c r="G343" s="52"/>
      <c r="H343" s="52"/>
    </row>
    <row r="344" spans="1:8" ht="15.75">
      <c r="A344" s="50">
        <v>39920</v>
      </c>
      <c r="B344" s="102">
        <v>665.98</v>
      </c>
      <c r="C344" s="52"/>
      <c r="D344" s="52"/>
      <c r="E344" s="52"/>
      <c r="F344" s="52"/>
      <c r="G344" s="52"/>
      <c r="H344" s="52"/>
    </row>
    <row r="345" spans="1:8" ht="15.75">
      <c r="A345" s="50">
        <v>39923</v>
      </c>
      <c r="B345" s="102">
        <v>684.56</v>
      </c>
      <c r="C345" s="52"/>
      <c r="D345" s="52"/>
      <c r="E345" s="52"/>
      <c r="F345" s="52"/>
      <c r="G345" s="52"/>
      <c r="H345" s="52"/>
    </row>
    <row r="346" spans="1:8" ht="15.75">
      <c r="A346" s="50">
        <v>39924</v>
      </c>
      <c r="B346" s="102">
        <v>682.27</v>
      </c>
      <c r="C346" s="52"/>
      <c r="D346" s="52"/>
      <c r="E346" s="52"/>
      <c r="F346" s="52"/>
      <c r="G346" s="52"/>
      <c r="H346" s="52"/>
    </row>
    <row r="347" spans="1:8" ht="15.75">
      <c r="A347" s="50">
        <v>39925</v>
      </c>
      <c r="B347" s="102">
        <v>684.65</v>
      </c>
      <c r="C347" s="52"/>
      <c r="D347" s="52"/>
      <c r="E347" s="52"/>
      <c r="F347" s="52"/>
      <c r="G347" s="52"/>
      <c r="H347" s="52"/>
    </row>
    <row r="348" spans="1:8" ht="15.75">
      <c r="A348" s="50">
        <v>39926</v>
      </c>
      <c r="B348" s="102">
        <v>688.85</v>
      </c>
      <c r="C348" s="52"/>
      <c r="D348" s="52"/>
      <c r="E348" s="52"/>
      <c r="F348" s="52"/>
      <c r="G348" s="52"/>
      <c r="H348" s="52"/>
    </row>
    <row r="349" spans="1:8" ht="15.75">
      <c r="A349" s="50">
        <v>39927</v>
      </c>
      <c r="B349" s="102">
        <v>689.44</v>
      </c>
      <c r="C349" s="52"/>
      <c r="D349" s="52"/>
      <c r="E349" s="52"/>
      <c r="F349" s="52"/>
      <c r="G349" s="52"/>
      <c r="H349" s="52"/>
    </row>
    <row r="350" spans="1:8" ht="15.75">
      <c r="A350" s="50">
        <v>39930</v>
      </c>
      <c r="B350" s="102">
        <v>695.54</v>
      </c>
      <c r="C350" s="52"/>
      <c r="D350" s="52"/>
      <c r="E350" s="52"/>
      <c r="F350" s="52"/>
      <c r="G350" s="52"/>
      <c r="H350" s="52"/>
    </row>
    <row r="351" spans="1:8" ht="15.75">
      <c r="A351" s="50">
        <v>39931</v>
      </c>
      <c r="B351" s="102">
        <v>678.91</v>
      </c>
      <c r="C351" s="52"/>
      <c r="D351" s="52"/>
      <c r="E351" s="52"/>
      <c r="F351" s="52"/>
      <c r="G351" s="52"/>
      <c r="H351" s="52"/>
    </row>
    <row r="352" spans="1:8" ht="15.75">
      <c r="A352" s="50">
        <v>39932</v>
      </c>
      <c r="B352" s="102">
        <v>676.56</v>
      </c>
      <c r="C352" s="52"/>
      <c r="D352" s="52"/>
      <c r="E352" s="52"/>
      <c r="F352" s="52"/>
      <c r="G352" s="52"/>
      <c r="H352" s="52"/>
    </row>
    <row r="353" spans="1:8" ht="15.75">
      <c r="A353" s="50">
        <v>39933</v>
      </c>
      <c r="B353" s="102">
        <v>670.33</v>
      </c>
      <c r="C353" s="52"/>
      <c r="D353" s="52"/>
      <c r="E353" s="52"/>
      <c r="F353" s="52"/>
      <c r="G353" s="52"/>
      <c r="H353" s="52"/>
    </row>
    <row r="354" spans="1:8" ht="15.75">
      <c r="A354" s="50">
        <v>39934</v>
      </c>
      <c r="B354" s="102">
        <v>668.65</v>
      </c>
      <c r="C354" s="52"/>
      <c r="D354" s="52"/>
      <c r="E354" s="52"/>
      <c r="F354" s="52"/>
      <c r="G354" s="52"/>
      <c r="H354" s="52"/>
    </row>
    <row r="355" spans="1:8" ht="15.75">
      <c r="A355" s="50">
        <v>39937</v>
      </c>
      <c r="B355" s="102">
        <v>673.96</v>
      </c>
      <c r="C355" s="52"/>
      <c r="D355" s="52"/>
      <c r="E355" s="52"/>
      <c r="F355" s="52"/>
      <c r="G355" s="52"/>
      <c r="H355" s="52"/>
    </row>
    <row r="356" spans="1:8" ht="15.75">
      <c r="A356" s="50">
        <v>39938</v>
      </c>
      <c r="B356" s="102">
        <v>674.02</v>
      </c>
      <c r="C356" s="52"/>
      <c r="D356" s="52"/>
      <c r="E356" s="52"/>
      <c r="F356" s="52"/>
      <c r="G356" s="52"/>
      <c r="H356" s="52"/>
    </row>
    <row r="357" spans="1:8" ht="15.75">
      <c r="A357" s="50">
        <v>39939</v>
      </c>
      <c r="B357" s="102">
        <v>684.83</v>
      </c>
      <c r="C357" s="52"/>
      <c r="D357" s="52"/>
      <c r="E357" s="52"/>
      <c r="F357" s="52"/>
      <c r="G357" s="52"/>
      <c r="H357" s="52"/>
    </row>
    <row r="358" spans="1:8" ht="15.75">
      <c r="A358" s="50">
        <v>39940</v>
      </c>
      <c r="B358" s="102">
        <v>680.98</v>
      </c>
      <c r="C358" s="52"/>
      <c r="D358" s="52"/>
      <c r="E358" s="52"/>
      <c r="F358" s="52"/>
      <c r="G358" s="52"/>
      <c r="H358" s="52"/>
    </row>
    <row r="359" spans="1:8" ht="15.75">
      <c r="A359" s="50">
        <v>39941</v>
      </c>
      <c r="B359" s="102">
        <v>672.27</v>
      </c>
      <c r="C359" s="52"/>
      <c r="D359" s="52"/>
      <c r="E359" s="52"/>
      <c r="F359" s="52"/>
      <c r="G359" s="52"/>
      <c r="H359" s="52"/>
    </row>
    <row r="360" spans="1:8" ht="15.75">
      <c r="A360" s="50">
        <v>39944</v>
      </c>
      <c r="B360" s="102">
        <v>672.41</v>
      </c>
      <c r="C360" s="52"/>
      <c r="D360" s="52"/>
      <c r="E360" s="52"/>
      <c r="F360" s="52"/>
      <c r="G360" s="52"/>
      <c r="H360" s="52"/>
    </row>
    <row r="361" spans="1:8" ht="15.75">
      <c r="A361" s="50">
        <v>39945</v>
      </c>
      <c r="B361" s="102">
        <v>677.52</v>
      </c>
      <c r="C361" s="52"/>
      <c r="D361" s="52"/>
      <c r="E361" s="52"/>
      <c r="F361" s="52"/>
      <c r="G361" s="52"/>
      <c r="H361" s="52"/>
    </row>
    <row r="362" spans="1:8" ht="15.75">
      <c r="A362" s="50">
        <v>39946</v>
      </c>
      <c r="B362" s="102">
        <v>681.89</v>
      </c>
      <c r="C362" s="52"/>
      <c r="D362" s="52"/>
      <c r="E362" s="52"/>
      <c r="F362" s="52"/>
      <c r="G362" s="52"/>
      <c r="H362" s="52"/>
    </row>
    <row r="363" spans="1:8" ht="15.75">
      <c r="A363" s="50">
        <v>39947</v>
      </c>
      <c r="B363" s="102">
        <v>679.5</v>
      </c>
      <c r="C363" s="52"/>
      <c r="D363" s="52"/>
      <c r="E363" s="52"/>
      <c r="F363" s="52"/>
      <c r="G363" s="52"/>
      <c r="H363" s="52"/>
    </row>
    <row r="364" spans="1:8" ht="15.75">
      <c r="A364" s="50">
        <v>39948</v>
      </c>
      <c r="B364" s="102">
        <v>690.35</v>
      </c>
      <c r="C364" s="52"/>
      <c r="D364" s="52"/>
      <c r="E364" s="52"/>
      <c r="F364" s="52"/>
      <c r="G364" s="52"/>
      <c r="H364" s="52"/>
    </row>
    <row r="365" spans="1:8" ht="15.75">
      <c r="A365" s="50">
        <v>39951</v>
      </c>
      <c r="B365" s="102">
        <v>677.3</v>
      </c>
      <c r="C365" s="52"/>
      <c r="D365" s="52"/>
      <c r="E365" s="52"/>
      <c r="F365" s="52"/>
      <c r="G365" s="52"/>
      <c r="H365" s="52"/>
    </row>
    <row r="366" spans="1:8" ht="15.75">
      <c r="A366" s="50">
        <v>39952</v>
      </c>
      <c r="B366" s="102">
        <v>679.63</v>
      </c>
      <c r="C366" s="52"/>
      <c r="D366" s="52"/>
      <c r="E366" s="52"/>
      <c r="F366" s="52"/>
      <c r="G366" s="52"/>
      <c r="H366" s="52"/>
    </row>
    <row r="367" spans="1:8" ht="15.75">
      <c r="A367" s="50">
        <v>39953</v>
      </c>
      <c r="B367" s="102">
        <v>681.29</v>
      </c>
      <c r="C367" s="52"/>
      <c r="D367" s="52"/>
      <c r="E367" s="52"/>
      <c r="F367" s="52"/>
      <c r="G367" s="52"/>
      <c r="H367" s="52"/>
    </row>
    <row r="368" spans="1:8" ht="15.75">
      <c r="A368" s="50">
        <v>39954</v>
      </c>
      <c r="B368" s="102">
        <v>686.21</v>
      </c>
      <c r="C368" s="52"/>
      <c r="D368" s="52"/>
      <c r="E368" s="52"/>
      <c r="F368" s="52"/>
      <c r="G368" s="52"/>
      <c r="H368" s="52"/>
    </row>
    <row r="369" spans="1:8" ht="15.75">
      <c r="A369" s="50">
        <v>39955</v>
      </c>
      <c r="B369" s="102">
        <v>683.92</v>
      </c>
      <c r="C369" s="52"/>
      <c r="D369" s="52"/>
      <c r="E369" s="52"/>
      <c r="F369" s="52"/>
      <c r="G369" s="52"/>
      <c r="H369" s="52"/>
    </row>
    <row r="370" spans="1:8" ht="15.75">
      <c r="A370" s="50">
        <v>39958</v>
      </c>
      <c r="B370" s="102">
        <v>682.55</v>
      </c>
      <c r="C370" s="52"/>
      <c r="D370" s="52"/>
      <c r="E370" s="52"/>
      <c r="F370" s="52"/>
      <c r="G370" s="52"/>
      <c r="H370" s="52"/>
    </row>
    <row r="371" spans="1:8" ht="15.75">
      <c r="A371" s="50">
        <v>39959</v>
      </c>
      <c r="B371" s="102">
        <v>681.06</v>
      </c>
      <c r="C371" s="52"/>
      <c r="D371" s="52"/>
      <c r="E371" s="52"/>
      <c r="F371" s="52"/>
      <c r="G371" s="52"/>
      <c r="H371" s="52"/>
    </row>
    <row r="372" spans="1:8" ht="15.75">
      <c r="A372" s="50">
        <v>39960</v>
      </c>
      <c r="B372" s="102">
        <v>683.36</v>
      </c>
      <c r="C372" s="52"/>
      <c r="D372" s="52"/>
      <c r="E372" s="52"/>
      <c r="F372" s="52"/>
      <c r="G372" s="52"/>
      <c r="H372" s="52"/>
    </row>
    <row r="373" spans="1:8" ht="15.75">
      <c r="A373" s="50">
        <v>39961</v>
      </c>
      <c r="B373" s="102">
        <v>689.77</v>
      </c>
      <c r="C373" s="52"/>
      <c r="D373" s="52"/>
      <c r="E373" s="52"/>
      <c r="F373" s="52"/>
      <c r="G373" s="52"/>
      <c r="H373" s="52"/>
    </row>
    <row r="374" spans="1:8" ht="15.75">
      <c r="A374" s="50">
        <v>39962</v>
      </c>
      <c r="B374" s="102">
        <v>692.29</v>
      </c>
      <c r="C374" s="52"/>
      <c r="D374" s="52"/>
      <c r="E374" s="52"/>
      <c r="F374" s="52"/>
      <c r="G374" s="52"/>
      <c r="H374" s="52"/>
    </row>
    <row r="375" spans="1:8" ht="15.75">
      <c r="A375" s="50">
        <v>39965</v>
      </c>
      <c r="B375" s="102">
        <v>688.17</v>
      </c>
      <c r="C375" s="52"/>
      <c r="D375" s="52"/>
      <c r="E375" s="52"/>
      <c r="F375" s="52"/>
      <c r="G375" s="52"/>
      <c r="H375" s="52"/>
    </row>
    <row r="376" spans="1:8" ht="15.75">
      <c r="A376" s="50">
        <v>39966</v>
      </c>
      <c r="B376" s="102">
        <v>686.89</v>
      </c>
      <c r="C376" s="52"/>
      <c r="D376" s="52"/>
      <c r="E376" s="52"/>
      <c r="F376" s="52"/>
      <c r="G376" s="52"/>
      <c r="H376" s="52"/>
    </row>
    <row r="377" spans="1:8" ht="15.75">
      <c r="A377" s="50">
        <v>39967</v>
      </c>
      <c r="B377" s="102">
        <v>681.5</v>
      </c>
      <c r="C377" s="52"/>
      <c r="D377" s="52"/>
      <c r="E377" s="52"/>
      <c r="F377" s="52"/>
      <c r="G377" s="52"/>
      <c r="H377" s="52"/>
    </row>
    <row r="378" spans="1:8" ht="15.75">
      <c r="A378" s="50">
        <v>39968</v>
      </c>
      <c r="B378" s="102">
        <v>693.38</v>
      </c>
      <c r="C378" s="52"/>
      <c r="D378" s="52"/>
      <c r="E378" s="52"/>
      <c r="F378" s="52"/>
      <c r="G378" s="52"/>
      <c r="H378" s="52"/>
    </row>
    <row r="379" spans="1:8" ht="15.75">
      <c r="A379" s="50">
        <v>39969</v>
      </c>
      <c r="B379" s="102">
        <v>684.15</v>
      </c>
      <c r="C379" s="52"/>
      <c r="D379" s="52"/>
      <c r="E379" s="52"/>
      <c r="F379" s="52"/>
      <c r="G379" s="52"/>
      <c r="H379" s="52"/>
    </row>
    <row r="380" spans="1:8" ht="15.75">
      <c r="A380" s="50">
        <v>39972</v>
      </c>
      <c r="B380" s="102">
        <v>685.81</v>
      </c>
      <c r="C380" s="52"/>
      <c r="D380" s="52"/>
      <c r="E380" s="52"/>
      <c r="F380" s="52"/>
      <c r="G380" s="52"/>
      <c r="H380" s="52"/>
    </row>
    <row r="381" spans="1:8" ht="15.75">
      <c r="A381" s="50">
        <v>39973</v>
      </c>
      <c r="B381" s="102">
        <v>678.67</v>
      </c>
      <c r="C381" s="52"/>
      <c r="D381" s="52"/>
      <c r="E381" s="52"/>
      <c r="F381" s="52"/>
      <c r="G381" s="52"/>
      <c r="H381" s="52"/>
    </row>
    <row r="382" spans="1:8" ht="15.75">
      <c r="A382" s="50">
        <v>39974</v>
      </c>
      <c r="B382" s="102">
        <v>684.29</v>
      </c>
      <c r="C382" s="52"/>
      <c r="D382" s="52"/>
      <c r="E382" s="52"/>
      <c r="F382" s="52"/>
      <c r="G382" s="52"/>
      <c r="H382" s="52"/>
    </row>
    <row r="383" spans="1:8" ht="15.75">
      <c r="A383" s="50">
        <v>39975</v>
      </c>
      <c r="B383" s="102">
        <v>677.56</v>
      </c>
      <c r="C383" s="52"/>
      <c r="D383" s="52"/>
      <c r="E383" s="52"/>
      <c r="F383" s="52"/>
      <c r="G383" s="52"/>
      <c r="H383" s="52"/>
    </row>
    <row r="384" spans="1:8" ht="15.75">
      <c r="A384" s="50">
        <v>39976</v>
      </c>
      <c r="B384" s="102">
        <v>669.83</v>
      </c>
      <c r="C384" s="52"/>
      <c r="D384" s="52"/>
      <c r="E384" s="52"/>
      <c r="F384" s="52"/>
      <c r="G384" s="52"/>
      <c r="H384" s="52"/>
    </row>
    <row r="385" spans="1:8" ht="15.75">
      <c r="A385" s="50">
        <v>39979</v>
      </c>
      <c r="B385" s="102">
        <v>673.53</v>
      </c>
      <c r="C385" s="52"/>
      <c r="D385" s="52"/>
      <c r="E385" s="52"/>
      <c r="F385" s="52"/>
      <c r="G385" s="52"/>
      <c r="H385" s="52"/>
    </row>
    <row r="386" spans="1:8" ht="15.75">
      <c r="A386" s="50">
        <v>39980</v>
      </c>
      <c r="B386" s="102">
        <v>675.14</v>
      </c>
      <c r="C386" s="52"/>
      <c r="D386" s="52"/>
      <c r="E386" s="52"/>
      <c r="F386" s="52"/>
      <c r="G386" s="52"/>
      <c r="H386" s="52"/>
    </row>
    <row r="387" spans="1:8" ht="15.75">
      <c r="A387" s="50">
        <v>39981</v>
      </c>
      <c r="B387" s="102">
        <v>675.14</v>
      </c>
      <c r="C387" s="52"/>
      <c r="D387" s="52"/>
      <c r="E387" s="52"/>
      <c r="F387" s="52"/>
      <c r="G387" s="52"/>
      <c r="H387" s="52"/>
    </row>
    <row r="388" spans="1:8" ht="15.75">
      <c r="A388" s="50">
        <v>39982</v>
      </c>
      <c r="B388" s="102">
        <v>671.04</v>
      </c>
      <c r="C388" s="52"/>
      <c r="D388" s="52"/>
      <c r="E388" s="52"/>
      <c r="F388" s="52"/>
      <c r="G388" s="52"/>
      <c r="H388" s="52"/>
    </row>
    <row r="389" spans="1:8" ht="15.75">
      <c r="A389" s="50">
        <v>39983</v>
      </c>
      <c r="B389" s="102">
        <v>670.33</v>
      </c>
      <c r="C389" s="52"/>
      <c r="D389" s="52"/>
      <c r="E389" s="52"/>
      <c r="F389" s="52"/>
      <c r="G389" s="52"/>
      <c r="H389" s="52"/>
    </row>
    <row r="390" spans="1:8" ht="15.75">
      <c r="A390" s="50">
        <v>39986</v>
      </c>
      <c r="B390" s="102">
        <v>666.34</v>
      </c>
      <c r="C390" s="52"/>
      <c r="D390" s="52"/>
      <c r="E390" s="52"/>
      <c r="F390" s="52"/>
      <c r="G390" s="52"/>
      <c r="H390" s="52"/>
    </row>
    <row r="391" spans="1:8" ht="15.75">
      <c r="A391" s="50">
        <v>39987</v>
      </c>
      <c r="B391" s="102">
        <v>658.22</v>
      </c>
      <c r="C391" s="52"/>
      <c r="D391" s="52"/>
      <c r="E391" s="52"/>
      <c r="F391" s="52"/>
      <c r="G391" s="52"/>
      <c r="H391" s="52"/>
    </row>
    <row r="392" spans="1:8" ht="15.75">
      <c r="A392" s="50">
        <v>39988</v>
      </c>
      <c r="B392" s="102">
        <v>668.7</v>
      </c>
      <c r="C392" s="52"/>
      <c r="D392" s="52"/>
      <c r="E392" s="52"/>
      <c r="F392" s="52"/>
      <c r="G392" s="52"/>
      <c r="H392" s="52"/>
    </row>
    <row r="393" spans="1:8" ht="15.75">
      <c r="A393" s="50">
        <v>39989</v>
      </c>
      <c r="B393" s="102">
        <v>670.62</v>
      </c>
      <c r="C393" s="52"/>
      <c r="D393" s="52"/>
      <c r="E393" s="52"/>
      <c r="F393" s="52"/>
      <c r="G393" s="52"/>
      <c r="H393" s="52"/>
    </row>
    <row r="394" spans="1:8" ht="15.75">
      <c r="A394" s="50">
        <v>39990</v>
      </c>
      <c r="B394" s="102">
        <v>667.94</v>
      </c>
      <c r="C394" s="52"/>
      <c r="D394" s="52"/>
      <c r="E394" s="52"/>
      <c r="F394" s="52"/>
      <c r="G394" s="52"/>
      <c r="H394" s="52"/>
    </row>
    <row r="395" spans="1:8" ht="15.75">
      <c r="A395" s="50">
        <v>39993</v>
      </c>
      <c r="B395" s="102">
        <v>666.67</v>
      </c>
      <c r="C395" s="52"/>
      <c r="D395" s="52"/>
      <c r="E395" s="52"/>
      <c r="F395" s="52"/>
      <c r="G395" s="52"/>
      <c r="H395" s="52"/>
    </row>
    <row r="396" spans="1:8" ht="15.75">
      <c r="A396" s="50">
        <v>39994</v>
      </c>
      <c r="B396" s="102">
        <v>660.98</v>
      </c>
      <c r="C396" s="52"/>
      <c r="D396" s="52"/>
      <c r="E396" s="52"/>
      <c r="F396" s="52"/>
      <c r="G396" s="52"/>
      <c r="H396" s="52"/>
    </row>
    <row r="397" spans="1:8" ht="15.75">
      <c r="A397" s="50">
        <v>39995</v>
      </c>
      <c r="B397" s="102">
        <v>665.01</v>
      </c>
      <c r="C397" s="52"/>
      <c r="D397" s="52"/>
      <c r="E397" s="52"/>
      <c r="F397" s="52"/>
      <c r="G397" s="52"/>
      <c r="H397" s="52"/>
    </row>
    <row r="398" spans="1:8" ht="15.75">
      <c r="A398" s="50">
        <v>39996</v>
      </c>
      <c r="B398" s="102">
        <v>666.15</v>
      </c>
      <c r="C398" s="52"/>
      <c r="D398" s="52"/>
      <c r="E398" s="52"/>
      <c r="F398" s="52"/>
      <c r="G398" s="52"/>
      <c r="H398" s="52"/>
    </row>
    <row r="399" spans="1:8" ht="15.75">
      <c r="A399" s="50">
        <v>39997</v>
      </c>
      <c r="B399" s="102">
        <v>667.45</v>
      </c>
      <c r="C399" s="52"/>
      <c r="D399" s="52"/>
      <c r="E399" s="52"/>
      <c r="F399" s="52"/>
      <c r="G399" s="52"/>
      <c r="H399" s="52"/>
    </row>
    <row r="400" spans="1:8" ht="15.75">
      <c r="A400" s="50">
        <v>40000</v>
      </c>
      <c r="B400" s="102">
        <v>662.19</v>
      </c>
      <c r="C400" s="52"/>
      <c r="D400" s="52"/>
      <c r="E400" s="52"/>
      <c r="F400" s="52"/>
      <c r="G400" s="52"/>
      <c r="H400" s="52"/>
    </row>
    <row r="401" spans="1:8" ht="15.75">
      <c r="A401" s="50">
        <v>40001</v>
      </c>
      <c r="B401" s="102">
        <v>663.58</v>
      </c>
      <c r="C401" s="52"/>
      <c r="D401" s="52"/>
      <c r="E401" s="52"/>
      <c r="F401" s="52"/>
      <c r="G401" s="52"/>
      <c r="H401" s="52"/>
    </row>
    <row r="402" spans="1:8" ht="15.75">
      <c r="A402" s="50">
        <v>40002</v>
      </c>
      <c r="B402" s="102">
        <v>654.84</v>
      </c>
      <c r="C402" s="52"/>
      <c r="D402" s="52"/>
      <c r="E402" s="52"/>
      <c r="F402" s="52"/>
      <c r="G402" s="52"/>
      <c r="H402" s="52"/>
    </row>
    <row r="403" spans="1:8" ht="15.75">
      <c r="A403" s="50">
        <v>40003</v>
      </c>
      <c r="B403" s="102">
        <v>651.16999999999996</v>
      </c>
      <c r="C403" s="52"/>
      <c r="D403" s="52"/>
      <c r="E403" s="52"/>
      <c r="F403" s="52"/>
      <c r="G403" s="52"/>
      <c r="H403" s="52"/>
    </row>
    <row r="404" spans="1:8" ht="15.75">
      <c r="A404" s="50">
        <v>40004</v>
      </c>
      <c r="B404" s="102">
        <v>655.57</v>
      </c>
      <c r="C404" s="52"/>
      <c r="D404" s="52"/>
      <c r="E404" s="52"/>
      <c r="F404" s="52"/>
      <c r="G404" s="52"/>
      <c r="H404" s="52"/>
    </row>
    <row r="405" spans="1:8" ht="15.75">
      <c r="A405" s="50">
        <v>40007</v>
      </c>
      <c r="B405" s="102">
        <v>658.17</v>
      </c>
      <c r="C405" s="52"/>
      <c r="D405" s="52"/>
      <c r="E405" s="52"/>
      <c r="F405" s="52"/>
      <c r="G405" s="52"/>
      <c r="H405" s="52"/>
    </row>
    <row r="406" spans="1:8" ht="15.75">
      <c r="A406" s="50">
        <v>40008</v>
      </c>
      <c r="B406" s="102">
        <v>663.42</v>
      </c>
      <c r="C406" s="52"/>
      <c r="D406" s="52"/>
      <c r="E406" s="52"/>
      <c r="F406" s="52"/>
      <c r="G406" s="52"/>
      <c r="H406" s="52"/>
    </row>
    <row r="407" spans="1:8" ht="15.75">
      <c r="A407" s="50">
        <v>40009</v>
      </c>
      <c r="B407" s="102">
        <v>666.08</v>
      </c>
      <c r="C407" s="52"/>
      <c r="D407" s="52"/>
      <c r="E407" s="52"/>
      <c r="F407" s="52"/>
      <c r="G407" s="52"/>
      <c r="H407" s="52"/>
    </row>
    <row r="408" spans="1:8" ht="15.75">
      <c r="A408" s="50">
        <v>40010</v>
      </c>
      <c r="B408" s="102">
        <v>662.79</v>
      </c>
      <c r="C408" s="52"/>
      <c r="D408" s="52"/>
      <c r="E408" s="52"/>
      <c r="F408" s="52"/>
      <c r="G408" s="52"/>
      <c r="H408" s="52"/>
    </row>
    <row r="409" spans="1:8" ht="15.75">
      <c r="A409" s="50">
        <v>40011</v>
      </c>
      <c r="B409" s="102">
        <v>665.41</v>
      </c>
      <c r="C409" s="52"/>
      <c r="D409" s="52"/>
      <c r="E409" s="52"/>
      <c r="F409" s="52"/>
      <c r="G409" s="52"/>
      <c r="H409" s="52"/>
    </row>
    <row r="410" spans="1:8" ht="15.75">
      <c r="A410" s="50">
        <v>40014</v>
      </c>
      <c r="B410" s="102">
        <v>668.4</v>
      </c>
      <c r="C410" s="52"/>
      <c r="D410" s="52"/>
      <c r="E410" s="52"/>
      <c r="F410" s="52"/>
      <c r="G410" s="52"/>
      <c r="H410" s="52"/>
    </row>
    <row r="411" spans="1:8" ht="15.75">
      <c r="A411" s="50">
        <v>40015</v>
      </c>
      <c r="B411" s="102">
        <v>667.12</v>
      </c>
      <c r="C411" s="52"/>
      <c r="D411" s="52"/>
      <c r="E411" s="52"/>
      <c r="F411" s="52"/>
      <c r="G411" s="52"/>
      <c r="H411" s="52"/>
    </row>
    <row r="412" spans="1:8" ht="15.75">
      <c r="A412" s="50">
        <v>40016</v>
      </c>
      <c r="B412" s="102">
        <v>669.39</v>
      </c>
      <c r="C412" s="52"/>
      <c r="D412" s="52"/>
      <c r="E412" s="52"/>
      <c r="F412" s="52"/>
      <c r="G412" s="52"/>
      <c r="H412" s="52"/>
    </row>
    <row r="413" spans="1:8" ht="15.75">
      <c r="A413" s="50">
        <v>40017</v>
      </c>
      <c r="B413" s="102">
        <v>670.4</v>
      </c>
      <c r="C413" s="52"/>
      <c r="D413" s="52"/>
      <c r="E413" s="52"/>
      <c r="F413" s="52"/>
      <c r="G413" s="52"/>
      <c r="H413" s="52"/>
    </row>
    <row r="414" spans="1:8" ht="15.75">
      <c r="A414" s="50">
        <v>40018</v>
      </c>
      <c r="B414" s="102">
        <v>669.87</v>
      </c>
      <c r="C414" s="52"/>
      <c r="D414" s="52"/>
      <c r="E414" s="52"/>
      <c r="F414" s="52"/>
      <c r="G414" s="52"/>
      <c r="H414" s="52"/>
    </row>
    <row r="415" spans="1:8" ht="15.75">
      <c r="A415" s="50">
        <v>40021</v>
      </c>
      <c r="B415" s="102">
        <v>669.14</v>
      </c>
      <c r="C415" s="52"/>
      <c r="D415" s="52"/>
      <c r="E415" s="52"/>
      <c r="F415" s="52"/>
      <c r="G415" s="52"/>
      <c r="H415" s="52"/>
    </row>
    <row r="416" spans="1:8" ht="15.75">
      <c r="A416" s="50">
        <v>40022</v>
      </c>
      <c r="B416" s="102">
        <v>661.79</v>
      </c>
      <c r="C416" s="52"/>
      <c r="D416" s="52"/>
      <c r="E416" s="52"/>
      <c r="F416" s="52"/>
      <c r="G416" s="52"/>
      <c r="H416" s="52"/>
    </row>
    <row r="417" spans="1:8" ht="15.75">
      <c r="A417" s="50">
        <v>40023</v>
      </c>
      <c r="B417" s="102">
        <v>662.39</v>
      </c>
      <c r="C417" s="52"/>
      <c r="D417" s="52"/>
      <c r="E417" s="52"/>
      <c r="F417" s="52"/>
      <c r="G417" s="52"/>
      <c r="H417" s="52"/>
    </row>
    <row r="418" spans="1:8" ht="15.75">
      <c r="A418" s="50">
        <v>40024</v>
      </c>
      <c r="B418" s="102">
        <v>664.27</v>
      </c>
      <c r="C418" s="52"/>
      <c r="D418" s="52"/>
      <c r="E418" s="52"/>
      <c r="F418" s="52"/>
      <c r="G418" s="52"/>
      <c r="H418" s="52"/>
    </row>
    <row r="419" spans="1:8" ht="15.75">
      <c r="A419" s="50">
        <v>40025</v>
      </c>
      <c r="B419" s="102">
        <v>669.58</v>
      </c>
      <c r="C419" s="52"/>
      <c r="D419" s="52"/>
      <c r="E419" s="52"/>
      <c r="F419" s="52"/>
      <c r="G419" s="52"/>
      <c r="H419" s="52"/>
    </row>
    <row r="420" spans="1:8" ht="15.75">
      <c r="A420" s="50">
        <v>40028</v>
      </c>
      <c r="B420" s="102">
        <v>663.41</v>
      </c>
      <c r="C420" s="52"/>
      <c r="D420" s="52"/>
      <c r="E420" s="52"/>
      <c r="F420" s="52"/>
      <c r="G420" s="52"/>
      <c r="H420" s="52"/>
    </row>
    <row r="421" spans="1:8" ht="15.75">
      <c r="A421" s="50">
        <v>40029</v>
      </c>
      <c r="B421" s="102">
        <v>671.5</v>
      </c>
      <c r="C421" s="52"/>
      <c r="D421" s="52"/>
      <c r="E421" s="52"/>
      <c r="F421" s="52"/>
      <c r="G421" s="52"/>
      <c r="H421" s="52"/>
    </row>
    <row r="422" spans="1:8" ht="15.75">
      <c r="A422" s="50">
        <v>40030</v>
      </c>
      <c r="B422" s="102">
        <v>668.19</v>
      </c>
      <c r="C422" s="52"/>
      <c r="D422" s="52"/>
      <c r="E422" s="52"/>
      <c r="F422" s="52"/>
      <c r="G422" s="52"/>
      <c r="H422" s="52"/>
    </row>
    <row r="423" spans="1:8" ht="15.75">
      <c r="A423" s="50">
        <v>40031</v>
      </c>
      <c r="B423" s="102">
        <v>670.81</v>
      </c>
      <c r="C423" s="52"/>
      <c r="D423" s="52"/>
      <c r="E423" s="52"/>
      <c r="F423" s="52"/>
      <c r="G423" s="52"/>
      <c r="H423" s="52"/>
    </row>
    <row r="424" spans="1:8" ht="15.75">
      <c r="A424" s="50">
        <v>40032</v>
      </c>
      <c r="B424" s="102">
        <v>673.08</v>
      </c>
      <c r="C424" s="52"/>
      <c r="D424" s="52"/>
      <c r="E424" s="52"/>
      <c r="F424" s="52"/>
      <c r="G424" s="52"/>
      <c r="H424" s="52"/>
    </row>
    <row r="425" spans="1:8" ht="15.75">
      <c r="A425" s="50">
        <v>40035</v>
      </c>
      <c r="B425" s="102">
        <v>668.56</v>
      </c>
      <c r="C425" s="52"/>
      <c r="D425" s="52"/>
      <c r="E425" s="52"/>
      <c r="F425" s="52"/>
      <c r="G425" s="52"/>
      <c r="H425" s="52"/>
    </row>
    <row r="426" spans="1:8" ht="15.75">
      <c r="A426" s="50">
        <v>40036</v>
      </c>
      <c r="B426" s="102">
        <v>669.02</v>
      </c>
      <c r="C426" s="52"/>
      <c r="D426" s="52"/>
      <c r="E426" s="52"/>
      <c r="F426" s="52"/>
      <c r="G426" s="52"/>
      <c r="H426" s="52"/>
    </row>
    <row r="427" spans="1:8" ht="15.75">
      <c r="A427" s="50">
        <v>40037</v>
      </c>
      <c r="B427" s="102">
        <v>668.03</v>
      </c>
      <c r="C427" s="52"/>
      <c r="D427" s="52"/>
      <c r="E427" s="52"/>
      <c r="F427" s="52"/>
      <c r="G427" s="52"/>
      <c r="H427" s="52"/>
    </row>
    <row r="428" spans="1:8" ht="15.75">
      <c r="A428" s="50">
        <v>40038</v>
      </c>
      <c r="B428" s="102">
        <v>670.17</v>
      </c>
      <c r="C428" s="52"/>
      <c r="D428" s="52"/>
      <c r="E428" s="52"/>
      <c r="F428" s="52"/>
      <c r="G428" s="52"/>
      <c r="H428" s="52"/>
    </row>
    <row r="429" spans="1:8" ht="15.75">
      <c r="A429" s="50">
        <v>40039</v>
      </c>
      <c r="B429" s="102">
        <v>666.91</v>
      </c>
      <c r="C429" s="52"/>
      <c r="D429" s="52"/>
      <c r="E429" s="52"/>
      <c r="F429" s="52"/>
      <c r="G429" s="52"/>
      <c r="H429" s="52"/>
    </row>
    <row r="430" spans="1:8" ht="15.75">
      <c r="A430" s="50">
        <v>40042</v>
      </c>
      <c r="B430" s="102">
        <v>665.2</v>
      </c>
      <c r="C430" s="52"/>
      <c r="D430" s="52"/>
      <c r="E430" s="52"/>
      <c r="F430" s="52"/>
      <c r="G430" s="52"/>
      <c r="H430" s="52"/>
    </row>
    <row r="431" spans="1:8" ht="15.75">
      <c r="A431" s="50">
        <v>40043</v>
      </c>
      <c r="B431" s="102">
        <v>664.54</v>
      </c>
      <c r="C431" s="52"/>
      <c r="D431" s="52"/>
      <c r="E431" s="52"/>
      <c r="F431" s="52"/>
      <c r="G431" s="52"/>
      <c r="H431" s="52"/>
    </row>
    <row r="432" spans="1:8" ht="15.75">
      <c r="A432" s="50">
        <v>40044</v>
      </c>
      <c r="B432" s="102">
        <v>663.18</v>
      </c>
      <c r="C432" s="52"/>
      <c r="D432" s="52"/>
      <c r="E432" s="52"/>
      <c r="F432" s="52"/>
      <c r="G432" s="52"/>
      <c r="H432" s="52"/>
    </row>
    <row r="433" spans="1:8" ht="15.75">
      <c r="A433" s="50">
        <v>40045</v>
      </c>
      <c r="B433" s="102">
        <v>660.24</v>
      </c>
      <c r="C433" s="52"/>
      <c r="D433" s="52"/>
      <c r="E433" s="52"/>
      <c r="F433" s="52"/>
      <c r="G433" s="52"/>
      <c r="H433" s="52"/>
    </row>
    <row r="434" spans="1:8" ht="15.75">
      <c r="A434" s="50">
        <v>40046</v>
      </c>
      <c r="B434" s="102">
        <v>666.12</v>
      </c>
      <c r="C434" s="52"/>
      <c r="D434" s="52"/>
      <c r="E434" s="52"/>
      <c r="F434" s="52"/>
      <c r="G434" s="52"/>
      <c r="H434" s="52"/>
    </row>
    <row r="435" spans="1:8" ht="15.75">
      <c r="A435" s="50">
        <v>40049</v>
      </c>
      <c r="B435" s="102">
        <v>659.21</v>
      </c>
      <c r="C435" s="52"/>
      <c r="D435" s="52"/>
      <c r="E435" s="52"/>
      <c r="F435" s="52"/>
      <c r="G435" s="52"/>
      <c r="H435" s="52"/>
    </row>
    <row r="436" spans="1:8" ht="15.75">
      <c r="A436" s="50">
        <v>40050</v>
      </c>
      <c r="B436" s="102">
        <v>660.5</v>
      </c>
      <c r="C436" s="52"/>
      <c r="D436" s="52"/>
      <c r="E436" s="52"/>
      <c r="F436" s="52"/>
      <c r="G436" s="52"/>
      <c r="H436" s="52"/>
    </row>
    <row r="437" spans="1:8" ht="15.75">
      <c r="A437" s="50">
        <v>40051</v>
      </c>
      <c r="B437" s="102">
        <v>663.91</v>
      </c>
      <c r="C437" s="52"/>
      <c r="D437" s="52"/>
      <c r="E437" s="52"/>
      <c r="F437" s="52"/>
      <c r="G437" s="52"/>
      <c r="H437" s="52"/>
    </row>
    <row r="438" spans="1:8" ht="15.75">
      <c r="A438" s="50">
        <v>40052</v>
      </c>
      <c r="B438" s="102">
        <v>661.97</v>
      </c>
      <c r="C438" s="52"/>
      <c r="D438" s="52"/>
      <c r="E438" s="52"/>
      <c r="F438" s="52"/>
      <c r="G438" s="52"/>
      <c r="H438" s="52"/>
    </row>
    <row r="439" spans="1:8" ht="15.75">
      <c r="A439" s="50">
        <v>40053</v>
      </c>
      <c r="B439" s="102">
        <v>668.73</v>
      </c>
      <c r="C439" s="52"/>
      <c r="D439" s="52"/>
      <c r="E439" s="52"/>
      <c r="F439" s="52"/>
      <c r="G439" s="52"/>
      <c r="H439" s="52"/>
    </row>
    <row r="440" spans="1:8" ht="15.75">
      <c r="A440" s="50">
        <v>40056</v>
      </c>
      <c r="B440" s="102">
        <v>664.13</v>
      </c>
      <c r="C440" s="52"/>
      <c r="D440" s="52"/>
      <c r="E440" s="52"/>
      <c r="F440" s="52"/>
      <c r="G440" s="52"/>
      <c r="H440" s="52"/>
    </row>
    <row r="441" spans="1:8" ht="15.75">
      <c r="A441" s="50">
        <v>40057</v>
      </c>
      <c r="B441" s="102">
        <v>672.45</v>
      </c>
      <c r="C441" s="52"/>
      <c r="D441" s="52"/>
      <c r="E441" s="52"/>
      <c r="F441" s="52"/>
      <c r="G441" s="52"/>
      <c r="H441" s="52"/>
    </row>
    <row r="442" spans="1:8" ht="15.75">
      <c r="A442" s="50">
        <v>40058</v>
      </c>
      <c r="B442" s="102">
        <v>685.72</v>
      </c>
      <c r="C442" s="52"/>
      <c r="D442" s="52"/>
      <c r="E442" s="52"/>
      <c r="F442" s="52"/>
      <c r="G442" s="52"/>
      <c r="H442" s="52"/>
    </row>
    <row r="443" spans="1:8" ht="15.75">
      <c r="A443" s="50">
        <v>40059</v>
      </c>
      <c r="B443" s="102">
        <v>697.35</v>
      </c>
      <c r="C443" s="52"/>
      <c r="D443" s="52"/>
      <c r="E443" s="52"/>
      <c r="F443" s="52"/>
      <c r="G443" s="52"/>
      <c r="H443" s="52"/>
    </row>
    <row r="444" spans="1:8" ht="15.75">
      <c r="A444" s="50">
        <v>40060</v>
      </c>
      <c r="B444" s="102">
        <v>695.73</v>
      </c>
      <c r="C444" s="52"/>
      <c r="D444" s="52"/>
      <c r="E444" s="52"/>
      <c r="F444" s="52"/>
      <c r="G444" s="52"/>
      <c r="H444" s="52"/>
    </row>
    <row r="445" spans="1:8" ht="15.75">
      <c r="A445" s="50">
        <v>40063</v>
      </c>
      <c r="B445" s="102">
        <v>694.5</v>
      </c>
      <c r="C445" s="52"/>
      <c r="D445" s="52"/>
      <c r="E445" s="52"/>
      <c r="F445" s="52"/>
      <c r="G445" s="52"/>
      <c r="H445" s="52"/>
    </row>
    <row r="446" spans="1:8" ht="15.75">
      <c r="A446" s="50">
        <v>40064</v>
      </c>
      <c r="B446" s="102">
        <v>690</v>
      </c>
      <c r="C446" s="52"/>
      <c r="D446" s="52"/>
      <c r="E446" s="52"/>
      <c r="F446" s="52"/>
      <c r="G446" s="52"/>
      <c r="H446" s="52"/>
    </row>
    <row r="447" spans="1:8" ht="15.75">
      <c r="A447" s="50">
        <v>40065</v>
      </c>
      <c r="B447" s="102">
        <v>681.79</v>
      </c>
      <c r="C447" s="52"/>
      <c r="D447" s="52"/>
      <c r="E447" s="52"/>
      <c r="F447" s="52"/>
      <c r="G447" s="52"/>
      <c r="H447" s="52"/>
    </row>
    <row r="448" spans="1:8" ht="15.75">
      <c r="A448" s="50">
        <v>40066</v>
      </c>
      <c r="B448" s="102">
        <v>683.41</v>
      </c>
      <c r="C448" s="52"/>
      <c r="D448" s="52"/>
      <c r="E448" s="52"/>
      <c r="F448" s="52"/>
      <c r="G448" s="52"/>
      <c r="H448" s="52"/>
    </row>
    <row r="449" spans="1:8" ht="15.75">
      <c r="A449" s="50">
        <v>40067</v>
      </c>
      <c r="B449" s="102">
        <v>690.45</v>
      </c>
      <c r="C449" s="52"/>
      <c r="D449" s="52"/>
      <c r="E449" s="52"/>
      <c r="F449" s="52"/>
      <c r="G449" s="52"/>
      <c r="H449" s="52"/>
    </row>
    <row r="450" spans="1:8" ht="15.75">
      <c r="A450" s="50">
        <v>40070</v>
      </c>
      <c r="B450" s="102">
        <v>683.74</v>
      </c>
      <c r="C450" s="52"/>
      <c r="D450" s="52"/>
      <c r="E450" s="52"/>
      <c r="F450" s="52"/>
      <c r="G450" s="52"/>
      <c r="H450" s="52"/>
    </row>
    <row r="451" spans="1:8" ht="15.75">
      <c r="A451" s="50">
        <v>40071</v>
      </c>
      <c r="B451" s="102">
        <v>687.62</v>
      </c>
      <c r="C451" s="52"/>
      <c r="D451" s="52"/>
      <c r="E451" s="52"/>
      <c r="F451" s="52"/>
      <c r="G451" s="52"/>
      <c r="H451" s="52"/>
    </row>
    <row r="452" spans="1:8" ht="15.75">
      <c r="A452" s="50">
        <v>40072</v>
      </c>
      <c r="B452" s="102">
        <v>691.48</v>
      </c>
      <c r="C452" s="52"/>
      <c r="D452" s="52"/>
      <c r="E452" s="52"/>
      <c r="F452" s="52"/>
      <c r="G452" s="52"/>
      <c r="H452" s="52"/>
    </row>
    <row r="453" spans="1:8" ht="15.75">
      <c r="A453" s="50">
        <v>40073</v>
      </c>
      <c r="B453" s="102">
        <v>687.76</v>
      </c>
      <c r="C453" s="52"/>
      <c r="D453" s="52"/>
      <c r="E453" s="52"/>
      <c r="F453" s="52"/>
      <c r="G453" s="52"/>
      <c r="H453" s="52"/>
    </row>
    <row r="454" spans="1:8" ht="15.75">
      <c r="A454" s="50">
        <v>40074</v>
      </c>
      <c r="B454" s="102">
        <v>684.72</v>
      </c>
      <c r="C454" s="52"/>
      <c r="D454" s="52"/>
      <c r="E454" s="52"/>
      <c r="F454" s="52"/>
      <c r="G454" s="52"/>
      <c r="H454" s="52"/>
    </row>
    <row r="455" spans="1:8" ht="15.75">
      <c r="A455" s="50">
        <v>40077</v>
      </c>
      <c r="B455" s="102">
        <v>683.7</v>
      </c>
      <c r="C455" s="52"/>
      <c r="D455" s="52"/>
      <c r="E455" s="52"/>
      <c r="F455" s="52"/>
      <c r="G455" s="52"/>
      <c r="H455" s="52"/>
    </row>
    <row r="456" spans="1:8" ht="15.75">
      <c r="A456" s="50">
        <v>40078</v>
      </c>
      <c r="B456" s="102">
        <v>686.34</v>
      </c>
      <c r="C456" s="52"/>
      <c r="D456" s="52"/>
      <c r="E456" s="52"/>
      <c r="F456" s="52"/>
      <c r="G456" s="52"/>
      <c r="H456" s="52"/>
    </row>
    <row r="457" spans="1:8" ht="15.75">
      <c r="A457" s="50">
        <v>40079</v>
      </c>
      <c r="B457" s="102">
        <v>686.51</v>
      </c>
      <c r="C457" s="52"/>
      <c r="D457" s="52"/>
      <c r="E457" s="52"/>
      <c r="F457" s="52"/>
      <c r="G457" s="52"/>
      <c r="H457" s="52"/>
    </row>
    <row r="458" spans="1:8" ht="15.75">
      <c r="A458" s="50">
        <v>40080</v>
      </c>
      <c r="B458" s="102">
        <v>677.82</v>
      </c>
      <c r="C458" s="52"/>
      <c r="D458" s="52"/>
      <c r="E458" s="52"/>
      <c r="F458" s="52"/>
      <c r="G458" s="52"/>
      <c r="H458" s="52"/>
    </row>
    <row r="459" spans="1:8" ht="15.75">
      <c r="A459" s="50">
        <v>40081</v>
      </c>
      <c r="B459" s="102">
        <v>675.07</v>
      </c>
      <c r="C459" s="52"/>
      <c r="D459" s="52"/>
      <c r="E459" s="52"/>
      <c r="F459" s="52"/>
      <c r="G459" s="52"/>
      <c r="H459" s="52"/>
    </row>
    <row r="460" spans="1:8" ht="15.75">
      <c r="A460" s="50">
        <v>40084</v>
      </c>
      <c r="B460" s="102">
        <v>678.39</v>
      </c>
      <c r="C460" s="52"/>
      <c r="D460" s="52"/>
      <c r="E460" s="52"/>
      <c r="F460" s="52"/>
      <c r="G460" s="52"/>
      <c r="H460" s="52"/>
    </row>
    <row r="461" spans="1:8" ht="15.75">
      <c r="A461" s="50">
        <v>40085</v>
      </c>
      <c r="B461" s="102">
        <v>680.76</v>
      </c>
      <c r="C461" s="52"/>
      <c r="D461" s="52"/>
      <c r="E461" s="52"/>
      <c r="F461" s="52"/>
      <c r="G461" s="52"/>
      <c r="H461" s="52"/>
    </row>
    <row r="462" spans="1:8" ht="15.75">
      <c r="A462" s="50">
        <v>40086</v>
      </c>
      <c r="B462" s="102">
        <v>689.75</v>
      </c>
      <c r="C462" s="52"/>
      <c r="D462" s="52"/>
      <c r="E462" s="52"/>
      <c r="F462" s="52"/>
      <c r="G462" s="52"/>
      <c r="H462" s="52"/>
    </row>
    <row r="463" spans="1:8" ht="15.75">
      <c r="A463" s="50">
        <v>40087</v>
      </c>
      <c r="B463" s="102">
        <v>688.99</v>
      </c>
      <c r="C463" s="52"/>
      <c r="D463" s="52"/>
      <c r="E463" s="52"/>
      <c r="F463" s="52"/>
      <c r="G463" s="52"/>
      <c r="H463" s="52"/>
    </row>
    <row r="464" spans="1:8" ht="15.75">
      <c r="A464" s="50">
        <v>40088</v>
      </c>
      <c r="B464" s="102">
        <v>689.66</v>
      </c>
      <c r="C464" s="52"/>
      <c r="D464" s="52"/>
      <c r="E464" s="52"/>
      <c r="F464" s="52"/>
      <c r="G464" s="52"/>
      <c r="H464" s="52"/>
    </row>
    <row r="465" spans="1:8" ht="15.75">
      <c r="A465" s="50">
        <v>40091</v>
      </c>
      <c r="B465" s="102">
        <v>694.64</v>
      </c>
      <c r="C465" s="52"/>
      <c r="D465" s="52"/>
      <c r="E465" s="52"/>
      <c r="F465" s="52"/>
      <c r="G465" s="52"/>
      <c r="H465" s="52"/>
    </row>
    <row r="466" spans="1:8" ht="15.75">
      <c r="A466" s="50">
        <v>40092</v>
      </c>
      <c r="B466" s="102">
        <v>706.75</v>
      </c>
      <c r="C466" s="52"/>
      <c r="D466" s="52"/>
      <c r="E466" s="52"/>
      <c r="F466" s="52"/>
      <c r="G466" s="52"/>
      <c r="H466" s="52"/>
    </row>
    <row r="467" spans="1:8" ht="15.75">
      <c r="A467" s="50">
        <v>40093</v>
      </c>
      <c r="B467" s="102">
        <v>712.38</v>
      </c>
      <c r="C467" s="52"/>
      <c r="D467" s="52"/>
      <c r="E467" s="52"/>
      <c r="F467" s="52"/>
      <c r="G467" s="52"/>
      <c r="H467" s="52"/>
    </row>
    <row r="468" spans="1:8" ht="15.75">
      <c r="A468" s="50">
        <v>40094</v>
      </c>
      <c r="B468" s="102">
        <v>712.3</v>
      </c>
      <c r="C468" s="52"/>
      <c r="D468" s="52"/>
      <c r="E468" s="52"/>
      <c r="F468" s="52"/>
      <c r="G468" s="52"/>
      <c r="H468" s="52"/>
    </row>
    <row r="469" spans="1:8" ht="15.75">
      <c r="A469" s="50">
        <v>40095</v>
      </c>
      <c r="B469" s="102">
        <v>712.37</v>
      </c>
      <c r="C469" s="52"/>
      <c r="D469" s="52"/>
      <c r="E469" s="52"/>
      <c r="F469" s="52"/>
      <c r="G469" s="52"/>
      <c r="H469" s="52"/>
    </row>
    <row r="470" spans="1:8" ht="15.75">
      <c r="A470" s="50">
        <v>40098</v>
      </c>
      <c r="B470" s="102">
        <v>714.35</v>
      </c>
      <c r="C470" s="52"/>
      <c r="D470" s="52"/>
      <c r="E470" s="52"/>
      <c r="F470" s="52"/>
      <c r="G470" s="52"/>
      <c r="H470" s="52"/>
    </row>
    <row r="471" spans="1:8" ht="15.75">
      <c r="A471" s="50">
        <v>40099</v>
      </c>
      <c r="B471" s="102">
        <v>716.99</v>
      </c>
      <c r="C471" s="52"/>
      <c r="D471" s="52"/>
      <c r="E471" s="52"/>
      <c r="F471" s="52"/>
      <c r="G471" s="52"/>
      <c r="H471" s="52"/>
    </row>
    <row r="472" spans="1:8" ht="15.75">
      <c r="A472" s="50">
        <v>40100</v>
      </c>
      <c r="B472" s="102">
        <v>711.93</v>
      </c>
      <c r="C472" s="52"/>
      <c r="D472" s="52"/>
      <c r="E472" s="52"/>
      <c r="F472" s="52"/>
      <c r="G472" s="52"/>
      <c r="H472" s="52"/>
    </row>
    <row r="473" spans="1:8" ht="15.75">
      <c r="A473" s="50">
        <v>40101</v>
      </c>
      <c r="B473" s="102">
        <v>703.84</v>
      </c>
      <c r="C473" s="52"/>
      <c r="D473" s="52"/>
      <c r="E473" s="52"/>
      <c r="F473" s="52"/>
      <c r="G473" s="52"/>
      <c r="H473" s="52"/>
    </row>
    <row r="474" spans="1:8" ht="15.75">
      <c r="A474" s="50">
        <v>40102</v>
      </c>
      <c r="B474" s="102">
        <v>706.59</v>
      </c>
      <c r="C474" s="52"/>
      <c r="D474" s="52"/>
      <c r="E474" s="52"/>
      <c r="F474" s="52"/>
      <c r="G474" s="52"/>
      <c r="H474" s="52"/>
    </row>
    <row r="475" spans="1:8" ht="15.75">
      <c r="A475" s="50">
        <v>40105</v>
      </c>
      <c r="B475" s="102">
        <v>711.18</v>
      </c>
      <c r="C475" s="52"/>
      <c r="D475" s="52"/>
      <c r="E475" s="52"/>
      <c r="F475" s="52"/>
      <c r="G475" s="52"/>
      <c r="H475" s="52"/>
    </row>
    <row r="476" spans="1:8" ht="15.75">
      <c r="A476" s="50">
        <v>40106</v>
      </c>
      <c r="B476" s="102">
        <v>706.96</v>
      </c>
      <c r="C476" s="52"/>
      <c r="D476" s="52"/>
      <c r="E476" s="52"/>
      <c r="F476" s="52"/>
      <c r="G476" s="52"/>
      <c r="H476" s="52"/>
    </row>
    <row r="477" spans="1:8" ht="15.75">
      <c r="A477" s="50">
        <v>40107</v>
      </c>
      <c r="B477" s="102">
        <v>705.19</v>
      </c>
      <c r="C477" s="52"/>
      <c r="D477" s="52"/>
      <c r="E477" s="52"/>
      <c r="F477" s="52"/>
      <c r="G477" s="52"/>
      <c r="H477" s="52"/>
    </row>
    <row r="478" spans="1:8" ht="15.75">
      <c r="A478" s="50">
        <v>40108</v>
      </c>
      <c r="B478" s="102">
        <v>706.15</v>
      </c>
      <c r="C478" s="52"/>
      <c r="D478" s="52"/>
      <c r="E478" s="52"/>
      <c r="F478" s="52"/>
      <c r="G478" s="52"/>
      <c r="H478" s="52"/>
    </row>
    <row r="479" spans="1:8" ht="15.75">
      <c r="A479" s="50">
        <v>40109</v>
      </c>
      <c r="B479" s="102">
        <v>703.02</v>
      </c>
      <c r="C479" s="52"/>
      <c r="D479" s="52"/>
      <c r="E479" s="52"/>
      <c r="F479" s="52"/>
      <c r="G479" s="52"/>
      <c r="H479" s="52"/>
    </row>
    <row r="480" spans="1:8" ht="15.75">
      <c r="A480" s="50">
        <v>40112</v>
      </c>
      <c r="B480" s="102">
        <v>699.19</v>
      </c>
      <c r="C480" s="52"/>
      <c r="D480" s="52"/>
      <c r="E480" s="52"/>
      <c r="F480" s="52"/>
      <c r="G480" s="52"/>
      <c r="H480" s="52"/>
    </row>
    <row r="481" spans="1:8" ht="15.75">
      <c r="A481" s="50">
        <v>40113</v>
      </c>
      <c r="B481" s="102">
        <v>702.56</v>
      </c>
      <c r="C481" s="52"/>
      <c r="D481" s="52"/>
      <c r="E481" s="52"/>
      <c r="F481" s="52"/>
      <c r="G481" s="52"/>
      <c r="H481" s="52"/>
    </row>
    <row r="482" spans="1:8" ht="15.75">
      <c r="A482" s="50">
        <v>40114</v>
      </c>
      <c r="B482" s="102">
        <v>699.37</v>
      </c>
      <c r="C482" s="52"/>
      <c r="D482" s="52"/>
      <c r="E482" s="52"/>
      <c r="F482" s="52"/>
      <c r="G482" s="52"/>
      <c r="H482" s="52"/>
    </row>
    <row r="483" spans="1:8" ht="15.75">
      <c r="A483" s="50">
        <v>40115</v>
      </c>
      <c r="B483" s="102">
        <v>705.28</v>
      </c>
      <c r="C483" s="52"/>
      <c r="D483" s="52"/>
      <c r="E483" s="52"/>
      <c r="F483" s="52"/>
      <c r="G483" s="52"/>
      <c r="H483" s="52"/>
    </row>
    <row r="484" spans="1:8" ht="15.75">
      <c r="A484" s="50">
        <v>40116</v>
      </c>
      <c r="B484" s="102">
        <v>710.09</v>
      </c>
      <c r="C484" s="52"/>
      <c r="D484" s="52"/>
      <c r="E484" s="52"/>
      <c r="F484" s="52"/>
      <c r="G484" s="52"/>
      <c r="H484" s="52"/>
    </row>
    <row r="485" spans="1:8" ht="15.75">
      <c r="A485" s="50">
        <v>40119</v>
      </c>
      <c r="B485" s="102">
        <v>718.78</v>
      </c>
      <c r="C485" s="52"/>
      <c r="D485" s="52"/>
      <c r="E485" s="52"/>
      <c r="F485" s="52"/>
      <c r="G485" s="52"/>
      <c r="H485" s="52"/>
    </row>
    <row r="486" spans="1:8" ht="15.75">
      <c r="A486" s="50">
        <v>40120</v>
      </c>
      <c r="B486" s="102">
        <v>736.12</v>
      </c>
      <c r="C486" s="52"/>
      <c r="D486" s="52"/>
      <c r="E486" s="52"/>
      <c r="F486" s="52"/>
      <c r="G486" s="52"/>
      <c r="H486" s="52"/>
    </row>
    <row r="487" spans="1:8" ht="15.75">
      <c r="A487" s="50">
        <v>40121</v>
      </c>
      <c r="B487" s="102">
        <v>734.52</v>
      </c>
      <c r="C487" s="52"/>
      <c r="D487" s="52"/>
      <c r="E487" s="52"/>
      <c r="F487" s="52"/>
      <c r="G487" s="52"/>
      <c r="H487" s="52"/>
    </row>
    <row r="488" spans="1:8" ht="15.75">
      <c r="A488" s="50">
        <v>40122</v>
      </c>
      <c r="B488" s="102">
        <v>733.36</v>
      </c>
      <c r="C488" s="52"/>
      <c r="D488" s="52"/>
      <c r="E488" s="52"/>
      <c r="F488" s="52"/>
      <c r="G488" s="52"/>
      <c r="H488" s="52"/>
    </row>
    <row r="489" spans="1:8" ht="15.75">
      <c r="A489" s="50">
        <v>40123</v>
      </c>
      <c r="B489" s="102">
        <v>737.78</v>
      </c>
      <c r="C489" s="52"/>
      <c r="D489" s="52"/>
      <c r="E489" s="52"/>
      <c r="F489" s="52"/>
      <c r="G489" s="52"/>
      <c r="H489" s="52"/>
    </row>
    <row r="490" spans="1:8" ht="15.75">
      <c r="A490" s="50">
        <v>40126</v>
      </c>
      <c r="B490" s="102">
        <v>736.48</v>
      </c>
      <c r="C490" s="52"/>
      <c r="D490" s="52"/>
      <c r="E490" s="52"/>
      <c r="F490" s="52"/>
      <c r="G490" s="52"/>
      <c r="H490" s="52"/>
    </row>
    <row r="491" spans="1:8" ht="15.75">
      <c r="A491" s="50">
        <v>40127</v>
      </c>
      <c r="B491" s="102">
        <v>738.24</v>
      </c>
      <c r="C491" s="52"/>
      <c r="D491" s="52"/>
      <c r="E491" s="52"/>
      <c r="F491" s="52"/>
      <c r="G491" s="52"/>
      <c r="H491" s="52"/>
    </row>
    <row r="492" spans="1:8" ht="15.75">
      <c r="A492" s="50">
        <v>40128</v>
      </c>
      <c r="B492" s="102">
        <v>745</v>
      </c>
      <c r="C492" s="52"/>
      <c r="D492" s="52"/>
      <c r="E492" s="52"/>
      <c r="F492" s="52"/>
      <c r="G492" s="52"/>
      <c r="H492" s="52"/>
    </row>
    <row r="493" spans="1:8" ht="15.75">
      <c r="A493" s="50">
        <v>40129</v>
      </c>
      <c r="B493" s="102">
        <v>745.25</v>
      </c>
      <c r="C493" s="52"/>
      <c r="D493" s="52"/>
      <c r="E493" s="52"/>
      <c r="F493" s="52"/>
      <c r="G493" s="52"/>
      <c r="H493" s="52"/>
    </row>
    <row r="494" spans="1:8" ht="15.75">
      <c r="A494" s="50">
        <v>40130</v>
      </c>
      <c r="B494" s="102">
        <v>750.79</v>
      </c>
      <c r="C494" s="52"/>
      <c r="D494" s="52"/>
      <c r="E494" s="52"/>
      <c r="F494" s="52"/>
      <c r="G494" s="52"/>
      <c r="H494" s="52"/>
    </row>
    <row r="495" spans="1:8" ht="15.75">
      <c r="A495" s="50">
        <v>40133</v>
      </c>
      <c r="B495" s="102">
        <v>760.37</v>
      </c>
      <c r="C495" s="52"/>
      <c r="D495" s="52"/>
      <c r="E495" s="52"/>
      <c r="F495" s="52"/>
      <c r="G495" s="52"/>
      <c r="H495" s="52"/>
    </row>
    <row r="496" spans="1:8" ht="15.75">
      <c r="A496" s="50">
        <v>40134</v>
      </c>
      <c r="B496" s="102">
        <v>768.71</v>
      </c>
      <c r="C496" s="52"/>
      <c r="D496" s="52"/>
      <c r="E496" s="52"/>
      <c r="F496" s="52"/>
      <c r="G496" s="52"/>
      <c r="H496" s="52"/>
    </row>
    <row r="497" spans="1:8" ht="15.75">
      <c r="A497" s="50">
        <v>40135</v>
      </c>
      <c r="B497" s="102">
        <v>764.69</v>
      </c>
      <c r="C497" s="52"/>
      <c r="D497" s="52"/>
      <c r="E497" s="52"/>
      <c r="F497" s="52"/>
      <c r="G497" s="52"/>
      <c r="H497" s="52"/>
    </row>
    <row r="498" spans="1:8" ht="15.75">
      <c r="A498" s="50">
        <v>40136</v>
      </c>
      <c r="B498" s="102">
        <v>767.08</v>
      </c>
      <c r="C498" s="52"/>
      <c r="D498" s="52"/>
      <c r="E498" s="52"/>
      <c r="F498" s="52"/>
      <c r="G498" s="52"/>
      <c r="H498" s="52"/>
    </row>
    <row r="499" spans="1:8" ht="15.75">
      <c r="A499" s="50">
        <v>40137</v>
      </c>
      <c r="B499" s="102">
        <v>774.59</v>
      </c>
      <c r="C499" s="52"/>
      <c r="D499" s="52"/>
      <c r="E499" s="52"/>
      <c r="F499" s="52"/>
      <c r="G499" s="52"/>
      <c r="H499" s="52"/>
    </row>
    <row r="500" spans="1:8" ht="15.75">
      <c r="A500" s="50">
        <v>40140</v>
      </c>
      <c r="B500" s="102">
        <v>777.24</v>
      </c>
      <c r="C500" s="52"/>
      <c r="D500" s="52"/>
      <c r="E500" s="52"/>
      <c r="F500" s="52"/>
      <c r="G500" s="52"/>
      <c r="H500" s="52"/>
    </row>
    <row r="501" spans="1:8" ht="15.75">
      <c r="A501" s="50">
        <v>40141</v>
      </c>
      <c r="B501" s="102">
        <v>781.11</v>
      </c>
      <c r="C501" s="52"/>
      <c r="D501" s="52"/>
      <c r="E501" s="52"/>
      <c r="F501" s="52"/>
      <c r="G501" s="52"/>
      <c r="H501" s="52"/>
    </row>
    <row r="502" spans="1:8" ht="15.75">
      <c r="A502" s="50">
        <v>40142</v>
      </c>
      <c r="B502" s="102">
        <v>785.56</v>
      </c>
      <c r="C502" s="52"/>
      <c r="D502" s="52"/>
      <c r="E502" s="52"/>
      <c r="F502" s="52"/>
      <c r="G502" s="52"/>
      <c r="H502" s="52"/>
    </row>
    <row r="503" spans="1:8" ht="15.75">
      <c r="A503" s="50">
        <v>40143</v>
      </c>
      <c r="B503" s="102">
        <v>789.68</v>
      </c>
      <c r="C503" s="52"/>
      <c r="D503" s="52"/>
      <c r="E503" s="52"/>
      <c r="F503" s="52"/>
      <c r="G503" s="52"/>
      <c r="H503" s="52"/>
    </row>
    <row r="504" spans="1:8" ht="15.75">
      <c r="A504" s="50">
        <v>40144</v>
      </c>
      <c r="B504" s="102">
        <v>785.92</v>
      </c>
      <c r="C504" s="52"/>
      <c r="D504" s="52"/>
      <c r="E504" s="52"/>
      <c r="F504" s="52"/>
      <c r="G504" s="52"/>
      <c r="H504" s="52"/>
    </row>
    <row r="505" spans="1:8" ht="15.75">
      <c r="A505" s="50">
        <v>40147</v>
      </c>
      <c r="B505" s="102">
        <v>786.06</v>
      </c>
      <c r="C505" s="52"/>
      <c r="D505" s="52"/>
      <c r="E505" s="52"/>
      <c r="F505" s="52"/>
      <c r="G505" s="52"/>
      <c r="H505" s="52"/>
    </row>
    <row r="506" spans="1:8" ht="15.75">
      <c r="A506" s="50">
        <v>40148</v>
      </c>
      <c r="B506" s="102">
        <v>793.08</v>
      </c>
      <c r="C506" s="52"/>
      <c r="D506" s="52"/>
      <c r="E506" s="52"/>
      <c r="F506" s="52"/>
      <c r="G506" s="52"/>
      <c r="H506" s="52"/>
    </row>
    <row r="507" spans="1:8" ht="15.75">
      <c r="A507" s="50">
        <v>40149</v>
      </c>
      <c r="B507" s="102">
        <v>810.11</v>
      </c>
      <c r="C507" s="52"/>
      <c r="D507" s="52"/>
      <c r="E507" s="52"/>
      <c r="F507" s="52"/>
      <c r="G507" s="52"/>
      <c r="H507" s="52"/>
    </row>
    <row r="508" spans="1:8" ht="15.75">
      <c r="A508" s="50">
        <v>40150</v>
      </c>
      <c r="B508" s="102">
        <v>800.62</v>
      </c>
      <c r="C508" s="52"/>
      <c r="D508" s="52"/>
      <c r="E508" s="52"/>
      <c r="F508" s="52"/>
      <c r="G508" s="52"/>
      <c r="H508" s="52"/>
    </row>
    <row r="509" spans="1:8" ht="15.75">
      <c r="A509" s="50">
        <v>40151</v>
      </c>
      <c r="B509" s="102">
        <v>781.82</v>
      </c>
      <c r="C509" s="52"/>
      <c r="D509" s="52"/>
      <c r="E509" s="52"/>
      <c r="F509" s="52"/>
      <c r="G509" s="52"/>
      <c r="H509" s="52"/>
    </row>
    <row r="510" spans="1:8" ht="15.75">
      <c r="A510" s="50">
        <v>40154</v>
      </c>
      <c r="B510" s="102">
        <v>781.61</v>
      </c>
      <c r="C510" s="52"/>
      <c r="D510" s="52"/>
      <c r="E510" s="52"/>
      <c r="F510" s="52"/>
      <c r="G510" s="52"/>
      <c r="H510" s="52"/>
    </row>
    <row r="511" spans="1:8" ht="15.75">
      <c r="A511" s="50">
        <v>40155</v>
      </c>
      <c r="B511" s="102">
        <v>769.59</v>
      </c>
      <c r="C511" s="52"/>
      <c r="D511" s="52"/>
      <c r="E511" s="52"/>
      <c r="F511" s="52"/>
      <c r="G511" s="52"/>
      <c r="H511" s="52"/>
    </row>
    <row r="512" spans="1:8" ht="15.75">
      <c r="A512" s="50">
        <v>40156</v>
      </c>
      <c r="B512" s="102">
        <v>768.05</v>
      </c>
      <c r="C512" s="52"/>
      <c r="D512" s="52"/>
      <c r="E512" s="52"/>
      <c r="F512" s="52"/>
      <c r="G512" s="52"/>
      <c r="H512" s="52"/>
    </row>
    <row r="513" spans="1:8" ht="15.75">
      <c r="A513" s="50">
        <v>40157</v>
      </c>
      <c r="B513" s="102">
        <v>768.55</v>
      </c>
      <c r="C513" s="52"/>
      <c r="D513" s="52"/>
      <c r="E513" s="52"/>
      <c r="F513" s="52"/>
      <c r="G513" s="52"/>
      <c r="H513" s="52"/>
    </row>
    <row r="514" spans="1:8" ht="15.75">
      <c r="A514" s="50">
        <v>40158</v>
      </c>
      <c r="B514" s="102">
        <v>762.66</v>
      </c>
      <c r="C514" s="52"/>
      <c r="D514" s="52"/>
      <c r="E514" s="52"/>
      <c r="F514" s="52"/>
      <c r="G514" s="52"/>
      <c r="H514" s="52"/>
    </row>
    <row r="515" spans="1:8" ht="15.75">
      <c r="A515" s="50">
        <v>40161</v>
      </c>
      <c r="B515" s="102">
        <v>769.25</v>
      </c>
      <c r="C515" s="52"/>
      <c r="D515" s="52"/>
      <c r="E515" s="52"/>
      <c r="F515" s="52"/>
      <c r="G515" s="52"/>
      <c r="H515" s="52"/>
    </row>
    <row r="516" spans="1:8" ht="15.75">
      <c r="A516" s="50">
        <v>40162</v>
      </c>
      <c r="B516" s="102">
        <v>773.99</v>
      </c>
      <c r="C516" s="52"/>
      <c r="D516" s="52"/>
      <c r="E516" s="52"/>
      <c r="F516" s="52"/>
      <c r="G516" s="52"/>
      <c r="H516" s="52"/>
    </row>
    <row r="517" spans="1:8" ht="15.75">
      <c r="A517" s="50">
        <v>40163</v>
      </c>
      <c r="B517" s="102">
        <v>784.29</v>
      </c>
      <c r="C517" s="52"/>
      <c r="D517" s="52"/>
      <c r="E517" s="52"/>
      <c r="F517" s="52"/>
      <c r="G517" s="52"/>
      <c r="H517" s="52"/>
    </row>
    <row r="518" spans="1:8" ht="15.75">
      <c r="A518" s="50">
        <v>40164</v>
      </c>
      <c r="B518" s="102">
        <v>768.68</v>
      </c>
      <c r="C518" s="52"/>
      <c r="D518" s="52"/>
      <c r="E518" s="52"/>
      <c r="F518" s="52"/>
      <c r="G518" s="52"/>
      <c r="H518" s="52"/>
    </row>
    <row r="519" spans="1:8" ht="15.75">
      <c r="A519" s="50">
        <v>40165</v>
      </c>
      <c r="B519" s="102">
        <v>776</v>
      </c>
      <c r="C519" s="52"/>
      <c r="D519" s="52"/>
      <c r="E519" s="52"/>
      <c r="F519" s="52"/>
      <c r="G519" s="52"/>
      <c r="H519" s="52"/>
    </row>
    <row r="520" spans="1:8" ht="15.75">
      <c r="A520" s="50">
        <v>40168</v>
      </c>
      <c r="B520" s="102">
        <v>767.23</v>
      </c>
      <c r="C520" s="52"/>
      <c r="D520" s="52"/>
      <c r="E520" s="52"/>
      <c r="F520" s="52"/>
      <c r="G520" s="52"/>
      <c r="H520" s="52"/>
    </row>
    <row r="521" spans="1:8" ht="15.75">
      <c r="A521" s="50">
        <v>40169</v>
      </c>
      <c r="B521" s="102">
        <v>760.98</v>
      </c>
      <c r="C521" s="52"/>
      <c r="D521" s="52"/>
      <c r="E521" s="52"/>
      <c r="F521" s="52"/>
      <c r="G521" s="52"/>
      <c r="H521" s="52"/>
    </row>
    <row r="522" spans="1:8" ht="15.75">
      <c r="A522" s="50">
        <v>40170</v>
      </c>
      <c r="B522" s="102">
        <v>761.39</v>
      </c>
      <c r="C522" s="52"/>
      <c r="D522" s="52"/>
      <c r="E522" s="52"/>
      <c r="F522" s="52"/>
      <c r="G522" s="52"/>
      <c r="H522" s="52"/>
    </row>
    <row r="523" spans="1:8" ht="15.75">
      <c r="A523" s="50">
        <v>40171</v>
      </c>
      <c r="B523" s="102">
        <v>768.79</v>
      </c>
      <c r="C523" s="52"/>
      <c r="D523" s="52"/>
      <c r="E523" s="52"/>
      <c r="F523" s="52"/>
      <c r="G523" s="52"/>
      <c r="H523" s="52"/>
    </row>
    <row r="524" spans="1:8" ht="15.75">
      <c r="A524" s="50">
        <v>40175</v>
      </c>
      <c r="B524" s="102">
        <v>769.99</v>
      </c>
      <c r="C524" s="52"/>
      <c r="D524" s="52"/>
      <c r="E524" s="52"/>
      <c r="F524" s="52"/>
      <c r="G524" s="52"/>
      <c r="H524" s="52"/>
    </row>
    <row r="525" spans="1:8" ht="15.75">
      <c r="A525" s="50">
        <v>40176</v>
      </c>
      <c r="B525" s="102">
        <v>761.04</v>
      </c>
      <c r="C525" s="52"/>
      <c r="D525" s="52"/>
      <c r="E525" s="52"/>
      <c r="F525" s="52"/>
      <c r="G525" s="52"/>
      <c r="H525" s="52"/>
    </row>
    <row r="526" spans="1:8" ht="15.75">
      <c r="A526" s="50">
        <v>40177</v>
      </c>
      <c r="B526" s="102">
        <v>762.4</v>
      </c>
      <c r="C526" s="52"/>
      <c r="D526" s="52"/>
      <c r="E526" s="52"/>
      <c r="F526" s="52"/>
      <c r="G526" s="52"/>
      <c r="H526" s="52"/>
    </row>
    <row r="527" spans="1:8" ht="15.75">
      <c r="A527" s="50">
        <v>40178</v>
      </c>
      <c r="B527" s="102">
        <v>766.04</v>
      </c>
      <c r="C527" s="52"/>
      <c r="D527" s="52"/>
      <c r="E527" s="52"/>
      <c r="F527" s="52"/>
      <c r="G527" s="52"/>
      <c r="H527" s="52"/>
    </row>
    <row r="528" spans="1:8" ht="15.75">
      <c r="A528" s="50">
        <v>40182</v>
      </c>
      <c r="B528" s="102">
        <v>777.46</v>
      </c>
      <c r="C528" s="52"/>
      <c r="D528" s="52"/>
      <c r="E528" s="52"/>
      <c r="F528" s="52"/>
      <c r="G528" s="52"/>
      <c r="H528" s="52"/>
    </row>
    <row r="529" spans="1:8" ht="15.75">
      <c r="A529" s="50">
        <v>40183</v>
      </c>
      <c r="B529" s="102">
        <v>778.16</v>
      </c>
      <c r="C529" s="52"/>
      <c r="D529" s="52"/>
      <c r="E529" s="52"/>
      <c r="F529" s="52"/>
      <c r="G529" s="52"/>
      <c r="H529" s="52"/>
    </row>
    <row r="530" spans="1:8" ht="15.75">
      <c r="A530" s="50">
        <v>40184</v>
      </c>
      <c r="B530" s="102">
        <v>789.88</v>
      </c>
      <c r="C530" s="52"/>
      <c r="D530" s="52"/>
      <c r="E530" s="52"/>
      <c r="F530" s="52"/>
      <c r="G530" s="52"/>
      <c r="H530" s="52"/>
    </row>
    <row r="531" spans="1:8" ht="15.75">
      <c r="A531" s="50">
        <v>40185</v>
      </c>
      <c r="B531" s="102">
        <v>788.47</v>
      </c>
      <c r="C531" s="52"/>
      <c r="D531" s="52"/>
      <c r="E531" s="52"/>
      <c r="F531" s="52"/>
      <c r="G531" s="52"/>
      <c r="H531" s="52"/>
    </row>
    <row r="532" spans="1:8" ht="15.75">
      <c r="A532" s="50">
        <v>40186</v>
      </c>
      <c r="B532" s="102">
        <v>790.1</v>
      </c>
      <c r="C532" s="52"/>
      <c r="D532" s="52"/>
      <c r="E532" s="52"/>
      <c r="F532" s="52"/>
      <c r="G532" s="52"/>
      <c r="H532" s="52"/>
    </row>
    <row r="533" spans="1:8" ht="15.75">
      <c r="A533" s="50">
        <v>40189</v>
      </c>
      <c r="B533" s="102">
        <v>791.96</v>
      </c>
      <c r="C533" s="52"/>
      <c r="D533" s="52"/>
      <c r="E533" s="52"/>
      <c r="F533" s="52"/>
      <c r="G533" s="52"/>
      <c r="H533" s="52"/>
    </row>
    <row r="534" spans="1:8" ht="15.75">
      <c r="A534" s="50">
        <v>40190</v>
      </c>
      <c r="B534" s="102">
        <v>779.74</v>
      </c>
      <c r="C534" s="52"/>
      <c r="D534" s="52"/>
      <c r="E534" s="52"/>
      <c r="F534" s="52"/>
      <c r="G534" s="52"/>
      <c r="H534" s="52"/>
    </row>
    <row r="535" spans="1:8" ht="15.75">
      <c r="A535" s="50">
        <v>40191</v>
      </c>
      <c r="B535" s="102">
        <v>784.7</v>
      </c>
      <c r="C535" s="52"/>
      <c r="D535" s="52"/>
      <c r="E535" s="52"/>
      <c r="F535" s="52"/>
      <c r="G535" s="52"/>
      <c r="H535" s="52"/>
    </row>
    <row r="536" spans="1:8" ht="15.75">
      <c r="A536" s="50">
        <v>40192</v>
      </c>
      <c r="B536" s="102">
        <v>788.71</v>
      </c>
      <c r="C536" s="52"/>
      <c r="D536" s="52"/>
      <c r="E536" s="52"/>
      <c r="F536" s="52"/>
      <c r="G536" s="52"/>
      <c r="H536" s="52"/>
    </row>
    <row r="537" spans="1:8" ht="15.75">
      <c r="A537" s="50">
        <v>40193</v>
      </c>
      <c r="B537" s="102">
        <v>786</v>
      </c>
      <c r="C537" s="52"/>
      <c r="D537" s="52"/>
      <c r="E537" s="52"/>
      <c r="F537" s="52"/>
      <c r="G537" s="52"/>
      <c r="H537" s="52"/>
    </row>
    <row r="538" spans="1:8" ht="15.75">
      <c r="A538" s="50">
        <v>40196</v>
      </c>
      <c r="B538" s="102">
        <v>789.69</v>
      </c>
      <c r="C538" s="52"/>
      <c r="D538" s="52"/>
      <c r="E538" s="52"/>
      <c r="F538" s="52"/>
      <c r="G538" s="52"/>
      <c r="H538" s="52"/>
    </row>
    <row r="539" spans="1:8" ht="15.75">
      <c r="A539" s="50">
        <v>40197</v>
      </c>
      <c r="B539" s="102">
        <v>796.84</v>
      </c>
      <c r="C539" s="52"/>
      <c r="D539" s="52"/>
      <c r="E539" s="52"/>
      <c r="F539" s="52"/>
      <c r="G539" s="52"/>
      <c r="H539" s="52"/>
    </row>
    <row r="540" spans="1:8" ht="15.75">
      <c r="A540" s="50">
        <v>40198</v>
      </c>
      <c r="B540" s="102">
        <v>790.46</v>
      </c>
      <c r="C540" s="52"/>
      <c r="D540" s="52"/>
      <c r="E540" s="52"/>
      <c r="F540" s="52"/>
      <c r="G540" s="52"/>
      <c r="H540" s="52"/>
    </row>
    <row r="541" spans="1:8" ht="15.75">
      <c r="A541" s="50">
        <v>40199</v>
      </c>
      <c r="B541" s="102">
        <v>777.71</v>
      </c>
      <c r="C541" s="52"/>
      <c r="D541" s="52"/>
      <c r="E541" s="52"/>
      <c r="F541" s="52"/>
      <c r="G541" s="52"/>
      <c r="H541" s="52"/>
    </row>
    <row r="542" spans="1:8" ht="15.75">
      <c r="A542" s="50">
        <v>40200</v>
      </c>
      <c r="B542" s="102">
        <v>772.85</v>
      </c>
      <c r="C542" s="52"/>
      <c r="D542" s="52"/>
      <c r="E542" s="52"/>
      <c r="F542" s="52"/>
      <c r="G542" s="52"/>
      <c r="H542" s="52"/>
    </row>
    <row r="543" spans="1:8" ht="15.75">
      <c r="A543" s="50">
        <v>40203</v>
      </c>
      <c r="B543" s="102">
        <v>777.11</v>
      </c>
      <c r="C543" s="52"/>
      <c r="D543" s="52"/>
      <c r="E543" s="52"/>
      <c r="F543" s="52"/>
      <c r="G543" s="52"/>
      <c r="H543" s="52"/>
    </row>
    <row r="544" spans="1:8" ht="15.75">
      <c r="A544" s="50">
        <v>40204</v>
      </c>
      <c r="B544" s="102">
        <v>780.63</v>
      </c>
      <c r="C544" s="52"/>
      <c r="D544" s="52"/>
      <c r="E544" s="52"/>
      <c r="F544" s="52"/>
      <c r="G544" s="52"/>
      <c r="H544" s="52"/>
    </row>
    <row r="545" spans="1:8" ht="15.75">
      <c r="A545" s="50">
        <v>40205</v>
      </c>
      <c r="B545" s="102">
        <v>776.31</v>
      </c>
      <c r="C545" s="52"/>
      <c r="D545" s="52"/>
      <c r="E545" s="52"/>
      <c r="F545" s="52"/>
      <c r="G545" s="52"/>
      <c r="H545" s="52"/>
    </row>
    <row r="546" spans="1:8" ht="15.75">
      <c r="A546" s="50">
        <v>40206</v>
      </c>
      <c r="B546" s="102">
        <v>777.83</v>
      </c>
      <c r="C546" s="52"/>
      <c r="D546" s="52"/>
      <c r="E546" s="52"/>
      <c r="F546" s="52"/>
      <c r="G546" s="52"/>
      <c r="H546" s="52"/>
    </row>
    <row r="547" spans="1:8" ht="15.75">
      <c r="A547" s="50">
        <v>40207</v>
      </c>
      <c r="B547" s="102">
        <v>779.97</v>
      </c>
      <c r="C547" s="52"/>
      <c r="D547" s="52"/>
      <c r="E547" s="52"/>
      <c r="F547" s="52"/>
      <c r="G547" s="52"/>
      <c r="H547" s="52"/>
    </row>
    <row r="548" spans="1:8" ht="15.75">
      <c r="A548" s="50">
        <v>40210</v>
      </c>
      <c r="B548" s="102">
        <v>793.05</v>
      </c>
      <c r="C548" s="52"/>
      <c r="D548" s="52"/>
      <c r="E548" s="52"/>
      <c r="F548" s="52"/>
      <c r="G548" s="52"/>
      <c r="H548" s="52"/>
    </row>
    <row r="549" spans="1:8" ht="15.75">
      <c r="A549" s="50">
        <v>40211</v>
      </c>
      <c r="B549" s="102">
        <v>798.31</v>
      </c>
      <c r="C549" s="52"/>
      <c r="D549" s="52"/>
      <c r="E549" s="52"/>
      <c r="F549" s="52"/>
      <c r="G549" s="52"/>
      <c r="H549" s="52"/>
    </row>
    <row r="550" spans="1:8" ht="15.75">
      <c r="A550" s="50">
        <v>40212</v>
      </c>
      <c r="B550" s="102">
        <v>798.37</v>
      </c>
      <c r="C550" s="52"/>
      <c r="D550" s="52"/>
      <c r="E550" s="52"/>
      <c r="F550" s="52"/>
      <c r="G550" s="52"/>
      <c r="H550" s="52"/>
    </row>
    <row r="551" spans="1:8" ht="15.75">
      <c r="A551" s="50">
        <v>40213</v>
      </c>
      <c r="B551" s="102">
        <v>775.57</v>
      </c>
      <c r="C551" s="52"/>
      <c r="D551" s="52"/>
      <c r="E551" s="52"/>
      <c r="F551" s="52"/>
      <c r="G551" s="52"/>
      <c r="H551" s="52"/>
    </row>
    <row r="552" spans="1:8" ht="15.75">
      <c r="A552" s="50">
        <v>40214</v>
      </c>
      <c r="B552" s="102">
        <v>779.47</v>
      </c>
      <c r="C552" s="52"/>
      <c r="D552" s="52"/>
      <c r="E552" s="52"/>
      <c r="F552" s="52"/>
      <c r="G552" s="52"/>
      <c r="H552" s="52"/>
    </row>
    <row r="553" spans="1:8" ht="15.75">
      <c r="A553" s="50">
        <v>40217</v>
      </c>
      <c r="B553" s="102">
        <v>778.68</v>
      </c>
      <c r="C553" s="52"/>
      <c r="D553" s="52"/>
      <c r="E553" s="52"/>
      <c r="F553" s="52"/>
      <c r="G553" s="52"/>
      <c r="H553" s="52"/>
    </row>
    <row r="554" spans="1:8" ht="15.75">
      <c r="A554" s="50">
        <v>40218</v>
      </c>
      <c r="B554" s="102">
        <v>781.72</v>
      </c>
      <c r="C554" s="52"/>
      <c r="D554" s="52"/>
      <c r="E554" s="52"/>
      <c r="F554" s="52"/>
      <c r="G554" s="52"/>
      <c r="H554" s="52"/>
    </row>
    <row r="555" spans="1:8" ht="15.75">
      <c r="A555" s="50">
        <v>40219</v>
      </c>
      <c r="B555" s="102">
        <v>782.24</v>
      </c>
      <c r="C555" s="52"/>
      <c r="D555" s="52"/>
      <c r="E555" s="52"/>
      <c r="F555" s="52"/>
      <c r="G555" s="52"/>
      <c r="H555" s="52"/>
    </row>
    <row r="556" spans="1:8" ht="15.75">
      <c r="A556" s="50">
        <v>40220</v>
      </c>
      <c r="B556" s="102">
        <v>799.78</v>
      </c>
      <c r="C556" s="52"/>
      <c r="D556" s="52"/>
      <c r="E556" s="52"/>
      <c r="F556" s="52"/>
      <c r="G556" s="52"/>
      <c r="H556" s="52"/>
    </row>
    <row r="557" spans="1:8" ht="15.75">
      <c r="A557" s="50">
        <v>40221</v>
      </c>
      <c r="B557" s="102">
        <v>801.85</v>
      </c>
      <c r="C557" s="52"/>
      <c r="D557" s="52"/>
      <c r="E557" s="52"/>
      <c r="F557" s="52"/>
      <c r="G557" s="52"/>
      <c r="H557" s="52"/>
    </row>
    <row r="558" spans="1:8" ht="15.75">
      <c r="A558" s="50">
        <v>40224</v>
      </c>
      <c r="B558" s="102">
        <v>808.52</v>
      </c>
      <c r="C558" s="52"/>
      <c r="D558" s="52"/>
      <c r="E558" s="52"/>
      <c r="F558" s="52"/>
      <c r="G558" s="52"/>
      <c r="H558" s="52"/>
    </row>
    <row r="559" spans="1:8" ht="15.75">
      <c r="A559" s="50">
        <v>40225</v>
      </c>
      <c r="B559" s="102">
        <v>812.78</v>
      </c>
      <c r="C559" s="52"/>
      <c r="D559" s="52"/>
      <c r="E559" s="52"/>
      <c r="F559" s="52"/>
      <c r="G559" s="52"/>
      <c r="H559" s="52"/>
    </row>
    <row r="560" spans="1:8" ht="15.75">
      <c r="A560" s="50">
        <v>40226</v>
      </c>
      <c r="B560" s="102">
        <v>813.68</v>
      </c>
      <c r="C560" s="52"/>
      <c r="D560" s="52"/>
      <c r="E560" s="52"/>
      <c r="F560" s="52"/>
      <c r="G560" s="52"/>
      <c r="H560" s="52"/>
    </row>
    <row r="561" spans="1:8" ht="15.75">
      <c r="A561" s="50">
        <v>40227</v>
      </c>
      <c r="B561" s="102">
        <v>816.7</v>
      </c>
      <c r="C561" s="52"/>
      <c r="D561" s="52"/>
      <c r="E561" s="52"/>
      <c r="F561" s="52"/>
      <c r="G561" s="52"/>
      <c r="H561" s="52"/>
    </row>
    <row r="562" spans="1:8" ht="15.75">
      <c r="A562" s="50">
        <v>40228</v>
      </c>
      <c r="B562" s="102">
        <v>821.58</v>
      </c>
      <c r="C562" s="52"/>
      <c r="D562" s="52"/>
      <c r="E562" s="52"/>
      <c r="F562" s="52"/>
      <c r="G562" s="52"/>
      <c r="H562" s="52"/>
    </row>
    <row r="563" spans="1:8" ht="15.75">
      <c r="A563" s="50">
        <v>40231</v>
      </c>
      <c r="B563" s="102">
        <v>818.67</v>
      </c>
      <c r="C563" s="52"/>
      <c r="D563" s="52"/>
      <c r="E563" s="52"/>
      <c r="F563" s="52"/>
      <c r="G563" s="52"/>
      <c r="H563" s="52"/>
    </row>
    <row r="564" spans="1:8" ht="15.75">
      <c r="A564" s="50">
        <v>40232</v>
      </c>
      <c r="B564" s="102">
        <v>817.55</v>
      </c>
      <c r="C564" s="52"/>
      <c r="D564" s="52"/>
      <c r="E564" s="52"/>
      <c r="F564" s="52"/>
      <c r="G564" s="52"/>
      <c r="H564" s="52"/>
    </row>
    <row r="565" spans="1:8" ht="15.75">
      <c r="A565" s="50">
        <v>40233</v>
      </c>
      <c r="B565" s="102">
        <v>811.51</v>
      </c>
      <c r="C565" s="52"/>
      <c r="D565" s="52"/>
      <c r="E565" s="52"/>
      <c r="F565" s="52"/>
      <c r="G565" s="52"/>
      <c r="H565" s="52"/>
    </row>
    <row r="566" spans="1:8" ht="15.75">
      <c r="A566" s="50">
        <v>40234</v>
      </c>
      <c r="B566" s="102">
        <v>816.25</v>
      </c>
      <c r="C566" s="52"/>
      <c r="D566" s="52"/>
      <c r="E566" s="52"/>
      <c r="F566" s="52"/>
      <c r="G566" s="52"/>
      <c r="H566" s="52"/>
    </row>
    <row r="567" spans="1:8" ht="15.75">
      <c r="A567" s="50">
        <v>40235</v>
      </c>
      <c r="B567" s="102">
        <v>825.54</v>
      </c>
      <c r="C567" s="52"/>
      <c r="D567" s="52"/>
      <c r="E567" s="52"/>
      <c r="F567" s="52"/>
      <c r="G567" s="52"/>
      <c r="H567" s="52"/>
    </row>
    <row r="568" spans="1:8" ht="15.75">
      <c r="A568" s="50">
        <v>40238</v>
      </c>
      <c r="B568" s="102">
        <v>823.97</v>
      </c>
      <c r="C568" s="52"/>
      <c r="D568" s="52"/>
      <c r="E568" s="52"/>
      <c r="F568" s="52"/>
      <c r="G568" s="52"/>
      <c r="H568" s="52"/>
    </row>
    <row r="569" spans="1:8" ht="15.75">
      <c r="A569" s="50">
        <v>40239</v>
      </c>
      <c r="B569" s="102">
        <v>833.77</v>
      </c>
      <c r="C569" s="52"/>
      <c r="D569" s="52"/>
      <c r="E569" s="52"/>
      <c r="F569" s="52"/>
      <c r="G569" s="52"/>
      <c r="H569" s="52"/>
    </row>
    <row r="570" spans="1:8" ht="15.75">
      <c r="A570" s="50">
        <v>40240</v>
      </c>
      <c r="B570" s="102">
        <v>832.31</v>
      </c>
      <c r="C570" s="52"/>
      <c r="D570" s="52"/>
      <c r="E570" s="52"/>
      <c r="F570" s="52"/>
      <c r="G570" s="52"/>
      <c r="H570" s="52"/>
    </row>
    <row r="571" spans="1:8" ht="15.75">
      <c r="A571" s="50">
        <v>40241</v>
      </c>
      <c r="B571" s="102">
        <v>834.06</v>
      </c>
      <c r="C571" s="52"/>
      <c r="D571" s="52"/>
      <c r="E571" s="52"/>
      <c r="F571" s="52"/>
      <c r="G571" s="52"/>
      <c r="H571" s="52"/>
    </row>
    <row r="572" spans="1:8" ht="15.75">
      <c r="A572" s="50">
        <v>40242</v>
      </c>
      <c r="B572" s="102">
        <v>833</v>
      </c>
      <c r="C572" s="52"/>
      <c r="D572" s="52"/>
      <c r="E572" s="52"/>
      <c r="F572" s="52"/>
      <c r="G572" s="52"/>
      <c r="H572" s="52"/>
    </row>
    <row r="573" spans="1:8" ht="15.75">
      <c r="A573" s="50">
        <v>40245</v>
      </c>
      <c r="B573" s="102">
        <v>824.15</v>
      </c>
      <c r="C573" s="52"/>
      <c r="D573" s="52"/>
      <c r="E573" s="52"/>
      <c r="F573" s="52"/>
      <c r="G573" s="52"/>
      <c r="H573" s="52"/>
    </row>
    <row r="574" spans="1:8" ht="15.75">
      <c r="A574" s="50">
        <v>40246</v>
      </c>
      <c r="B574" s="102">
        <v>825.76</v>
      </c>
      <c r="C574" s="52"/>
      <c r="D574" s="52"/>
      <c r="E574" s="52"/>
      <c r="F574" s="52"/>
      <c r="G574" s="52"/>
      <c r="H574" s="52"/>
    </row>
    <row r="575" spans="1:8" ht="15.75">
      <c r="A575" s="50">
        <v>40247</v>
      </c>
      <c r="B575" s="102">
        <v>811.99</v>
      </c>
      <c r="C575" s="52"/>
      <c r="D575" s="52"/>
      <c r="E575" s="52"/>
      <c r="F575" s="52"/>
      <c r="G575" s="52"/>
      <c r="H575" s="52"/>
    </row>
    <row r="576" spans="1:8" ht="15.75">
      <c r="A576" s="50">
        <v>40248</v>
      </c>
      <c r="B576" s="102">
        <v>811.4</v>
      </c>
      <c r="C576" s="52"/>
      <c r="D576" s="52"/>
      <c r="E576" s="52"/>
      <c r="F576" s="52"/>
      <c r="G576" s="52"/>
      <c r="H576" s="52"/>
    </row>
    <row r="577" spans="1:8" ht="15.75">
      <c r="A577" s="50">
        <v>40249</v>
      </c>
      <c r="B577" s="102">
        <v>805.07</v>
      </c>
      <c r="C577" s="52"/>
      <c r="D577" s="52"/>
      <c r="E577" s="52"/>
      <c r="F577" s="52"/>
      <c r="G577" s="52"/>
      <c r="H577" s="52"/>
    </row>
    <row r="578" spans="1:8" ht="15.75">
      <c r="A578" s="50">
        <v>40252</v>
      </c>
      <c r="B578" s="102">
        <v>811.54</v>
      </c>
      <c r="C578" s="52"/>
      <c r="D578" s="52"/>
      <c r="E578" s="52"/>
      <c r="F578" s="52"/>
      <c r="G578" s="52"/>
      <c r="H578" s="52"/>
    </row>
    <row r="579" spans="1:8" ht="15.75">
      <c r="A579" s="50">
        <v>40253</v>
      </c>
      <c r="B579" s="102">
        <v>818.98</v>
      </c>
      <c r="C579" s="52"/>
      <c r="D579" s="52"/>
      <c r="E579" s="52"/>
      <c r="F579" s="52"/>
      <c r="G579" s="52"/>
      <c r="H579" s="52"/>
    </row>
    <row r="580" spans="1:8" ht="15.75">
      <c r="A580" s="50">
        <v>40254</v>
      </c>
      <c r="B580" s="102">
        <v>817.57</v>
      </c>
      <c r="C580" s="52"/>
      <c r="D580" s="52"/>
      <c r="E580" s="52"/>
      <c r="F580" s="52"/>
      <c r="G580" s="52"/>
      <c r="H580" s="52"/>
    </row>
    <row r="581" spans="1:8" ht="15.75">
      <c r="A581" s="50">
        <v>40255</v>
      </c>
      <c r="B581" s="102">
        <v>827.53</v>
      </c>
      <c r="C581" s="52"/>
      <c r="D581" s="52"/>
      <c r="E581" s="52"/>
      <c r="F581" s="52"/>
      <c r="G581" s="52"/>
      <c r="H581" s="52"/>
    </row>
    <row r="582" spans="1:8" ht="15.75">
      <c r="A582" s="50">
        <v>40256</v>
      </c>
      <c r="B582" s="102">
        <v>818.41</v>
      </c>
      <c r="C582" s="52"/>
      <c r="D582" s="52"/>
      <c r="E582" s="52"/>
      <c r="F582" s="52"/>
      <c r="G582" s="52"/>
      <c r="H582" s="52"/>
    </row>
    <row r="583" spans="1:8" ht="15.75">
      <c r="A583" s="50">
        <v>40259</v>
      </c>
      <c r="B583" s="102">
        <v>814.26</v>
      </c>
      <c r="C583" s="52"/>
      <c r="D583" s="52"/>
      <c r="E583" s="52"/>
      <c r="F583" s="52"/>
      <c r="G583" s="52"/>
      <c r="H583" s="52"/>
    </row>
    <row r="584" spans="1:8" ht="15.75">
      <c r="A584" s="50">
        <v>40260</v>
      </c>
      <c r="B584" s="102">
        <v>817.19</v>
      </c>
      <c r="C584" s="52"/>
      <c r="D584" s="52"/>
      <c r="E584" s="52"/>
      <c r="F584" s="52"/>
      <c r="G584" s="52"/>
      <c r="H584" s="52"/>
    </row>
    <row r="585" spans="1:8" ht="15.75">
      <c r="A585" s="50">
        <v>40261</v>
      </c>
      <c r="B585" s="102">
        <v>815.82</v>
      </c>
      <c r="C585" s="52"/>
      <c r="D585" s="52"/>
      <c r="E585" s="52"/>
      <c r="F585" s="52"/>
      <c r="G585" s="52"/>
      <c r="H585" s="52"/>
    </row>
    <row r="586" spans="1:8" ht="15.75">
      <c r="A586" s="50">
        <v>40262</v>
      </c>
      <c r="B586" s="102">
        <v>821.84</v>
      </c>
      <c r="C586" s="52"/>
      <c r="D586" s="52"/>
      <c r="E586" s="52"/>
      <c r="F586" s="52"/>
      <c r="G586" s="52"/>
      <c r="H586" s="52"/>
    </row>
    <row r="587" spans="1:8" ht="15.75">
      <c r="A587" s="50">
        <v>40263</v>
      </c>
      <c r="B587" s="102">
        <v>832.03</v>
      </c>
      <c r="C587" s="52"/>
      <c r="D587" s="52"/>
      <c r="E587" s="52"/>
      <c r="F587" s="52"/>
      <c r="G587" s="52"/>
      <c r="H587" s="52"/>
    </row>
    <row r="588" spans="1:8" ht="15.75">
      <c r="A588" s="50">
        <v>40266</v>
      </c>
      <c r="B588" s="102">
        <v>823.61</v>
      </c>
      <c r="C588" s="52"/>
      <c r="D588" s="52"/>
      <c r="E588" s="52"/>
      <c r="F588" s="52"/>
      <c r="G588" s="52"/>
      <c r="H588" s="52"/>
    </row>
    <row r="589" spans="1:8" ht="15.75">
      <c r="A589" s="50">
        <v>40267</v>
      </c>
      <c r="B589" s="102">
        <v>821.97</v>
      </c>
      <c r="C589" s="52"/>
      <c r="D589" s="52"/>
      <c r="E589" s="52"/>
      <c r="F589" s="52"/>
      <c r="G589" s="52"/>
      <c r="H589" s="52"/>
    </row>
    <row r="590" spans="1:8" ht="15.75">
      <c r="A590" s="50">
        <v>40268</v>
      </c>
      <c r="B590" s="102">
        <v>824.42</v>
      </c>
      <c r="C590" s="52"/>
      <c r="D590" s="52"/>
      <c r="E590" s="52"/>
      <c r="F590" s="52"/>
      <c r="G590" s="52"/>
      <c r="H590" s="52"/>
    </row>
    <row r="591" spans="1:8" ht="15.75">
      <c r="A591" s="50">
        <v>40269</v>
      </c>
      <c r="B591" s="102">
        <v>829.22</v>
      </c>
      <c r="C591" s="52"/>
      <c r="D591" s="52"/>
      <c r="E591" s="52"/>
      <c r="F591" s="52"/>
      <c r="G591" s="52"/>
      <c r="H591" s="52"/>
    </row>
    <row r="592" spans="1:8" ht="15.75">
      <c r="A592" s="50">
        <v>40270</v>
      </c>
      <c r="B592" s="102">
        <v>831.36</v>
      </c>
      <c r="C592" s="52"/>
      <c r="D592" s="52"/>
      <c r="E592" s="52"/>
      <c r="F592" s="52"/>
      <c r="G592" s="52"/>
      <c r="H592" s="52"/>
    </row>
    <row r="593" spans="1:8" ht="15.75">
      <c r="A593" s="50">
        <v>40273</v>
      </c>
      <c r="B593" s="102">
        <v>839.46</v>
      </c>
      <c r="C593" s="52"/>
      <c r="D593" s="52"/>
      <c r="E593" s="52"/>
      <c r="F593" s="52"/>
      <c r="G593" s="52"/>
      <c r="H593" s="52"/>
    </row>
    <row r="594" spans="1:8" ht="15.75">
      <c r="A594" s="50">
        <v>40274</v>
      </c>
      <c r="B594" s="102">
        <v>847.73</v>
      </c>
      <c r="C594" s="52"/>
      <c r="D594" s="52"/>
      <c r="E594" s="52"/>
      <c r="F594" s="52"/>
      <c r="G594" s="52"/>
      <c r="H594" s="52"/>
    </row>
    <row r="595" spans="1:8" ht="15.75">
      <c r="A595" s="50">
        <v>40275</v>
      </c>
      <c r="B595" s="102">
        <v>861.83</v>
      </c>
      <c r="C595" s="52"/>
      <c r="D595" s="52"/>
      <c r="E595" s="52"/>
      <c r="F595" s="52"/>
      <c r="G595" s="52"/>
      <c r="H595" s="52"/>
    </row>
    <row r="596" spans="1:8" ht="15.75">
      <c r="A596" s="50">
        <v>40276</v>
      </c>
      <c r="B596" s="102">
        <v>861.21</v>
      </c>
      <c r="C596" s="52"/>
      <c r="D596" s="52"/>
      <c r="E596" s="52"/>
      <c r="F596" s="52"/>
      <c r="G596" s="52"/>
      <c r="H596" s="52"/>
    </row>
    <row r="597" spans="1:8" ht="15.75">
      <c r="A597" s="50">
        <v>40277</v>
      </c>
      <c r="B597" s="102">
        <v>859.99</v>
      </c>
      <c r="C597" s="52"/>
      <c r="D597" s="52"/>
      <c r="E597" s="52"/>
      <c r="F597" s="52"/>
      <c r="G597" s="52"/>
      <c r="H597" s="52"/>
    </row>
    <row r="598" spans="1:8" ht="15.75">
      <c r="A598" s="50">
        <v>40280</v>
      </c>
      <c r="B598" s="102">
        <v>851.11</v>
      </c>
      <c r="C598" s="52"/>
      <c r="D598" s="52"/>
      <c r="E598" s="52"/>
      <c r="F598" s="52"/>
      <c r="G598" s="52"/>
      <c r="H598" s="52"/>
    </row>
    <row r="599" spans="1:8" ht="15.75">
      <c r="A599" s="50">
        <v>40281</v>
      </c>
      <c r="B599" s="102">
        <v>845.99</v>
      </c>
      <c r="C599" s="52"/>
      <c r="D599" s="52"/>
      <c r="E599" s="52"/>
      <c r="F599" s="52"/>
      <c r="G599" s="52"/>
      <c r="H599" s="52"/>
    </row>
    <row r="600" spans="1:8" ht="15.75">
      <c r="A600" s="50">
        <v>40282</v>
      </c>
      <c r="B600" s="102">
        <v>847.08</v>
      </c>
      <c r="C600" s="52"/>
      <c r="D600" s="52"/>
      <c r="E600" s="52"/>
      <c r="F600" s="52"/>
      <c r="G600" s="52"/>
      <c r="H600" s="52"/>
    </row>
    <row r="601" spans="1:8" ht="15.75">
      <c r="A601" s="50">
        <v>40283</v>
      </c>
      <c r="B601" s="102">
        <v>854.38</v>
      </c>
      <c r="C601" s="52"/>
      <c r="D601" s="52"/>
      <c r="E601" s="52"/>
      <c r="F601" s="52"/>
      <c r="G601" s="52"/>
      <c r="H601" s="52"/>
    </row>
    <row r="602" spans="1:8" ht="15.75">
      <c r="A602" s="50">
        <v>40284</v>
      </c>
      <c r="B602" s="102">
        <v>842.43</v>
      </c>
      <c r="C602" s="52"/>
      <c r="D602" s="52"/>
      <c r="E602" s="52"/>
      <c r="F602" s="52"/>
      <c r="G602" s="52"/>
      <c r="H602" s="52"/>
    </row>
    <row r="603" spans="1:8" ht="15.75">
      <c r="A603" s="50">
        <v>40287</v>
      </c>
      <c r="B603" s="102">
        <v>842.15</v>
      </c>
      <c r="C603" s="52"/>
      <c r="D603" s="52"/>
      <c r="E603" s="52"/>
      <c r="F603" s="52"/>
      <c r="G603" s="52"/>
      <c r="H603" s="52"/>
    </row>
    <row r="604" spans="1:8" ht="15.75">
      <c r="A604" s="50">
        <v>40288</v>
      </c>
      <c r="B604" s="102">
        <v>848.27</v>
      </c>
      <c r="C604" s="52"/>
      <c r="D604" s="52"/>
      <c r="E604" s="52"/>
      <c r="F604" s="52"/>
      <c r="G604" s="52"/>
      <c r="H604" s="52"/>
    </row>
    <row r="605" spans="1:8" ht="15.75">
      <c r="A605" s="50">
        <v>40289</v>
      </c>
      <c r="B605" s="102">
        <v>856.18</v>
      </c>
      <c r="C605" s="52"/>
      <c r="D605" s="52"/>
      <c r="E605" s="52"/>
      <c r="F605" s="52"/>
      <c r="G605" s="52"/>
      <c r="H605" s="52"/>
    </row>
    <row r="606" spans="1:8" ht="15.75">
      <c r="A606" s="50">
        <v>40290</v>
      </c>
      <c r="B606" s="102">
        <v>859.15</v>
      </c>
      <c r="C606" s="52"/>
      <c r="D606" s="52"/>
      <c r="E606" s="52"/>
      <c r="F606" s="52"/>
      <c r="G606" s="52"/>
      <c r="H606" s="52"/>
    </row>
    <row r="607" spans="1:8" ht="15.75">
      <c r="A607" s="50">
        <v>40291</v>
      </c>
      <c r="B607" s="102">
        <v>864.83</v>
      </c>
      <c r="C607" s="52"/>
      <c r="D607" s="52"/>
      <c r="E607" s="52"/>
      <c r="F607" s="52"/>
      <c r="G607" s="52"/>
      <c r="H607" s="52"/>
    </row>
    <row r="608" spans="1:8" ht="15.75">
      <c r="A608" s="50">
        <v>40294</v>
      </c>
      <c r="B608" s="102">
        <v>861.61</v>
      </c>
      <c r="C608" s="52"/>
      <c r="D608" s="52"/>
      <c r="E608" s="52"/>
      <c r="F608" s="52"/>
      <c r="G608" s="52"/>
      <c r="H608" s="52"/>
    </row>
    <row r="609" spans="1:8" ht="15.75">
      <c r="A609" s="50">
        <v>40295</v>
      </c>
      <c r="B609" s="102">
        <v>886.33</v>
      </c>
      <c r="C609" s="52"/>
      <c r="D609" s="52"/>
      <c r="E609" s="52"/>
      <c r="F609" s="52"/>
      <c r="G609" s="52"/>
      <c r="H609" s="52"/>
    </row>
    <row r="610" spans="1:8" ht="15.75">
      <c r="A610" s="50">
        <v>40296</v>
      </c>
      <c r="B610" s="102">
        <v>882.51</v>
      </c>
      <c r="C610" s="52"/>
      <c r="D610" s="52"/>
      <c r="E610" s="52"/>
      <c r="F610" s="52"/>
      <c r="G610" s="52"/>
      <c r="H610" s="52"/>
    </row>
    <row r="611" spans="1:8" ht="15.75">
      <c r="A611" s="50">
        <v>40297</v>
      </c>
      <c r="B611" s="102">
        <v>883.08</v>
      </c>
      <c r="C611" s="52"/>
      <c r="D611" s="52"/>
      <c r="E611" s="52"/>
      <c r="F611" s="52"/>
      <c r="G611" s="52"/>
      <c r="H611" s="52"/>
    </row>
    <row r="612" spans="1:8" ht="15.75">
      <c r="A612" s="50">
        <v>40298</v>
      </c>
      <c r="B612" s="102">
        <v>887.25</v>
      </c>
      <c r="C612" s="52"/>
      <c r="D612" s="52"/>
      <c r="E612" s="52"/>
      <c r="F612" s="52"/>
      <c r="G612" s="52"/>
      <c r="H612" s="52"/>
    </row>
    <row r="613" spans="1:8" ht="15.75">
      <c r="A613" s="50">
        <v>40301</v>
      </c>
      <c r="B613" s="102">
        <v>897.35</v>
      </c>
      <c r="C613" s="52"/>
      <c r="D613" s="52"/>
      <c r="E613" s="52"/>
      <c r="F613" s="52"/>
      <c r="G613" s="52"/>
      <c r="H613" s="52"/>
    </row>
    <row r="614" spans="1:8" ht="15.75">
      <c r="A614" s="50">
        <v>40302</v>
      </c>
      <c r="B614" s="102">
        <v>904.07</v>
      </c>
      <c r="C614" s="52"/>
      <c r="D614" s="52"/>
      <c r="E614" s="52"/>
      <c r="F614" s="52"/>
      <c r="G614" s="52"/>
      <c r="H614" s="52"/>
    </row>
    <row r="615" spans="1:8" ht="15.75">
      <c r="A615" s="50">
        <v>40303</v>
      </c>
      <c r="B615" s="102">
        <v>918.44</v>
      </c>
      <c r="C615" s="52"/>
      <c r="D615" s="52"/>
      <c r="E615" s="52"/>
      <c r="F615" s="52"/>
      <c r="G615" s="52"/>
      <c r="H615" s="52"/>
    </row>
    <row r="616" spans="1:8" ht="15.75">
      <c r="A616" s="50">
        <v>40304</v>
      </c>
      <c r="B616" s="102">
        <v>954.01</v>
      </c>
      <c r="C616" s="52"/>
      <c r="D616" s="52"/>
      <c r="E616" s="52"/>
      <c r="F616" s="52"/>
      <c r="G616" s="52"/>
      <c r="H616" s="52"/>
    </row>
    <row r="617" spans="1:8" ht="15.75">
      <c r="A617" s="50">
        <v>40305</v>
      </c>
      <c r="B617" s="102">
        <v>946.86</v>
      </c>
      <c r="C617" s="52"/>
      <c r="D617" s="52"/>
      <c r="E617" s="52"/>
      <c r="F617" s="52"/>
      <c r="G617" s="52"/>
      <c r="H617" s="52"/>
    </row>
    <row r="618" spans="1:8" ht="15.75">
      <c r="A618" s="50">
        <v>40308</v>
      </c>
      <c r="B618" s="102">
        <v>940.33</v>
      </c>
      <c r="C618" s="52"/>
      <c r="D618" s="52"/>
      <c r="E618" s="52"/>
      <c r="F618" s="52"/>
      <c r="G618" s="52"/>
      <c r="H618" s="52"/>
    </row>
    <row r="619" spans="1:8" ht="15.75">
      <c r="A619" s="50">
        <v>40309</v>
      </c>
      <c r="B619" s="102">
        <v>974.91</v>
      </c>
      <c r="C619" s="52"/>
      <c r="D619" s="52"/>
      <c r="E619" s="52"/>
      <c r="F619" s="52"/>
      <c r="G619" s="52"/>
      <c r="H619" s="52"/>
    </row>
    <row r="620" spans="1:8" ht="15.75">
      <c r="A620" s="50">
        <v>40310</v>
      </c>
      <c r="B620" s="102">
        <v>980.64</v>
      </c>
      <c r="C620" s="52"/>
      <c r="D620" s="52"/>
      <c r="E620" s="52"/>
      <c r="F620" s="52"/>
      <c r="G620" s="52"/>
      <c r="H620" s="52"/>
    </row>
    <row r="621" spans="1:8" ht="15.75">
      <c r="A621" s="50">
        <v>40311</v>
      </c>
      <c r="B621" s="102">
        <v>986.62</v>
      </c>
      <c r="C621" s="52"/>
      <c r="D621" s="52"/>
      <c r="E621" s="52"/>
      <c r="F621" s="52"/>
      <c r="G621" s="52"/>
      <c r="H621" s="52"/>
    </row>
    <row r="622" spans="1:8" ht="15.75">
      <c r="A622" s="50">
        <v>40312</v>
      </c>
      <c r="B622" s="102">
        <v>996.36</v>
      </c>
      <c r="C622" s="52"/>
      <c r="D622" s="52"/>
      <c r="E622" s="52"/>
      <c r="F622" s="52"/>
      <c r="G622" s="52"/>
      <c r="H622" s="52"/>
    </row>
    <row r="623" spans="1:8" ht="15.75">
      <c r="A623" s="50">
        <v>40315</v>
      </c>
      <c r="B623" s="102">
        <v>987.12</v>
      </c>
      <c r="C623" s="52"/>
      <c r="D623" s="52"/>
      <c r="E623" s="52"/>
      <c r="F623" s="52"/>
      <c r="G623" s="52"/>
      <c r="H623" s="52"/>
    </row>
    <row r="624" spans="1:8" ht="15.75">
      <c r="A624" s="50">
        <v>40316</v>
      </c>
      <c r="B624" s="51">
        <v>1006.04</v>
      </c>
      <c r="C624" s="52"/>
      <c r="D624" s="52"/>
      <c r="E624" s="52"/>
      <c r="F624" s="52"/>
      <c r="G624" s="52"/>
      <c r="H624" s="52"/>
    </row>
    <row r="625" spans="1:8" ht="15.75">
      <c r="A625" s="50">
        <v>40317</v>
      </c>
      <c r="B625" s="102">
        <v>960.96</v>
      </c>
      <c r="C625" s="52"/>
      <c r="D625" s="52"/>
      <c r="E625" s="52"/>
      <c r="F625" s="52"/>
      <c r="G625" s="52"/>
      <c r="H625" s="52"/>
    </row>
    <row r="626" spans="1:8" ht="15.75">
      <c r="A626" s="50">
        <v>40318</v>
      </c>
      <c r="B626" s="102">
        <v>948.91</v>
      </c>
      <c r="C626" s="52"/>
      <c r="D626" s="52"/>
      <c r="E626" s="52"/>
      <c r="F626" s="52"/>
      <c r="G626" s="52"/>
      <c r="H626" s="52"/>
    </row>
    <row r="627" spans="1:8" ht="15.75">
      <c r="A627" s="50">
        <v>40319</v>
      </c>
      <c r="B627" s="102">
        <v>935.36</v>
      </c>
      <c r="C627" s="52"/>
      <c r="D627" s="52"/>
      <c r="E627" s="52"/>
      <c r="F627" s="52"/>
      <c r="G627" s="52"/>
      <c r="H627" s="52"/>
    </row>
    <row r="628" spans="1:8" ht="15.75">
      <c r="A628" s="50">
        <v>40322</v>
      </c>
      <c r="B628" s="102">
        <v>964.52</v>
      </c>
      <c r="C628" s="52"/>
      <c r="D628" s="52"/>
      <c r="E628" s="52"/>
      <c r="F628" s="52"/>
      <c r="G628" s="52"/>
      <c r="H628" s="52"/>
    </row>
    <row r="629" spans="1:8" ht="15.75">
      <c r="A629" s="50">
        <v>40323</v>
      </c>
      <c r="B629" s="102">
        <v>971.63</v>
      </c>
      <c r="C629" s="52"/>
      <c r="D629" s="52"/>
      <c r="E629" s="52"/>
      <c r="F629" s="52"/>
      <c r="G629" s="52"/>
      <c r="H629" s="52"/>
    </row>
    <row r="630" spans="1:8" ht="15.75">
      <c r="A630" s="50">
        <v>40324</v>
      </c>
      <c r="B630" s="102">
        <v>996.63</v>
      </c>
      <c r="C630" s="52"/>
      <c r="D630" s="52"/>
      <c r="E630" s="52"/>
      <c r="F630" s="52"/>
      <c r="G630" s="52"/>
      <c r="H630" s="52"/>
    </row>
    <row r="631" spans="1:8" ht="15.75">
      <c r="A631" s="50">
        <v>40325</v>
      </c>
      <c r="B631" s="102">
        <v>980.86</v>
      </c>
      <c r="C631" s="52"/>
      <c r="D631" s="52"/>
      <c r="E631" s="52"/>
      <c r="F631" s="52"/>
      <c r="G631" s="52"/>
      <c r="H631" s="52"/>
    </row>
    <row r="632" spans="1:8" ht="15.75">
      <c r="A632" s="50">
        <v>40326</v>
      </c>
      <c r="B632" s="102">
        <v>989.98</v>
      </c>
      <c r="C632" s="52"/>
      <c r="D632" s="52"/>
      <c r="E632" s="52"/>
      <c r="F632" s="52"/>
      <c r="G632" s="52"/>
      <c r="H632" s="52"/>
    </row>
    <row r="633" spans="1:8" ht="15.75">
      <c r="A633" s="50">
        <v>40329</v>
      </c>
      <c r="B633" s="102">
        <v>987.37</v>
      </c>
      <c r="C633" s="52"/>
      <c r="D633" s="52"/>
      <c r="E633" s="52"/>
      <c r="F633" s="52"/>
      <c r="G633" s="52"/>
      <c r="H633" s="52"/>
    </row>
    <row r="634" spans="1:8" ht="15.75">
      <c r="A634" s="50">
        <v>40330</v>
      </c>
      <c r="B634" s="51">
        <v>1004.59</v>
      </c>
      <c r="C634" s="52"/>
      <c r="D634" s="52"/>
      <c r="E634" s="52"/>
      <c r="F634" s="52"/>
      <c r="G634" s="52"/>
      <c r="H634" s="52"/>
    </row>
    <row r="635" spans="1:8" ht="15.75">
      <c r="A635" s="50">
        <v>40331</v>
      </c>
      <c r="B635" s="102">
        <v>999.18</v>
      </c>
      <c r="C635" s="52"/>
      <c r="D635" s="52"/>
      <c r="E635" s="52"/>
      <c r="F635" s="52"/>
      <c r="G635" s="52"/>
      <c r="H635" s="52"/>
    </row>
    <row r="636" spans="1:8" ht="15.75">
      <c r="A636" s="50">
        <v>40332</v>
      </c>
      <c r="B636" s="102">
        <v>992.72</v>
      </c>
      <c r="C636" s="52"/>
      <c r="D636" s="52"/>
      <c r="E636" s="52"/>
      <c r="F636" s="52"/>
      <c r="G636" s="52"/>
      <c r="H636" s="52"/>
    </row>
    <row r="637" spans="1:8" ht="15.75">
      <c r="A637" s="50">
        <v>40333</v>
      </c>
      <c r="B637" s="51">
        <v>1019.13</v>
      </c>
      <c r="C637" s="52"/>
      <c r="D637" s="52"/>
      <c r="E637" s="52"/>
      <c r="F637" s="52"/>
      <c r="G637" s="52"/>
      <c r="H637" s="52"/>
    </row>
    <row r="638" spans="1:8" ht="15.75">
      <c r="A638" s="50">
        <v>40336</v>
      </c>
      <c r="B638" s="51">
        <v>1040.8699999999999</v>
      </c>
      <c r="C638" s="52"/>
      <c r="D638" s="52"/>
      <c r="E638" s="52"/>
      <c r="F638" s="52"/>
      <c r="G638" s="52"/>
      <c r="H638" s="52"/>
    </row>
    <row r="639" spans="1:8" ht="15.75">
      <c r="A639" s="50">
        <v>40337</v>
      </c>
      <c r="B639" s="51">
        <v>1033.1400000000001</v>
      </c>
      <c r="C639" s="52"/>
      <c r="D639" s="52"/>
      <c r="E639" s="52"/>
      <c r="F639" s="52"/>
      <c r="G639" s="52"/>
      <c r="H639" s="52"/>
    </row>
    <row r="640" spans="1:8" ht="15.75">
      <c r="A640" s="50">
        <v>40338</v>
      </c>
      <c r="B640" s="51">
        <v>1027.3699999999999</v>
      </c>
      <c r="C640" s="52"/>
      <c r="D640" s="52"/>
      <c r="E640" s="52"/>
      <c r="F640" s="52"/>
      <c r="G640" s="52"/>
      <c r="H640" s="52"/>
    </row>
    <row r="641" spans="1:8" ht="15.75">
      <c r="A641" s="50">
        <v>40339</v>
      </c>
      <c r="B641" s="51">
        <v>1006.03</v>
      </c>
      <c r="C641" s="52"/>
      <c r="D641" s="52"/>
      <c r="E641" s="52"/>
      <c r="F641" s="52"/>
      <c r="G641" s="52"/>
      <c r="H641" s="52"/>
    </row>
    <row r="642" spans="1:8" ht="15.75">
      <c r="A642" s="50">
        <v>40340</v>
      </c>
      <c r="B642" s="51">
        <v>1013.29</v>
      </c>
      <c r="C642" s="52"/>
      <c r="D642" s="52"/>
      <c r="E642" s="52"/>
      <c r="F642" s="52"/>
      <c r="G642" s="52"/>
      <c r="H642" s="52"/>
    </row>
    <row r="643" spans="1:8" ht="15.75">
      <c r="A643" s="50">
        <v>40343</v>
      </c>
      <c r="B643" s="51">
        <v>1000.7</v>
      </c>
      <c r="C643" s="52"/>
      <c r="D643" s="52"/>
      <c r="E643" s="52"/>
      <c r="F643" s="52"/>
      <c r="G643" s="52"/>
      <c r="H643" s="52"/>
    </row>
    <row r="644" spans="1:8" ht="15.75">
      <c r="A644" s="50">
        <v>40344</v>
      </c>
      <c r="B644" s="51">
        <v>1000.77</v>
      </c>
      <c r="C644" s="52"/>
      <c r="D644" s="52"/>
      <c r="E644" s="52"/>
      <c r="F644" s="52"/>
      <c r="G644" s="52"/>
      <c r="H644" s="52"/>
    </row>
    <row r="645" spans="1:8" ht="15.75">
      <c r="A645" s="50">
        <v>40345</v>
      </c>
      <c r="B645" s="51">
        <v>1001.02</v>
      </c>
      <c r="C645" s="52"/>
      <c r="D645" s="52"/>
      <c r="E645" s="52"/>
      <c r="F645" s="52"/>
      <c r="G645" s="52"/>
      <c r="H645" s="52"/>
    </row>
    <row r="646" spans="1:8" ht="15.75">
      <c r="A646" s="50">
        <v>40346</v>
      </c>
      <c r="B646" s="51">
        <v>1005.69</v>
      </c>
      <c r="C646" s="52"/>
      <c r="D646" s="52"/>
      <c r="E646" s="52"/>
      <c r="F646" s="52"/>
      <c r="G646" s="52"/>
      <c r="H646" s="52"/>
    </row>
    <row r="647" spans="1:8" ht="15.75">
      <c r="A647" s="50">
        <v>40347</v>
      </c>
      <c r="B647" s="51">
        <v>1014.97</v>
      </c>
      <c r="C647" s="52"/>
      <c r="D647" s="52"/>
      <c r="E647" s="52"/>
      <c r="F647" s="52"/>
      <c r="G647" s="52"/>
      <c r="H647" s="52"/>
    </row>
    <row r="648" spans="1:8" ht="15.75">
      <c r="A648" s="50">
        <v>40350</v>
      </c>
      <c r="B648" s="51">
        <v>1001.91</v>
      </c>
      <c r="C648" s="52"/>
      <c r="D648" s="52"/>
      <c r="E648" s="52"/>
      <c r="F648" s="52"/>
      <c r="G648" s="52"/>
      <c r="H648" s="52"/>
    </row>
    <row r="649" spans="1:8" ht="15.75">
      <c r="A649" s="50">
        <v>40351</v>
      </c>
      <c r="B649" s="51">
        <v>1011.17</v>
      </c>
      <c r="C649" s="52"/>
      <c r="D649" s="52"/>
      <c r="E649" s="52"/>
      <c r="F649" s="52"/>
      <c r="G649" s="52"/>
      <c r="H649" s="52"/>
    </row>
    <row r="650" spans="1:8" ht="15.75">
      <c r="A650" s="50">
        <v>40352</v>
      </c>
      <c r="B650" s="51">
        <v>1005.04</v>
      </c>
      <c r="C650" s="52"/>
      <c r="D650" s="52"/>
      <c r="E650" s="52"/>
      <c r="F650" s="52"/>
      <c r="G650" s="52"/>
      <c r="H650" s="52"/>
    </row>
    <row r="651" spans="1:8" ht="15.75">
      <c r="A651" s="50">
        <v>40353</v>
      </c>
      <c r="B651" s="51">
        <v>1006.85</v>
      </c>
      <c r="C651" s="52"/>
      <c r="D651" s="52"/>
      <c r="E651" s="52"/>
      <c r="F651" s="52"/>
      <c r="G651" s="52"/>
      <c r="H651" s="52"/>
    </row>
    <row r="652" spans="1:8" ht="15.75">
      <c r="A652" s="50">
        <v>40354</v>
      </c>
      <c r="B652" s="51">
        <v>1014.46</v>
      </c>
      <c r="C652" s="52"/>
      <c r="D652" s="52"/>
      <c r="E652" s="52"/>
      <c r="F652" s="52"/>
      <c r="G652" s="52"/>
      <c r="H652" s="52"/>
    </row>
    <row r="653" spans="1:8" ht="15.75">
      <c r="A653" s="50">
        <v>40357</v>
      </c>
      <c r="B653" s="51">
        <v>1009.49</v>
      </c>
      <c r="C653" s="52"/>
      <c r="D653" s="52"/>
      <c r="E653" s="52"/>
      <c r="F653" s="52"/>
      <c r="G653" s="52"/>
      <c r="H653" s="52"/>
    </row>
    <row r="654" spans="1:8" ht="15.75">
      <c r="A654" s="50">
        <v>40358</v>
      </c>
      <c r="B654" s="51">
        <v>1018.58</v>
      </c>
      <c r="C654" s="52"/>
      <c r="D654" s="52"/>
      <c r="E654" s="52"/>
      <c r="F654" s="52"/>
      <c r="G654" s="52"/>
      <c r="H654" s="52"/>
    </row>
    <row r="655" spans="1:8" ht="15.75">
      <c r="A655" s="50">
        <v>40359</v>
      </c>
      <c r="B655" s="51">
        <v>1015.74</v>
      </c>
      <c r="C655" s="52"/>
      <c r="D655" s="52"/>
      <c r="E655" s="52"/>
      <c r="F655" s="52"/>
      <c r="G655" s="52"/>
      <c r="H655" s="52"/>
    </row>
    <row r="656" spans="1:8" ht="15.75">
      <c r="A656" s="50">
        <v>40360</v>
      </c>
      <c r="B656" s="102">
        <v>960.14</v>
      </c>
      <c r="C656" s="52"/>
      <c r="D656" s="52"/>
      <c r="E656" s="52"/>
      <c r="F656" s="52"/>
      <c r="G656" s="52"/>
      <c r="H656" s="52"/>
    </row>
    <row r="657" spans="1:8" ht="15.75">
      <c r="A657" s="50">
        <v>40361</v>
      </c>
      <c r="B657" s="102">
        <v>964.27</v>
      </c>
      <c r="C657" s="52"/>
      <c r="D657" s="52"/>
      <c r="E657" s="52"/>
      <c r="F657" s="52"/>
      <c r="G657" s="52"/>
      <c r="H657" s="52"/>
    </row>
    <row r="658" spans="1:8" ht="15.75">
      <c r="A658" s="50">
        <v>40364</v>
      </c>
      <c r="B658" s="102">
        <v>963.15</v>
      </c>
      <c r="C658" s="52"/>
      <c r="D658" s="52"/>
      <c r="E658" s="52"/>
      <c r="F658" s="52"/>
      <c r="G658" s="52"/>
      <c r="H658" s="52"/>
    </row>
    <row r="659" spans="1:8" ht="15.75">
      <c r="A659" s="50">
        <v>40365</v>
      </c>
      <c r="B659" s="102">
        <v>945.87</v>
      </c>
      <c r="C659" s="52"/>
      <c r="D659" s="52"/>
      <c r="E659" s="52"/>
      <c r="F659" s="52"/>
      <c r="G659" s="52"/>
      <c r="H659" s="52"/>
    </row>
    <row r="660" spans="1:8" ht="15.75">
      <c r="A660" s="50">
        <v>40366</v>
      </c>
      <c r="B660" s="102">
        <v>952.97</v>
      </c>
      <c r="C660" s="52"/>
      <c r="D660" s="52"/>
      <c r="E660" s="52"/>
      <c r="F660" s="52"/>
      <c r="G660" s="52"/>
      <c r="H660" s="52"/>
    </row>
    <row r="661" spans="1:8" ht="15.75">
      <c r="A661" s="50">
        <v>40367</v>
      </c>
      <c r="B661" s="102">
        <v>942.41</v>
      </c>
      <c r="C661" s="52"/>
      <c r="D661" s="52"/>
      <c r="E661" s="52"/>
      <c r="F661" s="52"/>
      <c r="G661" s="52"/>
      <c r="H661" s="52"/>
    </row>
    <row r="662" spans="1:8" ht="15.75">
      <c r="A662" s="50">
        <v>40368</v>
      </c>
      <c r="B662" s="102">
        <v>958.79</v>
      </c>
      <c r="C662" s="52"/>
      <c r="D662" s="52"/>
      <c r="E662" s="52"/>
      <c r="F662" s="52"/>
      <c r="G662" s="52"/>
      <c r="H662" s="52"/>
    </row>
    <row r="663" spans="1:8" ht="15.75">
      <c r="A663" s="50">
        <v>40371</v>
      </c>
      <c r="B663" s="102">
        <v>950.71</v>
      </c>
      <c r="C663" s="52"/>
      <c r="D663" s="52"/>
      <c r="E663" s="52"/>
      <c r="F663" s="52"/>
      <c r="G663" s="52"/>
      <c r="H663" s="52"/>
    </row>
    <row r="664" spans="1:8" ht="15.75">
      <c r="A664" s="50">
        <v>40372</v>
      </c>
      <c r="B664" s="102">
        <v>953.05</v>
      </c>
      <c r="C664" s="52"/>
      <c r="D664" s="52"/>
      <c r="E664" s="52"/>
      <c r="F664" s="52"/>
      <c r="G664" s="52"/>
      <c r="H664" s="52"/>
    </row>
    <row r="665" spans="1:8" ht="15.75">
      <c r="A665" s="50">
        <v>40373</v>
      </c>
      <c r="B665" s="102">
        <v>948.99</v>
      </c>
      <c r="C665" s="52"/>
      <c r="D665" s="52"/>
      <c r="E665" s="52"/>
      <c r="F665" s="52"/>
      <c r="G665" s="52"/>
      <c r="H665" s="52"/>
    </row>
    <row r="666" spans="1:8" ht="15.75">
      <c r="A666" s="50">
        <v>40374</v>
      </c>
      <c r="B666" s="102">
        <v>934.77</v>
      </c>
      <c r="C666" s="52"/>
      <c r="D666" s="52"/>
      <c r="E666" s="52"/>
      <c r="F666" s="52"/>
      <c r="G666" s="52"/>
      <c r="H666" s="52"/>
    </row>
    <row r="667" spans="1:8" ht="15.75">
      <c r="A667" s="50">
        <v>40375</v>
      </c>
      <c r="B667" s="102">
        <v>922.71</v>
      </c>
      <c r="C667" s="52"/>
      <c r="D667" s="52"/>
      <c r="E667" s="52"/>
      <c r="F667" s="52"/>
      <c r="G667" s="52"/>
      <c r="H667" s="52"/>
    </row>
    <row r="668" spans="1:8" ht="15.75">
      <c r="A668" s="50">
        <v>40378</v>
      </c>
      <c r="B668" s="102">
        <v>914.27</v>
      </c>
      <c r="C668" s="52"/>
      <c r="D668" s="52"/>
      <c r="E668" s="52"/>
      <c r="F668" s="52"/>
      <c r="G668" s="52"/>
      <c r="H668" s="52"/>
    </row>
    <row r="669" spans="1:8" ht="15.75">
      <c r="A669" s="50">
        <v>40379</v>
      </c>
      <c r="B669" s="102">
        <v>923.56</v>
      </c>
      <c r="C669" s="52"/>
      <c r="D669" s="52"/>
      <c r="E669" s="52"/>
      <c r="F669" s="52"/>
      <c r="G669" s="52"/>
      <c r="H669" s="52"/>
    </row>
    <row r="670" spans="1:8" ht="15.75">
      <c r="A670" s="50">
        <v>40380</v>
      </c>
      <c r="B670" s="102">
        <v>928.69</v>
      </c>
      <c r="C670" s="52"/>
      <c r="D670" s="52"/>
      <c r="E670" s="52"/>
      <c r="F670" s="52"/>
      <c r="G670" s="52"/>
      <c r="H670" s="52"/>
    </row>
    <row r="671" spans="1:8" ht="15.75">
      <c r="A671" s="50">
        <v>40381</v>
      </c>
      <c r="B671" s="102">
        <v>928.65</v>
      </c>
      <c r="C671" s="52"/>
      <c r="D671" s="52"/>
      <c r="E671" s="52"/>
      <c r="F671" s="52"/>
      <c r="G671" s="52"/>
      <c r="H671" s="52"/>
    </row>
    <row r="672" spans="1:8" ht="15.75">
      <c r="A672" s="50">
        <v>40382</v>
      </c>
      <c r="B672" s="102">
        <v>921.84</v>
      </c>
      <c r="C672" s="52"/>
      <c r="D672" s="52"/>
      <c r="E672" s="52"/>
      <c r="F672" s="52"/>
      <c r="G672" s="52"/>
      <c r="H672" s="52"/>
    </row>
    <row r="673" spans="1:8" ht="15.75">
      <c r="A673" s="50">
        <v>40385</v>
      </c>
      <c r="B673" s="102">
        <v>911.96</v>
      </c>
      <c r="C673" s="52"/>
      <c r="D673" s="52"/>
      <c r="E673" s="52"/>
      <c r="F673" s="52"/>
      <c r="G673" s="52"/>
      <c r="H673" s="52"/>
    </row>
    <row r="674" spans="1:8" ht="15.75">
      <c r="A674" s="50">
        <v>40386</v>
      </c>
      <c r="B674" s="102">
        <v>893.35</v>
      </c>
      <c r="C674" s="52"/>
      <c r="D674" s="52"/>
      <c r="E674" s="52"/>
      <c r="F674" s="52"/>
      <c r="G674" s="52"/>
      <c r="H674" s="52"/>
    </row>
    <row r="675" spans="1:8" ht="15.75">
      <c r="A675" s="50">
        <v>40387</v>
      </c>
      <c r="B675" s="102">
        <v>895.94</v>
      </c>
      <c r="C675" s="52"/>
      <c r="D675" s="52"/>
      <c r="E675" s="52"/>
      <c r="F675" s="52"/>
      <c r="G675" s="52"/>
      <c r="H675" s="52"/>
    </row>
    <row r="676" spans="1:8" ht="15.75">
      <c r="A676" s="50">
        <v>40388</v>
      </c>
      <c r="B676" s="102">
        <v>891.98</v>
      </c>
      <c r="C676" s="52"/>
      <c r="D676" s="52"/>
      <c r="E676" s="52"/>
      <c r="F676" s="52"/>
      <c r="G676" s="52"/>
      <c r="H676" s="52"/>
    </row>
    <row r="677" spans="1:8" ht="15.75">
      <c r="A677" s="50">
        <v>40389</v>
      </c>
      <c r="B677" s="102">
        <v>905.03</v>
      </c>
      <c r="C677" s="52"/>
      <c r="D677" s="52"/>
      <c r="E677" s="52"/>
      <c r="F677" s="52"/>
      <c r="G677" s="52"/>
      <c r="H677" s="52"/>
    </row>
    <row r="678" spans="1:8" ht="15.75">
      <c r="A678" s="50">
        <v>40392</v>
      </c>
      <c r="B678" s="102">
        <v>896.3</v>
      </c>
      <c r="C678" s="52"/>
      <c r="D678" s="52"/>
      <c r="E678" s="52"/>
      <c r="F678" s="52"/>
      <c r="G678" s="52"/>
      <c r="H678" s="52"/>
    </row>
    <row r="679" spans="1:8" ht="15.75">
      <c r="A679" s="50">
        <v>40393</v>
      </c>
      <c r="B679" s="102">
        <v>897.26</v>
      </c>
      <c r="C679" s="52"/>
      <c r="D679" s="52"/>
      <c r="E679" s="52"/>
      <c r="F679" s="52"/>
      <c r="G679" s="52"/>
      <c r="H679" s="52"/>
    </row>
    <row r="680" spans="1:8" ht="15.75">
      <c r="A680" s="50">
        <v>40394</v>
      </c>
      <c r="B680" s="102">
        <v>908.97</v>
      </c>
      <c r="C680" s="52"/>
      <c r="D680" s="52"/>
      <c r="E680" s="52"/>
      <c r="F680" s="52"/>
      <c r="G680" s="52"/>
      <c r="H680" s="52"/>
    </row>
    <row r="681" spans="1:8" ht="15.75">
      <c r="A681" s="50">
        <v>40395</v>
      </c>
      <c r="B681" s="102">
        <v>906.64</v>
      </c>
      <c r="C681" s="52"/>
      <c r="D681" s="52"/>
      <c r="E681" s="52"/>
      <c r="F681" s="52"/>
      <c r="G681" s="52"/>
      <c r="H681" s="52"/>
    </row>
    <row r="682" spans="1:8" ht="15.75">
      <c r="A682" s="50">
        <v>40396</v>
      </c>
      <c r="B682" s="102">
        <v>907.54</v>
      </c>
      <c r="C682" s="52"/>
      <c r="D682" s="52"/>
      <c r="E682" s="52"/>
      <c r="F682" s="52"/>
      <c r="G682" s="52"/>
      <c r="H682" s="52"/>
    </row>
    <row r="683" spans="1:8" ht="15.75">
      <c r="A683" s="50">
        <v>40399</v>
      </c>
      <c r="B683" s="102">
        <v>908.58</v>
      </c>
      <c r="C683" s="52"/>
      <c r="D683" s="52"/>
      <c r="E683" s="52"/>
      <c r="F683" s="52"/>
      <c r="G683" s="52"/>
      <c r="H683" s="52"/>
    </row>
    <row r="684" spans="1:8" ht="15.75">
      <c r="A684" s="50">
        <v>40400</v>
      </c>
      <c r="B684" s="102">
        <v>913.74</v>
      </c>
      <c r="C684" s="52"/>
      <c r="D684" s="52"/>
      <c r="E684" s="52"/>
      <c r="F684" s="52"/>
      <c r="G684" s="52"/>
      <c r="H684" s="52"/>
    </row>
    <row r="685" spans="1:8" ht="15.75">
      <c r="A685" s="50">
        <v>40401</v>
      </c>
      <c r="B685" s="102">
        <v>934.53</v>
      </c>
      <c r="C685" s="52"/>
      <c r="D685" s="52"/>
      <c r="E685" s="52"/>
      <c r="F685" s="52"/>
      <c r="G685" s="52"/>
      <c r="H685" s="52"/>
    </row>
    <row r="686" spans="1:8" ht="15.75">
      <c r="A686" s="50">
        <v>40402</v>
      </c>
      <c r="B686" s="102">
        <v>946.76</v>
      </c>
      <c r="C686" s="52"/>
      <c r="D686" s="52"/>
      <c r="E686" s="52"/>
      <c r="F686" s="52"/>
      <c r="G686" s="52"/>
      <c r="H686" s="52"/>
    </row>
    <row r="687" spans="1:8" ht="15.75">
      <c r="A687" s="50">
        <v>40403</v>
      </c>
      <c r="B687" s="102">
        <v>952.85</v>
      </c>
      <c r="C687" s="52"/>
      <c r="D687" s="52"/>
      <c r="E687" s="52"/>
      <c r="F687" s="52"/>
      <c r="G687" s="52"/>
      <c r="H687" s="52"/>
    </row>
    <row r="688" spans="1:8" ht="15.75">
      <c r="A688" s="50">
        <v>40406</v>
      </c>
      <c r="B688" s="102">
        <v>955.39</v>
      </c>
      <c r="C688" s="52"/>
      <c r="D688" s="52"/>
      <c r="E688" s="52"/>
      <c r="F688" s="52"/>
      <c r="G688" s="52"/>
      <c r="H688" s="52"/>
    </row>
    <row r="689" spans="1:8" ht="15.75">
      <c r="A689" s="50">
        <v>40407</v>
      </c>
      <c r="B689" s="102">
        <v>950.7</v>
      </c>
      <c r="C689" s="52"/>
      <c r="D689" s="52"/>
      <c r="E689" s="52"/>
      <c r="F689" s="52"/>
      <c r="G689" s="52"/>
      <c r="H689" s="52"/>
    </row>
    <row r="690" spans="1:8" ht="15.75">
      <c r="A690" s="50">
        <v>40408</v>
      </c>
      <c r="B690" s="102">
        <v>957.29</v>
      </c>
      <c r="C690" s="52"/>
      <c r="D690" s="52"/>
      <c r="E690" s="52"/>
      <c r="F690" s="52"/>
      <c r="G690" s="52"/>
      <c r="H690" s="52"/>
    </row>
    <row r="691" spans="1:8" ht="15.75">
      <c r="A691" s="50">
        <v>40409</v>
      </c>
      <c r="B691" s="102">
        <v>961.06</v>
      </c>
      <c r="C691" s="52"/>
      <c r="D691" s="52"/>
      <c r="E691" s="52"/>
      <c r="F691" s="52"/>
      <c r="G691" s="52"/>
      <c r="H691" s="52"/>
    </row>
    <row r="692" spans="1:8" ht="15.75">
      <c r="A692" s="50">
        <v>40410</v>
      </c>
      <c r="B692" s="102">
        <v>966.05</v>
      </c>
      <c r="C692" s="52"/>
      <c r="D692" s="52"/>
      <c r="E692" s="52"/>
      <c r="F692" s="52"/>
      <c r="G692" s="52"/>
      <c r="H692" s="52"/>
    </row>
    <row r="693" spans="1:8" ht="15.75">
      <c r="A693" s="50">
        <v>40413</v>
      </c>
      <c r="B693" s="102">
        <v>968.89</v>
      </c>
      <c r="C693" s="52"/>
      <c r="D693" s="52"/>
      <c r="E693" s="52"/>
      <c r="F693" s="52"/>
      <c r="G693" s="52"/>
      <c r="H693" s="52"/>
    </row>
    <row r="694" spans="1:8" ht="15.75">
      <c r="A694" s="50">
        <v>40414</v>
      </c>
      <c r="B694" s="102">
        <v>974.59</v>
      </c>
      <c r="C694" s="52"/>
      <c r="D694" s="52"/>
      <c r="E694" s="52"/>
      <c r="F694" s="52"/>
      <c r="G694" s="52"/>
      <c r="H694" s="52"/>
    </row>
    <row r="695" spans="1:8" ht="15.75">
      <c r="A695" s="50">
        <v>40415</v>
      </c>
      <c r="B695" s="102">
        <v>978.92</v>
      </c>
      <c r="C695" s="52"/>
      <c r="D695" s="52"/>
      <c r="E695" s="52"/>
      <c r="F695" s="52"/>
      <c r="G695" s="52"/>
      <c r="H695" s="52"/>
    </row>
    <row r="696" spans="1:8" ht="15.75">
      <c r="A696" s="50">
        <v>40416</v>
      </c>
      <c r="B696" s="102">
        <v>971.1</v>
      </c>
      <c r="C696" s="52"/>
      <c r="D696" s="52"/>
      <c r="E696" s="52"/>
      <c r="F696" s="52"/>
      <c r="G696" s="52"/>
      <c r="H696" s="52"/>
    </row>
    <row r="697" spans="1:8" ht="15.75">
      <c r="A697" s="50">
        <v>40417</v>
      </c>
      <c r="B697" s="102">
        <v>970.15</v>
      </c>
      <c r="C697" s="52"/>
      <c r="D697" s="52"/>
      <c r="E697" s="52"/>
      <c r="F697" s="52"/>
      <c r="G697" s="52"/>
      <c r="H697" s="52"/>
    </row>
    <row r="698" spans="1:8" ht="15.75">
      <c r="A698" s="50">
        <v>40420</v>
      </c>
      <c r="B698" s="102">
        <v>976.82</v>
      </c>
      <c r="C698" s="52"/>
      <c r="D698" s="52"/>
      <c r="E698" s="52"/>
      <c r="F698" s="52"/>
      <c r="G698" s="52"/>
      <c r="H698" s="52"/>
    </row>
    <row r="699" spans="1:8" ht="15.75">
      <c r="A699" s="50">
        <v>40421</v>
      </c>
      <c r="B699" s="102">
        <v>983.25</v>
      </c>
      <c r="C699" s="52"/>
      <c r="D699" s="52"/>
      <c r="E699" s="52"/>
      <c r="F699" s="52"/>
      <c r="G699" s="52"/>
      <c r="H699" s="52"/>
    </row>
    <row r="700" spans="1:8" ht="15.75">
      <c r="A700" s="50">
        <v>40422</v>
      </c>
      <c r="B700" s="102">
        <v>971.84</v>
      </c>
      <c r="C700" s="52"/>
      <c r="D700" s="52"/>
      <c r="E700" s="52"/>
      <c r="F700" s="52"/>
      <c r="G700" s="52"/>
      <c r="H700" s="52"/>
    </row>
    <row r="701" spans="1:8" ht="15.75">
      <c r="A701" s="50">
        <v>40423</v>
      </c>
      <c r="B701" s="102">
        <v>975.44</v>
      </c>
      <c r="C701" s="52"/>
      <c r="D701" s="52"/>
      <c r="E701" s="52"/>
      <c r="F701" s="52"/>
      <c r="G701" s="52"/>
      <c r="H701" s="52"/>
    </row>
    <row r="702" spans="1:8" ht="15.75">
      <c r="A702" s="50">
        <v>40424</v>
      </c>
      <c r="B702" s="102">
        <v>966.7</v>
      </c>
      <c r="C702" s="52"/>
      <c r="D702" s="52"/>
      <c r="E702" s="52"/>
      <c r="F702" s="52"/>
      <c r="G702" s="52"/>
      <c r="H702" s="52"/>
    </row>
    <row r="703" spans="1:8" ht="15.75">
      <c r="A703" s="50">
        <v>40427</v>
      </c>
      <c r="B703" s="102">
        <v>970.95</v>
      </c>
      <c r="C703" s="52"/>
      <c r="D703" s="52"/>
      <c r="E703" s="52"/>
      <c r="F703" s="52"/>
      <c r="G703" s="52"/>
      <c r="H703" s="52"/>
    </row>
    <row r="704" spans="1:8" ht="15.75">
      <c r="A704" s="50">
        <v>40428</v>
      </c>
      <c r="B704" s="102">
        <v>990.07</v>
      </c>
      <c r="C704" s="52"/>
      <c r="D704" s="52"/>
      <c r="E704" s="52"/>
      <c r="F704" s="52"/>
      <c r="G704" s="52"/>
      <c r="H704" s="52"/>
    </row>
    <row r="705" spans="1:8" ht="15.75">
      <c r="A705" s="50">
        <v>40429</v>
      </c>
      <c r="B705" s="102">
        <v>986.56</v>
      </c>
      <c r="C705" s="52"/>
      <c r="D705" s="52"/>
      <c r="E705" s="52"/>
      <c r="F705" s="52"/>
      <c r="G705" s="52"/>
      <c r="H705" s="52"/>
    </row>
    <row r="706" spans="1:8" ht="15.75">
      <c r="A706" s="50">
        <v>40430</v>
      </c>
      <c r="B706" s="102">
        <v>980.16</v>
      </c>
      <c r="C706" s="52"/>
      <c r="D706" s="52"/>
      <c r="E706" s="52"/>
      <c r="F706" s="52"/>
      <c r="G706" s="52"/>
      <c r="H706" s="52"/>
    </row>
    <row r="707" spans="1:8" ht="15.75">
      <c r="A707" s="50">
        <v>40431</v>
      </c>
      <c r="B707" s="102">
        <v>983.67</v>
      </c>
      <c r="C707" s="52"/>
      <c r="D707" s="52"/>
      <c r="E707" s="52"/>
      <c r="F707" s="52"/>
      <c r="G707" s="52"/>
      <c r="H707" s="52"/>
    </row>
    <row r="708" spans="1:8" ht="15.75">
      <c r="A708" s="50">
        <v>40434</v>
      </c>
      <c r="B708" s="102">
        <v>967.11</v>
      </c>
      <c r="C708" s="52"/>
      <c r="D708" s="52"/>
      <c r="E708" s="52"/>
      <c r="F708" s="52"/>
      <c r="G708" s="52"/>
      <c r="H708" s="52"/>
    </row>
    <row r="709" spans="1:8" ht="15.75">
      <c r="A709" s="50">
        <v>40435</v>
      </c>
      <c r="B709" s="102">
        <v>976.94</v>
      </c>
      <c r="C709" s="52"/>
      <c r="D709" s="52"/>
      <c r="E709" s="52"/>
      <c r="F709" s="52"/>
      <c r="G709" s="52"/>
      <c r="H709" s="52"/>
    </row>
    <row r="710" spans="1:8" ht="15.75">
      <c r="A710" s="50">
        <v>40436</v>
      </c>
      <c r="B710" s="102">
        <v>973.95</v>
      </c>
      <c r="C710" s="52"/>
      <c r="D710" s="52"/>
      <c r="E710" s="52"/>
      <c r="F710" s="52"/>
      <c r="G710" s="52"/>
      <c r="H710" s="52"/>
    </row>
    <row r="711" spans="1:8" ht="15.75">
      <c r="A711" s="50">
        <v>40437</v>
      </c>
      <c r="B711" s="102">
        <v>975.03</v>
      </c>
      <c r="C711" s="52"/>
      <c r="D711" s="52"/>
      <c r="E711" s="52"/>
      <c r="F711" s="52"/>
      <c r="G711" s="52"/>
      <c r="H711" s="52"/>
    </row>
    <row r="712" spans="1:8" ht="15.75">
      <c r="A712" s="50">
        <v>40438</v>
      </c>
      <c r="B712" s="102">
        <v>976.49</v>
      </c>
      <c r="C712" s="52"/>
      <c r="D712" s="52"/>
      <c r="E712" s="52"/>
      <c r="F712" s="52"/>
      <c r="G712" s="52"/>
      <c r="H712" s="52"/>
    </row>
    <row r="713" spans="1:8" ht="15.75">
      <c r="A713" s="50">
        <v>40441</v>
      </c>
      <c r="B713" s="102">
        <v>978.83</v>
      </c>
      <c r="C713" s="52"/>
      <c r="D713" s="52"/>
      <c r="E713" s="52"/>
      <c r="F713" s="52"/>
      <c r="G713" s="52"/>
      <c r="H713" s="52"/>
    </row>
    <row r="714" spans="1:8" ht="15.75">
      <c r="A714" s="50">
        <v>40442</v>
      </c>
      <c r="B714" s="102">
        <v>972</v>
      </c>
      <c r="C714" s="52"/>
      <c r="D714" s="52"/>
      <c r="E714" s="52"/>
      <c r="F714" s="52"/>
      <c r="G714" s="52"/>
      <c r="H714" s="52"/>
    </row>
    <row r="715" spans="1:8" ht="15.75">
      <c r="A715" s="50">
        <v>40443</v>
      </c>
      <c r="B715" s="102">
        <v>963.69</v>
      </c>
      <c r="C715" s="52"/>
      <c r="D715" s="52"/>
      <c r="E715" s="52"/>
      <c r="F715" s="52"/>
      <c r="G715" s="52"/>
      <c r="H715" s="52"/>
    </row>
    <row r="716" spans="1:8" ht="15.75">
      <c r="A716" s="50">
        <v>40444</v>
      </c>
      <c r="B716" s="102">
        <v>970.82</v>
      </c>
      <c r="C716" s="52"/>
      <c r="D716" s="52"/>
      <c r="E716" s="52"/>
      <c r="F716" s="52"/>
      <c r="G716" s="52"/>
      <c r="H716" s="52"/>
    </row>
    <row r="717" spans="1:8" ht="15.75">
      <c r="A717" s="50">
        <v>40445</v>
      </c>
      <c r="B717" s="102">
        <v>961.13</v>
      </c>
      <c r="C717" s="52"/>
      <c r="D717" s="52"/>
      <c r="E717" s="52"/>
      <c r="F717" s="52"/>
      <c r="G717" s="52"/>
      <c r="H717" s="52"/>
    </row>
    <row r="718" spans="1:8" ht="15.75">
      <c r="A718" s="50">
        <v>40448</v>
      </c>
      <c r="B718" s="102">
        <v>963.47</v>
      </c>
      <c r="C718" s="52"/>
      <c r="D718" s="52"/>
      <c r="E718" s="52"/>
      <c r="F718" s="52"/>
      <c r="G718" s="52"/>
      <c r="H718" s="52"/>
    </row>
    <row r="719" spans="1:8" ht="15.75">
      <c r="A719" s="50">
        <v>40449</v>
      </c>
      <c r="B719" s="102">
        <v>963.16</v>
      </c>
      <c r="C719" s="52"/>
      <c r="D719" s="52"/>
      <c r="E719" s="52"/>
      <c r="F719" s="52"/>
      <c r="G719" s="52"/>
      <c r="H719" s="52"/>
    </row>
    <row r="720" spans="1:8" ht="15.75">
      <c r="A720" s="50">
        <v>40450</v>
      </c>
      <c r="B720" s="102">
        <v>961.24</v>
      </c>
      <c r="C720" s="52"/>
      <c r="D720" s="52"/>
      <c r="E720" s="52"/>
      <c r="F720" s="52"/>
      <c r="G720" s="52"/>
      <c r="H720" s="52"/>
    </row>
    <row r="721" spans="1:8" ht="15.75">
      <c r="A721" s="50">
        <v>40451</v>
      </c>
      <c r="B721" s="102">
        <v>960.38</v>
      </c>
      <c r="C721" s="52"/>
      <c r="D721" s="52"/>
      <c r="E721" s="52"/>
      <c r="F721" s="52"/>
      <c r="G721" s="52"/>
      <c r="H721" s="52"/>
    </row>
    <row r="722" spans="1:8" ht="15.75">
      <c r="A722" s="50">
        <v>40452</v>
      </c>
      <c r="B722" s="102">
        <v>956.28</v>
      </c>
      <c r="C722" s="52"/>
      <c r="D722" s="52"/>
      <c r="E722" s="52"/>
      <c r="F722" s="52"/>
      <c r="G722" s="52"/>
      <c r="H722" s="52"/>
    </row>
    <row r="723" spans="1:8" ht="15.75">
      <c r="A723" s="50">
        <v>40455</v>
      </c>
      <c r="B723" s="102">
        <v>961.61</v>
      </c>
      <c r="C723" s="52"/>
      <c r="D723" s="52"/>
      <c r="E723" s="52"/>
      <c r="F723" s="52"/>
      <c r="G723" s="52"/>
      <c r="H723" s="52"/>
    </row>
    <row r="724" spans="1:8" ht="15.75">
      <c r="A724" s="50">
        <v>40456</v>
      </c>
      <c r="B724" s="102">
        <v>968.74</v>
      </c>
      <c r="C724" s="52"/>
      <c r="D724" s="52"/>
      <c r="E724" s="52"/>
      <c r="F724" s="52"/>
      <c r="G724" s="52"/>
      <c r="H724" s="52"/>
    </row>
    <row r="725" spans="1:8" ht="15.75">
      <c r="A725" s="50">
        <v>40457</v>
      </c>
      <c r="B725" s="102">
        <v>968.94</v>
      </c>
      <c r="C725" s="52"/>
      <c r="D725" s="52"/>
      <c r="E725" s="52"/>
      <c r="F725" s="52"/>
      <c r="G725" s="52"/>
      <c r="H725" s="52"/>
    </row>
    <row r="726" spans="1:8" ht="15.75">
      <c r="A726" s="50">
        <v>40458</v>
      </c>
      <c r="B726" s="102">
        <v>958.53</v>
      </c>
      <c r="C726" s="52"/>
      <c r="D726" s="52"/>
      <c r="E726" s="52"/>
      <c r="F726" s="52"/>
      <c r="G726" s="52"/>
      <c r="H726" s="52"/>
    </row>
    <row r="727" spans="1:8" ht="15.75">
      <c r="A727" s="50">
        <v>40459</v>
      </c>
      <c r="B727" s="102">
        <v>965.8</v>
      </c>
      <c r="C727" s="52"/>
      <c r="D727" s="52"/>
      <c r="E727" s="52"/>
      <c r="F727" s="52"/>
      <c r="G727" s="52"/>
      <c r="H727" s="52"/>
    </row>
    <row r="728" spans="1:8" ht="15.75">
      <c r="A728" s="50">
        <v>40462</v>
      </c>
      <c r="B728" s="102">
        <v>975.33</v>
      </c>
      <c r="C728" s="52"/>
      <c r="D728" s="52"/>
      <c r="E728" s="52"/>
      <c r="F728" s="52"/>
      <c r="G728" s="52"/>
      <c r="H728" s="52"/>
    </row>
    <row r="729" spans="1:8" ht="15.75">
      <c r="A729" s="50">
        <v>40463</v>
      </c>
      <c r="B729" s="102">
        <v>970.57</v>
      </c>
      <c r="C729" s="52"/>
      <c r="D729" s="52"/>
      <c r="E729" s="52"/>
      <c r="F729" s="52"/>
      <c r="G729" s="52"/>
      <c r="H729" s="52"/>
    </row>
    <row r="730" spans="1:8" ht="15.75">
      <c r="A730" s="50">
        <v>40464</v>
      </c>
      <c r="B730" s="102">
        <v>982.81</v>
      </c>
      <c r="C730" s="52"/>
      <c r="D730" s="52"/>
      <c r="E730" s="52"/>
      <c r="F730" s="52"/>
      <c r="G730" s="52"/>
      <c r="H730" s="52"/>
    </row>
    <row r="731" spans="1:8" ht="15.75">
      <c r="A731" s="50">
        <v>40465</v>
      </c>
      <c r="B731" s="102">
        <v>980.79</v>
      </c>
      <c r="C731" s="52"/>
      <c r="D731" s="52"/>
      <c r="E731" s="52"/>
      <c r="F731" s="52"/>
      <c r="G731" s="52"/>
      <c r="H731" s="52"/>
    </row>
    <row r="732" spans="1:8" ht="15.75">
      <c r="A732" s="50">
        <v>40466</v>
      </c>
      <c r="B732" s="102">
        <v>979.43</v>
      </c>
      <c r="C732" s="52"/>
      <c r="D732" s="52"/>
      <c r="E732" s="52"/>
      <c r="F732" s="52"/>
      <c r="G732" s="52"/>
      <c r="H732" s="52"/>
    </row>
    <row r="733" spans="1:8" ht="15.75">
      <c r="A733" s="50">
        <v>40469</v>
      </c>
      <c r="B733" s="102">
        <v>981.94</v>
      </c>
      <c r="C733" s="52"/>
      <c r="D733" s="52"/>
      <c r="E733" s="52"/>
      <c r="F733" s="52"/>
      <c r="G733" s="52"/>
      <c r="H733" s="52"/>
    </row>
    <row r="734" spans="1:8" ht="15.75">
      <c r="A734" s="50">
        <v>40470</v>
      </c>
      <c r="B734" s="102">
        <v>970.42</v>
      </c>
      <c r="C734" s="52"/>
      <c r="D734" s="52"/>
      <c r="E734" s="52"/>
      <c r="F734" s="52"/>
      <c r="G734" s="52"/>
      <c r="H734" s="52"/>
    </row>
    <row r="735" spans="1:8" ht="15.75">
      <c r="A735" s="50">
        <v>40471</v>
      </c>
      <c r="B735" s="102">
        <v>963.68</v>
      </c>
      <c r="C735" s="52"/>
      <c r="D735" s="52"/>
      <c r="E735" s="52"/>
      <c r="F735" s="52"/>
      <c r="G735" s="52"/>
      <c r="H735" s="52"/>
    </row>
    <row r="736" spans="1:8" ht="15.75">
      <c r="A736" s="50">
        <v>40472</v>
      </c>
      <c r="B736" s="102">
        <v>952.57</v>
      </c>
      <c r="C736" s="52"/>
      <c r="D736" s="52"/>
      <c r="E736" s="52"/>
      <c r="F736" s="52"/>
      <c r="G736" s="52"/>
      <c r="H736" s="52"/>
    </row>
    <row r="737" spans="1:8" ht="15.75">
      <c r="A737" s="50">
        <v>40473</v>
      </c>
      <c r="B737" s="102">
        <v>951.84</v>
      </c>
      <c r="C737" s="52"/>
      <c r="D737" s="52"/>
      <c r="E737" s="52"/>
      <c r="F737" s="52"/>
      <c r="G737" s="52"/>
      <c r="H737" s="52"/>
    </row>
    <row r="738" spans="1:8" ht="15.75">
      <c r="A738" s="50">
        <v>40476</v>
      </c>
      <c r="B738" s="102">
        <v>960.23</v>
      </c>
      <c r="C738" s="52"/>
      <c r="D738" s="52"/>
      <c r="E738" s="52"/>
      <c r="F738" s="52"/>
      <c r="G738" s="52"/>
      <c r="H738" s="52"/>
    </row>
    <row r="739" spans="1:8" ht="15.75">
      <c r="A739" s="50">
        <v>40477</v>
      </c>
      <c r="B739" s="102">
        <v>966.78</v>
      </c>
      <c r="C739" s="52"/>
      <c r="D739" s="52"/>
      <c r="E739" s="52"/>
      <c r="F739" s="52"/>
      <c r="G739" s="52"/>
      <c r="H739" s="52"/>
    </row>
    <row r="740" spans="1:8" ht="15.75">
      <c r="A740" s="50">
        <v>40478</v>
      </c>
      <c r="B740" s="102">
        <v>963.12</v>
      </c>
      <c r="C740" s="52"/>
      <c r="D740" s="52"/>
      <c r="E740" s="52"/>
      <c r="F740" s="52"/>
      <c r="G740" s="52"/>
      <c r="H740" s="52"/>
    </row>
    <row r="741" spans="1:8" ht="15.75">
      <c r="A741" s="50">
        <v>40479</v>
      </c>
      <c r="B741" s="102">
        <v>965.14</v>
      </c>
      <c r="C741" s="52"/>
      <c r="D741" s="52"/>
      <c r="E741" s="52"/>
      <c r="F741" s="52"/>
      <c r="G741" s="52"/>
      <c r="H741" s="52"/>
    </row>
    <row r="742" spans="1:8" ht="15.75">
      <c r="A742" s="50">
        <v>40480</v>
      </c>
      <c r="B742" s="102">
        <v>974.87</v>
      </c>
      <c r="C742" s="52"/>
      <c r="D742" s="52"/>
      <c r="E742" s="52"/>
      <c r="F742" s="52"/>
      <c r="G742" s="52"/>
      <c r="H742" s="52"/>
    </row>
    <row r="743" spans="1:8" ht="15.75">
      <c r="A743" s="50">
        <v>40483</v>
      </c>
      <c r="B743" s="102">
        <v>973.52</v>
      </c>
      <c r="C743" s="52"/>
      <c r="D743" s="52"/>
      <c r="E743" s="52"/>
      <c r="F743" s="52"/>
      <c r="G743" s="52"/>
      <c r="H743" s="52"/>
    </row>
    <row r="744" spans="1:8" ht="15.75">
      <c r="A744" s="50">
        <v>40484</v>
      </c>
      <c r="B744" s="102">
        <v>966.97</v>
      </c>
      <c r="C744" s="52"/>
      <c r="D744" s="52"/>
      <c r="E744" s="52"/>
      <c r="F744" s="52"/>
      <c r="G744" s="52"/>
      <c r="H744" s="52"/>
    </row>
    <row r="745" spans="1:8" ht="15.75">
      <c r="A745" s="50">
        <v>40485</v>
      </c>
      <c r="B745" s="102">
        <v>954.37</v>
      </c>
      <c r="C745" s="52"/>
      <c r="D745" s="52"/>
      <c r="E745" s="52"/>
      <c r="F745" s="52"/>
      <c r="G745" s="52"/>
      <c r="H745" s="52"/>
    </row>
    <row r="746" spans="1:8" ht="15.75">
      <c r="A746" s="50">
        <v>40486</v>
      </c>
      <c r="B746" s="102">
        <v>979.21</v>
      </c>
      <c r="C746" s="52"/>
      <c r="D746" s="52"/>
      <c r="E746" s="52"/>
      <c r="F746" s="52"/>
      <c r="G746" s="52"/>
      <c r="H746" s="52"/>
    </row>
    <row r="747" spans="1:8" ht="15.75">
      <c r="A747" s="50">
        <v>40487</v>
      </c>
      <c r="B747" s="102">
        <v>993.41</v>
      </c>
      <c r="C747" s="52"/>
      <c r="D747" s="52"/>
      <c r="E747" s="52"/>
      <c r="F747" s="52"/>
      <c r="G747" s="52"/>
      <c r="H747" s="52"/>
    </row>
    <row r="748" spans="1:8" ht="15.75">
      <c r="A748" s="50">
        <v>40490</v>
      </c>
      <c r="B748" s="51">
        <v>1013.26</v>
      </c>
      <c r="C748" s="52"/>
      <c r="D748" s="52"/>
      <c r="E748" s="52"/>
      <c r="F748" s="52"/>
      <c r="G748" s="52"/>
      <c r="H748" s="52"/>
    </row>
    <row r="749" spans="1:8" ht="15.75">
      <c r="A749" s="50">
        <v>40491</v>
      </c>
      <c r="B749" s="51">
        <v>1011.88</v>
      </c>
      <c r="C749" s="52"/>
      <c r="D749" s="52"/>
      <c r="E749" s="52"/>
      <c r="F749" s="52"/>
      <c r="G749" s="52"/>
      <c r="H749" s="52"/>
    </row>
    <row r="750" spans="1:8" ht="15.75">
      <c r="A750" s="50">
        <v>40492</v>
      </c>
      <c r="B750" s="51">
        <v>1019.38</v>
      </c>
      <c r="C750" s="52"/>
      <c r="D750" s="52"/>
      <c r="E750" s="52"/>
      <c r="F750" s="52"/>
      <c r="G750" s="52"/>
      <c r="H750" s="52"/>
    </row>
    <row r="751" spans="1:8" ht="15.75">
      <c r="A751" s="50">
        <v>40493</v>
      </c>
      <c r="B751" s="51">
        <v>1031.03</v>
      </c>
      <c r="C751" s="52"/>
      <c r="D751" s="52"/>
      <c r="E751" s="52"/>
      <c r="F751" s="52"/>
      <c r="G751" s="52"/>
      <c r="H751" s="52"/>
    </row>
    <row r="752" spans="1:8" ht="15.75">
      <c r="A752" s="50">
        <v>40494</v>
      </c>
      <c r="B752" s="102">
        <v>999.36</v>
      </c>
      <c r="C752" s="52"/>
      <c r="D752" s="52"/>
      <c r="E752" s="52"/>
      <c r="F752" s="52"/>
      <c r="G752" s="52"/>
      <c r="H752" s="52"/>
    </row>
    <row r="753" spans="1:8" ht="15.75">
      <c r="A753" s="50">
        <v>40497</v>
      </c>
      <c r="B753" s="51">
        <v>1001.51</v>
      </c>
      <c r="C753" s="52"/>
      <c r="D753" s="52"/>
      <c r="E753" s="52"/>
      <c r="F753" s="52"/>
      <c r="G753" s="52"/>
      <c r="H753" s="52"/>
    </row>
    <row r="754" spans="1:8" ht="15.75">
      <c r="A754" s="50">
        <v>40498</v>
      </c>
      <c r="B754" s="102">
        <v>994.44</v>
      </c>
      <c r="C754" s="52"/>
      <c r="D754" s="52"/>
      <c r="E754" s="52"/>
      <c r="F754" s="52"/>
      <c r="G754" s="52"/>
      <c r="H754" s="52"/>
    </row>
    <row r="755" spans="1:8" ht="15.75">
      <c r="A755" s="50">
        <v>40499</v>
      </c>
      <c r="B755" s="102">
        <v>987.51</v>
      </c>
      <c r="C755" s="52"/>
      <c r="D755" s="52"/>
      <c r="E755" s="52"/>
      <c r="F755" s="52"/>
      <c r="G755" s="52"/>
      <c r="H755" s="52"/>
    </row>
    <row r="756" spans="1:8" ht="15.75">
      <c r="A756" s="50">
        <v>40500</v>
      </c>
      <c r="B756" s="102">
        <v>992.19</v>
      </c>
      <c r="C756" s="52"/>
      <c r="D756" s="52"/>
      <c r="E756" s="52"/>
      <c r="F756" s="52"/>
      <c r="G756" s="52"/>
      <c r="H756" s="52"/>
    </row>
    <row r="757" spans="1:8" ht="15.75">
      <c r="A757" s="50">
        <v>40501</v>
      </c>
      <c r="B757" s="102">
        <v>990.24</v>
      </c>
      <c r="C757" s="52"/>
      <c r="D757" s="52"/>
      <c r="E757" s="52"/>
      <c r="F757" s="52"/>
      <c r="G757" s="52"/>
      <c r="H757" s="52"/>
    </row>
    <row r="758" spans="1:8" ht="15.75">
      <c r="A758" s="50">
        <v>40504</v>
      </c>
      <c r="B758" s="51">
        <v>1002.75</v>
      </c>
      <c r="C758" s="52"/>
      <c r="D758" s="52"/>
      <c r="E758" s="52"/>
      <c r="F758" s="52"/>
      <c r="G758" s="52"/>
      <c r="H758" s="52"/>
    </row>
    <row r="759" spans="1:8" ht="15.75">
      <c r="A759" s="50">
        <v>40505</v>
      </c>
      <c r="B759" s="51">
        <v>1028.7</v>
      </c>
      <c r="C759" s="52"/>
      <c r="D759" s="52"/>
      <c r="E759" s="52"/>
      <c r="F759" s="52"/>
      <c r="G759" s="52"/>
      <c r="H759" s="52"/>
    </row>
    <row r="760" spans="1:8" ht="15.75">
      <c r="A760" s="50">
        <v>40506</v>
      </c>
      <c r="B760" s="51">
        <v>1029.32</v>
      </c>
      <c r="C760" s="52"/>
      <c r="D760" s="52"/>
      <c r="E760" s="52"/>
      <c r="F760" s="52"/>
      <c r="G760" s="52"/>
      <c r="H760" s="52"/>
    </row>
    <row r="761" spans="1:8" ht="15.75">
      <c r="A761" s="50">
        <v>40507</v>
      </c>
      <c r="B761" s="51">
        <v>1030.2</v>
      </c>
      <c r="C761" s="52"/>
      <c r="D761" s="52"/>
      <c r="E761" s="52"/>
      <c r="F761" s="52"/>
      <c r="G761" s="52"/>
      <c r="H761" s="52"/>
    </row>
    <row r="762" spans="1:8" ht="15.75">
      <c r="A762" s="50">
        <v>40508</v>
      </c>
      <c r="B762" s="51">
        <v>1029.8499999999999</v>
      </c>
      <c r="C762" s="52"/>
      <c r="D762" s="52"/>
      <c r="E762" s="52"/>
      <c r="F762" s="52"/>
      <c r="G762" s="52"/>
      <c r="H762" s="52"/>
    </row>
    <row r="763" spans="1:8" ht="15.75">
      <c r="A763" s="50">
        <v>40511</v>
      </c>
      <c r="B763" s="51">
        <v>1043.18</v>
      </c>
      <c r="C763" s="52"/>
      <c r="D763" s="52"/>
      <c r="E763" s="52"/>
      <c r="F763" s="52"/>
      <c r="G763" s="52"/>
      <c r="H763" s="52"/>
    </row>
    <row r="764" spans="1:8" ht="15.75">
      <c r="A764" s="50">
        <v>40512</v>
      </c>
      <c r="B764" s="51">
        <v>1067.8599999999999</v>
      </c>
      <c r="C764" s="52"/>
      <c r="D764" s="52"/>
      <c r="E764" s="52"/>
      <c r="F764" s="52"/>
      <c r="G764" s="52"/>
      <c r="H764" s="52"/>
    </row>
    <row r="765" spans="1:8" ht="15.75">
      <c r="A765" s="50">
        <v>40513</v>
      </c>
      <c r="B765" s="51">
        <v>1056.5999999999999</v>
      </c>
      <c r="C765" s="52"/>
      <c r="D765" s="52"/>
      <c r="E765" s="52"/>
      <c r="F765" s="52"/>
      <c r="G765" s="52"/>
      <c r="H765" s="52"/>
    </row>
    <row r="766" spans="1:8" ht="15.75">
      <c r="A766" s="50">
        <v>40514</v>
      </c>
      <c r="B766" s="51">
        <v>1048.27</v>
      </c>
      <c r="C766" s="52"/>
      <c r="D766" s="52"/>
      <c r="E766" s="52"/>
      <c r="F766" s="52"/>
      <c r="G766" s="52"/>
      <c r="H766" s="52"/>
    </row>
    <row r="767" spans="1:8" ht="15.75">
      <c r="A767" s="50">
        <v>40515</v>
      </c>
      <c r="B767" s="51">
        <v>1054.68</v>
      </c>
      <c r="C767" s="52"/>
      <c r="D767" s="52"/>
      <c r="E767" s="52"/>
      <c r="F767" s="52"/>
      <c r="G767" s="52"/>
      <c r="H767" s="52"/>
    </row>
    <row r="768" spans="1:8" ht="15.75">
      <c r="A768" s="50">
        <v>40518</v>
      </c>
      <c r="B768" s="51">
        <v>1070.4000000000001</v>
      </c>
      <c r="C768" s="52"/>
      <c r="D768" s="52"/>
      <c r="E768" s="52"/>
      <c r="F768" s="52"/>
      <c r="G768" s="52"/>
      <c r="H768" s="52"/>
    </row>
    <row r="769" spans="1:8" ht="15.75">
      <c r="A769" s="50">
        <v>40519</v>
      </c>
      <c r="B769" s="51">
        <v>1055.8900000000001</v>
      </c>
      <c r="C769" s="52"/>
      <c r="D769" s="52"/>
      <c r="E769" s="52"/>
      <c r="F769" s="52"/>
      <c r="G769" s="52"/>
      <c r="H769" s="52"/>
    </row>
    <row r="770" spans="1:8" ht="15.75">
      <c r="A770" s="50">
        <v>40520</v>
      </c>
      <c r="B770" s="51">
        <v>1040.94</v>
      </c>
      <c r="C770" s="52"/>
      <c r="D770" s="52"/>
      <c r="E770" s="52"/>
      <c r="F770" s="52"/>
      <c r="G770" s="52"/>
      <c r="H770" s="52"/>
    </row>
    <row r="771" spans="1:8" ht="15.75">
      <c r="A771" s="50">
        <v>40521</v>
      </c>
      <c r="B771" s="51">
        <v>1047.6300000000001</v>
      </c>
      <c r="C771" s="52"/>
      <c r="D771" s="52"/>
      <c r="E771" s="52"/>
      <c r="F771" s="52"/>
      <c r="G771" s="52"/>
      <c r="H771" s="52"/>
    </row>
    <row r="772" spans="1:8" ht="15.75">
      <c r="A772" s="50">
        <v>40522</v>
      </c>
      <c r="B772" s="51">
        <v>1047.02</v>
      </c>
      <c r="C772" s="52"/>
      <c r="D772" s="52"/>
      <c r="E772" s="52"/>
      <c r="F772" s="52"/>
      <c r="G772" s="52"/>
      <c r="H772" s="52"/>
    </row>
    <row r="773" spans="1:8" ht="15.75">
      <c r="A773" s="50">
        <v>40525</v>
      </c>
      <c r="B773" s="51">
        <v>1041.6400000000001</v>
      </c>
      <c r="C773" s="52"/>
      <c r="D773" s="52"/>
      <c r="E773" s="52"/>
      <c r="F773" s="52"/>
      <c r="G773" s="52"/>
      <c r="H773" s="52"/>
    </row>
    <row r="774" spans="1:8" ht="15.75">
      <c r="A774" s="50">
        <v>40526</v>
      </c>
      <c r="B774" s="51">
        <v>1043.31</v>
      </c>
      <c r="C774" s="52"/>
      <c r="D774" s="52"/>
      <c r="E774" s="52"/>
      <c r="F774" s="52"/>
      <c r="G774" s="52"/>
      <c r="H774" s="52"/>
    </row>
    <row r="775" spans="1:8" ht="15.75">
      <c r="A775" s="50">
        <v>40527</v>
      </c>
      <c r="B775" s="51">
        <v>1044.1300000000001</v>
      </c>
      <c r="C775" s="52"/>
      <c r="D775" s="52"/>
      <c r="E775" s="52"/>
      <c r="F775" s="52"/>
      <c r="G775" s="52"/>
      <c r="H775" s="52"/>
    </row>
    <row r="776" spans="1:8" ht="15.75">
      <c r="A776" s="50">
        <v>40528</v>
      </c>
      <c r="B776" s="51">
        <v>1034.51</v>
      </c>
      <c r="C776" s="52"/>
      <c r="D776" s="52"/>
      <c r="E776" s="52"/>
      <c r="F776" s="52"/>
      <c r="G776" s="52"/>
      <c r="H776" s="52"/>
    </row>
    <row r="777" spans="1:8" ht="15.75">
      <c r="A777" s="50">
        <v>40529</v>
      </c>
      <c r="B777" s="51">
        <v>1042.6099999999999</v>
      </c>
      <c r="C777" s="52"/>
      <c r="D777" s="52"/>
      <c r="E777" s="52"/>
      <c r="F777" s="52"/>
      <c r="G777" s="52"/>
      <c r="H777" s="52"/>
    </row>
    <row r="778" spans="1:8" ht="15.75">
      <c r="A778" s="50">
        <v>40532</v>
      </c>
      <c r="B778" s="51">
        <v>1056.02</v>
      </c>
      <c r="C778" s="52"/>
      <c r="D778" s="52"/>
      <c r="E778" s="52"/>
      <c r="F778" s="52"/>
      <c r="G778" s="52"/>
      <c r="H778" s="52"/>
    </row>
    <row r="779" spans="1:8" ht="15.75">
      <c r="A779" s="50">
        <v>40533</v>
      </c>
      <c r="B779" s="51">
        <v>1057.67</v>
      </c>
      <c r="C779" s="52"/>
      <c r="D779" s="52"/>
      <c r="E779" s="52"/>
      <c r="F779" s="52"/>
      <c r="G779" s="52"/>
      <c r="H779" s="52"/>
    </row>
    <row r="780" spans="1:8" ht="15.75">
      <c r="A780" s="50">
        <v>40534</v>
      </c>
      <c r="B780" s="51">
        <v>1057.27</v>
      </c>
      <c r="C780" s="52"/>
      <c r="D780" s="52"/>
      <c r="E780" s="52"/>
      <c r="F780" s="52"/>
      <c r="G780" s="52"/>
      <c r="H780" s="52"/>
    </row>
    <row r="781" spans="1:8" ht="15.75">
      <c r="A781" s="50">
        <v>40535</v>
      </c>
      <c r="B781" s="51">
        <v>1051.9000000000001</v>
      </c>
      <c r="C781" s="52"/>
      <c r="D781" s="52"/>
      <c r="E781" s="52"/>
      <c r="F781" s="52"/>
      <c r="G781" s="52"/>
      <c r="H781" s="52"/>
    </row>
    <row r="782" spans="1:8" ht="15.75">
      <c r="A782" s="50">
        <v>40536</v>
      </c>
      <c r="B782" s="51">
        <v>1053.8699999999999</v>
      </c>
      <c r="C782" s="52"/>
      <c r="D782" s="52"/>
      <c r="E782" s="52"/>
      <c r="F782" s="52"/>
      <c r="G782" s="52"/>
      <c r="H782" s="52"/>
    </row>
    <row r="783" spans="1:8" ht="15.75">
      <c r="A783" s="50">
        <v>40539</v>
      </c>
      <c r="B783" s="51">
        <v>1051.47</v>
      </c>
      <c r="C783" s="52"/>
      <c r="D783" s="52"/>
      <c r="E783" s="52"/>
      <c r="F783" s="52"/>
      <c r="G783" s="52"/>
      <c r="H783" s="52"/>
    </row>
    <row r="784" spans="1:8" ht="15.75">
      <c r="A784" s="50">
        <v>40540</v>
      </c>
      <c r="B784" s="51">
        <v>1072.6500000000001</v>
      </c>
      <c r="C784" s="52"/>
      <c r="D784" s="52"/>
      <c r="E784" s="52"/>
      <c r="F784" s="52"/>
      <c r="G784" s="52"/>
      <c r="H784" s="52"/>
    </row>
    <row r="785" spans="1:8" ht="15.75">
      <c r="A785" s="50">
        <v>40541</v>
      </c>
      <c r="B785" s="51">
        <v>1068.32</v>
      </c>
      <c r="C785" s="52"/>
      <c r="D785" s="52"/>
      <c r="E785" s="52"/>
      <c r="F785" s="52"/>
      <c r="G785" s="52"/>
      <c r="H785" s="52"/>
    </row>
    <row r="786" spans="1:8" ht="15.75">
      <c r="A786" s="50">
        <v>40542</v>
      </c>
      <c r="B786" s="51">
        <v>1056.5</v>
      </c>
      <c r="C786" s="52"/>
      <c r="D786" s="52"/>
      <c r="E786" s="52"/>
      <c r="F786" s="52"/>
      <c r="G786" s="52"/>
      <c r="H786" s="52"/>
    </row>
    <row r="787" spans="1:8" ht="15.75">
      <c r="A787" s="50">
        <v>40543</v>
      </c>
      <c r="B787" s="51">
        <v>1061.93</v>
      </c>
      <c r="C787" s="52"/>
      <c r="D787" s="52"/>
      <c r="E787" s="52"/>
      <c r="F787" s="52"/>
      <c r="G787" s="52"/>
      <c r="H787" s="52"/>
    </row>
    <row r="788" spans="1:8" ht="15.75">
      <c r="A788" s="50">
        <v>40546</v>
      </c>
      <c r="B788" s="51">
        <v>1059.25</v>
      </c>
      <c r="C788" s="52"/>
      <c r="D788" s="52"/>
      <c r="E788" s="52"/>
      <c r="F788" s="52"/>
      <c r="G788" s="52"/>
      <c r="H788" s="52"/>
    </row>
    <row r="789" spans="1:8" ht="15.75">
      <c r="A789" s="50">
        <v>40547</v>
      </c>
      <c r="B789" s="51">
        <v>1037.75</v>
      </c>
      <c r="C789" s="52"/>
      <c r="D789" s="52"/>
      <c r="E789" s="52"/>
      <c r="F789" s="52"/>
      <c r="G789" s="52"/>
      <c r="H789" s="52"/>
    </row>
    <row r="790" spans="1:8" ht="15.75">
      <c r="A790" s="50">
        <v>40548</v>
      </c>
      <c r="B790" s="51">
        <v>1048.93</v>
      </c>
      <c r="C790" s="52"/>
      <c r="D790" s="52"/>
      <c r="E790" s="52"/>
      <c r="F790" s="52"/>
      <c r="G790" s="52"/>
      <c r="H790" s="52"/>
    </row>
    <row r="791" spans="1:8" ht="15.75">
      <c r="A791" s="50">
        <v>40549</v>
      </c>
      <c r="B791" s="51">
        <v>1054.49</v>
      </c>
      <c r="C791" s="52"/>
      <c r="D791" s="52"/>
      <c r="E791" s="52"/>
      <c r="F791" s="52"/>
      <c r="G791" s="52"/>
      <c r="H791" s="52"/>
    </row>
    <row r="792" spans="1:8" ht="15.75">
      <c r="A792" s="50">
        <v>40550</v>
      </c>
      <c r="B792" s="51">
        <v>1061.1199999999999</v>
      </c>
      <c r="C792" s="52"/>
      <c r="D792" s="52"/>
      <c r="E792" s="52"/>
      <c r="F792" s="52"/>
      <c r="G792" s="52"/>
      <c r="H792" s="52"/>
    </row>
    <row r="793" spans="1:8" ht="15.75">
      <c r="A793" s="50">
        <v>40553</v>
      </c>
      <c r="B793" s="51">
        <v>1062.79</v>
      </c>
      <c r="C793" s="52"/>
      <c r="D793" s="52"/>
      <c r="E793" s="52"/>
      <c r="F793" s="52"/>
      <c r="G793" s="52"/>
      <c r="H793" s="52"/>
    </row>
    <row r="794" spans="1:8" ht="15.75">
      <c r="A794" s="50">
        <v>40554</v>
      </c>
      <c r="B794" s="51">
        <v>1064.1300000000001</v>
      </c>
      <c r="C794" s="52"/>
      <c r="D794" s="52"/>
      <c r="E794" s="52"/>
      <c r="F794" s="52"/>
      <c r="G794" s="52"/>
      <c r="H794" s="52"/>
    </row>
    <row r="795" spans="1:8" ht="15.75">
      <c r="A795" s="50">
        <v>40555</v>
      </c>
      <c r="B795" s="51">
        <v>1057.6600000000001</v>
      </c>
      <c r="C795" s="52"/>
      <c r="D795" s="52"/>
      <c r="E795" s="52"/>
      <c r="F795" s="52"/>
      <c r="G795" s="52"/>
      <c r="H795" s="52"/>
    </row>
    <row r="796" spans="1:8" ht="15.75">
      <c r="A796" s="50">
        <v>40556</v>
      </c>
      <c r="B796" s="51">
        <v>1029.5899999999999</v>
      </c>
      <c r="C796" s="52"/>
      <c r="D796" s="52"/>
      <c r="E796" s="52"/>
      <c r="F796" s="52"/>
      <c r="G796" s="52"/>
      <c r="H796" s="52"/>
    </row>
    <row r="797" spans="1:8" ht="15.75">
      <c r="A797" s="50">
        <v>40557</v>
      </c>
      <c r="B797" s="51">
        <v>1017.29</v>
      </c>
      <c r="C797" s="52"/>
      <c r="D797" s="52"/>
      <c r="E797" s="52"/>
      <c r="F797" s="52"/>
      <c r="G797" s="52"/>
      <c r="H797" s="52"/>
    </row>
    <row r="798" spans="1:8" ht="15.75">
      <c r="A798" s="50">
        <v>40560</v>
      </c>
      <c r="B798" s="51">
        <v>1025.46</v>
      </c>
      <c r="C798" s="52"/>
      <c r="D798" s="52"/>
      <c r="E798" s="52"/>
      <c r="F798" s="52"/>
      <c r="G798" s="52"/>
      <c r="H798" s="52"/>
    </row>
    <row r="799" spans="1:8" ht="15.75">
      <c r="A799" s="50">
        <v>40561</v>
      </c>
      <c r="B799" s="51">
        <v>1021.1</v>
      </c>
      <c r="C799" s="52"/>
      <c r="D799" s="52"/>
      <c r="E799" s="52"/>
      <c r="F799" s="52"/>
      <c r="G799" s="52"/>
      <c r="H799" s="52"/>
    </row>
    <row r="800" spans="1:8" ht="15.75">
      <c r="A800" s="50">
        <v>40562</v>
      </c>
      <c r="B800" s="51">
        <v>1017.84</v>
      </c>
      <c r="C800" s="52"/>
      <c r="D800" s="52"/>
      <c r="E800" s="52"/>
      <c r="F800" s="52"/>
      <c r="G800" s="52"/>
      <c r="H800" s="52"/>
    </row>
    <row r="801" spans="1:8" ht="15.75">
      <c r="A801" s="50">
        <v>40563</v>
      </c>
      <c r="B801" s="102">
        <v>999.52</v>
      </c>
      <c r="C801" s="52"/>
      <c r="D801" s="52"/>
      <c r="E801" s="52"/>
      <c r="F801" s="52"/>
      <c r="G801" s="52"/>
      <c r="H801" s="52"/>
    </row>
    <row r="802" spans="1:8" ht="15.75">
      <c r="A802" s="50">
        <v>40564</v>
      </c>
      <c r="B802" s="102">
        <v>985.61</v>
      </c>
      <c r="C802" s="52"/>
      <c r="D802" s="52"/>
      <c r="E802" s="52"/>
      <c r="F802" s="52"/>
      <c r="G802" s="52"/>
      <c r="H802" s="52"/>
    </row>
    <row r="803" spans="1:8" ht="15.75">
      <c r="A803" s="50">
        <v>40567</v>
      </c>
      <c r="B803" s="102">
        <v>978.48</v>
      </c>
      <c r="C803" s="52"/>
      <c r="D803" s="52"/>
      <c r="E803" s="52"/>
      <c r="F803" s="52"/>
      <c r="G803" s="52"/>
      <c r="H803" s="52"/>
    </row>
    <row r="804" spans="1:8" ht="15.75">
      <c r="A804" s="50">
        <v>40568</v>
      </c>
      <c r="B804" s="102">
        <v>973.94</v>
      </c>
      <c r="C804" s="52"/>
      <c r="D804" s="52"/>
      <c r="E804" s="52"/>
      <c r="F804" s="52"/>
      <c r="G804" s="52"/>
      <c r="H804" s="52"/>
    </row>
    <row r="805" spans="1:8" ht="15.75">
      <c r="A805" s="50">
        <v>40569</v>
      </c>
      <c r="B805" s="102">
        <v>982.33</v>
      </c>
      <c r="C805" s="52"/>
      <c r="D805" s="52"/>
      <c r="E805" s="52"/>
      <c r="F805" s="52"/>
      <c r="G805" s="52"/>
      <c r="H805" s="52"/>
    </row>
    <row r="806" spans="1:8" ht="15.75">
      <c r="A806" s="50">
        <v>40570</v>
      </c>
      <c r="B806" s="102">
        <v>957.32</v>
      </c>
      <c r="C806" s="52"/>
      <c r="D806" s="52"/>
      <c r="E806" s="52"/>
      <c r="F806" s="52"/>
      <c r="G806" s="52"/>
      <c r="H806" s="52"/>
    </row>
    <row r="807" spans="1:8" ht="15.75">
      <c r="A807" s="50">
        <v>40571</v>
      </c>
      <c r="B807" s="102">
        <v>983.36</v>
      </c>
      <c r="C807" s="52"/>
      <c r="D807" s="52"/>
      <c r="E807" s="52"/>
      <c r="F807" s="52"/>
      <c r="G807" s="52"/>
      <c r="H807" s="52"/>
    </row>
    <row r="808" spans="1:8" ht="15.75">
      <c r="A808" s="50">
        <v>40574</v>
      </c>
      <c r="B808" s="102">
        <v>973.19</v>
      </c>
      <c r="C808" s="52"/>
      <c r="D808" s="52"/>
      <c r="E808" s="52"/>
      <c r="F808" s="52"/>
      <c r="G808" s="52"/>
      <c r="H808" s="52"/>
    </row>
    <row r="809" spans="1:8" ht="15.75">
      <c r="A809" s="50">
        <v>40575</v>
      </c>
      <c r="B809" s="102">
        <v>971.18</v>
      </c>
      <c r="C809" s="52"/>
      <c r="D809" s="52"/>
      <c r="E809" s="52"/>
      <c r="F809" s="52"/>
      <c r="G809" s="52"/>
      <c r="H809" s="52"/>
    </row>
    <row r="810" spans="1:8" ht="15.75">
      <c r="A810" s="50">
        <v>40576</v>
      </c>
      <c r="B810" s="102">
        <v>967.15</v>
      </c>
      <c r="C810" s="52"/>
      <c r="D810" s="52"/>
      <c r="E810" s="52"/>
      <c r="F810" s="52"/>
      <c r="G810" s="52"/>
      <c r="H810" s="52"/>
    </row>
    <row r="811" spans="1:8" ht="15.75">
      <c r="A811" s="50">
        <v>40577</v>
      </c>
      <c r="B811" s="102">
        <v>994.57</v>
      </c>
      <c r="C811" s="52"/>
      <c r="D811" s="52"/>
      <c r="E811" s="52"/>
      <c r="F811" s="52"/>
      <c r="G811" s="52"/>
      <c r="H811" s="52"/>
    </row>
    <row r="812" spans="1:8" ht="15.75">
      <c r="A812" s="50">
        <v>40578</v>
      </c>
      <c r="B812" s="102">
        <v>993.3</v>
      </c>
      <c r="C812" s="52"/>
      <c r="D812" s="52"/>
      <c r="E812" s="52"/>
      <c r="F812" s="52"/>
      <c r="G812" s="52"/>
      <c r="H812" s="52"/>
    </row>
    <row r="813" spans="1:8" ht="15.75">
      <c r="A813" s="50">
        <v>40581</v>
      </c>
      <c r="B813" s="102">
        <v>995.95</v>
      </c>
      <c r="C813" s="52"/>
      <c r="D813" s="52"/>
      <c r="E813" s="52"/>
      <c r="F813" s="52"/>
      <c r="G813" s="52"/>
      <c r="H813" s="52"/>
    </row>
    <row r="814" spans="1:8" ht="15.75">
      <c r="A814" s="50">
        <v>40582</v>
      </c>
      <c r="B814" s="51">
        <v>1000.99</v>
      </c>
      <c r="C814" s="52"/>
      <c r="D814" s="52"/>
      <c r="E814" s="52"/>
      <c r="F814" s="52"/>
      <c r="G814" s="52"/>
      <c r="H814" s="52"/>
    </row>
    <row r="815" spans="1:8" ht="15.75">
      <c r="A815" s="50">
        <v>40583</v>
      </c>
      <c r="B815" s="102">
        <v>993.59</v>
      </c>
      <c r="C815" s="52"/>
      <c r="D815" s="52"/>
      <c r="E815" s="52"/>
      <c r="F815" s="52"/>
      <c r="G815" s="52"/>
      <c r="H815" s="52"/>
    </row>
    <row r="816" spans="1:8" ht="15.75">
      <c r="A816" s="50">
        <v>40584</v>
      </c>
      <c r="B816" s="51">
        <v>1003.16</v>
      </c>
      <c r="C816" s="52"/>
      <c r="D816" s="52"/>
      <c r="E816" s="52"/>
      <c r="F816" s="52"/>
      <c r="G816" s="52"/>
      <c r="H816" s="52"/>
    </row>
    <row r="817" spans="1:8" ht="15.75">
      <c r="A817" s="50">
        <v>40585</v>
      </c>
      <c r="B817" s="51">
        <v>1000.85</v>
      </c>
      <c r="C817" s="52"/>
      <c r="D817" s="52"/>
      <c r="E817" s="52"/>
      <c r="F817" s="52"/>
      <c r="G817" s="52"/>
      <c r="H817" s="52"/>
    </row>
    <row r="818" spans="1:8" ht="15.75">
      <c r="A818" s="50">
        <v>40588</v>
      </c>
      <c r="B818" s="51">
        <v>1008.71</v>
      </c>
      <c r="C818" s="52"/>
      <c r="D818" s="52"/>
      <c r="E818" s="52"/>
      <c r="F818" s="52"/>
      <c r="G818" s="52"/>
      <c r="H818" s="52"/>
    </row>
    <row r="819" spans="1:8" ht="15.75">
      <c r="A819" s="50">
        <v>40589</v>
      </c>
      <c r="B819" s="51">
        <v>1019.31</v>
      </c>
      <c r="C819" s="52"/>
      <c r="D819" s="52"/>
      <c r="E819" s="52"/>
      <c r="F819" s="52"/>
      <c r="G819" s="52"/>
      <c r="H819" s="52"/>
    </row>
    <row r="820" spans="1:8" ht="15.75">
      <c r="A820" s="50">
        <v>40590</v>
      </c>
      <c r="B820" s="51">
        <v>1014.56</v>
      </c>
      <c r="C820" s="52"/>
      <c r="D820" s="52"/>
      <c r="E820" s="52"/>
      <c r="F820" s="52"/>
      <c r="G820" s="52"/>
      <c r="H820" s="52"/>
    </row>
    <row r="821" spans="1:8" ht="15.75">
      <c r="A821" s="50">
        <v>40591</v>
      </c>
      <c r="B821" s="51">
        <v>1017.97</v>
      </c>
      <c r="C821" s="52"/>
      <c r="D821" s="52"/>
      <c r="E821" s="52"/>
      <c r="F821" s="52"/>
      <c r="G821" s="52"/>
      <c r="H821" s="52"/>
    </row>
    <row r="822" spans="1:8" ht="15.75">
      <c r="A822" s="50">
        <v>40592</v>
      </c>
      <c r="B822" s="51">
        <v>1014.16</v>
      </c>
      <c r="C822" s="52"/>
      <c r="D822" s="52"/>
      <c r="E822" s="52"/>
      <c r="F822" s="52"/>
      <c r="G822" s="52"/>
      <c r="H822" s="52"/>
    </row>
    <row r="823" spans="1:8" ht="15.75">
      <c r="A823" s="50">
        <v>40595</v>
      </c>
      <c r="B823" s="51">
        <v>1028.55</v>
      </c>
      <c r="C823" s="52"/>
      <c r="D823" s="52"/>
      <c r="E823" s="52"/>
      <c r="F823" s="52"/>
      <c r="G823" s="52"/>
      <c r="H823" s="52"/>
    </row>
    <row r="824" spans="1:8" ht="15.75">
      <c r="A824" s="50">
        <v>40596</v>
      </c>
      <c r="B824" s="51">
        <v>1024.5</v>
      </c>
      <c r="C824" s="52"/>
      <c r="D824" s="52"/>
      <c r="E824" s="52"/>
      <c r="F824" s="52"/>
      <c r="G824" s="52"/>
      <c r="H824" s="52"/>
    </row>
    <row r="825" spans="1:8" ht="15.75">
      <c r="A825" s="50">
        <v>40597</v>
      </c>
      <c r="B825" s="51">
        <v>1025.1300000000001</v>
      </c>
      <c r="C825" s="52"/>
      <c r="D825" s="52"/>
      <c r="E825" s="52"/>
      <c r="F825" s="52"/>
      <c r="G825" s="52"/>
      <c r="H825" s="52"/>
    </row>
    <row r="826" spans="1:8" ht="15.75">
      <c r="A826" s="50">
        <v>40598</v>
      </c>
      <c r="B826" s="51">
        <v>1015.83</v>
      </c>
      <c r="C826" s="52"/>
      <c r="D826" s="52"/>
      <c r="E826" s="52"/>
      <c r="F826" s="52"/>
      <c r="G826" s="52"/>
      <c r="H826" s="52"/>
    </row>
    <row r="827" spans="1:8" ht="15.75">
      <c r="A827" s="50">
        <v>40599</v>
      </c>
      <c r="B827" s="51">
        <v>1025.31</v>
      </c>
      <c r="C827" s="52"/>
      <c r="D827" s="52"/>
      <c r="E827" s="52"/>
      <c r="F827" s="52"/>
      <c r="G827" s="52"/>
      <c r="H827" s="52"/>
    </row>
    <row r="828" spans="1:8" ht="15.75">
      <c r="A828" s="50">
        <v>40602</v>
      </c>
      <c r="B828" s="51">
        <v>1022.56</v>
      </c>
      <c r="C828" s="52"/>
      <c r="D828" s="52"/>
      <c r="E828" s="52"/>
      <c r="F828" s="52"/>
      <c r="G828" s="52"/>
      <c r="H828" s="52"/>
    </row>
    <row r="829" spans="1:8" ht="15.75">
      <c r="A829" s="50">
        <v>40603</v>
      </c>
      <c r="B829" s="51">
        <v>1040.47</v>
      </c>
      <c r="C829" s="52"/>
      <c r="D829" s="52"/>
      <c r="E829" s="52"/>
      <c r="F829" s="52"/>
      <c r="G829" s="52"/>
      <c r="H829" s="52"/>
    </row>
    <row r="830" spans="1:8" ht="15.75">
      <c r="A830" s="50">
        <v>40604</v>
      </c>
      <c r="B830" s="51">
        <v>1035.56</v>
      </c>
      <c r="C830" s="52"/>
      <c r="D830" s="52"/>
      <c r="E830" s="52"/>
      <c r="F830" s="52"/>
      <c r="G830" s="52"/>
      <c r="H830" s="52"/>
    </row>
    <row r="831" spans="1:8" ht="15.75">
      <c r="A831" s="50">
        <v>40605</v>
      </c>
      <c r="B831" s="51">
        <v>1013.79</v>
      </c>
      <c r="C831" s="52"/>
      <c r="D831" s="52"/>
      <c r="E831" s="52"/>
      <c r="F831" s="52"/>
      <c r="G831" s="52"/>
      <c r="H831" s="52"/>
    </row>
    <row r="832" spans="1:8" ht="15.75">
      <c r="A832" s="50">
        <v>40606</v>
      </c>
      <c r="B832" s="51">
        <v>1024.45</v>
      </c>
      <c r="C832" s="52"/>
      <c r="D832" s="52"/>
      <c r="E832" s="52"/>
      <c r="F832" s="52"/>
      <c r="G832" s="52"/>
      <c r="H832" s="52"/>
    </row>
    <row r="833" spans="1:8" ht="15.75">
      <c r="A833" s="50">
        <v>40609</v>
      </c>
      <c r="B833" s="51">
        <v>1024.45</v>
      </c>
      <c r="C833" s="52"/>
      <c r="D833" s="52"/>
      <c r="E833" s="52"/>
      <c r="F833" s="52"/>
      <c r="G833" s="52"/>
      <c r="H833" s="52"/>
    </row>
    <row r="834" spans="1:8" ht="15.75">
      <c r="A834" s="50">
        <v>40610</v>
      </c>
      <c r="B834" s="51">
        <v>1028.05</v>
      </c>
      <c r="C834" s="52"/>
      <c r="D834" s="52"/>
      <c r="E834" s="52"/>
      <c r="F834" s="52"/>
      <c r="G834" s="52"/>
      <c r="H834" s="52"/>
    </row>
    <row r="835" spans="1:8" ht="15.75">
      <c r="A835" s="50">
        <v>40611</v>
      </c>
      <c r="B835" s="51">
        <v>1029.52</v>
      </c>
      <c r="C835" s="52"/>
      <c r="D835" s="52"/>
      <c r="E835" s="52"/>
      <c r="F835" s="52"/>
      <c r="G835" s="52"/>
      <c r="H835" s="52"/>
    </row>
    <row r="836" spans="1:8" ht="15.75">
      <c r="A836" s="50">
        <v>40612</v>
      </c>
      <c r="B836" s="51">
        <v>1022.03</v>
      </c>
      <c r="C836" s="52"/>
      <c r="D836" s="52"/>
      <c r="E836" s="52"/>
      <c r="F836" s="52"/>
      <c r="G836" s="52"/>
      <c r="H836" s="52"/>
    </row>
    <row r="837" spans="1:8" ht="15.75">
      <c r="A837" s="50">
        <v>40613</v>
      </c>
      <c r="B837" s="51">
        <v>1021.15</v>
      </c>
      <c r="C837" s="52"/>
      <c r="D837" s="52"/>
      <c r="E837" s="52"/>
      <c r="F837" s="52"/>
      <c r="G837" s="52"/>
      <c r="H837" s="52"/>
    </row>
    <row r="838" spans="1:8" ht="15.75">
      <c r="A838" s="50">
        <v>40616</v>
      </c>
      <c r="B838" s="51">
        <v>1019.29</v>
      </c>
      <c r="C838" s="52"/>
      <c r="D838" s="52"/>
      <c r="E838" s="52"/>
      <c r="F838" s="52"/>
      <c r="G838" s="52"/>
      <c r="H838" s="52"/>
    </row>
    <row r="839" spans="1:8" ht="15.75">
      <c r="A839" s="50">
        <v>40617</v>
      </c>
      <c r="B839" s="102">
        <v>997.85</v>
      </c>
      <c r="C839" s="52"/>
      <c r="D839" s="52"/>
      <c r="E839" s="52"/>
      <c r="F839" s="52"/>
      <c r="G839" s="52"/>
      <c r="H839" s="52"/>
    </row>
    <row r="840" spans="1:8" ht="15.75">
      <c r="A840" s="50">
        <v>40618</v>
      </c>
      <c r="B840" s="51">
        <v>1000.32</v>
      </c>
      <c r="C840" s="52"/>
      <c r="D840" s="52"/>
      <c r="E840" s="52"/>
      <c r="F840" s="52"/>
      <c r="G840" s="52"/>
      <c r="H840" s="52"/>
    </row>
    <row r="841" spans="1:8" ht="15.75">
      <c r="A841" s="50">
        <v>40619</v>
      </c>
      <c r="B841" s="51">
        <v>1003.21</v>
      </c>
      <c r="C841" s="52"/>
      <c r="D841" s="52"/>
      <c r="E841" s="52"/>
      <c r="F841" s="52"/>
      <c r="G841" s="52"/>
      <c r="H841" s="52"/>
    </row>
    <row r="842" spans="1:8" ht="15.75">
      <c r="A842" s="50">
        <v>40620</v>
      </c>
      <c r="B842" s="51">
        <v>1001.94</v>
      </c>
      <c r="C842" s="52"/>
      <c r="D842" s="52"/>
      <c r="E842" s="52"/>
      <c r="F842" s="52"/>
      <c r="G842" s="52"/>
      <c r="H842" s="52"/>
    </row>
    <row r="843" spans="1:8" ht="15.75">
      <c r="A843" s="50">
        <v>40623</v>
      </c>
      <c r="B843" s="51">
        <v>1003.59</v>
      </c>
      <c r="C843" s="52"/>
      <c r="D843" s="52"/>
      <c r="E843" s="52"/>
      <c r="F843" s="52"/>
      <c r="G843" s="52"/>
      <c r="H843" s="52"/>
    </row>
    <row r="844" spans="1:8" ht="15.75">
      <c r="A844" s="50">
        <v>40624</v>
      </c>
      <c r="B844" s="51">
        <v>1006.84</v>
      </c>
      <c r="C844" s="52"/>
      <c r="D844" s="52"/>
      <c r="E844" s="52"/>
      <c r="F844" s="52"/>
      <c r="G844" s="52"/>
      <c r="H844" s="52"/>
    </row>
    <row r="845" spans="1:8" ht="15.75">
      <c r="A845" s="50">
        <v>40625</v>
      </c>
      <c r="B845" s="51">
        <v>1019.96</v>
      </c>
      <c r="C845" s="52"/>
      <c r="D845" s="52"/>
      <c r="E845" s="52"/>
      <c r="F845" s="52"/>
      <c r="G845" s="52"/>
      <c r="H845" s="52"/>
    </row>
    <row r="846" spans="1:8" ht="15.75">
      <c r="A846" s="50">
        <v>40626</v>
      </c>
      <c r="B846" s="51">
        <v>1009.87</v>
      </c>
      <c r="C846" s="52"/>
      <c r="D846" s="52"/>
      <c r="E846" s="52"/>
      <c r="F846" s="52"/>
      <c r="G846" s="52"/>
      <c r="H846" s="52"/>
    </row>
    <row r="847" spans="1:8" ht="15.75">
      <c r="A847" s="50">
        <v>40627</v>
      </c>
      <c r="B847" s="51">
        <v>1015.74</v>
      </c>
      <c r="C847" s="52"/>
      <c r="D847" s="52"/>
      <c r="E847" s="52"/>
      <c r="F847" s="52"/>
      <c r="G847" s="52"/>
      <c r="H847" s="52"/>
    </row>
    <row r="848" spans="1:8" ht="15.75">
      <c r="A848" s="50">
        <v>40630</v>
      </c>
      <c r="B848" s="51">
        <v>1008.84</v>
      </c>
      <c r="C848" s="52"/>
      <c r="D848" s="52"/>
      <c r="E848" s="52"/>
      <c r="F848" s="52"/>
      <c r="G848" s="52"/>
      <c r="H848" s="52"/>
    </row>
    <row r="849" spans="1:8" ht="15.75">
      <c r="A849" s="50">
        <v>40631</v>
      </c>
      <c r="B849" s="51">
        <v>1005.53</v>
      </c>
      <c r="C849" s="52"/>
      <c r="D849" s="52"/>
      <c r="E849" s="52"/>
      <c r="F849" s="52"/>
      <c r="G849" s="52"/>
      <c r="H849" s="52"/>
    </row>
    <row r="850" spans="1:8" ht="15.75">
      <c r="A850" s="50">
        <v>40632</v>
      </c>
      <c r="B850" s="51">
        <v>1008.67</v>
      </c>
      <c r="C850" s="52"/>
      <c r="D850" s="52"/>
      <c r="E850" s="52"/>
      <c r="F850" s="52"/>
      <c r="G850" s="52"/>
      <c r="H850" s="52"/>
    </row>
    <row r="851" spans="1:8" ht="15.75">
      <c r="A851" s="50">
        <v>40633</v>
      </c>
      <c r="B851" s="51">
        <v>1010.23</v>
      </c>
      <c r="C851" s="52"/>
      <c r="D851" s="52"/>
      <c r="E851" s="52"/>
      <c r="F851" s="52"/>
      <c r="G851" s="52"/>
      <c r="H851" s="52"/>
    </row>
    <row r="852" spans="1:8" ht="15.75">
      <c r="A852" s="50">
        <v>40634</v>
      </c>
      <c r="B852" s="51">
        <v>1003.27</v>
      </c>
      <c r="C852" s="52"/>
      <c r="D852" s="52"/>
      <c r="E852" s="52"/>
      <c r="F852" s="52"/>
      <c r="G852" s="52"/>
      <c r="H852" s="52"/>
    </row>
    <row r="853" spans="1:8" ht="15.75">
      <c r="A853" s="50">
        <v>40637</v>
      </c>
      <c r="B853" s="51">
        <v>1009.04</v>
      </c>
      <c r="C853" s="52"/>
      <c r="D853" s="52"/>
      <c r="E853" s="52"/>
      <c r="F853" s="52"/>
      <c r="G853" s="52"/>
      <c r="H853" s="52"/>
    </row>
    <row r="854" spans="1:8" ht="15.75">
      <c r="A854" s="50">
        <v>40638</v>
      </c>
      <c r="B854" s="51">
        <v>1024.3</v>
      </c>
      <c r="C854" s="52"/>
      <c r="D854" s="52"/>
      <c r="E854" s="52"/>
      <c r="F854" s="52"/>
      <c r="G854" s="52"/>
      <c r="H854" s="52"/>
    </row>
    <row r="855" spans="1:8" ht="15.75">
      <c r="A855" s="50">
        <v>40639</v>
      </c>
      <c r="B855" s="51">
        <v>1019.26</v>
      </c>
      <c r="C855" s="52"/>
      <c r="D855" s="52"/>
      <c r="E855" s="52"/>
      <c r="F855" s="52"/>
      <c r="G855" s="52"/>
      <c r="H855" s="52"/>
    </row>
    <row r="856" spans="1:8" ht="15.75">
      <c r="A856" s="50">
        <v>40640</v>
      </c>
      <c r="B856" s="51">
        <v>1020.17</v>
      </c>
      <c r="C856" s="52"/>
      <c r="D856" s="52"/>
      <c r="E856" s="52"/>
      <c r="F856" s="52"/>
      <c r="G856" s="52"/>
      <c r="H856" s="52"/>
    </row>
    <row r="857" spans="1:8" ht="15.75">
      <c r="A857" s="50">
        <v>40641</v>
      </c>
      <c r="B857" s="51">
        <v>1018.5</v>
      </c>
      <c r="C857" s="52"/>
      <c r="D857" s="52"/>
      <c r="E857" s="52"/>
      <c r="F857" s="52"/>
      <c r="G857" s="52"/>
      <c r="H857" s="52"/>
    </row>
    <row r="858" spans="1:8" ht="15.75">
      <c r="A858" s="50">
        <v>40644</v>
      </c>
      <c r="B858" s="51">
        <v>1014</v>
      </c>
      <c r="C858" s="52"/>
      <c r="D858" s="52"/>
      <c r="E858" s="52"/>
      <c r="F858" s="52"/>
      <c r="G858" s="52"/>
      <c r="H858" s="52"/>
    </row>
    <row r="859" spans="1:8" ht="15.75">
      <c r="A859" s="50">
        <v>40645</v>
      </c>
      <c r="B859" s="51">
        <v>1004.45</v>
      </c>
      <c r="C859" s="52"/>
      <c r="D859" s="52"/>
      <c r="E859" s="52"/>
      <c r="F859" s="52"/>
      <c r="G859" s="52"/>
      <c r="H859" s="52"/>
    </row>
    <row r="860" spans="1:8" ht="15.75">
      <c r="A860" s="50">
        <v>40646</v>
      </c>
      <c r="B860" s="51">
        <v>1009.49</v>
      </c>
      <c r="C860" s="52"/>
      <c r="D860" s="52"/>
      <c r="E860" s="52"/>
      <c r="F860" s="52"/>
      <c r="G860" s="52"/>
      <c r="H860" s="52"/>
    </row>
    <row r="861" spans="1:8" ht="15.75">
      <c r="A861" s="50">
        <v>40647</v>
      </c>
      <c r="B861" s="51">
        <v>1018.09</v>
      </c>
      <c r="C861" s="52"/>
      <c r="D861" s="52"/>
      <c r="E861" s="52"/>
      <c r="F861" s="52"/>
      <c r="G861" s="52"/>
      <c r="H861" s="52"/>
    </row>
    <row r="862" spans="1:8" ht="15.75">
      <c r="A862" s="50">
        <v>40648</v>
      </c>
      <c r="B862" s="51">
        <v>1030.3599999999999</v>
      </c>
      <c r="C862" s="52"/>
      <c r="D862" s="52"/>
      <c r="E862" s="52"/>
      <c r="F862" s="52"/>
      <c r="G862" s="52"/>
      <c r="H862" s="52"/>
    </row>
    <row r="863" spans="1:8" ht="15.75">
      <c r="A863" s="50">
        <v>40651</v>
      </c>
      <c r="B863" s="51">
        <v>1051.3800000000001</v>
      </c>
      <c r="C863" s="52"/>
      <c r="D863" s="52"/>
      <c r="E863" s="52"/>
      <c r="F863" s="52"/>
      <c r="G863" s="52"/>
      <c r="H863" s="52"/>
    </row>
    <row r="864" spans="1:8" ht="15.75">
      <c r="A864" s="50">
        <v>40652</v>
      </c>
      <c r="B864" s="51">
        <v>1043.1199999999999</v>
      </c>
      <c r="C864" s="52"/>
      <c r="D864" s="52"/>
      <c r="E864" s="52"/>
      <c r="F864" s="52"/>
      <c r="G864" s="52"/>
      <c r="H864" s="52"/>
    </row>
    <row r="865" spans="1:8" ht="15.75">
      <c r="A865" s="50">
        <v>40653</v>
      </c>
      <c r="B865" s="51">
        <v>1034.53</v>
      </c>
      <c r="C865" s="52"/>
      <c r="D865" s="52"/>
      <c r="E865" s="52"/>
      <c r="F865" s="52"/>
      <c r="G865" s="52"/>
      <c r="H865" s="52"/>
    </row>
    <row r="866" spans="1:8" ht="15.75">
      <c r="A866" s="50">
        <v>40654</v>
      </c>
      <c r="B866" s="51">
        <v>1033.78</v>
      </c>
      <c r="C866" s="52"/>
      <c r="D866" s="52"/>
      <c r="E866" s="52"/>
      <c r="F866" s="52"/>
      <c r="G866" s="52"/>
      <c r="H866" s="52"/>
    </row>
    <row r="867" spans="1:8" ht="15.75">
      <c r="A867" s="50">
        <v>40655</v>
      </c>
      <c r="B867" s="51">
        <v>1036.49</v>
      </c>
      <c r="C867" s="52"/>
      <c r="D867" s="52"/>
      <c r="E867" s="52"/>
      <c r="F867" s="52"/>
      <c r="G867" s="52"/>
      <c r="H867" s="52"/>
    </row>
    <row r="868" spans="1:8" ht="15.75">
      <c r="A868" s="50">
        <v>40658</v>
      </c>
      <c r="B868" s="51">
        <v>1033.8499999999999</v>
      </c>
      <c r="C868" s="52"/>
      <c r="D868" s="52"/>
      <c r="E868" s="52"/>
      <c r="F868" s="52"/>
      <c r="G868" s="52"/>
      <c r="H868" s="52"/>
    </row>
    <row r="869" spans="1:8" ht="15.75">
      <c r="A869" s="50">
        <v>40659</v>
      </c>
      <c r="B869" s="51">
        <v>1028.8399999999999</v>
      </c>
      <c r="C869" s="52"/>
      <c r="D869" s="52"/>
      <c r="E869" s="52"/>
      <c r="F869" s="52"/>
      <c r="G869" s="52"/>
      <c r="H869" s="52"/>
    </row>
    <row r="870" spans="1:8" ht="15.75">
      <c r="A870" s="50">
        <v>40660</v>
      </c>
      <c r="B870" s="51">
        <v>1033.74</v>
      </c>
      <c r="C870" s="52"/>
      <c r="D870" s="52"/>
      <c r="E870" s="52"/>
      <c r="F870" s="52"/>
      <c r="G870" s="52"/>
      <c r="H870" s="52"/>
    </row>
    <row r="871" spans="1:8" ht="15.75">
      <c r="A871" s="50">
        <v>40661</v>
      </c>
      <c r="B871" s="51">
        <v>1035.92</v>
      </c>
      <c r="C871" s="52"/>
      <c r="D871" s="52"/>
      <c r="E871" s="52"/>
      <c r="F871" s="52"/>
      <c r="G871" s="52"/>
      <c r="H871" s="52"/>
    </row>
    <row r="872" spans="1:8" ht="15.75">
      <c r="A872" s="50">
        <v>40662</v>
      </c>
      <c r="B872" s="51">
        <v>1057.48</v>
      </c>
      <c r="C872" s="52"/>
      <c r="D872" s="52"/>
      <c r="E872" s="52"/>
      <c r="F872" s="52"/>
      <c r="G872" s="52"/>
      <c r="H872" s="52"/>
    </row>
    <row r="873" spans="1:8" ht="15.75">
      <c r="A873" s="50">
        <v>40665</v>
      </c>
      <c r="B873" s="51">
        <v>1042.33</v>
      </c>
      <c r="C873" s="52"/>
      <c r="D873" s="52"/>
      <c r="E873" s="52"/>
      <c r="F873" s="52"/>
      <c r="G873" s="52"/>
      <c r="H873" s="52"/>
    </row>
    <row r="874" spans="1:8" ht="15.75">
      <c r="A874" s="50">
        <v>40666</v>
      </c>
      <c r="B874" s="51">
        <v>1036.94</v>
      </c>
      <c r="C874" s="52"/>
      <c r="D874" s="52"/>
      <c r="E874" s="52"/>
      <c r="F874" s="52"/>
      <c r="G874" s="52"/>
      <c r="H874" s="52"/>
    </row>
    <row r="875" spans="1:8" ht="15.75">
      <c r="A875" s="50">
        <v>40667</v>
      </c>
      <c r="B875" s="51">
        <v>1023.26</v>
      </c>
      <c r="C875" s="52"/>
      <c r="D875" s="52"/>
      <c r="E875" s="52"/>
      <c r="F875" s="52"/>
      <c r="G875" s="52"/>
      <c r="H875" s="52"/>
    </row>
    <row r="876" spans="1:8" ht="15.75">
      <c r="A876" s="50">
        <v>40668</v>
      </c>
      <c r="B876" s="51">
        <v>1013.41</v>
      </c>
      <c r="C876" s="52"/>
      <c r="D876" s="52"/>
      <c r="E876" s="52"/>
      <c r="F876" s="52"/>
      <c r="G876" s="52"/>
      <c r="H876" s="52"/>
    </row>
    <row r="877" spans="1:8" ht="15.75">
      <c r="A877" s="50">
        <v>40669</v>
      </c>
      <c r="B877" s="51">
        <v>1044.8499999999999</v>
      </c>
      <c r="C877" s="52"/>
      <c r="D877" s="52"/>
      <c r="E877" s="52"/>
      <c r="F877" s="52"/>
      <c r="G877" s="52"/>
      <c r="H877" s="52"/>
    </row>
    <row r="878" spans="1:8" ht="15.75">
      <c r="A878" s="50">
        <v>40672</v>
      </c>
      <c r="B878" s="51">
        <v>1054.8499999999999</v>
      </c>
      <c r="C878" s="52"/>
      <c r="D878" s="52"/>
      <c r="E878" s="52"/>
      <c r="F878" s="52"/>
      <c r="G878" s="52"/>
      <c r="H878" s="52"/>
    </row>
    <row r="879" spans="1:8" ht="15.75">
      <c r="A879" s="50">
        <v>40673</v>
      </c>
      <c r="B879" s="51">
        <v>1051.1099999999999</v>
      </c>
      <c r="C879" s="52"/>
      <c r="D879" s="52"/>
      <c r="E879" s="52"/>
      <c r="F879" s="52"/>
      <c r="G879" s="52"/>
      <c r="H879" s="52"/>
    </row>
    <row r="880" spans="1:8" ht="15.75">
      <c r="A880" s="50">
        <v>40674</v>
      </c>
      <c r="B880" s="51">
        <v>1056.9100000000001</v>
      </c>
      <c r="C880" s="52"/>
      <c r="D880" s="52"/>
      <c r="E880" s="52"/>
      <c r="F880" s="52"/>
      <c r="G880" s="52"/>
      <c r="H880" s="52"/>
    </row>
    <row r="881" spans="1:8" ht="15.75">
      <c r="A881" s="50">
        <v>40675</v>
      </c>
      <c r="B881" s="51">
        <v>1058.07</v>
      </c>
      <c r="C881" s="52"/>
      <c r="D881" s="52"/>
      <c r="E881" s="52"/>
      <c r="F881" s="52"/>
      <c r="G881" s="52"/>
      <c r="H881" s="52"/>
    </row>
    <row r="882" spans="1:8" ht="15.75">
      <c r="A882" s="50">
        <v>40676</v>
      </c>
      <c r="B882" s="51">
        <v>1058.98</v>
      </c>
      <c r="C882" s="52"/>
      <c r="D882" s="52"/>
      <c r="E882" s="52"/>
      <c r="F882" s="52"/>
      <c r="G882" s="52"/>
      <c r="H882" s="52"/>
    </row>
    <row r="883" spans="1:8" ht="15.75">
      <c r="A883" s="50">
        <v>40679</v>
      </c>
      <c r="B883" s="51">
        <v>1052.22</v>
      </c>
      <c r="C883" s="52"/>
      <c r="D883" s="52"/>
      <c r="E883" s="52"/>
      <c r="F883" s="52"/>
      <c r="G883" s="52"/>
      <c r="H883" s="52"/>
    </row>
    <row r="884" spans="1:8" ht="15.75">
      <c r="A884" s="50">
        <v>40680</v>
      </c>
      <c r="B884" s="51">
        <v>1044.75</v>
      </c>
      <c r="C884" s="52"/>
      <c r="D884" s="52"/>
      <c r="E884" s="52"/>
      <c r="F884" s="52"/>
      <c r="G884" s="52"/>
      <c r="H884" s="52"/>
    </row>
    <row r="885" spans="1:8" ht="15.75">
      <c r="A885" s="50">
        <v>40681</v>
      </c>
      <c r="B885" s="51">
        <v>1050.45</v>
      </c>
      <c r="C885" s="52"/>
      <c r="D885" s="52"/>
      <c r="E885" s="52"/>
      <c r="F885" s="52"/>
      <c r="G885" s="52"/>
      <c r="H885" s="52"/>
    </row>
    <row r="886" spans="1:8" ht="15.75">
      <c r="A886" s="50">
        <v>40682</v>
      </c>
      <c r="B886" s="51">
        <v>1043.82</v>
      </c>
      <c r="C886" s="52"/>
      <c r="D886" s="52"/>
      <c r="E886" s="52"/>
      <c r="F886" s="52"/>
      <c r="G886" s="52"/>
      <c r="H886" s="52"/>
    </row>
    <row r="887" spans="1:8" ht="15.75">
      <c r="A887" s="50">
        <v>40683</v>
      </c>
      <c r="B887" s="51">
        <v>1069.04</v>
      </c>
      <c r="C887" s="52"/>
      <c r="D887" s="52"/>
      <c r="E887" s="52"/>
      <c r="F887" s="52"/>
      <c r="G887" s="52"/>
      <c r="H887" s="52"/>
    </row>
    <row r="888" spans="1:8" ht="15.75">
      <c r="A888" s="50">
        <v>40686</v>
      </c>
      <c r="B888" s="51">
        <v>1080.6199999999999</v>
      </c>
      <c r="C888" s="52"/>
      <c r="D888" s="52"/>
      <c r="E888" s="52"/>
      <c r="F888" s="52"/>
      <c r="G888" s="52"/>
      <c r="H888" s="52"/>
    </row>
    <row r="889" spans="1:8" ht="15.75">
      <c r="A889" s="50">
        <v>40687</v>
      </c>
      <c r="B889" s="51">
        <v>1082.32</v>
      </c>
      <c r="C889" s="52"/>
      <c r="D889" s="52"/>
      <c r="E889" s="52"/>
      <c r="F889" s="52"/>
      <c r="G889" s="52"/>
      <c r="H889" s="52"/>
    </row>
    <row r="890" spans="1:8" ht="15.75">
      <c r="A890" s="50">
        <v>40688</v>
      </c>
      <c r="B890" s="51">
        <v>1082.94</v>
      </c>
      <c r="C890" s="52"/>
      <c r="D890" s="52"/>
      <c r="E890" s="52"/>
      <c r="F890" s="52"/>
      <c r="G890" s="52"/>
      <c r="H890" s="52"/>
    </row>
    <row r="891" spans="1:8" ht="15.75">
      <c r="A891" s="50">
        <v>40689</v>
      </c>
      <c r="B891" s="51">
        <v>1074.67</v>
      </c>
      <c r="C891" s="52"/>
      <c r="D891" s="52"/>
      <c r="E891" s="52"/>
      <c r="F891" s="52"/>
      <c r="G891" s="52"/>
      <c r="H891" s="52"/>
    </row>
    <row r="892" spans="1:8" ht="15.75">
      <c r="A892" s="50">
        <v>40690</v>
      </c>
      <c r="B892" s="51">
        <v>1073</v>
      </c>
      <c r="C892" s="52"/>
      <c r="D892" s="52"/>
      <c r="E892" s="52"/>
      <c r="F892" s="52"/>
      <c r="G892" s="52"/>
      <c r="H892" s="52"/>
    </row>
    <row r="893" spans="1:8" ht="15.75">
      <c r="A893" s="50">
        <v>40693</v>
      </c>
      <c r="B893" s="51">
        <v>1076.99</v>
      </c>
      <c r="C893" s="52"/>
      <c r="D893" s="52"/>
      <c r="E893" s="52"/>
      <c r="F893" s="52"/>
      <c r="G893" s="52"/>
      <c r="H893" s="52"/>
    </row>
    <row r="894" spans="1:8" ht="15.75">
      <c r="A894" s="50">
        <v>40694</v>
      </c>
      <c r="B894" s="51">
        <v>1066.51</v>
      </c>
      <c r="C894" s="52"/>
      <c r="D894" s="52"/>
      <c r="E894" s="52"/>
      <c r="F894" s="52"/>
      <c r="G894" s="52"/>
      <c r="H894" s="52"/>
    </row>
    <row r="895" spans="1:8" ht="15.75">
      <c r="A895" s="50">
        <v>40695</v>
      </c>
      <c r="B895" s="51">
        <v>1075.3699999999999</v>
      </c>
      <c r="C895" s="52"/>
      <c r="D895" s="52"/>
      <c r="E895" s="52"/>
      <c r="F895" s="52"/>
      <c r="G895" s="52"/>
      <c r="H895" s="52"/>
    </row>
    <row r="896" spans="1:8" ht="15.75">
      <c r="A896" s="50">
        <v>40696</v>
      </c>
      <c r="B896" s="51">
        <v>1058.6199999999999</v>
      </c>
      <c r="C896" s="52"/>
      <c r="D896" s="52"/>
      <c r="E896" s="52"/>
      <c r="F896" s="52"/>
      <c r="G896" s="52"/>
      <c r="H896" s="52"/>
    </row>
    <row r="897" spans="1:8" ht="15.75">
      <c r="A897" s="50">
        <v>40697</v>
      </c>
      <c r="B897" s="51">
        <v>1054.05</v>
      </c>
      <c r="C897" s="52"/>
      <c r="D897" s="52"/>
      <c r="E897" s="52"/>
      <c r="F897" s="52"/>
      <c r="G897" s="52"/>
      <c r="H897" s="52"/>
    </row>
    <row r="898" spans="1:8" ht="15.75">
      <c r="A898" s="50">
        <v>40700</v>
      </c>
      <c r="B898" s="51">
        <v>1059.1300000000001</v>
      </c>
      <c r="C898" s="52"/>
      <c r="D898" s="52"/>
      <c r="E898" s="52"/>
      <c r="F898" s="52"/>
      <c r="G898" s="52"/>
      <c r="H898" s="52"/>
    </row>
    <row r="899" spans="1:8" ht="15.75">
      <c r="A899" s="50">
        <v>40701</v>
      </c>
      <c r="B899" s="51">
        <v>1051.78</v>
      </c>
      <c r="C899" s="52"/>
      <c r="D899" s="52"/>
      <c r="E899" s="52"/>
      <c r="F899" s="52"/>
      <c r="G899" s="52"/>
      <c r="H899" s="52"/>
    </row>
    <row r="900" spans="1:8" ht="15.75">
      <c r="A900" s="50">
        <v>40702</v>
      </c>
      <c r="B900" s="51">
        <v>1054.71</v>
      </c>
      <c r="C900" s="52"/>
      <c r="D900" s="52"/>
      <c r="E900" s="52"/>
      <c r="F900" s="52"/>
      <c r="G900" s="52"/>
      <c r="H900" s="52"/>
    </row>
    <row r="901" spans="1:8" ht="15.75">
      <c r="A901" s="50">
        <v>40703</v>
      </c>
      <c r="B901" s="51">
        <v>1063.43</v>
      </c>
      <c r="C901" s="52"/>
      <c r="D901" s="52"/>
      <c r="E901" s="52"/>
      <c r="F901" s="52"/>
      <c r="G901" s="52"/>
      <c r="H901" s="52"/>
    </row>
    <row r="902" spans="1:8" ht="15.75">
      <c r="A902" s="50">
        <v>40704</v>
      </c>
      <c r="B902" s="51">
        <v>1067.82</v>
      </c>
      <c r="C902" s="52"/>
      <c r="D902" s="52"/>
      <c r="E902" s="52"/>
      <c r="F902" s="52"/>
      <c r="G902" s="52"/>
      <c r="H902" s="52"/>
    </row>
    <row r="903" spans="1:8" ht="15.75">
      <c r="A903" s="50">
        <v>40707</v>
      </c>
      <c r="B903" s="51">
        <v>1051.3</v>
      </c>
      <c r="C903" s="52"/>
      <c r="D903" s="52"/>
      <c r="E903" s="52"/>
      <c r="F903" s="52"/>
      <c r="G903" s="52"/>
      <c r="H903" s="52"/>
    </row>
    <row r="904" spans="1:8" ht="15.75">
      <c r="A904" s="50">
        <v>40708</v>
      </c>
      <c r="B904" s="51">
        <v>1055.25</v>
      </c>
      <c r="C904" s="52"/>
      <c r="D904" s="52"/>
      <c r="E904" s="52"/>
      <c r="F904" s="52"/>
      <c r="G904" s="52"/>
      <c r="H904" s="52"/>
    </row>
    <row r="905" spans="1:8" ht="15.75">
      <c r="A905" s="50">
        <v>40709</v>
      </c>
      <c r="B905" s="51">
        <v>1080.7</v>
      </c>
      <c r="C905" s="52"/>
      <c r="D905" s="52"/>
      <c r="E905" s="52"/>
      <c r="F905" s="52"/>
      <c r="G905" s="52"/>
      <c r="H905" s="52"/>
    </row>
    <row r="906" spans="1:8" ht="15.75">
      <c r="A906" s="50">
        <v>40710</v>
      </c>
      <c r="B906" s="51">
        <v>1075.69</v>
      </c>
      <c r="C906" s="52"/>
      <c r="D906" s="52"/>
      <c r="E906" s="52"/>
      <c r="F906" s="52"/>
      <c r="G906" s="52"/>
      <c r="H906" s="52"/>
    </row>
    <row r="907" spans="1:8" ht="15.75">
      <c r="A907" s="50">
        <v>40711</v>
      </c>
      <c r="B907" s="51">
        <v>1075.8699999999999</v>
      </c>
      <c r="C907" s="52"/>
      <c r="D907" s="52"/>
      <c r="E907" s="52"/>
      <c r="F907" s="52"/>
      <c r="G907" s="52"/>
      <c r="H907" s="52"/>
    </row>
    <row r="908" spans="1:8" ht="15.75">
      <c r="A908" s="50">
        <v>40714</v>
      </c>
      <c r="B908" s="51">
        <v>1076.3900000000001</v>
      </c>
      <c r="C908" s="52"/>
      <c r="D908" s="52"/>
      <c r="E908" s="52"/>
      <c r="F908" s="52"/>
      <c r="G908" s="52"/>
      <c r="H908" s="52"/>
    </row>
    <row r="909" spans="1:8" ht="15.75">
      <c r="A909" s="50">
        <v>40715</v>
      </c>
      <c r="B909" s="51">
        <v>1074.52</v>
      </c>
      <c r="C909" s="52"/>
      <c r="D909" s="52"/>
      <c r="E909" s="52"/>
      <c r="F909" s="52"/>
      <c r="G909" s="52"/>
      <c r="H909" s="52"/>
    </row>
    <row r="910" spans="1:8" ht="15.75">
      <c r="A910" s="50">
        <v>40716</v>
      </c>
      <c r="B910" s="51">
        <v>1079.73</v>
      </c>
      <c r="C910" s="52"/>
      <c r="D910" s="52"/>
      <c r="E910" s="52"/>
      <c r="F910" s="52"/>
      <c r="G910" s="52"/>
      <c r="H910" s="52"/>
    </row>
    <row r="911" spans="1:8" ht="15.75">
      <c r="A911" s="50">
        <v>40717</v>
      </c>
      <c r="B911" s="51">
        <v>1066.1400000000001</v>
      </c>
      <c r="C911" s="52"/>
      <c r="D911" s="52"/>
      <c r="E911" s="52"/>
      <c r="F911" s="52"/>
      <c r="G911" s="52"/>
      <c r="H911" s="52"/>
    </row>
    <row r="912" spans="1:8" ht="15.75">
      <c r="A912" s="50">
        <v>40718</v>
      </c>
      <c r="B912" s="51">
        <v>1058.75</v>
      </c>
      <c r="C912" s="52"/>
      <c r="D912" s="52"/>
      <c r="E912" s="52"/>
      <c r="F912" s="52"/>
      <c r="G912" s="52"/>
      <c r="H912" s="52"/>
    </row>
    <row r="913" spans="1:8" ht="15.75">
      <c r="A913" s="50">
        <v>40721</v>
      </c>
      <c r="B913" s="51">
        <v>1047.81</v>
      </c>
      <c r="C913" s="52"/>
      <c r="D913" s="52"/>
      <c r="E913" s="52"/>
      <c r="F913" s="52"/>
      <c r="G913" s="52"/>
      <c r="H913" s="52"/>
    </row>
    <row r="914" spans="1:8" ht="15.75">
      <c r="A914" s="50">
        <v>40722</v>
      </c>
      <c r="B914" s="51">
        <v>1045.31</v>
      </c>
      <c r="C914" s="52"/>
      <c r="D914" s="52"/>
      <c r="E914" s="52"/>
      <c r="F914" s="52"/>
      <c r="G914" s="52"/>
      <c r="H914" s="52"/>
    </row>
    <row r="915" spans="1:8" ht="15.75">
      <c r="A915" s="50">
        <v>40723</v>
      </c>
      <c r="B915" s="51">
        <v>1047.1400000000001</v>
      </c>
      <c r="C915" s="52"/>
      <c r="D915" s="52"/>
      <c r="E915" s="52"/>
      <c r="F915" s="52"/>
      <c r="G915" s="52"/>
      <c r="H915" s="52"/>
    </row>
    <row r="916" spans="1:8" ht="15.75">
      <c r="A916" s="50">
        <v>40724</v>
      </c>
      <c r="B916" s="51">
        <v>1035.33</v>
      </c>
      <c r="C916" s="52"/>
      <c r="D916" s="52"/>
      <c r="E916" s="52"/>
      <c r="F916" s="52"/>
      <c r="G916" s="52"/>
      <c r="H916" s="52"/>
    </row>
    <row r="917" spans="1:8" ht="15.75">
      <c r="A917" s="50">
        <v>40725</v>
      </c>
      <c r="B917" s="51">
        <v>1023.48</v>
      </c>
      <c r="C917" s="52"/>
      <c r="D917" s="52"/>
      <c r="E917" s="52"/>
      <c r="F917" s="52"/>
      <c r="G917" s="52"/>
      <c r="H917" s="52"/>
    </row>
    <row r="918" spans="1:8" ht="15.75">
      <c r="A918" s="50">
        <v>40728</v>
      </c>
      <c r="B918" s="51">
        <v>1029.1600000000001</v>
      </c>
      <c r="C918" s="52"/>
      <c r="D918" s="52"/>
      <c r="E918" s="52"/>
      <c r="F918" s="52"/>
      <c r="G918" s="52"/>
      <c r="H918" s="52"/>
    </row>
    <row r="919" spans="1:8" ht="15.75">
      <c r="A919" s="50">
        <v>40729</v>
      </c>
      <c r="B919" s="51">
        <v>1051.3399999999999</v>
      </c>
      <c r="C919" s="52"/>
      <c r="D919" s="52"/>
      <c r="E919" s="52"/>
      <c r="F919" s="52"/>
      <c r="G919" s="52"/>
      <c r="H919" s="52"/>
    </row>
    <row r="920" spans="1:8" ht="15.75">
      <c r="A920" s="50">
        <v>40730</v>
      </c>
      <c r="B920" s="51">
        <v>1068.3900000000001</v>
      </c>
      <c r="C920" s="52"/>
      <c r="D920" s="52"/>
      <c r="E920" s="52"/>
      <c r="F920" s="52"/>
      <c r="G920" s="52"/>
      <c r="H920" s="52"/>
    </row>
    <row r="921" spans="1:8" ht="15.75">
      <c r="A921" s="50">
        <v>40731</v>
      </c>
      <c r="B921" s="51">
        <v>1067.31</v>
      </c>
      <c r="C921" s="52"/>
      <c r="D921" s="52"/>
      <c r="E921" s="52"/>
      <c r="F921" s="52"/>
      <c r="G921" s="52"/>
      <c r="H921" s="52"/>
    </row>
    <row r="922" spans="1:8" ht="15.75">
      <c r="A922" s="50">
        <v>40732</v>
      </c>
      <c r="B922" s="51">
        <v>1082.6199999999999</v>
      </c>
      <c r="C922" s="52"/>
      <c r="D922" s="52"/>
      <c r="E922" s="52"/>
      <c r="F922" s="52"/>
      <c r="G922" s="52"/>
      <c r="H922" s="52"/>
    </row>
    <row r="923" spans="1:8" ht="15.75">
      <c r="A923" s="50">
        <v>40735</v>
      </c>
      <c r="B923" s="51">
        <v>1106.53</v>
      </c>
      <c r="C923" s="52"/>
      <c r="D923" s="52"/>
      <c r="E923" s="52"/>
      <c r="F923" s="52"/>
      <c r="G923" s="52"/>
      <c r="H923" s="52"/>
    </row>
    <row r="924" spans="1:8" ht="15.75">
      <c r="A924" s="50">
        <v>40736</v>
      </c>
      <c r="B924" s="51">
        <v>1121.6300000000001</v>
      </c>
      <c r="C924" s="52"/>
      <c r="D924" s="52"/>
      <c r="E924" s="52"/>
      <c r="F924" s="52"/>
      <c r="G924" s="52"/>
      <c r="H924" s="52"/>
    </row>
    <row r="925" spans="1:8" ht="15.75">
      <c r="A925" s="50">
        <v>40737</v>
      </c>
      <c r="B925" s="51">
        <v>1111.3399999999999</v>
      </c>
      <c r="C925" s="52"/>
      <c r="D925" s="52"/>
      <c r="E925" s="52"/>
      <c r="F925" s="52"/>
      <c r="G925" s="52"/>
      <c r="H925" s="52"/>
    </row>
    <row r="926" spans="1:8" ht="15.75">
      <c r="A926" s="50">
        <v>40738</v>
      </c>
      <c r="B926" s="51">
        <v>1122.23</v>
      </c>
      <c r="C926" s="52"/>
      <c r="D926" s="52"/>
      <c r="E926" s="52"/>
      <c r="F926" s="52"/>
      <c r="G926" s="52"/>
      <c r="H926" s="52"/>
    </row>
    <row r="927" spans="1:8" ht="15.75">
      <c r="A927" s="50">
        <v>40739</v>
      </c>
      <c r="B927" s="51">
        <v>1125.94</v>
      </c>
      <c r="C927" s="52"/>
      <c r="D927" s="52"/>
      <c r="E927" s="52"/>
      <c r="F927" s="52"/>
      <c r="G927" s="52"/>
      <c r="H927" s="52"/>
    </row>
    <row r="928" spans="1:8" ht="15.75">
      <c r="A928" s="50">
        <v>40742</v>
      </c>
      <c r="B928" s="51">
        <v>1138.26</v>
      </c>
      <c r="C928" s="52"/>
      <c r="D928" s="52"/>
      <c r="E928" s="52"/>
      <c r="F928" s="52"/>
      <c r="G928" s="52"/>
      <c r="H928" s="52"/>
    </row>
    <row r="929" spans="1:8" ht="15.75">
      <c r="A929" s="50">
        <v>40743</v>
      </c>
      <c r="B929" s="51">
        <v>1122.5</v>
      </c>
      <c r="C929" s="52"/>
      <c r="D929" s="52"/>
      <c r="E929" s="52"/>
      <c r="F929" s="52"/>
      <c r="G929" s="52"/>
      <c r="H929" s="52"/>
    </row>
    <row r="930" spans="1:8" ht="15.75">
      <c r="A930" s="50">
        <v>40744</v>
      </c>
      <c r="B930" s="51">
        <v>1126.49</v>
      </c>
      <c r="C930" s="52"/>
      <c r="D930" s="52"/>
      <c r="E930" s="52"/>
      <c r="F930" s="52"/>
      <c r="G930" s="52"/>
      <c r="H930" s="52"/>
    </row>
    <row r="931" spans="1:8" ht="15.75">
      <c r="A931" s="50">
        <v>40745</v>
      </c>
      <c r="B931" s="51">
        <v>1102.57</v>
      </c>
      <c r="C931" s="52"/>
      <c r="D931" s="52"/>
      <c r="E931" s="52"/>
      <c r="F931" s="52"/>
      <c r="G931" s="52"/>
      <c r="H931" s="52"/>
    </row>
    <row r="932" spans="1:8" ht="15.75">
      <c r="A932" s="50">
        <v>40746</v>
      </c>
      <c r="B932" s="51">
        <v>1113.53</v>
      </c>
      <c r="C932" s="52"/>
      <c r="D932" s="52"/>
      <c r="E932" s="52"/>
      <c r="F932" s="52"/>
      <c r="G932" s="52"/>
      <c r="H932" s="52"/>
    </row>
    <row r="933" spans="1:8" ht="15.75">
      <c r="A933" s="50">
        <v>40749</v>
      </c>
      <c r="B933" s="51">
        <v>1123</v>
      </c>
      <c r="C933" s="52"/>
      <c r="D933" s="52"/>
      <c r="E933" s="52"/>
      <c r="F933" s="52"/>
      <c r="G933" s="52"/>
      <c r="H933" s="52"/>
    </row>
    <row r="934" spans="1:8" ht="15.75">
      <c r="A934" s="50">
        <v>40750</v>
      </c>
      <c r="B934" s="51">
        <v>1115.8499999999999</v>
      </c>
      <c r="C934" s="52"/>
      <c r="D934" s="52"/>
      <c r="E934" s="52"/>
      <c r="F934" s="52"/>
      <c r="G934" s="52"/>
      <c r="H934" s="52"/>
    </row>
    <row r="935" spans="1:8" ht="15.75">
      <c r="A935" s="50">
        <v>40751</v>
      </c>
      <c r="B935" s="51">
        <v>1123.1099999999999</v>
      </c>
      <c r="C935" s="52"/>
      <c r="D935" s="52"/>
      <c r="E935" s="52"/>
      <c r="F935" s="52"/>
      <c r="G935" s="52"/>
      <c r="H935" s="52"/>
    </row>
    <row r="936" spans="1:8" ht="15.75">
      <c r="A936" s="50">
        <v>40752</v>
      </c>
      <c r="B936" s="51">
        <v>1128.5899999999999</v>
      </c>
      <c r="C936" s="52"/>
      <c r="D936" s="52"/>
      <c r="E936" s="52"/>
      <c r="F936" s="52"/>
      <c r="G936" s="52"/>
      <c r="H936" s="52"/>
    </row>
    <row r="937" spans="1:8" ht="15.75">
      <c r="A937" s="50">
        <v>40753</v>
      </c>
      <c r="B937" s="51">
        <v>1129.5899999999999</v>
      </c>
      <c r="C937" s="52"/>
      <c r="D937" s="52"/>
      <c r="E937" s="52"/>
      <c r="F937" s="52"/>
      <c r="G937" s="52"/>
      <c r="H937" s="52"/>
    </row>
    <row r="938" spans="1:8" ht="15.75">
      <c r="A938" s="50">
        <v>40756</v>
      </c>
      <c r="B938" s="51">
        <v>1136.5899999999999</v>
      </c>
      <c r="C938" s="52"/>
      <c r="D938" s="52"/>
      <c r="E938" s="52"/>
      <c r="F938" s="52"/>
      <c r="G938" s="52"/>
      <c r="H938" s="52"/>
    </row>
    <row r="939" spans="1:8" ht="15.75">
      <c r="A939" s="50">
        <v>40757</v>
      </c>
      <c r="B939" s="51">
        <v>1169.6500000000001</v>
      </c>
      <c r="C939" s="52"/>
      <c r="D939" s="52"/>
      <c r="E939" s="52"/>
      <c r="F939" s="52"/>
      <c r="G939" s="52"/>
      <c r="H939" s="52"/>
    </row>
    <row r="940" spans="1:8" ht="15.75">
      <c r="A940" s="50">
        <v>40758</v>
      </c>
      <c r="B940" s="51">
        <v>1156.6300000000001</v>
      </c>
      <c r="C940" s="52"/>
      <c r="D940" s="52"/>
      <c r="E940" s="52"/>
      <c r="F940" s="52"/>
      <c r="G940" s="52"/>
      <c r="H940" s="52"/>
    </row>
    <row r="941" spans="1:8" ht="15.75">
      <c r="A941" s="50">
        <v>40759</v>
      </c>
      <c r="B941" s="51">
        <v>1169.9100000000001</v>
      </c>
      <c r="C941" s="52"/>
      <c r="D941" s="52"/>
      <c r="E941" s="52"/>
      <c r="F941" s="52"/>
      <c r="G941" s="52"/>
      <c r="H941" s="52"/>
    </row>
    <row r="942" spans="1:8" ht="15.75">
      <c r="A942" s="50">
        <v>40760</v>
      </c>
      <c r="B942" s="51">
        <v>1164</v>
      </c>
      <c r="C942" s="52"/>
      <c r="D942" s="52"/>
      <c r="E942" s="52"/>
      <c r="F942" s="52"/>
      <c r="G942" s="52"/>
      <c r="H942" s="52"/>
    </row>
    <row r="943" spans="1:8" ht="15.75">
      <c r="A943" s="50">
        <v>40763</v>
      </c>
      <c r="B943" s="51">
        <v>1212.58</v>
      </c>
      <c r="C943" s="52"/>
      <c r="D943" s="52"/>
      <c r="E943" s="52"/>
      <c r="F943" s="52"/>
      <c r="G943" s="52"/>
      <c r="H943" s="52"/>
    </row>
    <row r="944" spans="1:8" ht="15.75">
      <c r="A944" s="50">
        <v>40764</v>
      </c>
      <c r="B944" s="51">
        <v>1211.82</v>
      </c>
      <c r="C944" s="52"/>
      <c r="D944" s="52"/>
      <c r="E944" s="52"/>
      <c r="F944" s="52"/>
      <c r="G944" s="52"/>
      <c r="H944" s="52"/>
    </row>
    <row r="945" spans="1:8" ht="15.75">
      <c r="A945" s="50">
        <v>40765</v>
      </c>
      <c r="B945" s="51">
        <v>1267.42</v>
      </c>
      <c r="C945" s="52"/>
      <c r="D945" s="52"/>
      <c r="E945" s="52"/>
      <c r="F945" s="52"/>
      <c r="G945" s="52"/>
      <c r="H945" s="52"/>
    </row>
    <row r="946" spans="1:8" ht="15.75">
      <c r="A946" s="50">
        <v>40766</v>
      </c>
      <c r="B946" s="51">
        <v>1241.6099999999999</v>
      </c>
      <c r="C946" s="52"/>
      <c r="D946" s="52"/>
      <c r="E946" s="52"/>
      <c r="F946" s="52"/>
      <c r="G946" s="52"/>
      <c r="H946" s="52"/>
    </row>
    <row r="947" spans="1:8" ht="15.75">
      <c r="A947" s="50">
        <v>40767</v>
      </c>
      <c r="B947" s="51">
        <v>1225.58</v>
      </c>
      <c r="C947" s="52"/>
      <c r="D947" s="52"/>
      <c r="E947" s="52"/>
      <c r="F947" s="52"/>
      <c r="G947" s="52"/>
      <c r="H947" s="52"/>
    </row>
    <row r="948" spans="1:8" ht="15.75">
      <c r="A948" s="50">
        <v>40770</v>
      </c>
      <c r="B948" s="51">
        <v>1224.58</v>
      </c>
      <c r="C948" s="52"/>
      <c r="D948" s="52"/>
      <c r="E948" s="52"/>
      <c r="F948" s="52"/>
      <c r="G948" s="52"/>
      <c r="H948" s="52"/>
    </row>
    <row r="949" spans="1:8" ht="15.75">
      <c r="A949" s="50">
        <v>40771</v>
      </c>
      <c r="B949" s="51">
        <v>1240.94</v>
      </c>
      <c r="C949" s="52"/>
      <c r="D949" s="52"/>
      <c r="E949" s="52"/>
      <c r="F949" s="52"/>
      <c r="G949" s="52"/>
      <c r="H949" s="52"/>
    </row>
    <row r="950" spans="1:8" ht="15.75">
      <c r="A950" s="50">
        <v>40772</v>
      </c>
      <c r="B950" s="51">
        <v>1241.2</v>
      </c>
      <c r="C950" s="52"/>
      <c r="D950" s="52"/>
      <c r="E950" s="52"/>
      <c r="F950" s="52"/>
      <c r="G950" s="52"/>
      <c r="H950" s="52"/>
    </row>
    <row r="951" spans="1:8" ht="15.75">
      <c r="A951" s="50">
        <v>40773</v>
      </c>
      <c r="B951" s="51">
        <v>1273.83</v>
      </c>
      <c r="C951" s="52"/>
      <c r="D951" s="52"/>
      <c r="E951" s="52"/>
      <c r="F951" s="52"/>
      <c r="G951" s="52"/>
      <c r="H951" s="52"/>
    </row>
    <row r="952" spans="1:8" ht="15.75">
      <c r="A952" s="50">
        <v>40774</v>
      </c>
      <c r="B952" s="51">
        <v>1286.52</v>
      </c>
      <c r="C952" s="52"/>
      <c r="D952" s="52"/>
      <c r="E952" s="52"/>
      <c r="F952" s="52"/>
      <c r="G952" s="52"/>
      <c r="H952" s="52"/>
    </row>
    <row r="953" spans="1:8" ht="15.75">
      <c r="A953" s="50">
        <v>40777</v>
      </c>
      <c r="B953" s="51">
        <v>1321.98</v>
      </c>
      <c r="C953" s="52"/>
      <c r="D953" s="52"/>
      <c r="E953" s="52"/>
      <c r="F953" s="52"/>
      <c r="G953" s="52"/>
      <c r="H953" s="52"/>
    </row>
    <row r="954" spans="1:8" ht="15.75">
      <c r="A954" s="50">
        <v>40778</v>
      </c>
      <c r="B954" s="51">
        <v>1268.1300000000001</v>
      </c>
      <c r="C954" s="52"/>
      <c r="D954" s="52"/>
      <c r="E954" s="52"/>
      <c r="F954" s="52"/>
      <c r="G954" s="52"/>
      <c r="H954" s="52"/>
    </row>
    <row r="955" spans="1:8" ht="15.75">
      <c r="A955" s="50">
        <v>40779</v>
      </c>
      <c r="B955" s="51">
        <v>1215.46</v>
      </c>
      <c r="C955" s="52"/>
      <c r="D955" s="52"/>
      <c r="E955" s="52"/>
      <c r="F955" s="52"/>
      <c r="G955" s="52"/>
      <c r="H955" s="52"/>
    </row>
    <row r="956" spans="1:8" ht="15.75">
      <c r="A956" s="50">
        <v>40780</v>
      </c>
      <c r="B956" s="51">
        <v>1233.02</v>
      </c>
      <c r="C956" s="52"/>
      <c r="D956" s="52"/>
      <c r="E956" s="52"/>
      <c r="F956" s="52"/>
      <c r="G956" s="52"/>
      <c r="H956" s="52"/>
    </row>
    <row r="957" spans="1:8" ht="15.75">
      <c r="A957" s="50">
        <v>40781</v>
      </c>
      <c r="B957" s="51">
        <v>1261.52</v>
      </c>
      <c r="C957" s="52"/>
      <c r="D957" s="52"/>
      <c r="E957" s="52"/>
      <c r="F957" s="52"/>
      <c r="G957" s="52"/>
      <c r="H957" s="52"/>
    </row>
    <row r="958" spans="1:8" ht="15.75">
      <c r="A958" s="50">
        <v>40784</v>
      </c>
      <c r="B958" s="51">
        <v>1232.69</v>
      </c>
      <c r="C958" s="52"/>
      <c r="D958" s="52"/>
      <c r="E958" s="52"/>
      <c r="F958" s="52"/>
      <c r="G958" s="52"/>
      <c r="H958" s="52"/>
    </row>
    <row r="959" spans="1:8" ht="15.75">
      <c r="A959" s="50">
        <v>40785</v>
      </c>
      <c r="B959" s="51">
        <v>1272.46</v>
      </c>
      <c r="C959" s="52"/>
      <c r="D959" s="52"/>
      <c r="E959" s="52"/>
      <c r="F959" s="52"/>
      <c r="G959" s="52"/>
      <c r="H959" s="52"/>
    </row>
    <row r="960" spans="1:8" ht="15.75">
      <c r="A960" s="50">
        <v>40786</v>
      </c>
      <c r="B960" s="51">
        <v>1268.43</v>
      </c>
      <c r="C960" s="52"/>
      <c r="D960" s="52"/>
      <c r="E960" s="52"/>
      <c r="F960" s="52"/>
      <c r="G960" s="52"/>
      <c r="H960" s="52"/>
    </row>
    <row r="961" spans="1:8" ht="15.75">
      <c r="A961" s="50">
        <v>40787</v>
      </c>
      <c r="B961" s="51">
        <v>1280.1400000000001</v>
      </c>
      <c r="C961" s="52"/>
      <c r="D961" s="52"/>
      <c r="E961" s="52"/>
      <c r="F961" s="52"/>
      <c r="G961" s="52"/>
      <c r="H961" s="52"/>
    </row>
    <row r="962" spans="1:8" ht="15.75">
      <c r="A962" s="50">
        <v>40788</v>
      </c>
      <c r="B962" s="51">
        <v>1326.47</v>
      </c>
      <c r="C962" s="52"/>
      <c r="D962" s="52"/>
      <c r="E962" s="52"/>
      <c r="F962" s="52"/>
      <c r="G962" s="52"/>
      <c r="H962" s="52"/>
    </row>
    <row r="963" spans="1:8" ht="15.75">
      <c r="A963" s="50">
        <v>40791</v>
      </c>
      <c r="B963" s="51">
        <v>1348.6</v>
      </c>
      <c r="C963" s="52"/>
      <c r="D963" s="52"/>
      <c r="E963" s="52"/>
      <c r="F963" s="52"/>
      <c r="G963" s="52"/>
      <c r="H963" s="52"/>
    </row>
    <row r="964" spans="1:8" ht="15.75">
      <c r="A964" s="50">
        <v>40792</v>
      </c>
      <c r="B964" s="51">
        <v>1337.93</v>
      </c>
      <c r="C964" s="52"/>
      <c r="D964" s="52"/>
      <c r="E964" s="52"/>
      <c r="F964" s="52"/>
      <c r="G964" s="52"/>
      <c r="H964" s="52"/>
    </row>
    <row r="965" spans="1:8" ht="15.75">
      <c r="A965" s="50">
        <v>40793</v>
      </c>
      <c r="B965" s="51">
        <v>1281.22</v>
      </c>
      <c r="C965" s="52"/>
      <c r="D965" s="52"/>
      <c r="E965" s="52"/>
      <c r="F965" s="52"/>
      <c r="G965" s="52"/>
      <c r="H965" s="52"/>
    </row>
    <row r="966" spans="1:8" ht="15.75">
      <c r="A966" s="50">
        <v>40794</v>
      </c>
      <c r="B966" s="51">
        <v>1346.16</v>
      </c>
      <c r="C966" s="52"/>
      <c r="D966" s="52"/>
      <c r="E966" s="52"/>
      <c r="F966" s="52"/>
      <c r="G966" s="52"/>
      <c r="H966" s="52"/>
    </row>
    <row r="967" spans="1:8" ht="15.75">
      <c r="A967" s="50">
        <v>40795</v>
      </c>
      <c r="B967" s="51">
        <v>1360.93</v>
      </c>
      <c r="C967" s="52"/>
      <c r="D967" s="52"/>
      <c r="E967" s="52"/>
      <c r="F967" s="52"/>
      <c r="G967" s="52"/>
      <c r="H967" s="52"/>
    </row>
    <row r="968" spans="1:8" ht="15.75">
      <c r="A968" s="50">
        <v>40798</v>
      </c>
      <c r="B968" s="51">
        <v>1329</v>
      </c>
      <c r="C968" s="52"/>
      <c r="D968" s="52"/>
      <c r="E968" s="52"/>
      <c r="F968" s="52"/>
      <c r="G968" s="52"/>
      <c r="H968" s="52"/>
    </row>
    <row r="969" spans="1:8" ht="15.75">
      <c r="A969" s="50">
        <v>40799</v>
      </c>
      <c r="B969" s="51">
        <v>1340.85</v>
      </c>
      <c r="C969" s="52"/>
      <c r="D969" s="52"/>
      <c r="E969" s="52"/>
      <c r="F969" s="52"/>
      <c r="G969" s="52"/>
      <c r="H969" s="52"/>
    </row>
    <row r="970" spans="1:8" ht="15.75">
      <c r="A970" s="50">
        <v>40800</v>
      </c>
      <c r="B970" s="51">
        <v>1325.03</v>
      </c>
      <c r="C970" s="52"/>
      <c r="D970" s="52"/>
      <c r="E970" s="52"/>
      <c r="F970" s="52"/>
      <c r="G970" s="52"/>
      <c r="H970" s="52"/>
    </row>
    <row r="971" spans="1:8" ht="15.75">
      <c r="A971" s="50">
        <v>40801</v>
      </c>
      <c r="B971" s="51">
        <v>1288.23</v>
      </c>
      <c r="C971" s="52"/>
      <c r="D971" s="52"/>
      <c r="E971" s="52"/>
      <c r="F971" s="52"/>
      <c r="G971" s="52"/>
      <c r="H971" s="52"/>
    </row>
    <row r="972" spans="1:8" ht="15.75">
      <c r="A972" s="50">
        <v>40802</v>
      </c>
      <c r="B972" s="51">
        <v>1313.8</v>
      </c>
      <c r="C972" s="52"/>
      <c r="D972" s="52"/>
      <c r="E972" s="52"/>
      <c r="F972" s="52"/>
      <c r="G972" s="52"/>
      <c r="H972" s="52"/>
    </row>
    <row r="973" spans="1:8" ht="15.75">
      <c r="A973" s="50">
        <v>40805</v>
      </c>
      <c r="B973" s="51">
        <v>1301.72</v>
      </c>
      <c r="C973" s="52"/>
      <c r="D973" s="52"/>
      <c r="E973" s="52"/>
      <c r="F973" s="52"/>
      <c r="G973" s="52"/>
      <c r="H973" s="52"/>
    </row>
    <row r="974" spans="1:8" ht="15.75">
      <c r="A974" s="50">
        <v>40806</v>
      </c>
      <c r="B974" s="51">
        <v>1316.92</v>
      </c>
      <c r="C974" s="52"/>
      <c r="D974" s="52"/>
      <c r="E974" s="52"/>
      <c r="F974" s="52"/>
      <c r="G974" s="52"/>
      <c r="H974" s="52"/>
    </row>
    <row r="975" spans="1:8" ht="15.75">
      <c r="A975" s="50">
        <v>40807</v>
      </c>
      <c r="B975" s="51">
        <v>1310.27</v>
      </c>
      <c r="C975" s="52"/>
      <c r="D975" s="52"/>
      <c r="E975" s="52"/>
      <c r="F975" s="52"/>
      <c r="G975" s="52"/>
      <c r="H975" s="52"/>
    </row>
    <row r="976" spans="1:8" ht="15.75">
      <c r="A976" s="50">
        <v>40808</v>
      </c>
      <c r="B976" s="51">
        <v>1290.33</v>
      </c>
      <c r="C976" s="52"/>
      <c r="D976" s="52"/>
      <c r="E976" s="52"/>
      <c r="F976" s="52"/>
      <c r="G976" s="52"/>
      <c r="H976" s="52"/>
    </row>
    <row r="977" spans="1:8" ht="15.75">
      <c r="A977" s="50">
        <v>40809</v>
      </c>
      <c r="B977" s="51">
        <v>1228.1500000000001</v>
      </c>
      <c r="C977" s="52"/>
      <c r="D977" s="52"/>
      <c r="E977" s="52"/>
      <c r="F977" s="52"/>
      <c r="G977" s="52"/>
      <c r="H977" s="52"/>
    </row>
    <row r="978" spans="1:8" ht="15.75">
      <c r="A978" s="50">
        <v>40812</v>
      </c>
      <c r="B978" s="51">
        <v>1203.43</v>
      </c>
      <c r="C978" s="52"/>
      <c r="D978" s="52"/>
      <c r="E978" s="52"/>
      <c r="F978" s="52"/>
      <c r="G978" s="52"/>
      <c r="H978" s="52"/>
    </row>
    <row r="979" spans="1:8" ht="15.75">
      <c r="A979" s="50">
        <v>40813</v>
      </c>
      <c r="B979" s="51">
        <v>1213.67</v>
      </c>
      <c r="C979" s="52"/>
      <c r="D979" s="52"/>
      <c r="E979" s="52"/>
      <c r="F979" s="52"/>
      <c r="G979" s="52"/>
      <c r="H979" s="52"/>
    </row>
    <row r="980" spans="1:8" ht="15.75">
      <c r="A980" s="50">
        <v>40814</v>
      </c>
      <c r="B980" s="51">
        <v>1189.56</v>
      </c>
      <c r="C980" s="52"/>
      <c r="D980" s="52"/>
      <c r="E980" s="52"/>
      <c r="F980" s="52"/>
      <c r="G980" s="52"/>
      <c r="H980" s="52"/>
    </row>
    <row r="981" spans="1:8" ht="15.75">
      <c r="A981" s="50">
        <v>40815</v>
      </c>
      <c r="B981" s="51">
        <v>1178.5</v>
      </c>
      <c r="C981" s="52"/>
      <c r="D981" s="52"/>
      <c r="E981" s="52"/>
      <c r="F981" s="52"/>
      <c r="G981" s="52"/>
      <c r="H981" s="52"/>
    </row>
    <row r="982" spans="1:8" ht="15.75">
      <c r="A982" s="50">
        <v>40816</v>
      </c>
      <c r="B982" s="51">
        <v>1213.33</v>
      </c>
      <c r="C982" s="52"/>
      <c r="D982" s="52"/>
      <c r="E982" s="52"/>
      <c r="F982" s="52"/>
      <c r="G982" s="52"/>
      <c r="H982" s="52"/>
    </row>
    <row r="983" spans="1:8" ht="15.75">
      <c r="A983" s="50">
        <v>40819</v>
      </c>
      <c r="B983" s="51">
        <v>1259.06</v>
      </c>
      <c r="C983" s="52"/>
      <c r="D983" s="52"/>
      <c r="E983" s="52"/>
      <c r="F983" s="52"/>
      <c r="G983" s="52"/>
      <c r="H983" s="52"/>
    </row>
    <row r="984" spans="1:8" ht="15.75">
      <c r="A984" s="50">
        <v>40820</v>
      </c>
      <c r="B984" s="51">
        <v>1218.19</v>
      </c>
      <c r="C984" s="52"/>
      <c r="D984" s="52"/>
      <c r="E984" s="52"/>
      <c r="F984" s="52"/>
      <c r="G984" s="52"/>
      <c r="H984" s="52"/>
    </row>
    <row r="985" spans="1:8" ht="15.75">
      <c r="A985" s="50">
        <v>40821</v>
      </c>
      <c r="B985" s="51">
        <v>1230.52</v>
      </c>
      <c r="C985" s="52"/>
      <c r="D985" s="52"/>
      <c r="E985" s="52"/>
      <c r="F985" s="52"/>
      <c r="G985" s="52"/>
      <c r="H985" s="52"/>
    </row>
    <row r="986" spans="1:8" ht="15.75">
      <c r="A986" s="50">
        <v>40822</v>
      </c>
      <c r="B986" s="51">
        <v>1229.02</v>
      </c>
      <c r="C986" s="52"/>
      <c r="D986" s="52"/>
      <c r="E986" s="52"/>
      <c r="F986" s="52"/>
      <c r="G986" s="52"/>
      <c r="H986" s="52"/>
    </row>
    <row r="987" spans="1:8" ht="15.75">
      <c r="A987" s="50">
        <v>40823</v>
      </c>
      <c r="B987" s="51">
        <v>1225.56</v>
      </c>
      <c r="C987" s="52"/>
      <c r="D987" s="52"/>
      <c r="E987" s="52"/>
      <c r="F987" s="52"/>
      <c r="G987" s="52"/>
      <c r="H987" s="52"/>
    </row>
    <row r="988" spans="1:8" ht="15.75">
      <c r="A988" s="50">
        <v>40826</v>
      </c>
      <c r="B988" s="51">
        <v>1229.21</v>
      </c>
      <c r="C988" s="52"/>
      <c r="D988" s="52"/>
      <c r="E988" s="52"/>
      <c r="F988" s="52"/>
      <c r="G988" s="52"/>
      <c r="H988" s="52"/>
    </row>
    <row r="989" spans="1:8" ht="15.75">
      <c r="A989" s="50">
        <v>40827</v>
      </c>
      <c r="B989" s="51">
        <v>1215.28</v>
      </c>
      <c r="C989" s="52"/>
      <c r="D989" s="52"/>
      <c r="E989" s="52"/>
      <c r="F989" s="52"/>
      <c r="G989" s="52"/>
      <c r="H989" s="52"/>
    </row>
    <row r="990" spans="1:8" ht="15.75">
      <c r="A990" s="50">
        <v>40828</v>
      </c>
      <c r="B990" s="51">
        <v>1215.45</v>
      </c>
      <c r="C990" s="52"/>
      <c r="D990" s="52"/>
      <c r="E990" s="52"/>
      <c r="F990" s="52"/>
      <c r="G990" s="52"/>
      <c r="H990" s="52"/>
    </row>
    <row r="991" spans="1:8" ht="15.75">
      <c r="A991" s="50">
        <v>40829</v>
      </c>
      <c r="B991" s="51">
        <v>1210.56</v>
      </c>
      <c r="C991" s="52"/>
      <c r="D991" s="52"/>
      <c r="E991" s="52"/>
      <c r="F991" s="52"/>
      <c r="G991" s="52"/>
      <c r="H991" s="52"/>
    </row>
    <row r="992" spans="1:8" ht="15.75">
      <c r="A992" s="50">
        <v>40830</v>
      </c>
      <c r="B992" s="51">
        <v>1210.67</v>
      </c>
      <c r="C992" s="52"/>
      <c r="D992" s="52"/>
      <c r="E992" s="52"/>
      <c r="F992" s="52"/>
      <c r="G992" s="52"/>
      <c r="H992" s="52"/>
    </row>
    <row r="993" spans="1:8" ht="15.75">
      <c r="A993" s="50">
        <v>40833</v>
      </c>
      <c r="B993" s="51">
        <v>1216.1500000000001</v>
      </c>
      <c r="C993" s="52"/>
      <c r="D993" s="52"/>
      <c r="E993" s="52"/>
      <c r="F993" s="52"/>
      <c r="G993" s="52"/>
      <c r="H993" s="52"/>
    </row>
    <row r="994" spans="1:8" ht="15.75">
      <c r="A994" s="50">
        <v>40834</v>
      </c>
      <c r="B994" s="51">
        <v>1205.22</v>
      </c>
      <c r="C994" s="52"/>
      <c r="D994" s="52"/>
      <c r="E994" s="52"/>
      <c r="F994" s="52"/>
      <c r="G994" s="52"/>
      <c r="H994" s="52"/>
    </row>
    <row r="995" spans="1:8" ht="15.75">
      <c r="A995" s="50">
        <v>40835</v>
      </c>
      <c r="B995" s="51">
        <v>1194.19</v>
      </c>
      <c r="C995" s="52"/>
      <c r="D995" s="52"/>
      <c r="E995" s="52"/>
      <c r="F995" s="52"/>
      <c r="G995" s="52"/>
      <c r="H995" s="52"/>
    </row>
    <row r="996" spans="1:8" ht="15.75">
      <c r="A996" s="50">
        <v>40836</v>
      </c>
      <c r="B996" s="51">
        <v>1175.6199999999999</v>
      </c>
      <c r="C996" s="52"/>
      <c r="D996" s="52"/>
      <c r="E996" s="52"/>
      <c r="F996" s="52"/>
      <c r="G996" s="52"/>
      <c r="H996" s="52"/>
    </row>
    <row r="997" spans="1:8" ht="15.75">
      <c r="A997" s="50">
        <v>40837</v>
      </c>
      <c r="B997" s="51">
        <v>1181.3499999999999</v>
      </c>
      <c r="C997" s="52"/>
      <c r="D997" s="52"/>
      <c r="E997" s="52"/>
      <c r="F997" s="52"/>
      <c r="G997" s="52"/>
      <c r="H997" s="52"/>
    </row>
    <row r="998" spans="1:8" ht="15.75">
      <c r="A998" s="50">
        <v>40840</v>
      </c>
      <c r="B998" s="51">
        <v>1186.54</v>
      </c>
      <c r="C998" s="52"/>
      <c r="D998" s="52"/>
      <c r="E998" s="52"/>
      <c r="F998" s="52"/>
      <c r="G998" s="52"/>
      <c r="H998" s="52"/>
    </row>
    <row r="999" spans="1:8" ht="15.75">
      <c r="A999" s="50">
        <v>40841</v>
      </c>
      <c r="B999" s="51">
        <v>1226.08</v>
      </c>
      <c r="C999" s="52"/>
      <c r="D999" s="52"/>
      <c r="E999" s="52"/>
      <c r="F999" s="52"/>
      <c r="G999" s="52"/>
      <c r="H999" s="52"/>
    </row>
    <row r="1000" spans="1:8" ht="15.75">
      <c r="A1000" s="50">
        <v>40842</v>
      </c>
      <c r="B1000" s="51">
        <v>1241.9000000000001</v>
      </c>
      <c r="C1000" s="52"/>
      <c r="D1000" s="52"/>
      <c r="E1000" s="52"/>
      <c r="F1000" s="52"/>
      <c r="G1000" s="52"/>
      <c r="H1000" s="52"/>
    </row>
    <row r="1001" spans="1:8" ht="15.75">
      <c r="A1001" s="50">
        <v>40843</v>
      </c>
      <c r="B1001" s="51">
        <v>1230.3800000000001</v>
      </c>
      <c r="C1001" s="52"/>
      <c r="D1001" s="52"/>
      <c r="E1001" s="52"/>
      <c r="F1001" s="52"/>
      <c r="G1001" s="52"/>
      <c r="H1001" s="52"/>
    </row>
    <row r="1002" spans="1:8" ht="15.75">
      <c r="A1002" s="50">
        <v>40844</v>
      </c>
      <c r="B1002" s="51">
        <v>1231.8499999999999</v>
      </c>
      <c r="C1002" s="52"/>
      <c r="D1002" s="52"/>
      <c r="E1002" s="52"/>
      <c r="F1002" s="52"/>
      <c r="G1002" s="52"/>
      <c r="H1002" s="52"/>
    </row>
    <row r="1003" spans="1:8" ht="15.75">
      <c r="A1003" s="50">
        <v>40847</v>
      </c>
      <c r="B1003" s="51">
        <v>1235.4100000000001</v>
      </c>
      <c r="C1003" s="52"/>
      <c r="D1003" s="52"/>
      <c r="E1003" s="52"/>
      <c r="F1003" s="52"/>
      <c r="G1003" s="52"/>
      <c r="H1003" s="52"/>
    </row>
    <row r="1004" spans="1:8" ht="15.75">
      <c r="A1004" s="50">
        <v>40848</v>
      </c>
      <c r="B1004" s="51">
        <v>1254.98</v>
      </c>
      <c r="C1004" s="52"/>
      <c r="D1004" s="52"/>
      <c r="E1004" s="52"/>
      <c r="F1004" s="52"/>
      <c r="G1004" s="52"/>
      <c r="H1004" s="52"/>
    </row>
    <row r="1005" spans="1:8" ht="15.75">
      <c r="A1005" s="50">
        <v>40849</v>
      </c>
      <c r="B1005" s="51">
        <v>1266.6600000000001</v>
      </c>
      <c r="C1005" s="52"/>
      <c r="D1005" s="52"/>
      <c r="E1005" s="52"/>
      <c r="F1005" s="52"/>
      <c r="G1005" s="52"/>
      <c r="H1005" s="52"/>
    </row>
    <row r="1006" spans="1:8" ht="15.75">
      <c r="A1006" s="50">
        <v>40850</v>
      </c>
      <c r="B1006" s="51">
        <v>1273.46</v>
      </c>
      <c r="C1006" s="52"/>
      <c r="D1006" s="52"/>
      <c r="E1006" s="52"/>
      <c r="F1006" s="52"/>
      <c r="G1006" s="52"/>
      <c r="H1006" s="52"/>
    </row>
    <row r="1007" spans="1:8" ht="15.75">
      <c r="A1007" s="50">
        <v>40851</v>
      </c>
      <c r="B1007" s="51">
        <v>1273.71</v>
      </c>
      <c r="C1007" s="52"/>
      <c r="D1007" s="52"/>
      <c r="E1007" s="52"/>
      <c r="F1007" s="52"/>
      <c r="G1007" s="52"/>
      <c r="H1007" s="52"/>
    </row>
    <row r="1008" spans="1:8" ht="15.75">
      <c r="A1008" s="50">
        <v>40854</v>
      </c>
      <c r="B1008" s="51">
        <v>1302.8</v>
      </c>
      <c r="C1008" s="52"/>
      <c r="D1008" s="52"/>
      <c r="E1008" s="52"/>
      <c r="F1008" s="52"/>
      <c r="G1008" s="52"/>
      <c r="H1008" s="52"/>
    </row>
    <row r="1009" spans="1:8" ht="15.75">
      <c r="A1009" s="50">
        <v>40855</v>
      </c>
      <c r="B1009" s="51">
        <v>1291.18</v>
      </c>
      <c r="C1009" s="52"/>
      <c r="D1009" s="52"/>
      <c r="E1009" s="52"/>
      <c r="F1009" s="52"/>
      <c r="G1009" s="52"/>
      <c r="H1009" s="52"/>
    </row>
    <row r="1010" spans="1:8" ht="15.75">
      <c r="A1010" s="50">
        <v>40856</v>
      </c>
      <c r="B1010" s="51">
        <v>1308.27</v>
      </c>
      <c r="C1010" s="52"/>
      <c r="D1010" s="52"/>
      <c r="E1010" s="52"/>
      <c r="F1010" s="52"/>
      <c r="G1010" s="52"/>
      <c r="H1010" s="52"/>
    </row>
    <row r="1011" spans="1:8" ht="15.75">
      <c r="A1011" s="50">
        <v>40857</v>
      </c>
      <c r="B1011" s="51">
        <v>1291.81</v>
      </c>
      <c r="C1011" s="52"/>
      <c r="D1011" s="52"/>
      <c r="E1011" s="52"/>
      <c r="F1011" s="52"/>
      <c r="G1011" s="52"/>
      <c r="H1011" s="52"/>
    </row>
    <row r="1012" spans="1:8" ht="15.75">
      <c r="A1012" s="50">
        <v>40858</v>
      </c>
      <c r="B1012" s="51">
        <v>1300.69</v>
      </c>
      <c r="C1012" s="52"/>
      <c r="D1012" s="52"/>
      <c r="E1012" s="52"/>
      <c r="F1012" s="52"/>
      <c r="G1012" s="52"/>
      <c r="H1012" s="52"/>
    </row>
    <row r="1013" spans="1:8" ht="15.75">
      <c r="A1013" s="50">
        <v>40861</v>
      </c>
      <c r="B1013" s="51">
        <v>1307</v>
      </c>
      <c r="C1013" s="52"/>
      <c r="D1013" s="52"/>
      <c r="E1013" s="52"/>
      <c r="F1013" s="52"/>
      <c r="G1013" s="52"/>
      <c r="H1013" s="52"/>
    </row>
    <row r="1014" spans="1:8" ht="15.75">
      <c r="A1014" s="50">
        <v>40862</v>
      </c>
      <c r="B1014" s="51">
        <v>1317.08</v>
      </c>
      <c r="C1014" s="52"/>
      <c r="D1014" s="52"/>
      <c r="E1014" s="52"/>
      <c r="F1014" s="52"/>
      <c r="G1014" s="52"/>
      <c r="H1014" s="52"/>
    </row>
    <row r="1015" spans="1:8" ht="15.75">
      <c r="A1015" s="50">
        <v>40863</v>
      </c>
      <c r="B1015" s="51">
        <v>1309.97</v>
      </c>
      <c r="C1015" s="52"/>
      <c r="D1015" s="52"/>
      <c r="E1015" s="52"/>
      <c r="F1015" s="52"/>
      <c r="G1015" s="52"/>
      <c r="H1015" s="52"/>
    </row>
    <row r="1016" spans="1:8" ht="15.75">
      <c r="A1016" s="50">
        <v>40864</v>
      </c>
      <c r="B1016" s="51">
        <v>1277.28</v>
      </c>
      <c r="C1016" s="52"/>
      <c r="D1016" s="52"/>
      <c r="E1016" s="52"/>
      <c r="F1016" s="52"/>
      <c r="G1016" s="52"/>
      <c r="H1016" s="52"/>
    </row>
    <row r="1017" spans="1:8" ht="15.75">
      <c r="A1017" s="50">
        <v>40865</v>
      </c>
      <c r="B1017" s="51">
        <v>1275.33</v>
      </c>
      <c r="C1017" s="52"/>
      <c r="D1017" s="52"/>
      <c r="E1017" s="52"/>
      <c r="F1017" s="52"/>
      <c r="G1017" s="52"/>
      <c r="H1017" s="52"/>
    </row>
    <row r="1018" spans="1:8" ht="15.75">
      <c r="A1018" s="50">
        <v>40868</v>
      </c>
      <c r="B1018" s="51">
        <v>1244.31</v>
      </c>
      <c r="C1018" s="52"/>
      <c r="D1018" s="52"/>
      <c r="E1018" s="52"/>
      <c r="F1018" s="52"/>
      <c r="G1018" s="52"/>
      <c r="H1018" s="52"/>
    </row>
    <row r="1019" spans="1:8" ht="15.75">
      <c r="A1019" s="50">
        <v>40869</v>
      </c>
      <c r="B1019" s="51">
        <v>1257.1600000000001</v>
      </c>
      <c r="C1019" s="52"/>
      <c r="D1019" s="52"/>
      <c r="E1019" s="52"/>
      <c r="F1019" s="52"/>
      <c r="G1019" s="52"/>
      <c r="H1019" s="52"/>
    </row>
    <row r="1020" spans="1:8" ht="15.75">
      <c r="A1020" s="50">
        <v>40870</v>
      </c>
      <c r="B1020" s="51">
        <v>1268.3</v>
      </c>
      <c r="C1020" s="52"/>
      <c r="D1020" s="52"/>
      <c r="E1020" s="52"/>
      <c r="F1020" s="52"/>
      <c r="G1020" s="52"/>
      <c r="H1020" s="52"/>
    </row>
    <row r="1021" spans="1:8" ht="15.75">
      <c r="A1021" s="50">
        <v>40871</v>
      </c>
      <c r="B1021" s="51">
        <v>1270.71</v>
      </c>
      <c r="C1021" s="52"/>
      <c r="D1021" s="52"/>
      <c r="E1021" s="52"/>
      <c r="F1021" s="52"/>
      <c r="G1021" s="52"/>
      <c r="H1021" s="52"/>
    </row>
    <row r="1022" spans="1:8" ht="15.75">
      <c r="A1022" s="50">
        <v>40872</v>
      </c>
      <c r="B1022" s="51">
        <v>1269.22</v>
      </c>
      <c r="C1022" s="52"/>
      <c r="D1022" s="52"/>
      <c r="E1022" s="52"/>
      <c r="F1022" s="52"/>
      <c r="G1022" s="52"/>
      <c r="H1022" s="52"/>
    </row>
    <row r="1023" spans="1:8" ht="15.75">
      <c r="A1023" s="50">
        <v>40875</v>
      </c>
      <c r="B1023" s="51">
        <v>1285.3599999999999</v>
      </c>
      <c r="C1023" s="52"/>
      <c r="D1023" s="52"/>
      <c r="E1023" s="52"/>
      <c r="F1023" s="52"/>
      <c r="G1023" s="52"/>
      <c r="H1023" s="52"/>
    </row>
    <row r="1024" spans="1:8" ht="15.75">
      <c r="A1024" s="50">
        <v>40876</v>
      </c>
      <c r="B1024" s="51">
        <v>1286.96</v>
      </c>
      <c r="C1024" s="52"/>
      <c r="D1024" s="52"/>
      <c r="E1024" s="52"/>
      <c r="F1024" s="52"/>
      <c r="G1024" s="52"/>
      <c r="H1024" s="52"/>
    </row>
    <row r="1025" spans="1:8" ht="15.75">
      <c r="A1025" s="50">
        <v>40877</v>
      </c>
      <c r="B1025" s="51">
        <v>1301.58</v>
      </c>
      <c r="C1025" s="52"/>
      <c r="D1025" s="52"/>
      <c r="E1025" s="52"/>
      <c r="F1025" s="52"/>
      <c r="G1025" s="52"/>
      <c r="H1025" s="52"/>
    </row>
    <row r="1026" spans="1:8" ht="15.75">
      <c r="A1026" s="50">
        <v>40878</v>
      </c>
      <c r="B1026" s="51">
        <v>1296.54</v>
      </c>
      <c r="C1026" s="52"/>
      <c r="D1026" s="52"/>
      <c r="E1026" s="52"/>
      <c r="F1026" s="52"/>
      <c r="G1026" s="52"/>
      <c r="H1026" s="52"/>
    </row>
    <row r="1027" spans="1:8" ht="15.75">
      <c r="A1027" s="50">
        <v>40879</v>
      </c>
      <c r="B1027" s="51">
        <v>1303.31</v>
      </c>
      <c r="C1027" s="52"/>
      <c r="D1027" s="52"/>
      <c r="E1027" s="52"/>
      <c r="F1027" s="52"/>
      <c r="G1027" s="52"/>
      <c r="H1027" s="52"/>
    </row>
    <row r="1028" spans="1:8" ht="15.75">
      <c r="A1028" s="50">
        <v>40882</v>
      </c>
      <c r="B1028" s="51">
        <v>1286.24</v>
      </c>
      <c r="C1028" s="52"/>
      <c r="D1028" s="52"/>
      <c r="E1028" s="52"/>
      <c r="F1028" s="52"/>
      <c r="G1028" s="52"/>
      <c r="H1028" s="52"/>
    </row>
    <row r="1029" spans="1:8" ht="15.75">
      <c r="A1029" s="50">
        <v>40883</v>
      </c>
      <c r="B1029" s="51">
        <v>1290.31</v>
      </c>
      <c r="C1029" s="52"/>
      <c r="D1029" s="52"/>
      <c r="E1029" s="52"/>
      <c r="F1029" s="52"/>
      <c r="G1029" s="52"/>
      <c r="H1029" s="52"/>
    </row>
    <row r="1030" spans="1:8" ht="15.75">
      <c r="A1030" s="50">
        <v>40884</v>
      </c>
      <c r="B1030" s="51">
        <v>1299.1199999999999</v>
      </c>
      <c r="C1030" s="52"/>
      <c r="D1030" s="52"/>
      <c r="E1030" s="52"/>
      <c r="F1030" s="52"/>
      <c r="G1030" s="52"/>
      <c r="H1030" s="52"/>
    </row>
    <row r="1031" spans="1:8" ht="15.75">
      <c r="A1031" s="50">
        <v>40885</v>
      </c>
      <c r="B1031" s="51">
        <v>1278.95</v>
      </c>
      <c r="C1031" s="52"/>
      <c r="D1031" s="52"/>
      <c r="E1031" s="52"/>
      <c r="F1031" s="52"/>
      <c r="G1031" s="52"/>
      <c r="H1031" s="52"/>
    </row>
    <row r="1032" spans="1:8" ht="15.75">
      <c r="A1032" s="50">
        <v>40886</v>
      </c>
      <c r="B1032" s="51">
        <v>1278.28</v>
      </c>
      <c r="C1032" s="52"/>
      <c r="D1032" s="52"/>
      <c r="E1032" s="52"/>
      <c r="F1032" s="52"/>
      <c r="G1032" s="52"/>
      <c r="H1032" s="52"/>
    </row>
    <row r="1033" spans="1:8" ht="15.75">
      <c r="A1033" s="50">
        <v>40889</v>
      </c>
      <c r="B1033" s="51">
        <v>1264.83</v>
      </c>
      <c r="C1033" s="52"/>
      <c r="D1033" s="52"/>
      <c r="E1033" s="52"/>
      <c r="F1033" s="52"/>
      <c r="G1033" s="52"/>
      <c r="H1033" s="52"/>
    </row>
    <row r="1034" spans="1:8" ht="15.75">
      <c r="A1034" s="50">
        <v>40890</v>
      </c>
      <c r="B1034" s="51">
        <v>1251.76</v>
      </c>
      <c r="C1034" s="52"/>
      <c r="D1034" s="52"/>
      <c r="E1034" s="52"/>
      <c r="F1034" s="52"/>
      <c r="G1034" s="52"/>
      <c r="H1034" s="52"/>
    </row>
    <row r="1035" spans="1:8" ht="15.75">
      <c r="A1035" s="50">
        <v>40891</v>
      </c>
      <c r="B1035" s="51">
        <v>1214.23</v>
      </c>
      <c r="C1035" s="52"/>
      <c r="D1035" s="52"/>
      <c r="E1035" s="52"/>
      <c r="F1035" s="52"/>
      <c r="G1035" s="52"/>
      <c r="H1035" s="52"/>
    </row>
    <row r="1036" spans="1:8" ht="15.75">
      <c r="A1036" s="50">
        <v>40892</v>
      </c>
      <c r="B1036" s="51">
        <v>1206.04</v>
      </c>
      <c r="C1036" s="52"/>
      <c r="D1036" s="52"/>
      <c r="E1036" s="52"/>
      <c r="F1036" s="52"/>
      <c r="G1036" s="52"/>
      <c r="H1036" s="52"/>
    </row>
    <row r="1037" spans="1:8" ht="15.75">
      <c r="A1037" s="50">
        <v>40893</v>
      </c>
      <c r="B1037" s="51">
        <v>1225.71</v>
      </c>
      <c r="C1037" s="52"/>
      <c r="D1037" s="52"/>
      <c r="E1037" s="52"/>
      <c r="F1037" s="52"/>
      <c r="G1037" s="52"/>
      <c r="H1037" s="52"/>
    </row>
    <row r="1038" spans="1:8" ht="15.75">
      <c r="A1038" s="50">
        <v>40896</v>
      </c>
      <c r="B1038" s="51">
        <v>1223.92</v>
      </c>
      <c r="C1038" s="52"/>
      <c r="D1038" s="52"/>
      <c r="E1038" s="52"/>
      <c r="F1038" s="52"/>
      <c r="G1038" s="52"/>
      <c r="H1038" s="52"/>
    </row>
    <row r="1039" spans="1:8" ht="15.75">
      <c r="A1039" s="50">
        <v>40897</v>
      </c>
      <c r="B1039" s="51">
        <v>1237.96</v>
      </c>
      <c r="C1039" s="52"/>
      <c r="D1039" s="52"/>
      <c r="E1039" s="52"/>
      <c r="F1039" s="52"/>
      <c r="G1039" s="52"/>
      <c r="H1039" s="52"/>
    </row>
    <row r="1040" spans="1:8" ht="15.75">
      <c r="A1040" s="50">
        <v>40898</v>
      </c>
      <c r="B1040" s="51">
        <v>1238.29</v>
      </c>
      <c r="C1040" s="52"/>
      <c r="D1040" s="52"/>
      <c r="E1040" s="52"/>
      <c r="F1040" s="52"/>
      <c r="G1040" s="52"/>
      <c r="H1040" s="52"/>
    </row>
    <row r="1041" spans="1:8" ht="15.75">
      <c r="A1041" s="50">
        <v>40899</v>
      </c>
      <c r="B1041" s="51">
        <v>1230</v>
      </c>
      <c r="C1041" s="52"/>
      <c r="D1041" s="52"/>
      <c r="E1041" s="52"/>
      <c r="F1041" s="52"/>
      <c r="G1041" s="52"/>
      <c r="H1041" s="52"/>
    </row>
    <row r="1042" spans="1:8" ht="15.75">
      <c r="A1042" s="50">
        <v>40900</v>
      </c>
      <c r="B1042" s="51">
        <v>1231.67</v>
      </c>
      <c r="C1042" s="52"/>
      <c r="D1042" s="52"/>
      <c r="E1042" s="52"/>
      <c r="F1042" s="52"/>
      <c r="G1042" s="52"/>
      <c r="H1042" s="52"/>
    </row>
    <row r="1043" spans="1:8" ht="15.75">
      <c r="A1043" s="50">
        <v>40903</v>
      </c>
      <c r="B1043" s="51">
        <v>1228.27</v>
      </c>
      <c r="C1043" s="52"/>
      <c r="D1043" s="52"/>
      <c r="E1043" s="52"/>
      <c r="F1043" s="52"/>
      <c r="G1043" s="52"/>
      <c r="H1043" s="52"/>
    </row>
    <row r="1044" spans="1:8" ht="15.75">
      <c r="A1044" s="50">
        <v>40904</v>
      </c>
      <c r="B1044" s="51">
        <v>1219.1099999999999</v>
      </c>
      <c r="C1044" s="52"/>
      <c r="D1044" s="52"/>
      <c r="E1044" s="52"/>
      <c r="F1044" s="52"/>
      <c r="G1044" s="52"/>
      <c r="H1044" s="52"/>
    </row>
    <row r="1045" spans="1:8" ht="15.75">
      <c r="A1045" s="50">
        <v>40905</v>
      </c>
      <c r="B1045" s="51">
        <v>1200.52</v>
      </c>
      <c r="C1045" s="52"/>
      <c r="D1045" s="52"/>
      <c r="E1045" s="52"/>
      <c r="F1045" s="52"/>
      <c r="G1045" s="52"/>
      <c r="H1045" s="52"/>
    </row>
    <row r="1046" spans="1:8" ht="15.75">
      <c r="A1046" s="50">
        <v>40906</v>
      </c>
      <c r="B1046" s="51">
        <v>1195.04</v>
      </c>
      <c r="C1046" s="52"/>
      <c r="D1046" s="52"/>
      <c r="E1046" s="52"/>
      <c r="F1046" s="52"/>
      <c r="G1046" s="52"/>
      <c r="H1046" s="52"/>
    </row>
    <row r="1047" spans="1:8" ht="15.75">
      <c r="A1047" s="50">
        <v>40907</v>
      </c>
      <c r="B1047" s="51">
        <v>1210.21</v>
      </c>
      <c r="C1047" s="52"/>
      <c r="D1047" s="52"/>
      <c r="E1047" s="52"/>
      <c r="F1047" s="52"/>
      <c r="G1047" s="52"/>
      <c r="H1047" s="52"/>
    </row>
    <row r="1048" spans="1:8" ht="15.75">
      <c r="A1048" s="50">
        <v>40910</v>
      </c>
      <c r="B1048" s="51">
        <v>1215.94</v>
      </c>
      <c r="C1048" s="52"/>
      <c r="D1048" s="52"/>
      <c r="E1048" s="52"/>
      <c r="F1048" s="52"/>
      <c r="G1048" s="52"/>
      <c r="H1048" s="52"/>
    </row>
    <row r="1049" spans="1:8" ht="15.75">
      <c r="A1049" s="50">
        <v>40911</v>
      </c>
      <c r="B1049" s="51">
        <v>1228.8900000000001</v>
      </c>
      <c r="C1049" s="52"/>
      <c r="D1049" s="52"/>
      <c r="E1049" s="52"/>
      <c r="F1049" s="52"/>
      <c r="G1049" s="52"/>
      <c r="H1049" s="52"/>
    </row>
    <row r="1050" spans="1:8" ht="15.75">
      <c r="A1050" s="50">
        <v>40912</v>
      </c>
      <c r="B1050" s="51">
        <v>1247.97</v>
      </c>
      <c r="C1050" s="52"/>
      <c r="D1050" s="52"/>
      <c r="E1050" s="52"/>
      <c r="F1050" s="52"/>
      <c r="G1050" s="52"/>
      <c r="H1050" s="52"/>
    </row>
    <row r="1051" spans="1:8" ht="15.75">
      <c r="A1051" s="50">
        <v>40913</v>
      </c>
      <c r="B1051" s="51">
        <v>1267.69</v>
      </c>
      <c r="C1051" s="52"/>
      <c r="D1051" s="52"/>
      <c r="E1051" s="52"/>
      <c r="F1051" s="52"/>
      <c r="G1051" s="52"/>
      <c r="H1051" s="52"/>
    </row>
    <row r="1052" spans="1:8" ht="15.75">
      <c r="A1052" s="50">
        <v>40914</v>
      </c>
      <c r="B1052" s="51">
        <v>1271.77</v>
      </c>
      <c r="C1052" s="52"/>
      <c r="D1052" s="52"/>
      <c r="E1052" s="52"/>
      <c r="F1052" s="52"/>
      <c r="G1052" s="52"/>
      <c r="H1052" s="52"/>
    </row>
    <row r="1053" spans="1:8" ht="15.75">
      <c r="A1053" s="50">
        <v>40917</v>
      </c>
      <c r="B1053" s="51">
        <v>1259.1400000000001</v>
      </c>
      <c r="C1053" s="52"/>
      <c r="D1053" s="52"/>
      <c r="E1053" s="52"/>
      <c r="F1053" s="52"/>
      <c r="G1053" s="52"/>
      <c r="H1053" s="52"/>
    </row>
    <row r="1054" spans="1:8" ht="15.75">
      <c r="A1054" s="50">
        <v>40918</v>
      </c>
      <c r="B1054" s="51">
        <v>1277.33</v>
      </c>
      <c r="C1054" s="52"/>
      <c r="D1054" s="52"/>
      <c r="E1054" s="52"/>
      <c r="F1054" s="52"/>
      <c r="G1054" s="52"/>
      <c r="H1054" s="52"/>
    </row>
    <row r="1055" spans="1:8" ht="15.75">
      <c r="A1055" s="50">
        <v>40919</v>
      </c>
      <c r="B1055" s="51">
        <v>1292.04</v>
      </c>
      <c r="C1055" s="52"/>
      <c r="D1055" s="52"/>
      <c r="E1055" s="52"/>
      <c r="F1055" s="52"/>
      <c r="G1055" s="52"/>
      <c r="H1055" s="52"/>
    </row>
    <row r="1056" spans="1:8" ht="15.75">
      <c r="A1056" s="50">
        <v>40920</v>
      </c>
      <c r="B1056" s="51">
        <v>1288.6300000000001</v>
      </c>
      <c r="C1056" s="52"/>
      <c r="D1056" s="52"/>
      <c r="E1056" s="52"/>
      <c r="F1056" s="52"/>
      <c r="G1056" s="52"/>
      <c r="H1056" s="52"/>
    </row>
    <row r="1057" spans="1:8" ht="15.75">
      <c r="A1057" s="50">
        <v>40921</v>
      </c>
      <c r="B1057" s="51">
        <v>1293.73</v>
      </c>
      <c r="C1057" s="52"/>
      <c r="D1057" s="52"/>
      <c r="E1057" s="52"/>
      <c r="F1057" s="52"/>
      <c r="G1057" s="52"/>
      <c r="H1057" s="52"/>
    </row>
    <row r="1058" spans="1:8" ht="15.75">
      <c r="A1058" s="50">
        <v>40924</v>
      </c>
      <c r="B1058" s="51">
        <v>1298.81</v>
      </c>
      <c r="C1058" s="52"/>
      <c r="D1058" s="52"/>
      <c r="E1058" s="52"/>
      <c r="F1058" s="52"/>
      <c r="G1058" s="52"/>
      <c r="H1058" s="52"/>
    </row>
    <row r="1059" spans="1:8" ht="15.75">
      <c r="A1059" s="50">
        <v>40925</v>
      </c>
      <c r="B1059" s="51">
        <v>1296.5999999999999</v>
      </c>
      <c r="C1059" s="52"/>
      <c r="D1059" s="52"/>
      <c r="E1059" s="52"/>
      <c r="F1059" s="52"/>
      <c r="G1059" s="52"/>
      <c r="H1059" s="52"/>
    </row>
    <row r="1060" spans="1:8" ht="15.75">
      <c r="A1060" s="50">
        <v>40926</v>
      </c>
      <c r="B1060" s="51">
        <v>1291.6600000000001</v>
      </c>
      <c r="C1060" s="52"/>
      <c r="D1060" s="52"/>
      <c r="E1060" s="52"/>
      <c r="F1060" s="52"/>
      <c r="G1060" s="52"/>
      <c r="H1060" s="52"/>
    </row>
    <row r="1061" spans="1:8" ht="15.75">
      <c r="A1061" s="50">
        <v>40927</v>
      </c>
      <c r="B1061" s="51">
        <v>1275.3499999999999</v>
      </c>
      <c r="C1061" s="52"/>
      <c r="D1061" s="52"/>
      <c r="E1061" s="52"/>
      <c r="F1061" s="52"/>
      <c r="G1061" s="52"/>
      <c r="H1061" s="52"/>
    </row>
    <row r="1062" spans="1:8" ht="15.75">
      <c r="A1062" s="50">
        <v>40928</v>
      </c>
      <c r="B1062" s="51">
        <v>1287.1400000000001</v>
      </c>
      <c r="C1062" s="52"/>
      <c r="D1062" s="52"/>
      <c r="E1062" s="52"/>
      <c r="F1062" s="52"/>
      <c r="G1062" s="52"/>
      <c r="H1062" s="52"/>
    </row>
    <row r="1063" spans="1:8" ht="15.75">
      <c r="A1063" s="50">
        <v>40931</v>
      </c>
      <c r="B1063" s="51">
        <v>1288.19</v>
      </c>
      <c r="C1063" s="52"/>
      <c r="D1063" s="52"/>
      <c r="E1063" s="52"/>
      <c r="F1063" s="52"/>
      <c r="G1063" s="52"/>
      <c r="H1063" s="52"/>
    </row>
    <row r="1064" spans="1:8" ht="15.75">
      <c r="A1064" s="50">
        <v>40932</v>
      </c>
      <c r="B1064" s="51">
        <v>1278.9000000000001</v>
      </c>
      <c r="C1064" s="52"/>
      <c r="D1064" s="52"/>
      <c r="E1064" s="52"/>
      <c r="F1064" s="52"/>
      <c r="G1064" s="52"/>
      <c r="H1064" s="52"/>
    </row>
    <row r="1065" spans="1:8" ht="15.75">
      <c r="A1065" s="50">
        <v>40933</v>
      </c>
      <c r="B1065" s="51">
        <v>1305.4000000000001</v>
      </c>
      <c r="C1065" s="52"/>
      <c r="D1065" s="52"/>
      <c r="E1065" s="52"/>
      <c r="F1065" s="52"/>
      <c r="G1065" s="52"/>
      <c r="H1065" s="52"/>
    </row>
    <row r="1066" spans="1:8" ht="15.75">
      <c r="A1066" s="50">
        <v>40934</v>
      </c>
      <c r="B1066" s="51">
        <v>1313.12</v>
      </c>
      <c r="C1066" s="52"/>
      <c r="D1066" s="52"/>
      <c r="E1066" s="52"/>
      <c r="F1066" s="52"/>
      <c r="G1066" s="52"/>
      <c r="H1066" s="52"/>
    </row>
    <row r="1067" spans="1:8" ht="15.75">
      <c r="A1067" s="50">
        <v>40935</v>
      </c>
      <c r="B1067" s="51">
        <v>1314.64</v>
      </c>
      <c r="C1067" s="52"/>
      <c r="D1067" s="52"/>
      <c r="E1067" s="52"/>
      <c r="F1067" s="52"/>
      <c r="G1067" s="52"/>
      <c r="H1067" s="52"/>
    </row>
    <row r="1068" spans="1:8" ht="15.75">
      <c r="A1068" s="50">
        <v>40938</v>
      </c>
      <c r="B1068" s="51">
        <v>1317.18</v>
      </c>
      <c r="C1068" s="52"/>
      <c r="D1068" s="52"/>
      <c r="E1068" s="52"/>
      <c r="F1068" s="52"/>
      <c r="G1068" s="52"/>
      <c r="H1068" s="52"/>
    </row>
    <row r="1069" spans="1:8" ht="15.75">
      <c r="A1069" s="50">
        <v>40939</v>
      </c>
      <c r="B1069" s="51">
        <v>1319.1</v>
      </c>
      <c r="C1069" s="52"/>
      <c r="D1069" s="52"/>
      <c r="E1069" s="52"/>
      <c r="F1069" s="52"/>
      <c r="G1069" s="52"/>
      <c r="H1069" s="52"/>
    </row>
    <row r="1070" spans="1:8" ht="15.75">
      <c r="A1070" s="50">
        <v>40940</v>
      </c>
      <c r="B1070" s="51">
        <v>1325.36</v>
      </c>
      <c r="C1070" s="52"/>
      <c r="D1070" s="52"/>
      <c r="E1070" s="52"/>
      <c r="F1070" s="52"/>
      <c r="G1070" s="52"/>
      <c r="H1070" s="52"/>
    </row>
    <row r="1071" spans="1:8" ht="15.75">
      <c r="A1071" s="50">
        <v>40941</v>
      </c>
      <c r="B1071" s="51">
        <v>1337.73</v>
      </c>
      <c r="C1071" s="52"/>
      <c r="D1071" s="52"/>
      <c r="E1071" s="52"/>
      <c r="F1071" s="52"/>
      <c r="G1071" s="52"/>
      <c r="H1071" s="52"/>
    </row>
    <row r="1072" spans="1:8" ht="15.75">
      <c r="A1072" s="50">
        <v>40942</v>
      </c>
      <c r="B1072" s="51">
        <v>1312.31</v>
      </c>
      <c r="C1072" s="52"/>
      <c r="D1072" s="52"/>
      <c r="E1072" s="52"/>
      <c r="F1072" s="52"/>
      <c r="G1072" s="52"/>
      <c r="H1072" s="52"/>
    </row>
    <row r="1073" spans="1:8" ht="15.75">
      <c r="A1073" s="50">
        <v>40945</v>
      </c>
      <c r="B1073" s="51">
        <v>1310.68</v>
      </c>
      <c r="C1073" s="52"/>
      <c r="D1073" s="52"/>
      <c r="E1073" s="52"/>
      <c r="F1073" s="52"/>
      <c r="G1073" s="52"/>
      <c r="H1073" s="52"/>
    </row>
    <row r="1074" spans="1:8" ht="15.75">
      <c r="A1074" s="50">
        <v>40946</v>
      </c>
      <c r="B1074" s="51">
        <v>1316.13</v>
      </c>
      <c r="C1074" s="52"/>
      <c r="D1074" s="52"/>
      <c r="E1074" s="52"/>
      <c r="F1074" s="52"/>
      <c r="G1074" s="52"/>
      <c r="H1074" s="52"/>
    </row>
    <row r="1075" spans="1:8" ht="15.75">
      <c r="A1075" s="50">
        <v>40947</v>
      </c>
      <c r="B1075" s="51">
        <v>1308.77</v>
      </c>
      <c r="C1075" s="52"/>
      <c r="D1075" s="52"/>
      <c r="E1075" s="52"/>
      <c r="F1075" s="52"/>
      <c r="G1075" s="52"/>
      <c r="H1075" s="52"/>
    </row>
    <row r="1076" spans="1:8" ht="15.75">
      <c r="A1076" s="50">
        <v>40948</v>
      </c>
      <c r="B1076" s="51">
        <v>1302.22</v>
      </c>
      <c r="C1076" s="52"/>
      <c r="D1076" s="52"/>
      <c r="E1076" s="52"/>
      <c r="F1076" s="52"/>
      <c r="G1076" s="52"/>
      <c r="H1076" s="52"/>
    </row>
    <row r="1077" spans="1:8" ht="15.75">
      <c r="A1077" s="50">
        <v>40949</v>
      </c>
      <c r="B1077" s="51">
        <v>1303.76</v>
      </c>
      <c r="C1077" s="52"/>
      <c r="D1077" s="52"/>
      <c r="E1077" s="52"/>
      <c r="F1077" s="52"/>
      <c r="G1077" s="52"/>
      <c r="H1077" s="52"/>
    </row>
    <row r="1078" spans="1:8" ht="15.75">
      <c r="A1078" s="50">
        <v>40952</v>
      </c>
      <c r="B1078" s="51">
        <v>1306.97</v>
      </c>
      <c r="C1078" s="52"/>
      <c r="D1078" s="52"/>
      <c r="E1078" s="52"/>
      <c r="F1078" s="52"/>
      <c r="G1078" s="52"/>
      <c r="H1078" s="52"/>
    </row>
    <row r="1079" spans="1:8" ht="15.75">
      <c r="A1079" s="50">
        <v>40953</v>
      </c>
      <c r="B1079" s="51">
        <v>1310.89</v>
      </c>
      <c r="C1079" s="52"/>
      <c r="D1079" s="52"/>
      <c r="E1079" s="52"/>
      <c r="F1079" s="52"/>
      <c r="G1079" s="52"/>
      <c r="H1079" s="52"/>
    </row>
    <row r="1080" spans="1:8" ht="15.75">
      <c r="A1080" s="50">
        <v>40954</v>
      </c>
      <c r="B1080" s="51">
        <v>1323.2</v>
      </c>
      <c r="C1080" s="52"/>
      <c r="D1080" s="52"/>
      <c r="E1080" s="52"/>
      <c r="F1080" s="52"/>
      <c r="G1080" s="52"/>
      <c r="H1080" s="52"/>
    </row>
    <row r="1081" spans="1:8" ht="15.75">
      <c r="A1081" s="50">
        <v>40955</v>
      </c>
      <c r="B1081" s="51">
        <v>1316.24</v>
      </c>
      <c r="C1081" s="52"/>
      <c r="D1081" s="52"/>
      <c r="E1081" s="52"/>
      <c r="F1081" s="52"/>
      <c r="G1081" s="52"/>
      <c r="H1081" s="52"/>
    </row>
    <row r="1082" spans="1:8" ht="15.75">
      <c r="A1082" s="50">
        <v>40956</v>
      </c>
      <c r="B1082" s="51">
        <v>1311.45</v>
      </c>
      <c r="C1082" s="52"/>
      <c r="D1082" s="52"/>
      <c r="E1082" s="52"/>
      <c r="F1082" s="52"/>
      <c r="G1082" s="52"/>
      <c r="H1082" s="52"/>
    </row>
    <row r="1083" spans="1:8" ht="15.75">
      <c r="A1083" s="50">
        <v>40959</v>
      </c>
      <c r="B1083" s="51">
        <v>1311.32</v>
      </c>
      <c r="C1083" s="52"/>
      <c r="D1083" s="52"/>
      <c r="E1083" s="52"/>
      <c r="F1083" s="52"/>
      <c r="G1083" s="52"/>
      <c r="H1083" s="52"/>
    </row>
    <row r="1084" spans="1:8" ht="15.75">
      <c r="A1084" s="50">
        <v>40960</v>
      </c>
      <c r="B1084" s="51">
        <v>1329.9</v>
      </c>
      <c r="C1084" s="52"/>
      <c r="D1084" s="52"/>
      <c r="E1084" s="52"/>
      <c r="F1084" s="52"/>
      <c r="G1084" s="52"/>
      <c r="H1084" s="52"/>
    </row>
    <row r="1085" spans="1:8" ht="15.75">
      <c r="A1085" s="50">
        <v>40961</v>
      </c>
      <c r="B1085" s="51">
        <v>1340.82</v>
      </c>
      <c r="C1085" s="52"/>
      <c r="D1085" s="52"/>
      <c r="E1085" s="52"/>
      <c r="F1085" s="52"/>
      <c r="G1085" s="52"/>
      <c r="H1085" s="52"/>
    </row>
    <row r="1086" spans="1:8" ht="15.75">
      <c r="A1086" s="50">
        <v>40962</v>
      </c>
      <c r="B1086" s="51">
        <v>1329.05</v>
      </c>
      <c r="C1086" s="52"/>
      <c r="D1086" s="52"/>
      <c r="E1086" s="52"/>
      <c r="F1086" s="52"/>
      <c r="G1086" s="52"/>
      <c r="H1086" s="52"/>
    </row>
    <row r="1087" spans="1:8" ht="15.75">
      <c r="A1087" s="50">
        <v>40963</v>
      </c>
      <c r="B1087" s="51">
        <v>1317.13</v>
      </c>
      <c r="C1087" s="52"/>
      <c r="D1087" s="52"/>
      <c r="E1087" s="52"/>
      <c r="F1087" s="52"/>
      <c r="G1087" s="52"/>
      <c r="H1087" s="52"/>
    </row>
    <row r="1088" spans="1:8" ht="15.75">
      <c r="A1088" s="50">
        <v>40966</v>
      </c>
      <c r="B1088" s="51">
        <v>1319.97</v>
      </c>
      <c r="C1088" s="52"/>
      <c r="D1088" s="52"/>
      <c r="E1088" s="52"/>
      <c r="F1088" s="52"/>
      <c r="G1088" s="52"/>
      <c r="H1088" s="52"/>
    </row>
    <row r="1089" spans="1:8" ht="15.75">
      <c r="A1089" s="50">
        <v>40967</v>
      </c>
      <c r="B1089" s="51">
        <v>1325.32</v>
      </c>
      <c r="C1089" s="52"/>
      <c r="D1089" s="52"/>
      <c r="E1089" s="52"/>
      <c r="F1089" s="52"/>
      <c r="G1089" s="52"/>
      <c r="H1089" s="52"/>
    </row>
    <row r="1090" spans="1:8" ht="15.75">
      <c r="A1090" s="50">
        <v>40968</v>
      </c>
      <c r="B1090" s="51">
        <v>1273.6400000000001</v>
      </c>
      <c r="C1090" s="52"/>
      <c r="D1090" s="52"/>
      <c r="E1090" s="52"/>
      <c r="F1090" s="52"/>
      <c r="G1090" s="52"/>
      <c r="H1090" s="52"/>
    </row>
    <row r="1091" spans="1:8" ht="15.75">
      <c r="A1091" s="50">
        <v>40969</v>
      </c>
      <c r="B1091" s="51">
        <v>1290.6099999999999</v>
      </c>
      <c r="C1091" s="52"/>
      <c r="D1091" s="52"/>
      <c r="E1091" s="52"/>
      <c r="F1091" s="52"/>
      <c r="G1091" s="52"/>
      <c r="H1091" s="52"/>
    </row>
    <row r="1092" spans="1:8" ht="15.75">
      <c r="A1092" s="50">
        <v>40970</v>
      </c>
      <c r="B1092" s="51">
        <v>1296.6400000000001</v>
      </c>
      <c r="C1092" s="52"/>
      <c r="D1092" s="52"/>
      <c r="E1092" s="52"/>
      <c r="F1092" s="52"/>
      <c r="G1092" s="52"/>
      <c r="H1092" s="52"/>
    </row>
    <row r="1093" spans="1:8" ht="15.75">
      <c r="A1093" s="50">
        <v>40973</v>
      </c>
      <c r="B1093" s="51">
        <v>1291.03</v>
      </c>
      <c r="C1093" s="52"/>
      <c r="D1093" s="52"/>
      <c r="E1093" s="52"/>
      <c r="F1093" s="52"/>
      <c r="G1093" s="52"/>
      <c r="H1093" s="52"/>
    </row>
    <row r="1094" spans="1:8" ht="15.75">
      <c r="A1094" s="50">
        <v>40974</v>
      </c>
      <c r="B1094" s="51">
        <v>1276.8399999999999</v>
      </c>
      <c r="C1094" s="52"/>
      <c r="D1094" s="52"/>
      <c r="E1094" s="52"/>
      <c r="F1094" s="52"/>
      <c r="G1094" s="52"/>
      <c r="H1094" s="52"/>
    </row>
    <row r="1095" spans="1:8" ht="15.75">
      <c r="A1095" s="50">
        <v>40975</v>
      </c>
      <c r="B1095" s="51">
        <v>1280.78</v>
      </c>
      <c r="C1095" s="52"/>
      <c r="D1095" s="52"/>
      <c r="E1095" s="52"/>
      <c r="F1095" s="52"/>
      <c r="G1095" s="52"/>
      <c r="H1095" s="52"/>
    </row>
    <row r="1096" spans="1:8" ht="15.75">
      <c r="A1096" s="50">
        <v>40976</v>
      </c>
      <c r="B1096" s="51">
        <v>1280.1500000000001</v>
      </c>
      <c r="C1096" s="52"/>
      <c r="D1096" s="52"/>
      <c r="E1096" s="52"/>
      <c r="F1096" s="52"/>
      <c r="G1096" s="52"/>
      <c r="H1096" s="52"/>
    </row>
    <row r="1097" spans="1:8" ht="15.75">
      <c r="A1097" s="50">
        <v>40977</v>
      </c>
      <c r="B1097" s="51">
        <v>1305.55</v>
      </c>
      <c r="C1097" s="52"/>
      <c r="D1097" s="52"/>
      <c r="E1097" s="52"/>
      <c r="F1097" s="52"/>
      <c r="G1097" s="52"/>
      <c r="H1097" s="52"/>
    </row>
    <row r="1098" spans="1:8" ht="15.75">
      <c r="A1098" s="50">
        <v>40980</v>
      </c>
      <c r="B1098" s="51">
        <v>1292.6400000000001</v>
      </c>
      <c r="C1098" s="52"/>
      <c r="D1098" s="52"/>
      <c r="E1098" s="52"/>
      <c r="F1098" s="52"/>
      <c r="G1098" s="52"/>
      <c r="H1098" s="52"/>
    </row>
    <row r="1099" spans="1:8" ht="15.75">
      <c r="A1099" s="50">
        <v>40981</v>
      </c>
      <c r="B1099" s="51">
        <v>1281.8</v>
      </c>
      <c r="C1099" s="52"/>
      <c r="D1099" s="52"/>
      <c r="E1099" s="52"/>
      <c r="F1099" s="52"/>
      <c r="G1099" s="52"/>
      <c r="H1099" s="52"/>
    </row>
    <row r="1100" spans="1:8" ht="15.75">
      <c r="A1100" s="50">
        <v>40982</v>
      </c>
      <c r="B1100" s="51">
        <v>1261.1500000000001</v>
      </c>
      <c r="C1100" s="52"/>
      <c r="D1100" s="52"/>
      <c r="E1100" s="52"/>
      <c r="F1100" s="52"/>
      <c r="G1100" s="52"/>
      <c r="H1100" s="52"/>
    </row>
    <row r="1101" spans="1:8" ht="15.75">
      <c r="A1101" s="50">
        <v>40983</v>
      </c>
      <c r="B1101" s="51">
        <v>1266.94</v>
      </c>
      <c r="C1101" s="52"/>
      <c r="D1101" s="52"/>
      <c r="E1101" s="52"/>
      <c r="F1101" s="52"/>
      <c r="G1101" s="52"/>
      <c r="H1101" s="52"/>
    </row>
    <row r="1102" spans="1:8" ht="15.75">
      <c r="A1102" s="50">
        <v>40984</v>
      </c>
      <c r="B1102" s="51">
        <v>1259.57</v>
      </c>
      <c r="C1102" s="52"/>
      <c r="D1102" s="52"/>
      <c r="E1102" s="52"/>
      <c r="F1102" s="52"/>
      <c r="G1102" s="52"/>
      <c r="H1102" s="52"/>
    </row>
    <row r="1103" spans="1:8" ht="15.75">
      <c r="A1103" s="50">
        <v>40987</v>
      </c>
      <c r="B1103" s="51">
        <v>1256.1199999999999</v>
      </c>
      <c r="C1103" s="52"/>
      <c r="D1103" s="52"/>
      <c r="E1103" s="52"/>
      <c r="F1103" s="52"/>
      <c r="G1103" s="52"/>
      <c r="H1103" s="52"/>
    </row>
    <row r="1104" spans="1:8" ht="15.75">
      <c r="A1104" s="50">
        <v>40988</v>
      </c>
      <c r="B1104" s="51">
        <v>1246.18</v>
      </c>
      <c r="C1104" s="52"/>
      <c r="D1104" s="52"/>
      <c r="E1104" s="52"/>
      <c r="F1104" s="52"/>
      <c r="G1104" s="52"/>
      <c r="H1104" s="52"/>
    </row>
    <row r="1105" spans="1:8" ht="15.75">
      <c r="A1105" s="50">
        <v>40989</v>
      </c>
      <c r="B1105" s="51">
        <v>1248.58</v>
      </c>
      <c r="C1105" s="52"/>
      <c r="D1105" s="52"/>
      <c r="E1105" s="52"/>
      <c r="F1105" s="52"/>
      <c r="G1105" s="52"/>
      <c r="H1105" s="52"/>
    </row>
    <row r="1106" spans="1:8" ht="15.75">
      <c r="A1106" s="50">
        <v>40990</v>
      </c>
      <c r="B1106" s="51">
        <v>1246</v>
      </c>
      <c r="C1106" s="52"/>
      <c r="D1106" s="52"/>
      <c r="E1106" s="52"/>
      <c r="F1106" s="52"/>
      <c r="G1106" s="52"/>
      <c r="H1106" s="52"/>
    </row>
    <row r="1107" spans="1:8" ht="15.75">
      <c r="A1107" s="50">
        <v>40991</v>
      </c>
      <c r="B1107" s="51">
        <v>1254.26</v>
      </c>
      <c r="C1107" s="52"/>
      <c r="D1107" s="52"/>
      <c r="E1107" s="52"/>
      <c r="F1107" s="52"/>
      <c r="G1107" s="52"/>
      <c r="H1107" s="52"/>
    </row>
    <row r="1108" spans="1:8" ht="15.75">
      <c r="A1108" s="50">
        <v>40994</v>
      </c>
      <c r="B1108" s="51">
        <v>1265.3699999999999</v>
      </c>
      <c r="C1108" s="52"/>
      <c r="D1108" s="52"/>
      <c r="E1108" s="52"/>
      <c r="F1108" s="52"/>
      <c r="G1108" s="52"/>
      <c r="H1108" s="52"/>
    </row>
    <row r="1109" spans="1:8" ht="15.75">
      <c r="A1109" s="50">
        <v>40995</v>
      </c>
      <c r="B1109" s="51">
        <v>1261.3900000000001</v>
      </c>
      <c r="C1109" s="52"/>
      <c r="D1109" s="52"/>
      <c r="E1109" s="52"/>
      <c r="F1109" s="52"/>
      <c r="G1109" s="52"/>
      <c r="H1109" s="52"/>
    </row>
    <row r="1110" spans="1:8" ht="15.75">
      <c r="A1110" s="50">
        <v>40996</v>
      </c>
      <c r="B1110" s="51">
        <v>1248.25</v>
      </c>
      <c r="C1110" s="52"/>
      <c r="D1110" s="52"/>
      <c r="E1110" s="52"/>
      <c r="F1110" s="52"/>
      <c r="G1110" s="52"/>
      <c r="H1110" s="52"/>
    </row>
    <row r="1111" spans="1:8" ht="15.75">
      <c r="A1111" s="50">
        <v>40997</v>
      </c>
      <c r="B1111" s="51">
        <v>1249.25</v>
      </c>
      <c r="C1111" s="52"/>
      <c r="D1111" s="52"/>
      <c r="E1111" s="52"/>
      <c r="F1111" s="52"/>
      <c r="G1111" s="52"/>
      <c r="H1111" s="52"/>
    </row>
    <row r="1112" spans="1:8" ht="15.75">
      <c r="A1112" s="50">
        <v>40998</v>
      </c>
      <c r="B1112" s="51">
        <v>1249.25</v>
      </c>
      <c r="C1112" s="52"/>
      <c r="D1112" s="52"/>
      <c r="E1112" s="52"/>
      <c r="F1112" s="52"/>
      <c r="G1112" s="52"/>
      <c r="H1112" s="52"/>
    </row>
    <row r="1113" spans="1:8" ht="15.75">
      <c r="A1113" s="50">
        <v>41001</v>
      </c>
      <c r="B1113" s="51">
        <v>1260.78</v>
      </c>
      <c r="C1113" s="52"/>
      <c r="D1113" s="52"/>
      <c r="E1113" s="52"/>
      <c r="F1113" s="52"/>
      <c r="G1113" s="52"/>
      <c r="H1113" s="52"/>
    </row>
    <row r="1114" spans="1:8" ht="15.75">
      <c r="A1114" s="50">
        <v>41002</v>
      </c>
      <c r="B1114" s="51">
        <v>1243.8399999999999</v>
      </c>
      <c r="C1114" s="52"/>
      <c r="D1114" s="52"/>
      <c r="E1114" s="52"/>
      <c r="F1114" s="52"/>
      <c r="G1114" s="52"/>
      <c r="H1114" s="52"/>
    </row>
    <row r="1115" spans="1:8" ht="15.75">
      <c r="A1115" s="50">
        <v>41003</v>
      </c>
      <c r="B1115" s="51">
        <v>1233.45</v>
      </c>
      <c r="C1115" s="52"/>
      <c r="D1115" s="52"/>
      <c r="E1115" s="52"/>
      <c r="F1115" s="52"/>
      <c r="G1115" s="52"/>
      <c r="H1115" s="52"/>
    </row>
    <row r="1116" spans="1:8" ht="15.75">
      <c r="A1116" s="50">
        <v>41004</v>
      </c>
      <c r="B1116" s="51">
        <v>1246.17</v>
      </c>
      <c r="C1116" s="52"/>
      <c r="D1116" s="52"/>
      <c r="E1116" s="52"/>
      <c r="F1116" s="52"/>
      <c r="G1116" s="52"/>
      <c r="H1116" s="52"/>
    </row>
    <row r="1117" spans="1:8" ht="15.75">
      <c r="A1117" s="50">
        <v>41008</v>
      </c>
      <c r="B1117" s="51">
        <v>1251.8699999999999</v>
      </c>
      <c r="C1117" s="52"/>
      <c r="D1117" s="52"/>
      <c r="E1117" s="52"/>
      <c r="F1117" s="52"/>
      <c r="G1117" s="52"/>
      <c r="H1117" s="52"/>
    </row>
    <row r="1118" spans="1:8" ht="15.75">
      <c r="A1118" s="50">
        <v>41009</v>
      </c>
      <c r="B1118" s="51">
        <v>1269.28</v>
      </c>
      <c r="C1118" s="52"/>
      <c r="D1118" s="52"/>
      <c r="E1118" s="52"/>
      <c r="F1118" s="52"/>
      <c r="G1118" s="52"/>
      <c r="H1118" s="52"/>
    </row>
    <row r="1119" spans="1:8" ht="15.75">
      <c r="A1119" s="50">
        <v>41010</v>
      </c>
      <c r="B1119" s="51">
        <v>1265.1400000000001</v>
      </c>
      <c r="C1119" s="52"/>
      <c r="D1119" s="52"/>
      <c r="E1119" s="52"/>
      <c r="F1119" s="52"/>
      <c r="G1119" s="52"/>
      <c r="H1119" s="52"/>
    </row>
    <row r="1120" spans="1:8" ht="15.75">
      <c r="A1120" s="50">
        <v>41011</v>
      </c>
      <c r="B1120" s="51">
        <v>1270.3800000000001</v>
      </c>
      <c r="C1120" s="52"/>
      <c r="D1120" s="52"/>
      <c r="E1120" s="52"/>
      <c r="F1120" s="52"/>
      <c r="G1120" s="52"/>
      <c r="H1120" s="52"/>
    </row>
    <row r="1121" spans="1:8" ht="15.75">
      <c r="A1121" s="50">
        <v>41012</v>
      </c>
      <c r="B1121" s="51">
        <v>1268.68</v>
      </c>
      <c r="C1121" s="52"/>
      <c r="D1121" s="52"/>
      <c r="E1121" s="52"/>
      <c r="F1121" s="52"/>
      <c r="G1121" s="52"/>
      <c r="H1121" s="52"/>
    </row>
    <row r="1122" spans="1:8" ht="15.75">
      <c r="A1122" s="50">
        <v>41015</v>
      </c>
      <c r="B1122" s="51">
        <v>1258.1500000000001</v>
      </c>
      <c r="C1122" s="52"/>
      <c r="D1122" s="52"/>
      <c r="E1122" s="52"/>
      <c r="F1122" s="52"/>
      <c r="G1122" s="52"/>
      <c r="H1122" s="52"/>
    </row>
    <row r="1123" spans="1:8" ht="15.75">
      <c r="A1123" s="50">
        <v>41016</v>
      </c>
      <c r="B1123" s="51">
        <v>1256.8900000000001</v>
      </c>
      <c r="C1123" s="52"/>
      <c r="D1123" s="52"/>
      <c r="E1123" s="52"/>
      <c r="F1123" s="52"/>
      <c r="G1123" s="52"/>
      <c r="H1123" s="52"/>
    </row>
    <row r="1124" spans="1:8" ht="15.75">
      <c r="A1124" s="50">
        <v>41017</v>
      </c>
      <c r="B1124" s="51">
        <v>1250.71</v>
      </c>
      <c r="C1124" s="52"/>
      <c r="D1124" s="52"/>
      <c r="E1124" s="52"/>
      <c r="F1124" s="52"/>
      <c r="G1124" s="52"/>
      <c r="H1124" s="52"/>
    </row>
    <row r="1125" spans="1:8" ht="15.75">
      <c r="A1125" s="50">
        <v>41018</v>
      </c>
      <c r="B1125" s="51">
        <v>1251.22</v>
      </c>
      <c r="C1125" s="52"/>
      <c r="D1125" s="52"/>
      <c r="E1125" s="52"/>
      <c r="F1125" s="52"/>
      <c r="G1125" s="52"/>
      <c r="H1125" s="52"/>
    </row>
    <row r="1126" spans="1:8" ht="15.75">
      <c r="A1126" s="50">
        <v>41019</v>
      </c>
      <c r="B1126" s="51">
        <v>1242.5899999999999</v>
      </c>
      <c r="C1126" s="52"/>
      <c r="D1126" s="52"/>
      <c r="E1126" s="52"/>
      <c r="F1126" s="52"/>
      <c r="G1126" s="52"/>
      <c r="H1126" s="52"/>
    </row>
    <row r="1127" spans="1:8" ht="15.75">
      <c r="A1127" s="50">
        <v>41022</v>
      </c>
      <c r="B1127" s="51">
        <v>1245.5</v>
      </c>
      <c r="C1127" s="52"/>
      <c r="D1127" s="52"/>
      <c r="E1127" s="52"/>
      <c r="F1127" s="52"/>
      <c r="G1127" s="52"/>
      <c r="H1127" s="52"/>
    </row>
    <row r="1128" spans="1:8" ht="15.75">
      <c r="A1128" s="50">
        <v>41023</v>
      </c>
      <c r="B1128" s="51">
        <v>1244.3</v>
      </c>
      <c r="C1128" s="52"/>
      <c r="D1128" s="52"/>
      <c r="E1128" s="52"/>
      <c r="F1128" s="52"/>
      <c r="G1128" s="52"/>
      <c r="H1128" s="52"/>
    </row>
    <row r="1129" spans="1:8" ht="15.75">
      <c r="A1129" s="50">
        <v>41024</v>
      </c>
      <c r="B1129" s="51">
        <v>1243.93</v>
      </c>
      <c r="C1129" s="52"/>
      <c r="D1129" s="52"/>
      <c r="E1129" s="52"/>
      <c r="F1129" s="52"/>
      <c r="G1129" s="52"/>
      <c r="H1129" s="52"/>
    </row>
    <row r="1130" spans="1:8" ht="15.75">
      <c r="A1130" s="50">
        <v>41025</v>
      </c>
      <c r="B1130" s="51">
        <v>1256.08</v>
      </c>
      <c r="C1130" s="52"/>
      <c r="D1130" s="52"/>
      <c r="E1130" s="52"/>
      <c r="F1130" s="52"/>
      <c r="G1130" s="52"/>
      <c r="H1130" s="52"/>
    </row>
    <row r="1131" spans="1:8" ht="15.75">
      <c r="A1131" s="50">
        <v>41026</v>
      </c>
      <c r="B1131" s="51">
        <v>1255.23</v>
      </c>
      <c r="C1131" s="52"/>
      <c r="D1131" s="52"/>
      <c r="E1131" s="52"/>
      <c r="F1131" s="52"/>
      <c r="G1131" s="52"/>
      <c r="H1131" s="52"/>
    </row>
    <row r="1132" spans="1:8" ht="15.75">
      <c r="A1132" s="50">
        <v>41029</v>
      </c>
      <c r="B1132" s="51">
        <v>1256.5899999999999</v>
      </c>
      <c r="C1132" s="52"/>
      <c r="D1132" s="52"/>
      <c r="E1132" s="52"/>
      <c r="F1132" s="52"/>
      <c r="G1132" s="52"/>
      <c r="H1132" s="52"/>
    </row>
    <row r="1133" spans="1:8" ht="15.75">
      <c r="A1133" s="50">
        <v>41030</v>
      </c>
      <c r="B1133" s="51">
        <v>1255.55</v>
      </c>
      <c r="C1133" s="52"/>
      <c r="D1133" s="52"/>
      <c r="E1133" s="52"/>
      <c r="F1133" s="52"/>
      <c r="G1133" s="52"/>
      <c r="H1133" s="52"/>
    </row>
    <row r="1134" spans="1:8" ht="15.75">
      <c r="A1134" s="50">
        <v>41031</v>
      </c>
      <c r="B1134" s="51">
        <v>1254.43</v>
      </c>
      <c r="C1134" s="52"/>
      <c r="D1134" s="52"/>
      <c r="E1134" s="52"/>
      <c r="F1134" s="52"/>
      <c r="G1134" s="52"/>
      <c r="H1134" s="52"/>
    </row>
    <row r="1135" spans="1:8" ht="15.75">
      <c r="A1135" s="50">
        <v>41032</v>
      </c>
      <c r="B1135" s="51">
        <v>1245.57</v>
      </c>
      <c r="C1135" s="52"/>
      <c r="D1135" s="52"/>
      <c r="E1135" s="52"/>
      <c r="F1135" s="52"/>
      <c r="G1135" s="52"/>
      <c r="H1135" s="52"/>
    </row>
    <row r="1136" spans="1:8" ht="15.75">
      <c r="A1136" s="50">
        <v>41033</v>
      </c>
      <c r="B1136" s="51">
        <v>1253.8399999999999</v>
      </c>
      <c r="C1136" s="52"/>
      <c r="D1136" s="52"/>
      <c r="E1136" s="52"/>
      <c r="F1136" s="52"/>
      <c r="G1136" s="52"/>
      <c r="H1136" s="52"/>
    </row>
    <row r="1137" spans="1:8" ht="15.75">
      <c r="A1137" s="50">
        <v>41036</v>
      </c>
      <c r="B1137" s="51">
        <v>1254.46</v>
      </c>
      <c r="C1137" s="52"/>
      <c r="D1137" s="52"/>
      <c r="E1137" s="52"/>
      <c r="F1137" s="52"/>
      <c r="G1137" s="52"/>
      <c r="H1137" s="52"/>
    </row>
    <row r="1138" spans="1:8" ht="15.75">
      <c r="A1138" s="50">
        <v>41037</v>
      </c>
      <c r="B1138" s="51">
        <v>1235.48</v>
      </c>
      <c r="C1138" s="52"/>
      <c r="D1138" s="52"/>
      <c r="E1138" s="52"/>
      <c r="F1138" s="52"/>
      <c r="G1138" s="52"/>
      <c r="H1138" s="52"/>
    </row>
    <row r="1139" spans="1:8" ht="15.75">
      <c r="A1139" s="50">
        <v>41038</v>
      </c>
      <c r="B1139" s="51">
        <v>1228.8800000000001</v>
      </c>
      <c r="C1139" s="52"/>
      <c r="D1139" s="52"/>
      <c r="E1139" s="52"/>
      <c r="F1139" s="52"/>
      <c r="G1139" s="52"/>
      <c r="H1139" s="52"/>
    </row>
    <row r="1140" spans="1:8" ht="15.75">
      <c r="A1140" s="50">
        <v>41039</v>
      </c>
      <c r="B1140" s="51">
        <v>1234.23</v>
      </c>
      <c r="C1140" s="52"/>
      <c r="D1140" s="52"/>
      <c r="E1140" s="52"/>
      <c r="F1140" s="52"/>
      <c r="G1140" s="52"/>
      <c r="H1140" s="52"/>
    </row>
    <row r="1141" spans="1:8" ht="15.75">
      <c r="A1141" s="50">
        <v>41040</v>
      </c>
      <c r="B1141" s="51">
        <v>1223.43</v>
      </c>
      <c r="C1141" s="52"/>
      <c r="D1141" s="52"/>
      <c r="E1141" s="52"/>
      <c r="F1141" s="52"/>
      <c r="G1141" s="52"/>
      <c r="H1141" s="52"/>
    </row>
    <row r="1142" spans="1:8" ht="15.75">
      <c r="A1142" s="50">
        <v>41043</v>
      </c>
      <c r="B1142" s="51">
        <v>1213.92</v>
      </c>
      <c r="C1142" s="52"/>
      <c r="D1142" s="52"/>
      <c r="E1142" s="52"/>
      <c r="F1142" s="52"/>
      <c r="G1142" s="52"/>
      <c r="H1142" s="52"/>
    </row>
    <row r="1143" spans="1:8" ht="15.75">
      <c r="A1143" s="50">
        <v>41044</v>
      </c>
      <c r="B1143" s="51">
        <v>1211.0899999999999</v>
      </c>
      <c r="C1143" s="52"/>
      <c r="D1143" s="52"/>
      <c r="E1143" s="52"/>
      <c r="F1143" s="52"/>
      <c r="G1143" s="52"/>
      <c r="H1143" s="52"/>
    </row>
    <row r="1144" spans="1:8" ht="15.75">
      <c r="A1144" s="50">
        <v>41045</v>
      </c>
      <c r="B1144" s="51">
        <v>1211.02</v>
      </c>
      <c r="C1144" s="52"/>
      <c r="D1144" s="52"/>
      <c r="E1144" s="52"/>
      <c r="F1144" s="52"/>
      <c r="G1144" s="52"/>
      <c r="H1144" s="52"/>
    </row>
    <row r="1145" spans="1:8" ht="15.75">
      <c r="A1145" s="50">
        <v>41046</v>
      </c>
      <c r="B1145" s="51">
        <v>1241.1300000000001</v>
      </c>
      <c r="C1145" s="52"/>
      <c r="D1145" s="52"/>
      <c r="E1145" s="52"/>
      <c r="F1145" s="52"/>
      <c r="G1145" s="52"/>
      <c r="H1145" s="52"/>
    </row>
    <row r="1146" spans="1:8" ht="15.75">
      <c r="A1146" s="50">
        <v>41047</v>
      </c>
      <c r="B1146" s="51">
        <v>1246.01</v>
      </c>
      <c r="C1146" s="52"/>
      <c r="D1146" s="52"/>
      <c r="E1146" s="52"/>
      <c r="F1146" s="52"/>
      <c r="G1146" s="52"/>
      <c r="H1146" s="52"/>
    </row>
    <row r="1147" spans="1:8" ht="15.75">
      <c r="A1147" s="50">
        <v>41050</v>
      </c>
      <c r="B1147" s="51">
        <v>1243.48</v>
      </c>
      <c r="C1147" s="52"/>
      <c r="D1147" s="52"/>
      <c r="E1147" s="52"/>
      <c r="F1147" s="52"/>
      <c r="G1147" s="52"/>
      <c r="H1147" s="52"/>
    </row>
    <row r="1148" spans="1:8" ht="15.75">
      <c r="A1148" s="50">
        <v>41051</v>
      </c>
      <c r="B1148" s="51">
        <v>1237.3399999999999</v>
      </c>
      <c r="C1148" s="52"/>
      <c r="D1148" s="52"/>
      <c r="E1148" s="52"/>
      <c r="F1148" s="52"/>
      <c r="G1148" s="52"/>
      <c r="H1148" s="52"/>
    </row>
    <row r="1149" spans="1:8" ht="15.75">
      <c r="A1149" s="50">
        <v>41052</v>
      </c>
      <c r="B1149" s="51">
        <v>1240.57</v>
      </c>
      <c r="C1149" s="52"/>
      <c r="D1149" s="52"/>
      <c r="E1149" s="52"/>
      <c r="F1149" s="52"/>
      <c r="G1149" s="52"/>
      <c r="H1149" s="52"/>
    </row>
    <row r="1150" spans="1:8" ht="15.75">
      <c r="A1150" s="50">
        <v>41053</v>
      </c>
      <c r="B1150" s="51">
        <v>1243.52</v>
      </c>
      <c r="C1150" s="52"/>
      <c r="D1150" s="52"/>
      <c r="E1150" s="52"/>
      <c r="F1150" s="52"/>
      <c r="G1150" s="52"/>
      <c r="H1150" s="52"/>
    </row>
    <row r="1151" spans="1:8" ht="15.75">
      <c r="A1151" s="50">
        <v>41054</v>
      </c>
      <c r="B1151" s="51">
        <v>1256.6300000000001</v>
      </c>
      <c r="C1151" s="52"/>
      <c r="D1151" s="52"/>
      <c r="E1151" s="52"/>
      <c r="F1151" s="52"/>
      <c r="G1151" s="52"/>
      <c r="H1151" s="52"/>
    </row>
    <row r="1152" spans="1:8" ht="15.75">
      <c r="A1152" s="50">
        <v>41057</v>
      </c>
      <c r="B1152" s="51">
        <v>1256.46</v>
      </c>
      <c r="C1152" s="52"/>
      <c r="D1152" s="52"/>
      <c r="E1152" s="52"/>
      <c r="F1152" s="52"/>
      <c r="G1152" s="52"/>
      <c r="H1152" s="52"/>
    </row>
    <row r="1153" spans="1:8" ht="15.75">
      <c r="A1153" s="50">
        <v>41058</v>
      </c>
      <c r="B1153" s="51">
        <v>1245.54</v>
      </c>
      <c r="C1153" s="52"/>
      <c r="D1153" s="52"/>
      <c r="E1153" s="52"/>
      <c r="F1153" s="52"/>
      <c r="G1153" s="52"/>
      <c r="H1153" s="52"/>
    </row>
    <row r="1154" spans="1:8" ht="15.75">
      <c r="A1154" s="50">
        <v>41059</v>
      </c>
      <c r="B1154" s="51">
        <v>1263.1199999999999</v>
      </c>
      <c r="C1154" s="52"/>
      <c r="D1154" s="52"/>
      <c r="E1154" s="52"/>
      <c r="F1154" s="52"/>
      <c r="G1154" s="52"/>
      <c r="H1154" s="52"/>
    </row>
    <row r="1155" spans="1:8" ht="15.75">
      <c r="A1155" s="50">
        <v>41060</v>
      </c>
      <c r="B1155" s="51">
        <v>1262.7</v>
      </c>
      <c r="C1155" s="52"/>
      <c r="D1155" s="52"/>
      <c r="E1155" s="52"/>
      <c r="F1155" s="52"/>
      <c r="G1155" s="52"/>
      <c r="H1155" s="52"/>
    </row>
    <row r="1156" spans="1:8" ht="15.75">
      <c r="A1156" s="50">
        <v>41061</v>
      </c>
      <c r="B1156" s="51">
        <v>1308.17</v>
      </c>
      <c r="C1156" s="52"/>
      <c r="D1156" s="52"/>
      <c r="E1156" s="52"/>
      <c r="F1156" s="52"/>
      <c r="G1156" s="52"/>
      <c r="H1156" s="52"/>
    </row>
    <row r="1157" spans="1:8" ht="15.75">
      <c r="A1157" s="50">
        <v>41064</v>
      </c>
      <c r="B1157" s="51">
        <v>1295.24</v>
      </c>
      <c r="C1157" s="52"/>
      <c r="D1157" s="52"/>
      <c r="E1157" s="52"/>
      <c r="F1157" s="52"/>
      <c r="G1157" s="52"/>
      <c r="H1157" s="52"/>
    </row>
    <row r="1158" spans="1:8" ht="15.75">
      <c r="A1158" s="50">
        <v>41065</v>
      </c>
      <c r="B1158" s="51">
        <v>1300.47</v>
      </c>
      <c r="C1158" s="52"/>
      <c r="D1158" s="52"/>
      <c r="E1158" s="52"/>
      <c r="F1158" s="52"/>
      <c r="G1158" s="52"/>
      <c r="H1158" s="52"/>
    </row>
    <row r="1159" spans="1:8" ht="15.75">
      <c r="A1159" s="50">
        <v>41066</v>
      </c>
      <c r="B1159" s="51">
        <v>1288.24</v>
      </c>
      <c r="C1159" s="52"/>
      <c r="D1159" s="52"/>
      <c r="E1159" s="52"/>
      <c r="F1159" s="52"/>
      <c r="G1159" s="52"/>
      <c r="H1159" s="52"/>
    </row>
    <row r="1160" spans="1:8" ht="15.75">
      <c r="A1160" s="50">
        <v>41067</v>
      </c>
      <c r="B1160" s="51">
        <v>1266.6300000000001</v>
      </c>
      <c r="C1160" s="52"/>
      <c r="D1160" s="52"/>
      <c r="E1160" s="52"/>
      <c r="F1160" s="52"/>
      <c r="G1160" s="52"/>
      <c r="H1160" s="52"/>
    </row>
    <row r="1161" spans="1:8" ht="15.75">
      <c r="A1161" s="50">
        <v>41068</v>
      </c>
      <c r="B1161" s="51">
        <v>1273.97</v>
      </c>
      <c r="C1161" s="52"/>
      <c r="D1161" s="52"/>
      <c r="E1161" s="52"/>
      <c r="F1161" s="52"/>
      <c r="G1161" s="52"/>
      <c r="H1161" s="52"/>
    </row>
    <row r="1162" spans="1:8" ht="15.75">
      <c r="A1162" s="50">
        <v>41071</v>
      </c>
      <c r="B1162" s="51">
        <v>1280.6400000000001</v>
      </c>
      <c r="C1162" s="52"/>
      <c r="D1162" s="52"/>
      <c r="E1162" s="52"/>
      <c r="F1162" s="52"/>
      <c r="G1162" s="52"/>
      <c r="H1162" s="52"/>
    </row>
    <row r="1163" spans="1:8" ht="15.75">
      <c r="A1163" s="50">
        <v>41072</v>
      </c>
      <c r="B1163" s="51">
        <v>1287.5</v>
      </c>
      <c r="C1163" s="52"/>
      <c r="D1163" s="52"/>
      <c r="E1163" s="52"/>
      <c r="F1163" s="52"/>
      <c r="G1163" s="52"/>
      <c r="H1163" s="52"/>
    </row>
    <row r="1164" spans="1:8" ht="15.75">
      <c r="A1164" s="50">
        <v>41073</v>
      </c>
      <c r="B1164" s="51">
        <v>1287.9000000000001</v>
      </c>
      <c r="C1164" s="52"/>
      <c r="D1164" s="52"/>
      <c r="E1164" s="52"/>
      <c r="F1164" s="52"/>
      <c r="G1164" s="52"/>
      <c r="H1164" s="52"/>
    </row>
    <row r="1165" spans="1:8" ht="15.75">
      <c r="A1165" s="50">
        <v>41074</v>
      </c>
      <c r="B1165" s="51">
        <v>1285.3699999999999</v>
      </c>
      <c r="C1165" s="52"/>
      <c r="D1165" s="52"/>
      <c r="E1165" s="52"/>
      <c r="F1165" s="52"/>
      <c r="G1165" s="52"/>
      <c r="H1165" s="52"/>
    </row>
    <row r="1166" spans="1:8" ht="15.75">
      <c r="A1166" s="50">
        <v>41075</v>
      </c>
      <c r="B1166" s="51">
        <v>1287.93</v>
      </c>
      <c r="C1166" s="52"/>
      <c r="D1166" s="52"/>
      <c r="E1166" s="52"/>
      <c r="F1166" s="52"/>
      <c r="G1166" s="52"/>
      <c r="H1166" s="52"/>
    </row>
    <row r="1167" spans="1:8" ht="15.75">
      <c r="A1167" s="50">
        <v>41078</v>
      </c>
      <c r="B1167" s="51">
        <v>1295.04</v>
      </c>
      <c r="C1167" s="52"/>
      <c r="D1167" s="52"/>
      <c r="E1167" s="52"/>
      <c r="F1167" s="52"/>
      <c r="G1167" s="52"/>
      <c r="H1167" s="52"/>
    </row>
    <row r="1168" spans="1:8" ht="15.75">
      <c r="A1168" s="50">
        <v>41079</v>
      </c>
      <c r="B1168" s="51">
        <v>1275.3</v>
      </c>
      <c r="C1168" s="52"/>
      <c r="D1168" s="52"/>
      <c r="E1168" s="52"/>
      <c r="F1168" s="52"/>
      <c r="G1168" s="52"/>
      <c r="H1168" s="52"/>
    </row>
    <row r="1169" spans="1:8" ht="15.75">
      <c r="A1169" s="50">
        <v>41080</v>
      </c>
      <c r="B1169" s="51">
        <v>1264.6300000000001</v>
      </c>
      <c r="C1169" s="52"/>
      <c r="D1169" s="52"/>
      <c r="E1169" s="52"/>
      <c r="F1169" s="52"/>
      <c r="G1169" s="52"/>
      <c r="H1169" s="52"/>
    </row>
    <row r="1170" spans="1:8" ht="15.75">
      <c r="A1170" s="50">
        <v>41081</v>
      </c>
      <c r="B1170" s="51">
        <v>1247.3699999999999</v>
      </c>
      <c r="C1170" s="52"/>
      <c r="D1170" s="52"/>
      <c r="E1170" s="52"/>
      <c r="F1170" s="52"/>
      <c r="G1170" s="52"/>
      <c r="H1170" s="52"/>
    </row>
    <row r="1171" spans="1:8" ht="15.75">
      <c r="A1171" s="50">
        <v>41082</v>
      </c>
      <c r="B1171" s="51">
        <v>1250.44</v>
      </c>
      <c r="C1171" s="52"/>
      <c r="D1171" s="52"/>
      <c r="E1171" s="52"/>
      <c r="F1171" s="52"/>
      <c r="G1171" s="52"/>
      <c r="H1171" s="52"/>
    </row>
    <row r="1172" spans="1:8" ht="15.75">
      <c r="A1172" s="50">
        <v>41085</v>
      </c>
      <c r="B1172" s="51">
        <v>1267.52</v>
      </c>
      <c r="C1172" s="52"/>
      <c r="D1172" s="52"/>
      <c r="E1172" s="52"/>
      <c r="F1172" s="52"/>
      <c r="G1172" s="52"/>
      <c r="H1172" s="52"/>
    </row>
    <row r="1173" spans="1:8" ht="15.75">
      <c r="A1173" s="50">
        <v>41086</v>
      </c>
      <c r="B1173" s="51">
        <v>1258.57</v>
      </c>
      <c r="C1173" s="52"/>
      <c r="D1173" s="52"/>
      <c r="E1173" s="52"/>
      <c r="F1173" s="52"/>
      <c r="G1173" s="52"/>
      <c r="H1173" s="52"/>
    </row>
    <row r="1174" spans="1:8" ht="15.75">
      <c r="A1174" s="50">
        <v>41087</v>
      </c>
      <c r="B1174" s="51">
        <v>1262.73</v>
      </c>
      <c r="C1174" s="52"/>
      <c r="D1174" s="52"/>
      <c r="E1174" s="52"/>
      <c r="F1174" s="52"/>
      <c r="G1174" s="52"/>
      <c r="H1174" s="52"/>
    </row>
    <row r="1175" spans="1:8" ht="15.75">
      <c r="A1175" s="50">
        <v>41088</v>
      </c>
      <c r="B1175" s="51">
        <v>1247.69</v>
      </c>
      <c r="C1175" s="52"/>
      <c r="D1175" s="52"/>
      <c r="E1175" s="52"/>
      <c r="F1175" s="52"/>
      <c r="G1175" s="52"/>
      <c r="H1175" s="52"/>
    </row>
    <row r="1176" spans="1:8" ht="15.75">
      <c r="A1176" s="50">
        <v>41089</v>
      </c>
      <c r="B1176" s="51">
        <v>1262.22</v>
      </c>
      <c r="C1176" s="52"/>
      <c r="D1176" s="52"/>
      <c r="E1176" s="52"/>
      <c r="F1176" s="52"/>
      <c r="G1176" s="52"/>
      <c r="H1176" s="52"/>
    </row>
    <row r="1177" spans="1:8" ht="15.75">
      <c r="A1177" s="50">
        <v>41092</v>
      </c>
      <c r="B1177" s="51">
        <v>1268.47</v>
      </c>
      <c r="C1177" s="52"/>
      <c r="D1177" s="52"/>
      <c r="E1177" s="52"/>
      <c r="F1177" s="52"/>
      <c r="G1177" s="52"/>
      <c r="H1177" s="52"/>
    </row>
    <row r="1178" spans="1:8" ht="15.75">
      <c r="A1178" s="50">
        <v>41093</v>
      </c>
      <c r="B1178" s="51">
        <v>1282.3399999999999</v>
      </c>
      <c r="C1178" s="52"/>
      <c r="D1178" s="52"/>
      <c r="E1178" s="52"/>
      <c r="F1178" s="52"/>
      <c r="G1178" s="52"/>
      <c r="H1178" s="52"/>
    </row>
    <row r="1179" spans="1:8" ht="15.75">
      <c r="A1179" s="50">
        <v>41094</v>
      </c>
      <c r="B1179" s="51">
        <v>1289.26</v>
      </c>
      <c r="C1179" s="52"/>
      <c r="D1179" s="52"/>
      <c r="E1179" s="52"/>
      <c r="F1179" s="52"/>
      <c r="G1179" s="52"/>
      <c r="H1179" s="52"/>
    </row>
    <row r="1180" spans="1:8" ht="15.75">
      <c r="A1180" s="50">
        <v>41095</v>
      </c>
      <c r="B1180" s="51">
        <v>1294.8900000000001</v>
      </c>
      <c r="C1180" s="52"/>
      <c r="D1180" s="52"/>
      <c r="E1180" s="52"/>
      <c r="F1180" s="52"/>
      <c r="G1180" s="52"/>
      <c r="H1180" s="52"/>
    </row>
    <row r="1181" spans="1:8" ht="15.75">
      <c r="A1181" s="50">
        <v>41096</v>
      </c>
      <c r="B1181" s="51">
        <v>1288.02</v>
      </c>
      <c r="C1181" s="52"/>
      <c r="D1181" s="52"/>
      <c r="E1181" s="52"/>
      <c r="F1181" s="52"/>
      <c r="G1181" s="52"/>
      <c r="H1181" s="52"/>
    </row>
    <row r="1182" spans="1:8" ht="15.75">
      <c r="A1182" s="50">
        <v>41099</v>
      </c>
      <c r="B1182" s="51">
        <v>1289.18</v>
      </c>
      <c r="C1182" s="52"/>
      <c r="D1182" s="52"/>
      <c r="E1182" s="52"/>
      <c r="F1182" s="52"/>
      <c r="G1182" s="52"/>
      <c r="H1182" s="52"/>
    </row>
    <row r="1183" spans="1:8" ht="15.75">
      <c r="A1183" s="50">
        <v>41100</v>
      </c>
      <c r="B1183" s="51">
        <v>1278.81</v>
      </c>
      <c r="C1183" s="52"/>
      <c r="D1183" s="52"/>
      <c r="E1183" s="52"/>
      <c r="F1183" s="52"/>
      <c r="G1183" s="52"/>
      <c r="H1183" s="52"/>
    </row>
    <row r="1184" spans="1:8" ht="15.75">
      <c r="A1184" s="50">
        <v>41101</v>
      </c>
      <c r="B1184" s="51">
        <v>1287.8399999999999</v>
      </c>
      <c r="C1184" s="52"/>
      <c r="D1184" s="52"/>
      <c r="E1184" s="52"/>
      <c r="F1184" s="52"/>
      <c r="G1184" s="52"/>
      <c r="H1184" s="52"/>
    </row>
    <row r="1185" spans="1:8" ht="15.75">
      <c r="A1185" s="50">
        <v>41102</v>
      </c>
      <c r="B1185" s="51">
        <v>1289.08</v>
      </c>
      <c r="C1185" s="52"/>
      <c r="D1185" s="52"/>
      <c r="E1185" s="52"/>
      <c r="F1185" s="52"/>
      <c r="G1185" s="52"/>
      <c r="H1185" s="52"/>
    </row>
    <row r="1186" spans="1:8" ht="15.75">
      <c r="A1186" s="50">
        <v>41103</v>
      </c>
      <c r="B1186" s="51">
        <v>1297.58</v>
      </c>
      <c r="C1186" s="52"/>
      <c r="D1186" s="52"/>
      <c r="E1186" s="52"/>
      <c r="F1186" s="52"/>
      <c r="G1186" s="52"/>
      <c r="H1186" s="52"/>
    </row>
    <row r="1187" spans="1:8" ht="15.75">
      <c r="A1187" s="50">
        <v>41106</v>
      </c>
      <c r="B1187" s="51">
        <v>1295.4000000000001</v>
      </c>
      <c r="C1187" s="52"/>
      <c r="D1187" s="52"/>
      <c r="E1187" s="52"/>
      <c r="F1187" s="52"/>
      <c r="G1187" s="52"/>
      <c r="H1187" s="52"/>
    </row>
    <row r="1188" spans="1:8" ht="15.75">
      <c r="A1188" s="50">
        <v>41107</v>
      </c>
      <c r="B1188" s="51">
        <v>1287.19</v>
      </c>
      <c r="C1188" s="52"/>
      <c r="D1188" s="52"/>
      <c r="E1188" s="52"/>
      <c r="F1188" s="52"/>
      <c r="G1188" s="52"/>
      <c r="H1188" s="52"/>
    </row>
    <row r="1189" spans="1:8" ht="15.75">
      <c r="A1189" s="50">
        <v>41108</v>
      </c>
      <c r="B1189" s="51">
        <v>1280.5</v>
      </c>
      <c r="C1189" s="52"/>
      <c r="D1189" s="52"/>
      <c r="E1189" s="52"/>
      <c r="F1189" s="52"/>
      <c r="G1189" s="52"/>
      <c r="H1189" s="52"/>
    </row>
    <row r="1190" spans="1:8" ht="15.75">
      <c r="A1190" s="50">
        <v>41109</v>
      </c>
      <c r="B1190" s="51">
        <v>1288.75</v>
      </c>
      <c r="C1190" s="52"/>
      <c r="D1190" s="52"/>
      <c r="E1190" s="52"/>
      <c r="F1190" s="52"/>
      <c r="G1190" s="52"/>
      <c r="H1190" s="52"/>
    </row>
    <row r="1191" spans="1:8" ht="15.75">
      <c r="A1191" s="50">
        <v>41110</v>
      </c>
      <c r="B1191" s="51">
        <v>1302.76</v>
      </c>
      <c r="C1191" s="52"/>
      <c r="D1191" s="52"/>
      <c r="E1191" s="52"/>
      <c r="F1191" s="52"/>
      <c r="G1191" s="52"/>
      <c r="H1191" s="52"/>
    </row>
    <row r="1192" spans="1:8" ht="15.75">
      <c r="A1192" s="50">
        <v>41113</v>
      </c>
      <c r="B1192" s="51">
        <v>1303.95</v>
      </c>
      <c r="C1192" s="52"/>
      <c r="D1192" s="52"/>
      <c r="E1192" s="52"/>
      <c r="F1192" s="52"/>
      <c r="G1192" s="52"/>
      <c r="H1192" s="52"/>
    </row>
    <row r="1193" spans="1:8" ht="15.75">
      <c r="A1193" s="50">
        <v>41114</v>
      </c>
      <c r="B1193" s="51">
        <v>1310.44</v>
      </c>
      <c r="C1193" s="52"/>
      <c r="D1193" s="52"/>
      <c r="E1193" s="52"/>
      <c r="F1193" s="52"/>
      <c r="G1193" s="52"/>
      <c r="H1193" s="52"/>
    </row>
    <row r="1194" spans="1:8" ht="15.75">
      <c r="A1194" s="50">
        <v>41115</v>
      </c>
      <c r="B1194" s="51">
        <v>1321.52</v>
      </c>
      <c r="C1194" s="52"/>
      <c r="D1194" s="52"/>
      <c r="E1194" s="52"/>
      <c r="F1194" s="52"/>
      <c r="G1194" s="52"/>
      <c r="H1194" s="52"/>
    </row>
    <row r="1195" spans="1:8" ht="15.75">
      <c r="A1195" s="50">
        <v>41116</v>
      </c>
      <c r="B1195" s="51">
        <v>1316.39</v>
      </c>
      <c r="C1195" s="52"/>
      <c r="D1195" s="52"/>
      <c r="E1195" s="52"/>
      <c r="F1195" s="52"/>
      <c r="G1195" s="52"/>
      <c r="H1195" s="52"/>
    </row>
    <row r="1196" spans="1:8" ht="15.75">
      <c r="A1196" s="50">
        <v>41117</v>
      </c>
      <c r="B1196" s="51">
        <v>1317.42</v>
      </c>
      <c r="C1196" s="52"/>
      <c r="D1196" s="52"/>
      <c r="E1196" s="52"/>
      <c r="F1196" s="52"/>
      <c r="G1196" s="52"/>
      <c r="H1196" s="52"/>
    </row>
    <row r="1197" spans="1:8" ht="15.75">
      <c r="A1197" s="50">
        <v>41120</v>
      </c>
      <c r="B1197" s="51">
        <v>1323.54</v>
      </c>
      <c r="C1197" s="52"/>
      <c r="D1197" s="52"/>
      <c r="E1197" s="52"/>
      <c r="F1197" s="52"/>
      <c r="G1197" s="52"/>
      <c r="H1197" s="52"/>
    </row>
    <row r="1198" spans="1:8" ht="15.75">
      <c r="A1198" s="50">
        <v>41121</v>
      </c>
      <c r="B1198" s="51">
        <v>1312.56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41122</v>
      </c>
      <c r="B1199" s="51">
        <v>1308.3399999999999</v>
      </c>
      <c r="C1199" s="52"/>
      <c r="D1199" s="52"/>
      <c r="E1199" s="52"/>
      <c r="F1199" s="52"/>
      <c r="G1199" s="52"/>
      <c r="H1199" s="52"/>
    </row>
    <row r="1200" spans="1:8" ht="15.75">
      <c r="A1200" s="50">
        <v>41123</v>
      </c>
      <c r="B1200" s="51">
        <v>1300.24</v>
      </c>
      <c r="C1200" s="52"/>
      <c r="D1200" s="52"/>
      <c r="E1200" s="52"/>
      <c r="F1200" s="52"/>
      <c r="G1200" s="52"/>
      <c r="H1200" s="52"/>
    </row>
    <row r="1201" spans="1:8" ht="15.75">
      <c r="A1201" s="50">
        <v>41124</v>
      </c>
      <c r="B1201" s="51">
        <v>1294.96</v>
      </c>
      <c r="C1201" s="52"/>
      <c r="D1201" s="52"/>
      <c r="E1201" s="52"/>
      <c r="F1201" s="52"/>
      <c r="G1201" s="52"/>
      <c r="H1201" s="52"/>
    </row>
    <row r="1202" spans="1:8" ht="15.75">
      <c r="A1202" s="50">
        <v>41127</v>
      </c>
      <c r="B1202" s="51">
        <v>1299.0999999999999</v>
      </c>
      <c r="C1202" s="52"/>
      <c r="D1202" s="52"/>
      <c r="E1202" s="52"/>
      <c r="F1202" s="52"/>
      <c r="G1202" s="52"/>
      <c r="H1202" s="52"/>
    </row>
    <row r="1203" spans="1:8" ht="15.75">
      <c r="A1203" s="50">
        <v>41128</v>
      </c>
      <c r="B1203" s="51">
        <v>1300.25</v>
      </c>
      <c r="C1203" s="52"/>
      <c r="D1203" s="52"/>
      <c r="E1203" s="52"/>
      <c r="F1203" s="52"/>
      <c r="G1203" s="52"/>
      <c r="H1203" s="52"/>
    </row>
    <row r="1204" spans="1:8" ht="15.75">
      <c r="A1204" s="50">
        <v>41129</v>
      </c>
      <c r="B1204" s="51">
        <v>1304.1600000000001</v>
      </c>
      <c r="C1204" s="52"/>
      <c r="D1204" s="52"/>
      <c r="E1204" s="52"/>
      <c r="F1204" s="52"/>
      <c r="G1204" s="52"/>
      <c r="H1204" s="52"/>
    </row>
    <row r="1205" spans="1:8" ht="15.75">
      <c r="A1205" s="50">
        <v>41130</v>
      </c>
      <c r="B1205" s="51">
        <v>1314.37</v>
      </c>
      <c r="C1205" s="52"/>
      <c r="D1205" s="52"/>
      <c r="E1205" s="52"/>
      <c r="F1205" s="52"/>
      <c r="G1205" s="52"/>
      <c r="H1205" s="52"/>
    </row>
    <row r="1206" spans="1:8" ht="15.75">
      <c r="A1206" s="50">
        <v>41131</v>
      </c>
      <c r="B1206" s="51">
        <v>1318.59</v>
      </c>
      <c r="C1206" s="52"/>
      <c r="D1206" s="52"/>
      <c r="E1206" s="52"/>
      <c r="F1206" s="52"/>
      <c r="G1206" s="52"/>
      <c r="H1206" s="52"/>
    </row>
    <row r="1207" spans="1:8" ht="15.75">
      <c r="A1207" s="50">
        <v>41134</v>
      </c>
      <c r="B1207" s="51">
        <v>1305.77</v>
      </c>
      <c r="C1207" s="52"/>
      <c r="D1207" s="52"/>
      <c r="E1207" s="52"/>
      <c r="F1207" s="52"/>
      <c r="G1207" s="52"/>
      <c r="H1207" s="52"/>
    </row>
    <row r="1208" spans="1:8" ht="15.75">
      <c r="A1208" s="50">
        <v>41135</v>
      </c>
      <c r="B1208" s="51">
        <v>1298.48</v>
      </c>
      <c r="C1208" s="52"/>
      <c r="D1208" s="52"/>
      <c r="E1208" s="52"/>
      <c r="F1208" s="52"/>
      <c r="G1208" s="52"/>
      <c r="H1208" s="52"/>
    </row>
    <row r="1209" spans="1:8" ht="15.75">
      <c r="A1209" s="50">
        <v>41136</v>
      </c>
      <c r="B1209" s="51">
        <v>1305.04</v>
      </c>
      <c r="C1209" s="52"/>
      <c r="D1209" s="52"/>
      <c r="E1209" s="52"/>
      <c r="F1209" s="52"/>
      <c r="G1209" s="52"/>
      <c r="H1209" s="52"/>
    </row>
    <row r="1210" spans="1:8" ht="15.75">
      <c r="A1210" s="50">
        <v>41137</v>
      </c>
      <c r="B1210" s="51">
        <v>1306.6500000000001</v>
      </c>
      <c r="C1210" s="52"/>
      <c r="D1210" s="52"/>
      <c r="E1210" s="52"/>
      <c r="F1210" s="52"/>
      <c r="G1210" s="52"/>
      <c r="H1210" s="52"/>
    </row>
    <row r="1211" spans="1:8" ht="15.75">
      <c r="A1211" s="50">
        <v>41138</v>
      </c>
      <c r="B1211" s="51">
        <v>1310.57</v>
      </c>
      <c r="C1211" s="52"/>
      <c r="D1211" s="52"/>
      <c r="E1211" s="52"/>
      <c r="F1211" s="52"/>
      <c r="G1211" s="52"/>
      <c r="H1211" s="52"/>
    </row>
    <row r="1212" spans="1:8" ht="15.75">
      <c r="A1212" s="50">
        <v>41141</v>
      </c>
      <c r="B1212" s="51">
        <v>1312.79</v>
      </c>
      <c r="C1212" s="52"/>
      <c r="D1212" s="52"/>
      <c r="E1212" s="52"/>
      <c r="F1212" s="52"/>
      <c r="G1212" s="52"/>
      <c r="H1212" s="52"/>
    </row>
    <row r="1213" spans="1:8" ht="15.75">
      <c r="A1213" s="50">
        <v>41142</v>
      </c>
      <c r="B1213" s="51">
        <v>1313.13</v>
      </c>
      <c r="C1213" s="52"/>
      <c r="D1213" s="52"/>
      <c r="E1213" s="52"/>
      <c r="F1213" s="52"/>
      <c r="G1213" s="52"/>
      <c r="H1213" s="52"/>
    </row>
    <row r="1214" spans="1:8" ht="15.75">
      <c r="A1214" s="50">
        <v>41143</v>
      </c>
      <c r="B1214" s="51">
        <v>1320.49</v>
      </c>
      <c r="C1214" s="52"/>
      <c r="D1214" s="52"/>
      <c r="E1214" s="52"/>
      <c r="F1214" s="52"/>
      <c r="G1214" s="52"/>
      <c r="H1214" s="52"/>
    </row>
    <row r="1215" spans="1:8" ht="15.75">
      <c r="A1215" s="50">
        <v>41144</v>
      </c>
      <c r="B1215" s="51">
        <v>1332.47</v>
      </c>
      <c r="C1215" s="52"/>
      <c r="D1215" s="52"/>
      <c r="E1215" s="52"/>
      <c r="F1215" s="52"/>
      <c r="G1215" s="52"/>
      <c r="H1215" s="52"/>
    </row>
    <row r="1216" spans="1:8" ht="15.75">
      <c r="A1216" s="50">
        <v>41145</v>
      </c>
      <c r="B1216" s="51">
        <v>1334.84</v>
      </c>
      <c r="C1216" s="52"/>
      <c r="D1216" s="52"/>
      <c r="E1216" s="52"/>
      <c r="F1216" s="52"/>
      <c r="G1216" s="52"/>
      <c r="H1216" s="52"/>
    </row>
    <row r="1217" spans="1:8" ht="15.75">
      <c r="A1217" s="50">
        <v>41148</v>
      </c>
      <c r="B1217" s="51">
        <v>1332.25</v>
      </c>
      <c r="C1217" s="52"/>
      <c r="D1217" s="52"/>
      <c r="E1217" s="52"/>
      <c r="F1217" s="52"/>
      <c r="G1217" s="52"/>
      <c r="H1217" s="52"/>
    </row>
    <row r="1218" spans="1:8" ht="15.75">
      <c r="A1218" s="50">
        <v>41149</v>
      </c>
      <c r="B1218" s="51">
        <v>1326.66</v>
      </c>
      <c r="C1218" s="52"/>
      <c r="D1218" s="52"/>
      <c r="E1218" s="52"/>
      <c r="F1218" s="52"/>
      <c r="G1218" s="52"/>
      <c r="H1218" s="52"/>
    </row>
    <row r="1219" spans="1:8" ht="15.75">
      <c r="A1219" s="50">
        <v>41150</v>
      </c>
      <c r="B1219" s="51">
        <v>1320.7</v>
      </c>
      <c r="C1219" s="52"/>
      <c r="D1219" s="52"/>
      <c r="E1219" s="52"/>
      <c r="F1219" s="52"/>
      <c r="G1219" s="52"/>
      <c r="H1219" s="52"/>
    </row>
    <row r="1220" spans="1:8" ht="15.75">
      <c r="A1220" s="50">
        <v>41151</v>
      </c>
      <c r="B1220" s="51">
        <v>1317.7</v>
      </c>
      <c r="C1220" s="52"/>
      <c r="D1220" s="52"/>
      <c r="E1220" s="52"/>
      <c r="F1220" s="52"/>
      <c r="G1220" s="52"/>
      <c r="H1220" s="52"/>
    </row>
    <row r="1221" spans="1:8" ht="15.75">
      <c r="A1221" s="50">
        <v>41152</v>
      </c>
      <c r="B1221" s="51">
        <v>1344.5</v>
      </c>
      <c r="C1221" s="52"/>
      <c r="D1221" s="52"/>
      <c r="E1221" s="52"/>
      <c r="F1221" s="52"/>
      <c r="G1221" s="52"/>
      <c r="H1221" s="52"/>
    </row>
    <row r="1222" spans="1:8" ht="15.75">
      <c r="A1222" s="50">
        <v>41155</v>
      </c>
      <c r="B1222" s="51">
        <v>1344.42</v>
      </c>
      <c r="C1222" s="52"/>
      <c r="D1222" s="52"/>
      <c r="E1222" s="52"/>
      <c r="F1222" s="52"/>
      <c r="G1222" s="52"/>
      <c r="H1222" s="52"/>
    </row>
    <row r="1223" spans="1:8" ht="15.75">
      <c r="A1223" s="50">
        <v>41156</v>
      </c>
      <c r="B1223" s="51">
        <v>1349.78</v>
      </c>
      <c r="C1223" s="52"/>
      <c r="D1223" s="52"/>
      <c r="E1223" s="52"/>
      <c r="F1223" s="52"/>
      <c r="G1223" s="52"/>
      <c r="H1223" s="52"/>
    </row>
    <row r="1224" spans="1:8" ht="15.75">
      <c r="A1224" s="50">
        <v>41157</v>
      </c>
      <c r="B1224" s="51">
        <v>1343.85</v>
      </c>
      <c r="C1224" s="52"/>
      <c r="D1224" s="52"/>
      <c r="E1224" s="52"/>
      <c r="F1224" s="52"/>
      <c r="G1224" s="52"/>
      <c r="H1224" s="52"/>
    </row>
    <row r="1225" spans="1:8" ht="15.75">
      <c r="A1225" s="50">
        <v>41158</v>
      </c>
      <c r="B1225" s="51">
        <v>1346.67</v>
      </c>
      <c r="C1225" s="52"/>
      <c r="D1225" s="52"/>
      <c r="E1225" s="52"/>
      <c r="F1225" s="52"/>
      <c r="G1225" s="52"/>
      <c r="H1225" s="52"/>
    </row>
    <row r="1226" spans="1:8" ht="15.75">
      <c r="A1226" s="50">
        <v>41159</v>
      </c>
      <c r="B1226" s="51">
        <v>1354.51</v>
      </c>
      <c r="C1226" s="52"/>
      <c r="D1226" s="52"/>
      <c r="E1226" s="52"/>
      <c r="F1226" s="52"/>
      <c r="G1226" s="52"/>
      <c r="H1226" s="52"/>
    </row>
    <row r="1227" spans="1:8" ht="15.75">
      <c r="A1227" s="50">
        <v>41162</v>
      </c>
      <c r="B1227" s="51">
        <v>1354.09</v>
      </c>
      <c r="C1227" s="52"/>
      <c r="D1227" s="52"/>
      <c r="E1227" s="52"/>
      <c r="F1227" s="52"/>
      <c r="G1227" s="52"/>
      <c r="H1227" s="52"/>
    </row>
    <row r="1228" spans="1:8" ht="15.75">
      <c r="A1228" s="50">
        <v>41163</v>
      </c>
      <c r="B1228" s="51">
        <v>1353.71</v>
      </c>
      <c r="C1228" s="52"/>
      <c r="D1228" s="52"/>
      <c r="E1228" s="52"/>
      <c r="F1228" s="52"/>
      <c r="G1228" s="52"/>
      <c r="H1228" s="52"/>
    </row>
    <row r="1229" spans="1:8" ht="15.75">
      <c r="A1229" s="50">
        <v>41164</v>
      </c>
      <c r="B1229" s="51">
        <v>1342.78</v>
      </c>
      <c r="C1229" s="52"/>
      <c r="D1229" s="52"/>
      <c r="E1229" s="52"/>
      <c r="F1229" s="52"/>
      <c r="G1229" s="52"/>
      <c r="H1229" s="52"/>
    </row>
    <row r="1230" spans="1:8" ht="15.75">
      <c r="A1230" s="50">
        <v>41165</v>
      </c>
      <c r="B1230" s="51">
        <v>1361.21</v>
      </c>
      <c r="C1230" s="52"/>
      <c r="D1230" s="52"/>
      <c r="E1230" s="52"/>
      <c r="F1230" s="52"/>
      <c r="G1230" s="52"/>
      <c r="H1230" s="52"/>
    </row>
    <row r="1231" spans="1:8" ht="15.75">
      <c r="A1231" s="50">
        <v>41166</v>
      </c>
      <c r="B1231" s="51">
        <v>1349.28</v>
      </c>
      <c r="C1231" s="52"/>
      <c r="D1231" s="52"/>
      <c r="E1231" s="52"/>
      <c r="F1231" s="52"/>
      <c r="G1231" s="52"/>
      <c r="H1231" s="52"/>
    </row>
    <row r="1232" spans="1:8" ht="15.75">
      <c r="A1232" s="50">
        <v>41169</v>
      </c>
      <c r="B1232" s="51">
        <v>1344.25</v>
      </c>
      <c r="C1232" s="52"/>
      <c r="D1232" s="52"/>
      <c r="E1232" s="52"/>
      <c r="F1232" s="52"/>
      <c r="G1232" s="52"/>
      <c r="H1232" s="52"/>
    </row>
    <row r="1233" spans="1:8" ht="15.75">
      <c r="A1233" s="50">
        <v>41170</v>
      </c>
      <c r="B1233" s="51">
        <v>1357.68</v>
      </c>
      <c r="C1233" s="52"/>
      <c r="D1233" s="52"/>
      <c r="E1233" s="52"/>
      <c r="F1233" s="52"/>
      <c r="G1233" s="52"/>
      <c r="H1233" s="52"/>
    </row>
    <row r="1234" spans="1:8" ht="15.75">
      <c r="A1234" s="50">
        <v>41171</v>
      </c>
      <c r="B1234" s="51">
        <v>1357.01</v>
      </c>
      <c r="C1234" s="52"/>
      <c r="D1234" s="52"/>
      <c r="E1234" s="52"/>
      <c r="F1234" s="52"/>
      <c r="G1234" s="52"/>
      <c r="H1234" s="52"/>
    </row>
    <row r="1235" spans="1:8" ht="15.75">
      <c r="A1235" s="50">
        <v>41172</v>
      </c>
      <c r="B1235" s="51">
        <v>1363.72</v>
      </c>
      <c r="C1235" s="52"/>
      <c r="D1235" s="52"/>
      <c r="E1235" s="52"/>
      <c r="F1235" s="52"/>
      <c r="G1235" s="52"/>
      <c r="H1235" s="52"/>
    </row>
    <row r="1236" spans="1:8" ht="15.75">
      <c r="A1236" s="50">
        <v>41173</v>
      </c>
      <c r="B1236" s="51">
        <v>1366.05</v>
      </c>
      <c r="C1236" s="52"/>
      <c r="D1236" s="52"/>
      <c r="E1236" s="52"/>
      <c r="F1236" s="52"/>
      <c r="G1236" s="52"/>
      <c r="H1236" s="52"/>
    </row>
    <row r="1237" spans="1:8" ht="15.75">
      <c r="A1237" s="50">
        <v>41176</v>
      </c>
      <c r="B1237" s="51">
        <v>1366.39</v>
      </c>
      <c r="C1237" s="52"/>
      <c r="D1237" s="52"/>
      <c r="E1237" s="52"/>
      <c r="F1237" s="52"/>
      <c r="G1237" s="52"/>
      <c r="H1237" s="52"/>
    </row>
    <row r="1238" spans="1:8" ht="15.75">
      <c r="A1238" s="50">
        <v>41177</v>
      </c>
      <c r="B1238" s="51">
        <v>1363.26</v>
      </c>
      <c r="C1238" s="52"/>
      <c r="D1238" s="52"/>
      <c r="E1238" s="52"/>
      <c r="F1238" s="52"/>
      <c r="G1238" s="52"/>
      <c r="H1238" s="52"/>
    </row>
    <row r="1239" spans="1:8" ht="15.75">
      <c r="A1239" s="50">
        <v>41178</v>
      </c>
      <c r="B1239" s="51">
        <v>1362.96</v>
      </c>
      <c r="C1239" s="52"/>
      <c r="D1239" s="52"/>
      <c r="E1239" s="52"/>
      <c r="F1239" s="52"/>
      <c r="G1239" s="52"/>
      <c r="H1239" s="52"/>
    </row>
    <row r="1240" spans="1:8" ht="15.75">
      <c r="A1240" s="50">
        <v>41179</v>
      </c>
      <c r="B1240" s="51">
        <v>1375.96</v>
      </c>
      <c r="C1240" s="52"/>
      <c r="D1240" s="52"/>
      <c r="E1240" s="52"/>
      <c r="F1240" s="52"/>
      <c r="G1240" s="52"/>
      <c r="H1240" s="52"/>
    </row>
    <row r="1241" spans="1:8" ht="15.75">
      <c r="A1241" s="50">
        <v>41180</v>
      </c>
      <c r="B1241" s="51">
        <v>1377.79</v>
      </c>
      <c r="C1241" s="52"/>
      <c r="D1241" s="52"/>
      <c r="E1241" s="52"/>
      <c r="F1241" s="52"/>
      <c r="G1241" s="52"/>
      <c r="H1241" s="52"/>
    </row>
    <row r="1242" spans="1:8" ht="15.75">
      <c r="A1242" s="50">
        <v>41183</v>
      </c>
      <c r="B1242" s="51">
        <v>1375.92</v>
      </c>
      <c r="C1242" s="52"/>
      <c r="D1242" s="52"/>
      <c r="E1242" s="52"/>
      <c r="F1242" s="52"/>
      <c r="G1242" s="52"/>
      <c r="H1242" s="52"/>
    </row>
    <row r="1243" spans="1:8" ht="15.75">
      <c r="A1243" s="50">
        <v>41184</v>
      </c>
      <c r="B1243" s="51">
        <v>1374.45</v>
      </c>
      <c r="C1243" s="52"/>
      <c r="D1243" s="52"/>
      <c r="E1243" s="52"/>
      <c r="F1243" s="52"/>
      <c r="G1243" s="52"/>
      <c r="H1243" s="52"/>
    </row>
    <row r="1244" spans="1:8" ht="15.75">
      <c r="A1244" s="50">
        <v>41185</v>
      </c>
      <c r="B1244" s="51">
        <v>1378.08</v>
      </c>
      <c r="C1244" s="52"/>
      <c r="D1244" s="52"/>
      <c r="E1244" s="52"/>
      <c r="F1244" s="52"/>
      <c r="G1244" s="52"/>
      <c r="H1244" s="52"/>
    </row>
    <row r="1245" spans="1:8" ht="15.75">
      <c r="A1245" s="50">
        <v>41186</v>
      </c>
      <c r="B1245" s="51">
        <v>1379.81</v>
      </c>
      <c r="C1245" s="52"/>
      <c r="D1245" s="52"/>
      <c r="E1245" s="52"/>
      <c r="F1245" s="52"/>
      <c r="G1245" s="52"/>
      <c r="H1245" s="52"/>
    </row>
    <row r="1246" spans="1:8" ht="15.75">
      <c r="A1246" s="50">
        <v>41187</v>
      </c>
      <c r="B1246" s="51">
        <v>1366.45</v>
      </c>
      <c r="C1246" s="52"/>
      <c r="D1246" s="52"/>
      <c r="E1246" s="52"/>
      <c r="F1246" s="52"/>
      <c r="G1246" s="52"/>
      <c r="H1246" s="52"/>
    </row>
    <row r="1247" spans="1:8" ht="15.75">
      <c r="A1247" s="50">
        <v>41190</v>
      </c>
      <c r="B1247" s="51">
        <v>1369.44</v>
      </c>
      <c r="C1247" s="52"/>
      <c r="D1247" s="52"/>
      <c r="E1247" s="52"/>
      <c r="F1247" s="52"/>
      <c r="G1247" s="52"/>
      <c r="H1247" s="52"/>
    </row>
    <row r="1248" spans="1:8" ht="15.75">
      <c r="A1248" s="50">
        <v>41191</v>
      </c>
      <c r="B1248" s="51">
        <v>1369.03</v>
      </c>
      <c r="C1248" s="52"/>
      <c r="D1248" s="52"/>
      <c r="E1248" s="52"/>
      <c r="F1248" s="52"/>
      <c r="G1248" s="52"/>
      <c r="H1248" s="52"/>
    </row>
    <row r="1249" spans="1:8" ht="15.75">
      <c r="A1249" s="50">
        <v>41192</v>
      </c>
      <c r="B1249" s="51">
        <v>1371.42</v>
      </c>
      <c r="C1249" s="52"/>
      <c r="D1249" s="52"/>
      <c r="E1249" s="52"/>
      <c r="F1249" s="52"/>
      <c r="G1249" s="52"/>
      <c r="H1249" s="52"/>
    </row>
    <row r="1250" spans="1:8" ht="15.75">
      <c r="A1250" s="50">
        <v>41193</v>
      </c>
      <c r="B1250" s="51">
        <v>1366.82</v>
      </c>
      <c r="C1250" s="52"/>
      <c r="D1250" s="52"/>
      <c r="E1250" s="52"/>
      <c r="F1250" s="52"/>
      <c r="G1250" s="52"/>
      <c r="H1250" s="52"/>
    </row>
    <row r="1251" spans="1:8" ht="15.75">
      <c r="A1251" s="50">
        <v>41194</v>
      </c>
      <c r="B1251" s="51">
        <v>1354.28</v>
      </c>
      <c r="C1251" s="52"/>
      <c r="D1251" s="52"/>
      <c r="E1251" s="52"/>
      <c r="F1251" s="52"/>
      <c r="G1251" s="52"/>
      <c r="H1251" s="52"/>
    </row>
    <row r="1252" spans="1:8" ht="15.75">
      <c r="A1252" s="50">
        <v>41197</v>
      </c>
      <c r="B1252" s="51">
        <v>1341.86</v>
      </c>
      <c r="C1252" s="52"/>
      <c r="D1252" s="52"/>
      <c r="E1252" s="52"/>
      <c r="F1252" s="52"/>
      <c r="G1252" s="52"/>
      <c r="H1252" s="52"/>
    </row>
    <row r="1253" spans="1:8" ht="15.75">
      <c r="A1253" s="50">
        <v>41198</v>
      </c>
      <c r="B1253" s="51">
        <v>1334.75</v>
      </c>
      <c r="C1253" s="52"/>
      <c r="D1253" s="52"/>
      <c r="E1253" s="52"/>
      <c r="F1253" s="52"/>
      <c r="G1253" s="52"/>
      <c r="H1253" s="52"/>
    </row>
    <row r="1254" spans="1:8" ht="15.75">
      <c r="A1254" s="50">
        <v>41199</v>
      </c>
      <c r="B1254" s="51">
        <v>1334.32</v>
      </c>
      <c r="C1254" s="52"/>
      <c r="D1254" s="52"/>
      <c r="E1254" s="52"/>
      <c r="F1254" s="52"/>
      <c r="G1254" s="52"/>
      <c r="H1254" s="52"/>
    </row>
    <row r="1255" spans="1:8" ht="15.75">
      <c r="A1255" s="50">
        <v>41200</v>
      </c>
      <c r="B1255" s="51">
        <v>1329.28</v>
      </c>
      <c r="C1255" s="52"/>
      <c r="D1255" s="52"/>
      <c r="E1255" s="52"/>
      <c r="F1255" s="52"/>
      <c r="G1255" s="52"/>
      <c r="H1255" s="52"/>
    </row>
    <row r="1256" spans="1:8" ht="15.75">
      <c r="A1256" s="50">
        <v>41201</v>
      </c>
      <c r="B1256" s="51">
        <v>1321.65</v>
      </c>
      <c r="C1256" s="52"/>
      <c r="D1256" s="52"/>
      <c r="E1256" s="52"/>
      <c r="F1256" s="52"/>
      <c r="G1256" s="52"/>
      <c r="H1256" s="52"/>
    </row>
    <row r="1257" spans="1:8" ht="15.75">
      <c r="A1257" s="50">
        <v>41204</v>
      </c>
      <c r="B1257" s="51">
        <v>1325.62</v>
      </c>
      <c r="C1257" s="52"/>
      <c r="D1257" s="52"/>
      <c r="E1257" s="52"/>
      <c r="F1257" s="52"/>
      <c r="G1257" s="52"/>
      <c r="H1257" s="52"/>
    </row>
    <row r="1258" spans="1:8" ht="15.75">
      <c r="A1258" s="50">
        <v>41205</v>
      </c>
      <c r="B1258" s="51">
        <v>1315.21</v>
      </c>
      <c r="C1258" s="52"/>
      <c r="D1258" s="52"/>
      <c r="E1258" s="52"/>
      <c r="F1258" s="52"/>
      <c r="G1258" s="52"/>
      <c r="H1258" s="52"/>
    </row>
    <row r="1259" spans="1:8" ht="15.75">
      <c r="A1259" s="50">
        <v>41206</v>
      </c>
      <c r="B1259" s="51">
        <v>1312.37</v>
      </c>
      <c r="C1259" s="52"/>
      <c r="D1259" s="52"/>
      <c r="E1259" s="52"/>
      <c r="F1259" s="52"/>
      <c r="G1259" s="52"/>
      <c r="H1259" s="52"/>
    </row>
    <row r="1260" spans="1:8" ht="15.75">
      <c r="A1260" s="50">
        <v>41207</v>
      </c>
      <c r="B1260" s="51">
        <v>1321.8</v>
      </c>
      <c r="C1260" s="52"/>
      <c r="D1260" s="52"/>
      <c r="E1260" s="52"/>
      <c r="F1260" s="52"/>
      <c r="G1260" s="52"/>
      <c r="H1260" s="52"/>
    </row>
    <row r="1261" spans="1:8" ht="15.75">
      <c r="A1261" s="50">
        <v>41208</v>
      </c>
      <c r="B1261" s="51">
        <v>1322.77</v>
      </c>
      <c r="C1261" s="52"/>
      <c r="D1261" s="52"/>
      <c r="E1261" s="52"/>
      <c r="F1261" s="52"/>
      <c r="G1261" s="52"/>
      <c r="H1261" s="52"/>
    </row>
    <row r="1262" spans="1:8" ht="15.75">
      <c r="A1262" s="50">
        <v>41211</v>
      </c>
      <c r="B1262" s="51">
        <v>1323.04</v>
      </c>
      <c r="C1262" s="52"/>
      <c r="D1262" s="52"/>
      <c r="E1262" s="52"/>
      <c r="F1262" s="52"/>
      <c r="G1262" s="52"/>
      <c r="H1262" s="52"/>
    </row>
    <row r="1263" spans="1:8" ht="15.75">
      <c r="A1263" s="50">
        <v>41212</v>
      </c>
      <c r="B1263" s="51">
        <v>1319.5</v>
      </c>
      <c r="C1263" s="52"/>
      <c r="D1263" s="52"/>
      <c r="E1263" s="52"/>
      <c r="F1263" s="52"/>
      <c r="G1263" s="52"/>
      <c r="H1263" s="52"/>
    </row>
    <row r="1264" spans="1:8" ht="15.75">
      <c r="A1264" s="50">
        <v>41213</v>
      </c>
      <c r="B1264" s="51">
        <v>1327.15</v>
      </c>
      <c r="C1264" s="52"/>
      <c r="D1264" s="52"/>
      <c r="E1264" s="52"/>
      <c r="F1264" s="52"/>
      <c r="G1264" s="52"/>
      <c r="H1264" s="52"/>
    </row>
    <row r="1265" spans="1:8" ht="15.75">
      <c r="A1265" s="50">
        <v>41214</v>
      </c>
      <c r="B1265" s="51">
        <v>1325.71</v>
      </c>
      <c r="C1265" s="52"/>
      <c r="D1265" s="52"/>
      <c r="E1265" s="52"/>
      <c r="F1265" s="52"/>
      <c r="G1265" s="52"/>
      <c r="H1265" s="52"/>
    </row>
    <row r="1266" spans="1:8" ht="15.75">
      <c r="A1266" s="50">
        <v>41215</v>
      </c>
      <c r="B1266" s="51">
        <v>1307.22</v>
      </c>
      <c r="C1266" s="52"/>
      <c r="D1266" s="52"/>
      <c r="E1266" s="52"/>
      <c r="F1266" s="52"/>
      <c r="G1266" s="52"/>
      <c r="H1266" s="52"/>
    </row>
    <row r="1267" spans="1:8" ht="15.75">
      <c r="A1267" s="50">
        <v>41218</v>
      </c>
      <c r="B1267" s="51">
        <v>1316.7</v>
      </c>
      <c r="C1267" s="52"/>
      <c r="D1267" s="52"/>
      <c r="E1267" s="52"/>
      <c r="F1267" s="52"/>
      <c r="G1267" s="52"/>
      <c r="H1267" s="52"/>
    </row>
    <row r="1268" spans="1:8" ht="15.75">
      <c r="A1268" s="50">
        <v>41219</v>
      </c>
      <c r="B1268" s="51">
        <v>1339.97</v>
      </c>
      <c r="C1268" s="52"/>
      <c r="D1268" s="52"/>
      <c r="E1268" s="52"/>
      <c r="F1268" s="52"/>
      <c r="G1268" s="52"/>
      <c r="H1268" s="52"/>
    </row>
    <row r="1269" spans="1:8" ht="15.75">
      <c r="A1269" s="50">
        <v>41220</v>
      </c>
      <c r="B1269" s="51">
        <v>1344.3</v>
      </c>
      <c r="C1269" s="52"/>
      <c r="D1269" s="52"/>
      <c r="E1269" s="52"/>
      <c r="F1269" s="52"/>
      <c r="G1269" s="52"/>
      <c r="H1269" s="52"/>
    </row>
    <row r="1270" spans="1:8" ht="15.75">
      <c r="A1270" s="50">
        <v>41221</v>
      </c>
      <c r="B1270" s="51">
        <v>1358.29</v>
      </c>
      <c r="C1270" s="52"/>
      <c r="D1270" s="52"/>
      <c r="E1270" s="52"/>
      <c r="F1270" s="52"/>
      <c r="G1270" s="52"/>
      <c r="H1270" s="52"/>
    </row>
    <row r="1271" spans="1:8" ht="15.75">
      <c r="A1271" s="50">
        <v>41222</v>
      </c>
      <c r="B1271" s="51">
        <v>1362.05</v>
      </c>
      <c r="C1271" s="52"/>
      <c r="D1271" s="52"/>
      <c r="E1271" s="52"/>
      <c r="F1271" s="52"/>
      <c r="G1271" s="52"/>
      <c r="H1271" s="52"/>
    </row>
    <row r="1272" spans="1:8" ht="15.75">
      <c r="A1272" s="50">
        <v>41225</v>
      </c>
      <c r="B1272" s="51">
        <v>1360.21</v>
      </c>
      <c r="C1272" s="52"/>
      <c r="D1272" s="52"/>
      <c r="E1272" s="52"/>
      <c r="F1272" s="52"/>
      <c r="G1272" s="52"/>
      <c r="H1272" s="52"/>
    </row>
    <row r="1273" spans="1:8" ht="15.75">
      <c r="A1273" s="50">
        <v>41226</v>
      </c>
      <c r="B1273" s="51">
        <v>1358.17</v>
      </c>
      <c r="C1273" s="52"/>
      <c r="D1273" s="52"/>
      <c r="E1273" s="52"/>
      <c r="F1273" s="52"/>
      <c r="G1273" s="52"/>
      <c r="H1273" s="52"/>
    </row>
    <row r="1274" spans="1:8" ht="15.75">
      <c r="A1274" s="50">
        <v>41227</v>
      </c>
      <c r="B1274" s="51">
        <v>1356</v>
      </c>
      <c r="C1274" s="52"/>
      <c r="D1274" s="52"/>
      <c r="E1274" s="52"/>
      <c r="F1274" s="52"/>
      <c r="G1274" s="52"/>
      <c r="H1274" s="52"/>
    </row>
    <row r="1275" spans="1:8" ht="15.75">
      <c r="A1275" s="50">
        <v>41228</v>
      </c>
      <c r="B1275" s="51">
        <v>1342.93</v>
      </c>
      <c r="C1275" s="52"/>
      <c r="D1275" s="52"/>
      <c r="E1275" s="52"/>
      <c r="F1275" s="52"/>
      <c r="G1275" s="52"/>
      <c r="H1275" s="52"/>
    </row>
    <row r="1276" spans="1:8" ht="15.75">
      <c r="A1276" s="50">
        <v>41229</v>
      </c>
      <c r="B1276" s="51">
        <v>1345.17</v>
      </c>
      <c r="C1276" s="52"/>
      <c r="D1276" s="52"/>
      <c r="E1276" s="52"/>
      <c r="F1276" s="52"/>
      <c r="G1276" s="52"/>
      <c r="H1276" s="52"/>
    </row>
    <row r="1277" spans="1:8" ht="15.75">
      <c r="A1277" s="50">
        <v>41232</v>
      </c>
      <c r="B1277" s="51">
        <v>1354.55</v>
      </c>
      <c r="C1277" s="52"/>
      <c r="D1277" s="52"/>
      <c r="E1277" s="52"/>
      <c r="F1277" s="52"/>
      <c r="G1277" s="52"/>
      <c r="H1277" s="52"/>
    </row>
    <row r="1278" spans="1:8" ht="15.75">
      <c r="A1278" s="50">
        <v>41233</v>
      </c>
      <c r="B1278" s="51">
        <v>1348.41</v>
      </c>
      <c r="C1278" s="52"/>
      <c r="D1278" s="52"/>
      <c r="E1278" s="52"/>
      <c r="F1278" s="52"/>
      <c r="G1278" s="52"/>
      <c r="H1278" s="52"/>
    </row>
    <row r="1279" spans="1:8" ht="15.75">
      <c r="A1279" s="50">
        <v>41234</v>
      </c>
      <c r="B1279" s="51">
        <v>1347.82</v>
      </c>
      <c r="C1279" s="52"/>
      <c r="D1279" s="52"/>
      <c r="E1279" s="52"/>
      <c r="F1279" s="52"/>
      <c r="G1279" s="52"/>
      <c r="H1279" s="52"/>
    </row>
    <row r="1280" spans="1:8" ht="15.75">
      <c r="A1280" s="50">
        <v>41235</v>
      </c>
      <c r="B1280" s="51">
        <v>1343.4</v>
      </c>
      <c r="C1280" s="52"/>
      <c r="D1280" s="52"/>
      <c r="E1280" s="52"/>
      <c r="F1280" s="52"/>
      <c r="G1280" s="52"/>
      <c r="H1280" s="52"/>
    </row>
    <row r="1281" spans="1:8" ht="15.75">
      <c r="A1281" s="50">
        <v>41236</v>
      </c>
      <c r="B1281" s="51">
        <v>1350.23</v>
      </c>
      <c r="C1281" s="52"/>
      <c r="D1281" s="52"/>
      <c r="E1281" s="52"/>
      <c r="F1281" s="52"/>
      <c r="G1281" s="52"/>
      <c r="H1281" s="52"/>
    </row>
    <row r="1282" spans="1:8" ht="15.75">
      <c r="A1282" s="50">
        <v>41239</v>
      </c>
      <c r="B1282" s="51">
        <v>1346.12</v>
      </c>
      <c r="C1282" s="52"/>
      <c r="D1282" s="52"/>
      <c r="E1282" s="52"/>
      <c r="F1282" s="52"/>
      <c r="G1282" s="52"/>
      <c r="H1282" s="52"/>
    </row>
    <row r="1283" spans="1:8" ht="15.75">
      <c r="A1283" s="50">
        <v>41240</v>
      </c>
      <c r="B1283" s="51">
        <v>1343.79</v>
      </c>
      <c r="C1283" s="52"/>
      <c r="D1283" s="52"/>
      <c r="E1283" s="52"/>
      <c r="F1283" s="52"/>
      <c r="G1283" s="52"/>
      <c r="H1283" s="52"/>
    </row>
    <row r="1284" spans="1:8" ht="15.75">
      <c r="A1284" s="50">
        <v>41241</v>
      </c>
      <c r="B1284" s="51">
        <v>1327.97</v>
      </c>
      <c r="C1284" s="52"/>
      <c r="D1284" s="52"/>
      <c r="E1284" s="52"/>
      <c r="F1284" s="52"/>
      <c r="G1284" s="52"/>
      <c r="H1284" s="52"/>
    </row>
    <row r="1285" spans="1:8" ht="15.75">
      <c r="A1285" s="50">
        <v>41242</v>
      </c>
      <c r="B1285" s="51">
        <v>1329.97</v>
      </c>
      <c r="C1285" s="52"/>
      <c r="D1285" s="52"/>
      <c r="E1285" s="52"/>
      <c r="F1285" s="52"/>
      <c r="G1285" s="52"/>
      <c r="H1285" s="52"/>
    </row>
    <row r="1286" spans="1:8" ht="15.75">
      <c r="A1286" s="50">
        <v>41243</v>
      </c>
      <c r="B1286" s="51">
        <v>1320.33</v>
      </c>
      <c r="C1286" s="52"/>
      <c r="D1286" s="52"/>
      <c r="E1286" s="52"/>
      <c r="F1286" s="52"/>
      <c r="G1286" s="52"/>
      <c r="H1286" s="52"/>
    </row>
    <row r="1287" spans="1:8" ht="15.75">
      <c r="A1287" s="50">
        <v>41246</v>
      </c>
      <c r="B1287" s="51">
        <v>1313.9</v>
      </c>
      <c r="C1287" s="52"/>
      <c r="D1287" s="52"/>
      <c r="E1287" s="52"/>
      <c r="F1287" s="52"/>
      <c r="G1287" s="52"/>
      <c r="H1287" s="52"/>
    </row>
    <row r="1288" spans="1:8" ht="15.75">
      <c r="A1288" s="50">
        <v>41247</v>
      </c>
      <c r="B1288" s="51">
        <v>1296.17</v>
      </c>
      <c r="C1288" s="52"/>
      <c r="D1288" s="52"/>
      <c r="E1288" s="52"/>
      <c r="F1288" s="52"/>
      <c r="G1288" s="52"/>
      <c r="H1288" s="52"/>
    </row>
    <row r="1289" spans="1:8" ht="15.75">
      <c r="A1289" s="50">
        <v>41248</v>
      </c>
      <c r="B1289" s="51">
        <v>1298.3900000000001</v>
      </c>
      <c r="C1289" s="52"/>
      <c r="D1289" s="52"/>
      <c r="E1289" s="52"/>
      <c r="F1289" s="52"/>
      <c r="G1289" s="52"/>
      <c r="H1289" s="52"/>
    </row>
    <row r="1290" spans="1:8" ht="15.75">
      <c r="A1290" s="50">
        <v>41249</v>
      </c>
      <c r="B1290" s="51">
        <v>1311.82</v>
      </c>
      <c r="C1290" s="52"/>
      <c r="D1290" s="52"/>
      <c r="E1290" s="52"/>
      <c r="F1290" s="52"/>
      <c r="G1290" s="52"/>
      <c r="H1290" s="52"/>
    </row>
    <row r="1291" spans="1:8" ht="15.75">
      <c r="A1291" s="50">
        <v>41250</v>
      </c>
      <c r="B1291" s="51">
        <v>1318.53</v>
      </c>
      <c r="C1291" s="52"/>
      <c r="D1291" s="52"/>
      <c r="E1291" s="52"/>
      <c r="F1291" s="52"/>
      <c r="G1291" s="52"/>
      <c r="H1291" s="52"/>
    </row>
    <row r="1292" spans="1:8" ht="15.75">
      <c r="A1292" s="50">
        <v>41253</v>
      </c>
      <c r="B1292" s="51">
        <v>1323.39</v>
      </c>
      <c r="C1292" s="52"/>
      <c r="D1292" s="52"/>
      <c r="E1292" s="52"/>
      <c r="F1292" s="52"/>
      <c r="G1292" s="52"/>
      <c r="H1292" s="52"/>
    </row>
    <row r="1293" spans="1:8" ht="15.75">
      <c r="A1293" s="50">
        <v>41254</v>
      </c>
      <c r="B1293" s="51">
        <v>1314.67</v>
      </c>
      <c r="C1293" s="52"/>
      <c r="D1293" s="52"/>
      <c r="E1293" s="52"/>
      <c r="F1293" s="52"/>
      <c r="G1293" s="52"/>
      <c r="H1293" s="52"/>
    </row>
    <row r="1294" spans="1:8" ht="15.75">
      <c r="A1294" s="50">
        <v>41255</v>
      </c>
      <c r="B1294" s="51">
        <v>1309.6199999999999</v>
      </c>
      <c r="C1294" s="52"/>
      <c r="D1294" s="52"/>
      <c r="E1294" s="52"/>
      <c r="F1294" s="52"/>
      <c r="G1294" s="52"/>
      <c r="H1294" s="52"/>
    </row>
    <row r="1295" spans="1:8" ht="15.75">
      <c r="A1295" s="50">
        <v>41256</v>
      </c>
      <c r="B1295" s="51">
        <v>1297.8</v>
      </c>
      <c r="C1295" s="52"/>
      <c r="D1295" s="52"/>
      <c r="E1295" s="52"/>
      <c r="F1295" s="52"/>
      <c r="G1295" s="52"/>
      <c r="H1295" s="52"/>
    </row>
    <row r="1296" spans="1:8" ht="15.75">
      <c r="A1296" s="50">
        <v>41257</v>
      </c>
      <c r="B1296" s="51">
        <v>1287.98</v>
      </c>
      <c r="C1296" s="52"/>
      <c r="D1296" s="52"/>
      <c r="E1296" s="52"/>
      <c r="F1296" s="52"/>
      <c r="G1296" s="52"/>
      <c r="H1296" s="52"/>
    </row>
    <row r="1297" spans="1:8" ht="15.75">
      <c r="A1297" s="50">
        <v>41260</v>
      </c>
      <c r="B1297" s="51">
        <v>1290.58</v>
      </c>
      <c r="C1297" s="52"/>
      <c r="D1297" s="52"/>
      <c r="E1297" s="52"/>
      <c r="F1297" s="52"/>
      <c r="G1297" s="52"/>
      <c r="H1297" s="52"/>
    </row>
    <row r="1298" spans="1:8" ht="15.75">
      <c r="A1298" s="50">
        <v>41261</v>
      </c>
      <c r="B1298" s="51">
        <v>1263.44</v>
      </c>
      <c r="C1298" s="52"/>
      <c r="D1298" s="52"/>
      <c r="E1298" s="52"/>
      <c r="F1298" s="52"/>
      <c r="G1298" s="52"/>
      <c r="H1298" s="52"/>
    </row>
    <row r="1299" spans="1:8" ht="15.75">
      <c r="A1299" s="50">
        <v>41262</v>
      </c>
      <c r="B1299" s="51">
        <v>1262.27</v>
      </c>
      <c r="C1299" s="52"/>
      <c r="D1299" s="52"/>
      <c r="E1299" s="52"/>
      <c r="F1299" s="52"/>
      <c r="G1299" s="52"/>
      <c r="H1299" s="52"/>
    </row>
    <row r="1300" spans="1:8" ht="15.75">
      <c r="A1300" s="50">
        <v>41263</v>
      </c>
      <c r="B1300" s="51">
        <v>1244.07</v>
      </c>
      <c r="C1300" s="52"/>
      <c r="D1300" s="52"/>
      <c r="E1300" s="52"/>
      <c r="F1300" s="52"/>
      <c r="G1300" s="52"/>
      <c r="H1300" s="52"/>
    </row>
    <row r="1301" spans="1:8" ht="15.75">
      <c r="A1301" s="50">
        <v>41264</v>
      </c>
      <c r="B1301" s="51">
        <v>1257.0899999999999</v>
      </c>
      <c r="C1301" s="52"/>
      <c r="D1301" s="52"/>
      <c r="E1301" s="52"/>
      <c r="F1301" s="52"/>
      <c r="G1301" s="52"/>
      <c r="H1301" s="52"/>
    </row>
    <row r="1302" spans="1:8" ht="15.75">
      <c r="A1302" s="50">
        <v>41267</v>
      </c>
      <c r="B1302" s="51">
        <v>1258.04</v>
      </c>
      <c r="C1302" s="52"/>
      <c r="D1302" s="52"/>
      <c r="E1302" s="52"/>
      <c r="F1302" s="52"/>
      <c r="G1302" s="52"/>
      <c r="H1302" s="52"/>
    </row>
    <row r="1303" spans="1:8" ht="15.75">
      <c r="A1303" s="50">
        <v>41268</v>
      </c>
      <c r="B1303" s="51">
        <v>1248.52</v>
      </c>
      <c r="C1303" s="52"/>
      <c r="D1303" s="52"/>
      <c r="E1303" s="52"/>
      <c r="F1303" s="52"/>
      <c r="G1303" s="52"/>
      <c r="H1303" s="52"/>
    </row>
    <row r="1304" spans="1:8" ht="15.75">
      <c r="A1304" s="50">
        <v>41269</v>
      </c>
      <c r="B1304" s="51">
        <v>1255.1400000000001</v>
      </c>
      <c r="C1304" s="52"/>
      <c r="D1304" s="52"/>
      <c r="E1304" s="52"/>
      <c r="F1304" s="52"/>
      <c r="G1304" s="52"/>
      <c r="H1304" s="52"/>
    </row>
    <row r="1305" spans="1:8" ht="15.75">
      <c r="A1305" s="50">
        <v>41270</v>
      </c>
      <c r="B1305" s="51">
        <v>1257.1199999999999</v>
      </c>
      <c r="C1305" s="52"/>
      <c r="D1305" s="52"/>
      <c r="E1305" s="52"/>
      <c r="F1305" s="52"/>
      <c r="G1305" s="52"/>
      <c r="H1305" s="52"/>
    </row>
    <row r="1306" spans="1:8" ht="15.75">
      <c r="A1306" s="50">
        <v>41271</v>
      </c>
      <c r="B1306" s="51">
        <v>1252.9100000000001</v>
      </c>
      <c r="C1306" s="52"/>
      <c r="D1306" s="52"/>
      <c r="E1306" s="52"/>
      <c r="F1306" s="52"/>
      <c r="G1306" s="52"/>
      <c r="H1306" s="52"/>
    </row>
    <row r="1307" spans="1:8" ht="15.75">
      <c r="A1307" s="50">
        <v>41274</v>
      </c>
      <c r="B1307" s="51">
        <v>1269.57</v>
      </c>
      <c r="C1307" s="52"/>
      <c r="D1307" s="52"/>
      <c r="E1307" s="52"/>
      <c r="F1307" s="52"/>
      <c r="G1307" s="52"/>
      <c r="H1307" s="52"/>
    </row>
    <row r="1308" spans="1:8" ht="15.75">
      <c r="A1308" s="50">
        <v>41275</v>
      </c>
      <c r="B1308" s="51">
        <v>1259.98</v>
      </c>
      <c r="C1308" s="52"/>
      <c r="D1308" s="52"/>
      <c r="E1308" s="52"/>
      <c r="F1308" s="52"/>
      <c r="G1308" s="52"/>
      <c r="H1308" s="52"/>
    </row>
    <row r="1309" spans="1:8" ht="15.75">
      <c r="A1309" s="50">
        <v>41276</v>
      </c>
      <c r="B1309" s="51">
        <v>1278.32</v>
      </c>
      <c r="C1309" s="52"/>
      <c r="D1309" s="52"/>
      <c r="E1309" s="52"/>
      <c r="F1309" s="52"/>
      <c r="G1309" s="52"/>
      <c r="H1309" s="52"/>
    </row>
    <row r="1310" spans="1:8" ht="15.75">
      <c r="A1310" s="50">
        <v>41277</v>
      </c>
      <c r="B1310" s="51">
        <v>1275.75</v>
      </c>
      <c r="C1310" s="52"/>
      <c r="D1310" s="52"/>
      <c r="E1310" s="52"/>
      <c r="F1310" s="52"/>
      <c r="G1310" s="52"/>
      <c r="H1310" s="52"/>
    </row>
    <row r="1311" spans="1:8" ht="15.75">
      <c r="A1311" s="50">
        <v>41278</v>
      </c>
      <c r="B1311" s="51">
        <v>1267.46</v>
      </c>
      <c r="C1311" s="52"/>
      <c r="D1311" s="52"/>
      <c r="E1311" s="52"/>
      <c r="F1311" s="52"/>
      <c r="G1311" s="52"/>
      <c r="H1311" s="52"/>
    </row>
    <row r="1312" spans="1:8" ht="15.75">
      <c r="A1312" s="50">
        <v>41281</v>
      </c>
      <c r="B1312" s="51">
        <v>1255.1400000000001</v>
      </c>
      <c r="C1312" s="52"/>
      <c r="D1312" s="52"/>
      <c r="E1312" s="52"/>
      <c r="F1312" s="52"/>
      <c r="G1312" s="52"/>
      <c r="H1312" s="52"/>
    </row>
    <row r="1313" spans="1:8" ht="15.75">
      <c r="A1313" s="50">
        <v>41282</v>
      </c>
      <c r="B1313" s="51">
        <v>1269.1300000000001</v>
      </c>
      <c r="C1313" s="52"/>
      <c r="D1313" s="52"/>
      <c r="E1313" s="52"/>
      <c r="F1313" s="52"/>
      <c r="G1313" s="52"/>
      <c r="H1313" s="52"/>
    </row>
    <row r="1314" spans="1:8" ht="15.75">
      <c r="A1314" s="50">
        <v>41283</v>
      </c>
      <c r="B1314" s="51">
        <v>1270.03</v>
      </c>
      <c r="C1314" s="52"/>
      <c r="D1314" s="52"/>
      <c r="E1314" s="52"/>
      <c r="F1314" s="52"/>
      <c r="G1314" s="52"/>
      <c r="H1314" s="52"/>
    </row>
    <row r="1315" spans="1:8" ht="15.75">
      <c r="A1315" s="50">
        <v>41284</v>
      </c>
      <c r="B1315" s="51">
        <v>1261.98</v>
      </c>
      <c r="C1315" s="52"/>
      <c r="D1315" s="52"/>
      <c r="E1315" s="52"/>
      <c r="F1315" s="52"/>
      <c r="G1315" s="52"/>
      <c r="H1315" s="52"/>
    </row>
    <row r="1316" spans="1:8" ht="15.75">
      <c r="A1316" s="50">
        <v>41285</v>
      </c>
      <c r="B1316" s="51">
        <v>1245.77</v>
      </c>
      <c r="C1316" s="52"/>
      <c r="D1316" s="52"/>
      <c r="E1316" s="52"/>
      <c r="F1316" s="52"/>
      <c r="G1316" s="52"/>
      <c r="H1316" s="52"/>
    </row>
    <row r="1317" spans="1:8" ht="15.75">
      <c r="A1317" s="50">
        <v>41288</v>
      </c>
      <c r="B1317" s="51">
        <v>1246.43</v>
      </c>
      <c r="C1317" s="52"/>
      <c r="D1317" s="52"/>
      <c r="E1317" s="52"/>
      <c r="F1317" s="52"/>
      <c r="G1317" s="52"/>
      <c r="H1317" s="52"/>
    </row>
    <row r="1318" spans="1:8" ht="15.75">
      <c r="A1318" s="50">
        <v>41289</v>
      </c>
      <c r="B1318" s="51">
        <v>1263.05</v>
      </c>
      <c r="C1318" s="52"/>
      <c r="D1318" s="52"/>
      <c r="E1318" s="52"/>
      <c r="F1318" s="52"/>
      <c r="G1318" s="52"/>
      <c r="H1318" s="52"/>
    </row>
    <row r="1319" spans="1:8" ht="15.75">
      <c r="A1319" s="50">
        <v>41290</v>
      </c>
      <c r="B1319" s="51">
        <v>1263.8399999999999</v>
      </c>
      <c r="C1319" s="52"/>
      <c r="D1319" s="52"/>
      <c r="E1319" s="52"/>
      <c r="F1319" s="52"/>
      <c r="G1319" s="52"/>
      <c r="H1319" s="52"/>
    </row>
    <row r="1320" spans="1:8" ht="15.75">
      <c r="A1320" s="50">
        <v>41291</v>
      </c>
      <c r="B1320" s="51">
        <v>1261.68</v>
      </c>
      <c r="C1320" s="52"/>
      <c r="D1320" s="52"/>
      <c r="E1320" s="52"/>
      <c r="F1320" s="52"/>
      <c r="G1320" s="52"/>
      <c r="H1320" s="52"/>
    </row>
    <row r="1321" spans="1:8" ht="15.75">
      <c r="A1321" s="50">
        <v>41292</v>
      </c>
      <c r="B1321" s="51">
        <v>1264.8800000000001</v>
      </c>
      <c r="C1321" s="52"/>
      <c r="D1321" s="52"/>
      <c r="E1321" s="52"/>
      <c r="F1321" s="52"/>
      <c r="G1321" s="52"/>
      <c r="H1321" s="52"/>
    </row>
    <row r="1322" spans="1:8" ht="15.75">
      <c r="A1322" s="50">
        <v>41295</v>
      </c>
      <c r="B1322" s="51">
        <v>1269.22</v>
      </c>
      <c r="C1322" s="52"/>
      <c r="D1322" s="52"/>
      <c r="E1322" s="52"/>
      <c r="F1322" s="52"/>
      <c r="G1322" s="52"/>
      <c r="H1322" s="52"/>
    </row>
    <row r="1323" spans="1:8" ht="15.75">
      <c r="A1323" s="50">
        <v>41296</v>
      </c>
      <c r="B1323" s="51">
        <v>1270.45</v>
      </c>
      <c r="C1323" s="52"/>
      <c r="D1323" s="52"/>
      <c r="E1323" s="52"/>
      <c r="F1323" s="52"/>
      <c r="G1323" s="52"/>
      <c r="H1323" s="52"/>
    </row>
    <row r="1324" spans="1:8" ht="15.75">
      <c r="A1324" s="50">
        <v>41297</v>
      </c>
      <c r="B1324" s="51">
        <v>1265.5899999999999</v>
      </c>
      <c r="C1324" s="52"/>
      <c r="D1324" s="52"/>
      <c r="E1324" s="52"/>
      <c r="F1324" s="52"/>
      <c r="G1324" s="52"/>
      <c r="H1324" s="52"/>
    </row>
    <row r="1325" spans="1:8" ht="15.75">
      <c r="A1325" s="50">
        <v>41298</v>
      </c>
      <c r="B1325" s="51">
        <v>1246.67</v>
      </c>
      <c r="C1325" s="52"/>
      <c r="D1325" s="52"/>
      <c r="E1325" s="52"/>
      <c r="F1325" s="52"/>
      <c r="G1325" s="52"/>
      <c r="H1325" s="52"/>
    </row>
    <row r="1326" spans="1:8" ht="15.75">
      <c r="A1326" s="50">
        <v>41299</v>
      </c>
      <c r="B1326" s="51">
        <v>1232.58</v>
      </c>
      <c r="C1326" s="52"/>
      <c r="D1326" s="52"/>
      <c r="E1326" s="52"/>
      <c r="F1326" s="52"/>
      <c r="G1326" s="52"/>
      <c r="H1326" s="52"/>
    </row>
    <row r="1327" spans="1:8" ht="15.75">
      <c r="A1327" s="50">
        <v>41302</v>
      </c>
      <c r="B1327" s="51">
        <v>1231.1099999999999</v>
      </c>
      <c r="C1327" s="52"/>
      <c r="D1327" s="52"/>
      <c r="E1327" s="52"/>
      <c r="F1327" s="52"/>
      <c r="G1327" s="52"/>
      <c r="H1327" s="52"/>
    </row>
    <row r="1328" spans="1:8" ht="15.75">
      <c r="A1328" s="50">
        <v>41303</v>
      </c>
      <c r="B1328" s="51">
        <v>1233.43</v>
      </c>
      <c r="C1328" s="52"/>
      <c r="D1328" s="52"/>
      <c r="E1328" s="52"/>
      <c r="F1328" s="52"/>
      <c r="G1328" s="52"/>
      <c r="H1328" s="52"/>
    </row>
    <row r="1329" spans="1:8" ht="15.75">
      <c r="A1329" s="50">
        <v>41304</v>
      </c>
      <c r="B1329" s="51">
        <v>1235.57</v>
      </c>
      <c r="C1329" s="52"/>
      <c r="D1329" s="52"/>
      <c r="E1329" s="52"/>
      <c r="F1329" s="52"/>
      <c r="G1329" s="52"/>
      <c r="H1329" s="52"/>
    </row>
    <row r="1330" spans="1:8" ht="15.75">
      <c r="A1330" s="50">
        <v>41305</v>
      </c>
      <c r="B1330" s="51">
        <v>1224.3900000000001</v>
      </c>
      <c r="C1330" s="52"/>
      <c r="D1330" s="52"/>
      <c r="E1330" s="52"/>
      <c r="F1330" s="52"/>
      <c r="G1330" s="52"/>
      <c r="H1330" s="52"/>
    </row>
    <row r="1331" spans="1:8" ht="15.75">
      <c r="A1331" s="50">
        <v>41306</v>
      </c>
      <c r="B1331" s="51">
        <v>1222.6400000000001</v>
      </c>
      <c r="C1331" s="52"/>
      <c r="D1331" s="52"/>
      <c r="E1331" s="52"/>
      <c r="F1331" s="52"/>
      <c r="G1331" s="52"/>
      <c r="H1331" s="52"/>
    </row>
    <row r="1332" spans="1:8" ht="15.75">
      <c r="A1332" s="50">
        <v>41309</v>
      </c>
      <c r="B1332" s="51">
        <v>1240.1300000000001</v>
      </c>
      <c r="C1332" s="52"/>
      <c r="D1332" s="52"/>
      <c r="E1332" s="52"/>
      <c r="F1332" s="52"/>
      <c r="G1332" s="52"/>
      <c r="H1332" s="52"/>
    </row>
    <row r="1333" spans="1:8" ht="15.75">
      <c r="A1333" s="50">
        <v>41310</v>
      </c>
      <c r="B1333" s="51">
        <v>1231.72</v>
      </c>
      <c r="C1333" s="52"/>
      <c r="D1333" s="52"/>
      <c r="E1333" s="52"/>
      <c r="F1333" s="52"/>
      <c r="G1333" s="52"/>
      <c r="H1333" s="52"/>
    </row>
    <row r="1334" spans="1:8" ht="15.75">
      <c r="A1334" s="50">
        <v>41311</v>
      </c>
      <c r="B1334" s="51">
        <v>1241.0899999999999</v>
      </c>
      <c r="C1334" s="52"/>
      <c r="D1334" s="52"/>
      <c r="E1334" s="52"/>
      <c r="F1334" s="52"/>
      <c r="G1334" s="52"/>
      <c r="H1334" s="52"/>
    </row>
    <row r="1335" spans="1:8" ht="15.75">
      <c r="A1335" s="50">
        <v>41312</v>
      </c>
      <c r="B1335" s="51">
        <v>1247.3699999999999</v>
      </c>
      <c r="C1335" s="52"/>
      <c r="D1335" s="52"/>
      <c r="E1335" s="52"/>
      <c r="F1335" s="52"/>
      <c r="G1335" s="52"/>
      <c r="H1335" s="52"/>
    </row>
    <row r="1336" spans="1:8" ht="15.75">
      <c r="A1336" s="50">
        <v>41313</v>
      </c>
      <c r="B1336" s="51">
        <v>1247.44</v>
      </c>
      <c r="C1336" s="52"/>
      <c r="D1336" s="52"/>
      <c r="E1336" s="52"/>
      <c r="F1336" s="52"/>
      <c r="G1336" s="52"/>
      <c r="H1336" s="52"/>
    </row>
    <row r="1337" spans="1:8" ht="15.75">
      <c r="A1337" s="50">
        <v>41316</v>
      </c>
      <c r="B1337" s="51">
        <v>1230.08</v>
      </c>
      <c r="C1337" s="52"/>
      <c r="D1337" s="52"/>
      <c r="E1337" s="52"/>
      <c r="F1337" s="52"/>
      <c r="G1337" s="52"/>
      <c r="H1337" s="52"/>
    </row>
    <row r="1338" spans="1:8" ht="15.75">
      <c r="A1338" s="50">
        <v>41317</v>
      </c>
      <c r="B1338" s="51">
        <v>1227.72</v>
      </c>
      <c r="C1338" s="52"/>
      <c r="D1338" s="52"/>
      <c r="E1338" s="52"/>
      <c r="F1338" s="52"/>
      <c r="G1338" s="52"/>
      <c r="H1338" s="52"/>
    </row>
    <row r="1339" spans="1:8" ht="15.75">
      <c r="A1339" s="50">
        <v>41318</v>
      </c>
      <c r="B1339" s="51">
        <v>1221.47</v>
      </c>
      <c r="C1339" s="52"/>
      <c r="D1339" s="52"/>
      <c r="E1339" s="52"/>
      <c r="F1339" s="52"/>
      <c r="G1339" s="52"/>
      <c r="H1339" s="52"/>
    </row>
    <row r="1340" spans="1:8" ht="15.75">
      <c r="A1340" s="50">
        <v>41319</v>
      </c>
      <c r="B1340" s="51">
        <v>1223.52</v>
      </c>
      <c r="C1340" s="52"/>
      <c r="D1340" s="52"/>
      <c r="E1340" s="52"/>
      <c r="F1340" s="52"/>
      <c r="G1340" s="52"/>
      <c r="H1340" s="52"/>
    </row>
    <row r="1341" spans="1:8" ht="15.75">
      <c r="A1341" s="50">
        <v>41320</v>
      </c>
      <c r="B1341" s="51">
        <v>1204.8699999999999</v>
      </c>
      <c r="C1341" s="52"/>
      <c r="D1341" s="52"/>
      <c r="E1341" s="52"/>
      <c r="F1341" s="52"/>
      <c r="G1341" s="52"/>
      <c r="H1341" s="52"/>
    </row>
    <row r="1342" spans="1:8" ht="15.75">
      <c r="A1342" s="50">
        <v>41323</v>
      </c>
      <c r="B1342" s="51">
        <v>1206.02</v>
      </c>
      <c r="C1342" s="52"/>
      <c r="D1342" s="52"/>
      <c r="E1342" s="52"/>
      <c r="F1342" s="52"/>
      <c r="G1342" s="52"/>
      <c r="H1342" s="52"/>
    </row>
    <row r="1343" spans="1:8" ht="15.75">
      <c r="A1343" s="50">
        <v>41324</v>
      </c>
      <c r="B1343" s="51">
        <v>1198.8599999999999</v>
      </c>
      <c r="C1343" s="52"/>
      <c r="D1343" s="52"/>
      <c r="E1343" s="52"/>
      <c r="F1343" s="52"/>
      <c r="G1343" s="52"/>
      <c r="H1343" s="52"/>
    </row>
    <row r="1344" spans="1:8" ht="15.75">
      <c r="A1344" s="50">
        <v>41325</v>
      </c>
      <c r="B1344" s="51">
        <v>1176.44</v>
      </c>
      <c r="C1344" s="52"/>
      <c r="D1344" s="52"/>
      <c r="E1344" s="52"/>
      <c r="F1344" s="52"/>
      <c r="G1344" s="52"/>
      <c r="H1344" s="52"/>
    </row>
    <row r="1345" spans="1:8" ht="15.75">
      <c r="A1345" s="50">
        <v>41326</v>
      </c>
      <c r="B1345" s="51">
        <v>1195.0999999999999</v>
      </c>
      <c r="C1345" s="52"/>
      <c r="D1345" s="52"/>
      <c r="E1345" s="52"/>
      <c r="F1345" s="52"/>
      <c r="G1345" s="52"/>
      <c r="H1345" s="52"/>
    </row>
    <row r="1346" spans="1:8" ht="15.75">
      <c r="A1346" s="50">
        <v>41327</v>
      </c>
      <c r="B1346" s="51">
        <v>1198.76</v>
      </c>
      <c r="C1346" s="52"/>
      <c r="D1346" s="52"/>
      <c r="E1346" s="52"/>
      <c r="F1346" s="52"/>
      <c r="G1346" s="52"/>
      <c r="H1346" s="52"/>
    </row>
    <row r="1347" spans="1:8" ht="15.75">
      <c r="A1347" s="50">
        <v>41330</v>
      </c>
      <c r="B1347" s="51">
        <v>1221.27</v>
      </c>
      <c r="C1347" s="52"/>
      <c r="D1347" s="52"/>
      <c r="E1347" s="52"/>
      <c r="F1347" s="52"/>
      <c r="G1347" s="52"/>
      <c r="H1347" s="52"/>
    </row>
    <row r="1348" spans="1:8" ht="15.75">
      <c r="A1348" s="50">
        <v>41331</v>
      </c>
      <c r="B1348" s="51">
        <v>1235.44</v>
      </c>
      <c r="C1348" s="52"/>
      <c r="D1348" s="52"/>
      <c r="E1348" s="52"/>
      <c r="F1348" s="52"/>
      <c r="G1348" s="52"/>
      <c r="H1348" s="52"/>
    </row>
    <row r="1349" spans="1:8" ht="15.75">
      <c r="A1349" s="50">
        <v>41332</v>
      </c>
      <c r="B1349" s="51">
        <v>1215.44</v>
      </c>
      <c r="C1349" s="52"/>
      <c r="D1349" s="52"/>
      <c r="E1349" s="52"/>
      <c r="F1349" s="52"/>
      <c r="G1349" s="52"/>
      <c r="H1349" s="52"/>
    </row>
    <row r="1350" spans="1:8" ht="15.75">
      <c r="A1350" s="50">
        <v>41333</v>
      </c>
      <c r="B1350" s="51">
        <v>1208.79</v>
      </c>
      <c r="C1350" s="52"/>
      <c r="D1350" s="52"/>
      <c r="E1350" s="52"/>
      <c r="F1350" s="52"/>
      <c r="G1350" s="52"/>
      <c r="H1350" s="52"/>
    </row>
    <row r="1351" spans="1:8" ht="15.75">
      <c r="A1351" s="50">
        <v>41334</v>
      </c>
      <c r="B1351" s="51">
        <v>1211.46</v>
      </c>
      <c r="C1351" s="52"/>
      <c r="D1351" s="52"/>
      <c r="E1351" s="52"/>
      <c r="F1351" s="52"/>
      <c r="G1351" s="52"/>
      <c r="H1351" s="52"/>
    </row>
    <row r="1352" spans="1:8" ht="15.75">
      <c r="A1352" s="50">
        <v>41337</v>
      </c>
      <c r="B1352" s="51">
        <v>1208.47</v>
      </c>
      <c r="C1352" s="52"/>
      <c r="D1352" s="52"/>
      <c r="E1352" s="52"/>
      <c r="F1352" s="52"/>
      <c r="G1352" s="52"/>
      <c r="H1352" s="52"/>
    </row>
    <row r="1353" spans="1:8" ht="15.75">
      <c r="A1353" s="50">
        <v>41338</v>
      </c>
      <c r="B1353" s="51">
        <v>1207.3800000000001</v>
      </c>
      <c r="C1353" s="52"/>
      <c r="D1353" s="52"/>
      <c r="E1353" s="52"/>
      <c r="F1353" s="52"/>
      <c r="G1353" s="52"/>
      <c r="H1353" s="52"/>
    </row>
    <row r="1354" spans="1:8" ht="15.75">
      <c r="A1354" s="50">
        <v>41339</v>
      </c>
      <c r="B1354" s="51">
        <v>1221.03</v>
      </c>
      <c r="C1354" s="52"/>
      <c r="D1354" s="52"/>
      <c r="E1354" s="52"/>
      <c r="F1354" s="52"/>
      <c r="G1354" s="52"/>
      <c r="H1354" s="52"/>
    </row>
    <row r="1355" spans="1:8" ht="15.75">
      <c r="A1355" s="50">
        <v>41340</v>
      </c>
      <c r="B1355" s="51">
        <v>1204.45</v>
      </c>
      <c r="C1355" s="52"/>
      <c r="D1355" s="52"/>
      <c r="E1355" s="52"/>
      <c r="F1355" s="52"/>
      <c r="G1355" s="52"/>
      <c r="H1355" s="52"/>
    </row>
    <row r="1356" spans="1:8" ht="15.75">
      <c r="A1356" s="50">
        <v>41341</v>
      </c>
      <c r="B1356" s="51">
        <v>1213.5899999999999</v>
      </c>
      <c r="C1356" s="52"/>
      <c r="D1356" s="52"/>
      <c r="E1356" s="52"/>
      <c r="F1356" s="52"/>
      <c r="G1356" s="52"/>
      <c r="H1356" s="52"/>
    </row>
    <row r="1357" spans="1:8" ht="15.75">
      <c r="A1357" s="50">
        <v>41344</v>
      </c>
      <c r="B1357" s="51">
        <v>1213.77</v>
      </c>
      <c r="C1357" s="52"/>
      <c r="D1357" s="52"/>
      <c r="E1357" s="52"/>
      <c r="F1357" s="52"/>
      <c r="G1357" s="52"/>
      <c r="H1357" s="52"/>
    </row>
    <row r="1358" spans="1:8" ht="15.75">
      <c r="A1358" s="50">
        <v>41345</v>
      </c>
      <c r="B1358" s="51">
        <v>1222.9000000000001</v>
      </c>
      <c r="C1358" s="52"/>
      <c r="D1358" s="52"/>
      <c r="E1358" s="52"/>
      <c r="F1358" s="52"/>
      <c r="G1358" s="52"/>
      <c r="H1358" s="52"/>
    </row>
    <row r="1359" spans="1:8" ht="15.75">
      <c r="A1359" s="50">
        <v>41346</v>
      </c>
      <c r="B1359" s="51">
        <v>1226.48</v>
      </c>
      <c r="C1359" s="52"/>
      <c r="D1359" s="52"/>
      <c r="E1359" s="52"/>
      <c r="F1359" s="52"/>
      <c r="G1359" s="52"/>
      <c r="H1359" s="52"/>
    </row>
    <row r="1360" spans="1:8" ht="15.75">
      <c r="A1360" s="50">
        <v>41347</v>
      </c>
      <c r="B1360" s="51">
        <v>1222.51</v>
      </c>
      <c r="C1360" s="52"/>
      <c r="D1360" s="52"/>
      <c r="E1360" s="52"/>
      <c r="F1360" s="52"/>
      <c r="G1360" s="52"/>
      <c r="H1360" s="52"/>
    </row>
    <row r="1361" spans="1:8" ht="15.75">
      <c r="A1361" s="50">
        <v>41348</v>
      </c>
      <c r="B1361" s="51">
        <v>1217.94</v>
      </c>
      <c r="C1361" s="52"/>
      <c r="D1361" s="52"/>
      <c r="E1361" s="52"/>
      <c r="F1361" s="52"/>
      <c r="G1361" s="52"/>
      <c r="H1361" s="52"/>
    </row>
    <row r="1362" spans="1:8" ht="15.75">
      <c r="A1362" s="50">
        <v>41351</v>
      </c>
      <c r="B1362" s="51">
        <v>1240.98</v>
      </c>
      <c r="C1362" s="52"/>
      <c r="D1362" s="52"/>
      <c r="E1362" s="52"/>
      <c r="F1362" s="52"/>
      <c r="G1362" s="52"/>
      <c r="H1362" s="52"/>
    </row>
    <row r="1363" spans="1:8" ht="15.75">
      <c r="A1363" s="50">
        <v>41352</v>
      </c>
      <c r="B1363" s="51">
        <v>1254.78</v>
      </c>
      <c r="C1363" s="52"/>
      <c r="D1363" s="52"/>
      <c r="E1363" s="52"/>
      <c r="F1363" s="52"/>
      <c r="G1363" s="52"/>
      <c r="H1363" s="52"/>
    </row>
    <row r="1364" spans="1:8" ht="15.75">
      <c r="A1364" s="50">
        <v>41353</v>
      </c>
      <c r="B1364" s="51">
        <v>1242.17</v>
      </c>
      <c r="C1364" s="52"/>
      <c r="D1364" s="52"/>
      <c r="E1364" s="52"/>
      <c r="F1364" s="52"/>
      <c r="G1364" s="52"/>
      <c r="H1364" s="52"/>
    </row>
    <row r="1365" spans="1:8" ht="15.75">
      <c r="A1365" s="50">
        <v>41354</v>
      </c>
      <c r="B1365" s="51">
        <v>1252.79</v>
      </c>
      <c r="C1365" s="52"/>
      <c r="D1365" s="52"/>
      <c r="E1365" s="52"/>
      <c r="F1365" s="52"/>
      <c r="G1365" s="52"/>
      <c r="H1365" s="52"/>
    </row>
    <row r="1366" spans="1:8" ht="15.75">
      <c r="A1366" s="50">
        <v>41355</v>
      </c>
      <c r="B1366" s="51">
        <v>1237.8599999999999</v>
      </c>
      <c r="C1366" s="52"/>
      <c r="D1366" s="52"/>
      <c r="E1366" s="52"/>
      <c r="F1366" s="52"/>
      <c r="G1366" s="52"/>
      <c r="H1366" s="52"/>
    </row>
    <row r="1367" spans="1:8" ht="15.75">
      <c r="A1367" s="50">
        <v>41358</v>
      </c>
      <c r="B1367" s="51">
        <v>1247.3599999999999</v>
      </c>
      <c r="C1367" s="52"/>
      <c r="D1367" s="52"/>
      <c r="E1367" s="52"/>
      <c r="F1367" s="52"/>
      <c r="G1367" s="52"/>
      <c r="H1367" s="52"/>
    </row>
    <row r="1368" spans="1:8" ht="15.75">
      <c r="A1368" s="50">
        <v>41359</v>
      </c>
      <c r="B1368" s="51">
        <v>1244.21</v>
      </c>
      <c r="C1368" s="52"/>
      <c r="D1368" s="52"/>
      <c r="E1368" s="52"/>
      <c r="F1368" s="52"/>
      <c r="G1368" s="52"/>
      <c r="H1368" s="52"/>
    </row>
    <row r="1369" spans="1:8" ht="15.75">
      <c r="A1369" s="50">
        <v>41360</v>
      </c>
      <c r="B1369" s="51">
        <v>1256.24</v>
      </c>
      <c r="C1369" s="52"/>
      <c r="D1369" s="52"/>
      <c r="E1369" s="52"/>
      <c r="F1369" s="52"/>
      <c r="G1369" s="52"/>
      <c r="H1369" s="52"/>
    </row>
    <row r="1370" spans="1:8" ht="15.75">
      <c r="A1370" s="50">
        <v>41361</v>
      </c>
      <c r="B1370" s="51">
        <v>1246</v>
      </c>
      <c r="C1370" s="52"/>
      <c r="D1370" s="52"/>
      <c r="E1370" s="52"/>
      <c r="F1370" s="52"/>
      <c r="G1370" s="52"/>
      <c r="H1370" s="52"/>
    </row>
    <row r="1371" spans="1:8" ht="15.75">
      <c r="A1371" s="50">
        <v>41365</v>
      </c>
      <c r="B1371" s="51">
        <v>1244.9000000000001</v>
      </c>
      <c r="C1371" s="52"/>
      <c r="D1371" s="52"/>
      <c r="E1371" s="52"/>
      <c r="F1371" s="52"/>
      <c r="G1371" s="52"/>
      <c r="H1371" s="52"/>
    </row>
    <row r="1372" spans="1:8" ht="15.75">
      <c r="A1372" s="50">
        <v>41366</v>
      </c>
      <c r="B1372" s="51">
        <v>1229.22</v>
      </c>
      <c r="C1372" s="52"/>
      <c r="D1372" s="52"/>
      <c r="E1372" s="52"/>
      <c r="F1372" s="52"/>
      <c r="G1372" s="52"/>
      <c r="H1372" s="52"/>
    </row>
    <row r="1373" spans="1:8" ht="15.75">
      <c r="A1373" s="50">
        <v>41367</v>
      </c>
      <c r="B1373" s="51">
        <v>1213.03</v>
      </c>
      <c r="C1373" s="52"/>
      <c r="D1373" s="52"/>
      <c r="E1373" s="52"/>
      <c r="F1373" s="52"/>
      <c r="G1373" s="52"/>
      <c r="H1373" s="52"/>
    </row>
    <row r="1374" spans="1:8" ht="15.75">
      <c r="A1374" s="50">
        <v>41368</v>
      </c>
      <c r="B1374" s="51">
        <v>1201.3499999999999</v>
      </c>
      <c r="C1374" s="52"/>
      <c r="D1374" s="52"/>
      <c r="E1374" s="52"/>
      <c r="F1374" s="52"/>
      <c r="G1374" s="52"/>
      <c r="H1374" s="52"/>
    </row>
    <row r="1375" spans="1:8" ht="15.75">
      <c r="A1375" s="50">
        <v>41369</v>
      </c>
      <c r="B1375" s="51">
        <v>1217.6300000000001</v>
      </c>
      <c r="C1375" s="52"/>
      <c r="D1375" s="52"/>
      <c r="E1375" s="52"/>
      <c r="F1375" s="52"/>
      <c r="G1375" s="52"/>
      <c r="H1375" s="52"/>
    </row>
    <row r="1376" spans="1:8" ht="15.75">
      <c r="A1376" s="50">
        <v>41372</v>
      </c>
      <c r="B1376" s="51">
        <v>1208.1199999999999</v>
      </c>
      <c r="C1376" s="52"/>
      <c r="D1376" s="52"/>
      <c r="E1376" s="52"/>
      <c r="F1376" s="52"/>
      <c r="G1376" s="52"/>
      <c r="H1376" s="52"/>
    </row>
    <row r="1377" spans="1:8" ht="15.75">
      <c r="A1377" s="50">
        <v>41373</v>
      </c>
      <c r="B1377" s="51">
        <v>1211.76</v>
      </c>
      <c r="C1377" s="52"/>
      <c r="D1377" s="52"/>
      <c r="E1377" s="52"/>
      <c r="F1377" s="52"/>
      <c r="G1377" s="52"/>
      <c r="H1377" s="52"/>
    </row>
    <row r="1378" spans="1:8" ht="15.75">
      <c r="A1378" s="50">
        <v>41374</v>
      </c>
      <c r="B1378" s="51">
        <v>1192.7</v>
      </c>
      <c r="C1378" s="52"/>
      <c r="D1378" s="52"/>
      <c r="E1378" s="52"/>
      <c r="F1378" s="52"/>
      <c r="G1378" s="52"/>
      <c r="H1378" s="52"/>
    </row>
    <row r="1379" spans="1:8" ht="15.75">
      <c r="A1379" s="50">
        <v>41375</v>
      </c>
      <c r="B1379" s="51">
        <v>1191.27</v>
      </c>
      <c r="C1379" s="52"/>
      <c r="D1379" s="52"/>
      <c r="E1379" s="52"/>
      <c r="F1379" s="52"/>
      <c r="G1379" s="52"/>
      <c r="H1379" s="52"/>
    </row>
    <row r="1380" spans="1:8" ht="15.75">
      <c r="A1380" s="50">
        <v>41376</v>
      </c>
      <c r="B1380" s="51">
        <v>1127.82</v>
      </c>
      <c r="C1380" s="52"/>
      <c r="D1380" s="52"/>
      <c r="E1380" s="52"/>
      <c r="F1380" s="52"/>
      <c r="G1380" s="52"/>
      <c r="H1380" s="52"/>
    </row>
    <row r="1381" spans="1:8" ht="15.75">
      <c r="A1381" s="50">
        <v>41379</v>
      </c>
      <c r="B1381" s="51">
        <v>1036.29</v>
      </c>
      <c r="C1381" s="52"/>
      <c r="D1381" s="52"/>
      <c r="E1381" s="52"/>
      <c r="F1381" s="52"/>
      <c r="G1381" s="52"/>
      <c r="H1381" s="52"/>
    </row>
    <row r="1382" spans="1:8" ht="15.75">
      <c r="A1382" s="50">
        <v>41380</v>
      </c>
      <c r="B1382" s="51">
        <v>1038.92</v>
      </c>
      <c r="C1382" s="52"/>
      <c r="D1382" s="52"/>
      <c r="E1382" s="52"/>
      <c r="F1382" s="52"/>
      <c r="G1382" s="52"/>
      <c r="H1382" s="52"/>
    </row>
    <row r="1383" spans="1:8" ht="15.75">
      <c r="A1383" s="50">
        <v>41381</v>
      </c>
      <c r="B1383" s="51">
        <v>1056.31</v>
      </c>
      <c r="C1383" s="52"/>
      <c r="D1383" s="52"/>
      <c r="E1383" s="52"/>
      <c r="F1383" s="52"/>
      <c r="G1383" s="52"/>
      <c r="H1383" s="52"/>
    </row>
    <row r="1384" spans="1:8" ht="15.75">
      <c r="A1384" s="50">
        <v>41382</v>
      </c>
      <c r="B1384" s="51">
        <v>1066.17</v>
      </c>
      <c r="C1384" s="52"/>
      <c r="D1384" s="52"/>
      <c r="E1384" s="52"/>
      <c r="F1384" s="52"/>
      <c r="G1384" s="52"/>
      <c r="H1384" s="52"/>
    </row>
    <row r="1385" spans="1:8" ht="15.75">
      <c r="A1385" s="50">
        <v>41383</v>
      </c>
      <c r="B1385" s="51">
        <v>1075.93</v>
      </c>
      <c r="C1385" s="52"/>
      <c r="D1385" s="52"/>
      <c r="E1385" s="52"/>
      <c r="F1385" s="52"/>
      <c r="G1385" s="52"/>
      <c r="H1385" s="52"/>
    </row>
    <row r="1386" spans="1:8" ht="15.75">
      <c r="A1386" s="50">
        <v>41386</v>
      </c>
      <c r="B1386" s="51">
        <v>1092.0999999999999</v>
      </c>
      <c r="C1386" s="52"/>
      <c r="D1386" s="52"/>
      <c r="E1386" s="52"/>
      <c r="F1386" s="52"/>
      <c r="G1386" s="52"/>
      <c r="H1386" s="52"/>
    </row>
    <row r="1387" spans="1:8" ht="15.75">
      <c r="A1387" s="50">
        <v>41387</v>
      </c>
      <c r="B1387" s="51">
        <v>1087.22</v>
      </c>
      <c r="C1387" s="52"/>
      <c r="D1387" s="52"/>
      <c r="E1387" s="52"/>
      <c r="F1387" s="52"/>
      <c r="G1387" s="52"/>
      <c r="H1387" s="52"/>
    </row>
    <row r="1388" spans="1:8" ht="15.75">
      <c r="A1388" s="50">
        <v>41388</v>
      </c>
      <c r="B1388" s="51">
        <v>1099.8499999999999</v>
      </c>
      <c r="C1388" s="52"/>
      <c r="D1388" s="52"/>
      <c r="E1388" s="52"/>
      <c r="F1388" s="52"/>
      <c r="G1388" s="52"/>
      <c r="H1388" s="52"/>
    </row>
    <row r="1389" spans="1:8" ht="15.75">
      <c r="A1389" s="50">
        <v>41389</v>
      </c>
      <c r="B1389" s="51">
        <v>1128.04</v>
      </c>
      <c r="C1389" s="52"/>
      <c r="D1389" s="52"/>
      <c r="E1389" s="52"/>
      <c r="F1389" s="52"/>
      <c r="G1389" s="52"/>
      <c r="H1389" s="52"/>
    </row>
    <row r="1390" spans="1:8" ht="15.75">
      <c r="A1390" s="50">
        <v>41390</v>
      </c>
      <c r="B1390" s="51">
        <v>1122.58</v>
      </c>
      <c r="C1390" s="52"/>
      <c r="D1390" s="52"/>
      <c r="E1390" s="52"/>
      <c r="F1390" s="52"/>
      <c r="G1390" s="52"/>
      <c r="H1390" s="52"/>
    </row>
    <row r="1391" spans="1:8" ht="15.75">
      <c r="A1391" s="50">
        <v>41393</v>
      </c>
      <c r="B1391" s="51">
        <v>1127.68</v>
      </c>
      <c r="C1391" s="52"/>
      <c r="D1391" s="52"/>
      <c r="E1391" s="52"/>
      <c r="F1391" s="52"/>
      <c r="G1391" s="52"/>
      <c r="H1391" s="52"/>
    </row>
    <row r="1392" spans="1:8" ht="15.75">
      <c r="A1392" s="50">
        <v>41394</v>
      </c>
      <c r="B1392" s="51">
        <v>1122.08</v>
      </c>
      <c r="C1392" s="52"/>
      <c r="D1392" s="52"/>
      <c r="E1392" s="52"/>
      <c r="F1392" s="52"/>
      <c r="G1392" s="52"/>
      <c r="H1392" s="52"/>
    </row>
    <row r="1393" spans="1:8" ht="15.75">
      <c r="A1393" s="50">
        <v>41395</v>
      </c>
      <c r="B1393" s="51">
        <v>1106.05</v>
      </c>
      <c r="C1393" s="52"/>
      <c r="D1393" s="52"/>
      <c r="E1393" s="52"/>
      <c r="F1393" s="52"/>
      <c r="G1393" s="52"/>
      <c r="H1393" s="52"/>
    </row>
    <row r="1394" spans="1:8" ht="15.75">
      <c r="A1394" s="50">
        <v>41396</v>
      </c>
      <c r="B1394" s="51">
        <v>1123.68</v>
      </c>
      <c r="C1394" s="52"/>
      <c r="D1394" s="52"/>
      <c r="E1394" s="52"/>
      <c r="F1394" s="52"/>
      <c r="G1394" s="52"/>
      <c r="H1394" s="52"/>
    </row>
    <row r="1395" spans="1:8" ht="15.75">
      <c r="A1395" s="50">
        <v>41397</v>
      </c>
      <c r="B1395" s="51">
        <v>1121.23</v>
      </c>
      <c r="C1395" s="52"/>
      <c r="D1395" s="52"/>
      <c r="E1395" s="52"/>
      <c r="F1395" s="52"/>
      <c r="G1395" s="52"/>
      <c r="H1395" s="52"/>
    </row>
    <row r="1396" spans="1:8" ht="15.75">
      <c r="A1396" s="50">
        <v>41400</v>
      </c>
      <c r="B1396" s="51">
        <v>1124.6300000000001</v>
      </c>
      <c r="C1396" s="52"/>
      <c r="D1396" s="52"/>
      <c r="E1396" s="52"/>
      <c r="F1396" s="52"/>
      <c r="G1396" s="52"/>
      <c r="H1396" s="52"/>
    </row>
    <row r="1397" spans="1:8" ht="15.75">
      <c r="A1397" s="50">
        <v>41401</v>
      </c>
      <c r="B1397" s="51">
        <v>1109.77</v>
      </c>
      <c r="C1397" s="52"/>
      <c r="D1397" s="52"/>
      <c r="E1397" s="52"/>
      <c r="F1397" s="52"/>
      <c r="G1397" s="52"/>
      <c r="H1397" s="52"/>
    </row>
    <row r="1398" spans="1:8" ht="15.75">
      <c r="A1398" s="50">
        <v>41402</v>
      </c>
      <c r="B1398" s="51">
        <v>1120.1600000000001</v>
      </c>
      <c r="C1398" s="52"/>
      <c r="D1398" s="52"/>
      <c r="E1398" s="52"/>
      <c r="F1398" s="52"/>
      <c r="G1398" s="52"/>
      <c r="H1398" s="52"/>
    </row>
    <row r="1399" spans="1:8" ht="15.75">
      <c r="A1399" s="50">
        <v>41403</v>
      </c>
      <c r="B1399" s="51">
        <v>1115.69</v>
      </c>
      <c r="C1399" s="52"/>
      <c r="D1399" s="52"/>
      <c r="E1399" s="52"/>
      <c r="F1399" s="52"/>
      <c r="G1399" s="52"/>
      <c r="H1399" s="52"/>
    </row>
    <row r="1400" spans="1:8" ht="15.75">
      <c r="A1400" s="50">
        <v>41404</v>
      </c>
      <c r="B1400" s="51">
        <v>1114.69</v>
      </c>
      <c r="C1400" s="52"/>
      <c r="D1400" s="52"/>
      <c r="E1400" s="52"/>
      <c r="F1400" s="52"/>
      <c r="G1400" s="52"/>
      <c r="H1400" s="52"/>
    </row>
    <row r="1401" spans="1:8" ht="15.75">
      <c r="A1401" s="50">
        <v>41407</v>
      </c>
      <c r="B1401" s="51">
        <v>1102.03</v>
      </c>
      <c r="C1401" s="52"/>
      <c r="D1401" s="52"/>
      <c r="E1401" s="52"/>
      <c r="F1401" s="52"/>
      <c r="G1401" s="52"/>
      <c r="H1401" s="52"/>
    </row>
    <row r="1402" spans="1:8" ht="15.75">
      <c r="A1402" s="50">
        <v>41408</v>
      </c>
      <c r="B1402" s="51">
        <v>1104.9000000000001</v>
      </c>
      <c r="C1402" s="52"/>
      <c r="D1402" s="52"/>
      <c r="E1402" s="52"/>
      <c r="F1402" s="52"/>
      <c r="G1402" s="52"/>
      <c r="H1402" s="52"/>
    </row>
    <row r="1403" spans="1:8" ht="15.75">
      <c r="A1403" s="50">
        <v>41409</v>
      </c>
      <c r="B1403" s="51">
        <v>1081.3800000000001</v>
      </c>
      <c r="C1403" s="52"/>
      <c r="D1403" s="52"/>
      <c r="E1403" s="52"/>
      <c r="F1403" s="52"/>
      <c r="G1403" s="52"/>
      <c r="H1403" s="52"/>
    </row>
    <row r="1404" spans="1:8" ht="15.75">
      <c r="A1404" s="50">
        <v>41410</v>
      </c>
      <c r="B1404" s="51">
        <v>1075.97</v>
      </c>
      <c r="C1404" s="52"/>
      <c r="D1404" s="52"/>
      <c r="E1404" s="52"/>
      <c r="F1404" s="52"/>
      <c r="G1404" s="52"/>
      <c r="H1404" s="52"/>
    </row>
    <row r="1405" spans="1:8" ht="15.75">
      <c r="A1405" s="50">
        <v>41411</v>
      </c>
      <c r="B1405" s="51">
        <v>1059.3900000000001</v>
      </c>
      <c r="C1405" s="52"/>
      <c r="D1405" s="52"/>
      <c r="E1405" s="52"/>
      <c r="F1405" s="52"/>
      <c r="G1405" s="52"/>
      <c r="H1405" s="52"/>
    </row>
    <row r="1406" spans="1:8" ht="15.75">
      <c r="A1406" s="50">
        <v>41414</v>
      </c>
      <c r="B1406" s="51">
        <v>1081.92</v>
      </c>
      <c r="C1406" s="52"/>
      <c r="D1406" s="52"/>
      <c r="E1406" s="52"/>
      <c r="F1406" s="52"/>
      <c r="G1406" s="52"/>
      <c r="H1406" s="52"/>
    </row>
    <row r="1407" spans="1:8" ht="15.75">
      <c r="A1407" s="50">
        <v>41415</v>
      </c>
      <c r="B1407" s="51">
        <v>1063.6500000000001</v>
      </c>
      <c r="C1407" s="52"/>
      <c r="D1407" s="52"/>
      <c r="E1407" s="52"/>
      <c r="F1407" s="52"/>
      <c r="G1407" s="52"/>
      <c r="H1407" s="52"/>
    </row>
    <row r="1408" spans="1:8" ht="15.75">
      <c r="A1408" s="50">
        <v>41416</v>
      </c>
      <c r="B1408" s="51">
        <v>1065.82</v>
      </c>
      <c r="C1408" s="52"/>
      <c r="D1408" s="52"/>
      <c r="E1408" s="52"/>
      <c r="F1408" s="52"/>
      <c r="G1408" s="52"/>
      <c r="H1408" s="52"/>
    </row>
    <row r="1409" spans="1:8" ht="15.75">
      <c r="A1409" s="50">
        <v>41417</v>
      </c>
      <c r="B1409" s="51">
        <v>1075.8499999999999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41418</v>
      </c>
      <c r="B1410" s="51">
        <v>1071.98</v>
      </c>
      <c r="C1410" s="52"/>
      <c r="D1410" s="52"/>
      <c r="E1410" s="52"/>
      <c r="F1410" s="52"/>
      <c r="G1410" s="52"/>
      <c r="H1410" s="52"/>
    </row>
    <row r="1411" spans="1:8" ht="15.75">
      <c r="A1411" s="50">
        <v>41421</v>
      </c>
      <c r="B1411" s="51">
        <v>1078.44</v>
      </c>
      <c r="C1411" s="52"/>
      <c r="D1411" s="52"/>
      <c r="E1411" s="52"/>
      <c r="F1411" s="52"/>
      <c r="G1411" s="52"/>
      <c r="H1411" s="52"/>
    </row>
    <row r="1412" spans="1:8" ht="15.75">
      <c r="A1412" s="50">
        <v>41422</v>
      </c>
      <c r="B1412" s="51">
        <v>1071.74</v>
      </c>
      <c r="C1412" s="52"/>
      <c r="D1412" s="52"/>
      <c r="E1412" s="52"/>
      <c r="F1412" s="52"/>
      <c r="G1412" s="52"/>
      <c r="H1412" s="52"/>
    </row>
    <row r="1413" spans="1:8" ht="15.75">
      <c r="A1413" s="50">
        <v>41423</v>
      </c>
      <c r="B1413" s="51">
        <v>1080.23</v>
      </c>
      <c r="C1413" s="52"/>
      <c r="D1413" s="52"/>
      <c r="E1413" s="52"/>
      <c r="F1413" s="52"/>
      <c r="G1413" s="52"/>
      <c r="H1413" s="52"/>
    </row>
    <row r="1414" spans="1:8" ht="15.75">
      <c r="A1414" s="50">
        <v>41424</v>
      </c>
      <c r="B1414" s="51">
        <v>1080.8900000000001</v>
      </c>
      <c r="C1414" s="52"/>
      <c r="D1414" s="52"/>
      <c r="E1414" s="52"/>
      <c r="F1414" s="52"/>
      <c r="G1414" s="52"/>
      <c r="H1414" s="52"/>
    </row>
    <row r="1415" spans="1:8" ht="15.75">
      <c r="A1415" s="50">
        <v>41425</v>
      </c>
      <c r="B1415" s="51">
        <v>1067.69</v>
      </c>
      <c r="C1415" s="52"/>
      <c r="D1415" s="52"/>
      <c r="E1415" s="52"/>
      <c r="F1415" s="52"/>
      <c r="G1415" s="52"/>
      <c r="H1415" s="52"/>
    </row>
    <row r="1416" spans="1:8" ht="15.75">
      <c r="A1416" s="50">
        <v>41428</v>
      </c>
      <c r="B1416" s="51">
        <v>1077.69</v>
      </c>
      <c r="C1416" s="52"/>
      <c r="D1416" s="52"/>
      <c r="E1416" s="52"/>
      <c r="F1416" s="52"/>
      <c r="G1416" s="52"/>
      <c r="H1416" s="52"/>
    </row>
    <row r="1417" spans="1:8" ht="15.75">
      <c r="A1417" s="50">
        <v>41429</v>
      </c>
      <c r="B1417" s="51">
        <v>1072.19</v>
      </c>
      <c r="C1417" s="52"/>
      <c r="D1417" s="52"/>
      <c r="E1417" s="52"/>
      <c r="F1417" s="52"/>
      <c r="G1417" s="52"/>
      <c r="H1417" s="52"/>
    </row>
    <row r="1418" spans="1:8" ht="15.75">
      <c r="A1418" s="50">
        <v>41430</v>
      </c>
      <c r="B1418" s="51">
        <v>1071.45</v>
      </c>
      <c r="C1418" s="52"/>
      <c r="D1418" s="52"/>
      <c r="E1418" s="52"/>
      <c r="F1418" s="52"/>
      <c r="G1418" s="52"/>
      <c r="H1418" s="52"/>
    </row>
    <row r="1419" spans="1:8" ht="15.75">
      <c r="A1419" s="50">
        <v>41431</v>
      </c>
      <c r="B1419" s="51">
        <v>1067.52</v>
      </c>
      <c r="C1419" s="52"/>
      <c r="D1419" s="52"/>
      <c r="E1419" s="52"/>
      <c r="F1419" s="52"/>
      <c r="G1419" s="52"/>
      <c r="H1419" s="52"/>
    </row>
    <row r="1420" spans="1:8" ht="15.75">
      <c r="A1420" s="50">
        <v>41432</v>
      </c>
      <c r="B1420" s="51">
        <v>1046.5999999999999</v>
      </c>
      <c r="C1420" s="52"/>
      <c r="D1420" s="52"/>
      <c r="E1420" s="52"/>
      <c r="F1420" s="52"/>
      <c r="G1420" s="52"/>
      <c r="H1420" s="52"/>
    </row>
    <row r="1421" spans="1:8" ht="15.75">
      <c r="A1421" s="50">
        <v>41434</v>
      </c>
      <c r="B1421" s="51">
        <v>1048.6600000000001</v>
      </c>
      <c r="C1421" s="52"/>
      <c r="D1421" s="52"/>
      <c r="E1421" s="52"/>
      <c r="F1421" s="52"/>
      <c r="G1421" s="52"/>
      <c r="H1421" s="52"/>
    </row>
    <row r="1422" spans="1:8" ht="15.75">
      <c r="A1422" s="50">
        <v>41435</v>
      </c>
      <c r="B1422" s="51">
        <v>1046.2</v>
      </c>
      <c r="C1422" s="52"/>
      <c r="D1422" s="52"/>
      <c r="E1422" s="52"/>
      <c r="F1422" s="52"/>
      <c r="G1422" s="52"/>
      <c r="H1422" s="52"/>
    </row>
    <row r="1423" spans="1:8" ht="15.75">
      <c r="A1423" s="50">
        <v>41436</v>
      </c>
      <c r="B1423" s="51">
        <v>1035.1099999999999</v>
      </c>
      <c r="C1423" s="52"/>
      <c r="D1423" s="52"/>
      <c r="E1423" s="52"/>
      <c r="F1423" s="52"/>
      <c r="G1423" s="52"/>
      <c r="H1423" s="52"/>
    </row>
    <row r="1424" spans="1:8" ht="15.75">
      <c r="A1424" s="50">
        <v>41437</v>
      </c>
      <c r="B1424" s="51">
        <v>1038.5</v>
      </c>
      <c r="C1424" s="52"/>
      <c r="D1424" s="52"/>
      <c r="E1424" s="52"/>
      <c r="F1424" s="52"/>
      <c r="G1424" s="52"/>
      <c r="H1424" s="52"/>
    </row>
    <row r="1425" spans="1:8" ht="15.75">
      <c r="A1425" s="50">
        <v>41438</v>
      </c>
      <c r="B1425" s="51">
        <v>1036.8699999999999</v>
      </c>
      <c r="C1425" s="52"/>
      <c r="D1425" s="52"/>
      <c r="E1425" s="52"/>
      <c r="F1425" s="52"/>
      <c r="G1425" s="52"/>
      <c r="H1425" s="52"/>
    </row>
    <row r="1426" spans="1:8" ht="15.75">
      <c r="A1426" s="50">
        <v>41439</v>
      </c>
      <c r="B1426" s="51">
        <v>1042</v>
      </c>
      <c r="C1426" s="52"/>
      <c r="D1426" s="52"/>
      <c r="E1426" s="52"/>
      <c r="F1426" s="52"/>
      <c r="G1426" s="52"/>
      <c r="H1426" s="52"/>
    </row>
    <row r="1427" spans="1:8" ht="15.75">
      <c r="A1427" s="50">
        <v>41442</v>
      </c>
      <c r="B1427" s="51">
        <v>1036.33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41443</v>
      </c>
      <c r="B1428" s="51">
        <v>1021.61</v>
      </c>
      <c r="C1428" s="52"/>
      <c r="D1428" s="52"/>
      <c r="E1428" s="52"/>
      <c r="F1428" s="52"/>
      <c r="G1428" s="52"/>
      <c r="H1428" s="52"/>
    </row>
    <row r="1429" spans="1:8" ht="15.75">
      <c r="A1429" s="50">
        <v>41444</v>
      </c>
      <c r="B1429" s="51">
        <v>1016.63</v>
      </c>
      <c r="C1429" s="52"/>
      <c r="D1429" s="52"/>
      <c r="E1429" s="52"/>
      <c r="F1429" s="52"/>
      <c r="G1429" s="52"/>
      <c r="H1429" s="52"/>
    </row>
    <row r="1430" spans="1:8" ht="15.75">
      <c r="A1430" s="50">
        <v>41445</v>
      </c>
      <c r="B1430" s="102">
        <v>964.66</v>
      </c>
      <c r="C1430" s="52"/>
      <c r="D1430" s="52"/>
      <c r="E1430" s="52"/>
      <c r="F1430" s="52"/>
      <c r="G1430" s="52"/>
      <c r="H1430" s="52"/>
    </row>
    <row r="1431" spans="1:8" ht="15.75">
      <c r="A1431" s="50">
        <v>41446</v>
      </c>
      <c r="B1431" s="102">
        <v>988.49</v>
      </c>
      <c r="C1431" s="52"/>
      <c r="D1431" s="52"/>
      <c r="E1431" s="52"/>
      <c r="F1431" s="52"/>
      <c r="G1431" s="52"/>
      <c r="H1431" s="52"/>
    </row>
    <row r="1432" spans="1:8" ht="15.75">
      <c r="A1432" s="50">
        <v>41448</v>
      </c>
      <c r="B1432" s="102">
        <v>990.23</v>
      </c>
      <c r="C1432" s="52"/>
      <c r="D1432" s="52"/>
      <c r="E1432" s="52"/>
      <c r="F1432" s="52"/>
      <c r="G1432" s="52"/>
      <c r="H1432" s="52"/>
    </row>
    <row r="1433" spans="1:8" ht="15.75">
      <c r="A1433" s="50">
        <v>41449</v>
      </c>
      <c r="B1433" s="102">
        <v>977.48</v>
      </c>
      <c r="C1433" s="52"/>
      <c r="D1433" s="52"/>
      <c r="E1433" s="52"/>
      <c r="F1433" s="52"/>
      <c r="G1433" s="52"/>
      <c r="H1433" s="52"/>
    </row>
    <row r="1434" spans="1:8" ht="15.75">
      <c r="A1434" s="50">
        <v>41450</v>
      </c>
      <c r="B1434" s="102">
        <v>977.49</v>
      </c>
      <c r="C1434" s="52"/>
      <c r="D1434" s="52"/>
      <c r="E1434" s="52"/>
      <c r="F1434" s="52"/>
      <c r="G1434" s="52"/>
      <c r="H1434" s="52"/>
    </row>
    <row r="1435" spans="1:8" ht="15.75">
      <c r="A1435" s="50">
        <v>41451</v>
      </c>
      <c r="B1435" s="102">
        <v>941.86</v>
      </c>
      <c r="C1435" s="52"/>
      <c r="D1435" s="52"/>
      <c r="E1435" s="52"/>
      <c r="F1435" s="52"/>
      <c r="G1435" s="52"/>
      <c r="H1435" s="52"/>
    </row>
    <row r="1436" spans="1:8" ht="15.75">
      <c r="A1436" s="50">
        <v>41452</v>
      </c>
      <c r="B1436" s="102">
        <v>921.15</v>
      </c>
      <c r="C1436" s="52"/>
      <c r="D1436" s="52"/>
      <c r="E1436" s="52"/>
      <c r="F1436" s="52"/>
      <c r="G1436" s="52"/>
      <c r="H1436" s="52"/>
    </row>
    <row r="1437" spans="1:8" ht="15.75">
      <c r="A1437" s="50">
        <v>41453</v>
      </c>
      <c r="B1437" s="102">
        <v>948.29</v>
      </c>
      <c r="C1437" s="52"/>
      <c r="D1437" s="52"/>
      <c r="E1437" s="52"/>
      <c r="F1437" s="52"/>
      <c r="G1437" s="52"/>
      <c r="H1437" s="52"/>
    </row>
    <row r="1438" spans="1:8" ht="15.75">
      <c r="A1438" s="50">
        <v>41456</v>
      </c>
      <c r="B1438" s="102">
        <v>959.46</v>
      </c>
      <c r="C1438" s="52"/>
      <c r="D1438" s="52"/>
      <c r="E1438" s="52"/>
      <c r="F1438" s="52"/>
      <c r="G1438" s="52"/>
      <c r="H1438" s="52"/>
    </row>
    <row r="1439" spans="1:8" ht="15.75">
      <c r="A1439" s="50">
        <v>41457</v>
      </c>
      <c r="B1439" s="102">
        <v>957.51</v>
      </c>
      <c r="C1439" s="52"/>
      <c r="D1439" s="52"/>
      <c r="E1439" s="52"/>
      <c r="F1439" s="52"/>
      <c r="G1439" s="52"/>
      <c r="H1439" s="52"/>
    </row>
    <row r="1440" spans="1:8" ht="15.75">
      <c r="A1440" s="50">
        <v>41458</v>
      </c>
      <c r="B1440" s="102">
        <v>961.07</v>
      </c>
      <c r="C1440" s="52"/>
      <c r="D1440" s="52"/>
      <c r="E1440" s="52"/>
      <c r="F1440" s="52"/>
      <c r="G1440" s="52"/>
      <c r="H1440" s="52"/>
    </row>
    <row r="1441" spans="1:8" ht="15.75">
      <c r="A1441" s="50">
        <v>41459</v>
      </c>
      <c r="B1441" s="102">
        <v>967.63</v>
      </c>
      <c r="C1441" s="52"/>
      <c r="D1441" s="52"/>
      <c r="E1441" s="52"/>
      <c r="F1441" s="52"/>
      <c r="G1441" s="52"/>
      <c r="H1441" s="52"/>
    </row>
    <row r="1442" spans="1:8" ht="15.75">
      <c r="A1442" s="50">
        <v>41460</v>
      </c>
      <c r="B1442" s="102">
        <v>953.5</v>
      </c>
      <c r="C1442" s="52"/>
      <c r="D1442" s="52"/>
      <c r="E1442" s="52"/>
      <c r="F1442" s="52"/>
      <c r="G1442" s="52"/>
      <c r="H1442" s="52"/>
    </row>
    <row r="1443" spans="1:8" ht="15.75">
      <c r="A1443" s="50">
        <v>41463</v>
      </c>
      <c r="B1443" s="102">
        <v>961.53</v>
      </c>
      <c r="C1443" s="52"/>
      <c r="D1443" s="52"/>
      <c r="E1443" s="52"/>
      <c r="F1443" s="52"/>
      <c r="G1443" s="52"/>
      <c r="H1443" s="52"/>
    </row>
    <row r="1444" spans="1:8" ht="15.75">
      <c r="A1444" s="50">
        <v>41464</v>
      </c>
      <c r="B1444" s="102">
        <v>978.53</v>
      </c>
      <c r="C1444" s="52"/>
      <c r="D1444" s="52"/>
      <c r="E1444" s="52"/>
      <c r="F1444" s="52"/>
      <c r="G1444" s="52"/>
      <c r="H1444" s="52"/>
    </row>
    <row r="1445" spans="1:8" ht="15.75">
      <c r="A1445" s="50">
        <v>41465</v>
      </c>
      <c r="B1445" s="102">
        <v>970.38</v>
      </c>
      <c r="C1445" s="52"/>
      <c r="D1445" s="52"/>
      <c r="E1445" s="52"/>
      <c r="F1445" s="52"/>
      <c r="G1445" s="52"/>
      <c r="H1445" s="52"/>
    </row>
    <row r="1446" spans="1:8" ht="15.75">
      <c r="A1446" s="50">
        <v>41466</v>
      </c>
      <c r="B1446" s="102">
        <v>976.06</v>
      </c>
      <c r="C1446" s="52"/>
      <c r="D1446" s="52"/>
      <c r="E1446" s="52"/>
      <c r="F1446" s="52"/>
      <c r="G1446" s="52"/>
      <c r="H1446" s="52"/>
    </row>
    <row r="1447" spans="1:8" ht="15.75">
      <c r="A1447" s="50">
        <v>41467</v>
      </c>
      <c r="B1447" s="102">
        <v>983.28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41470</v>
      </c>
      <c r="B1448" s="102">
        <v>982.08</v>
      </c>
      <c r="C1448" s="52"/>
      <c r="D1448" s="52"/>
      <c r="E1448" s="52"/>
      <c r="F1448" s="52"/>
      <c r="G1448" s="52"/>
      <c r="H1448" s="52"/>
    </row>
    <row r="1449" spans="1:8" ht="15.75">
      <c r="A1449" s="50">
        <v>41471</v>
      </c>
      <c r="B1449" s="102">
        <v>984.75</v>
      </c>
      <c r="C1449" s="52"/>
      <c r="D1449" s="52"/>
      <c r="E1449" s="52"/>
      <c r="F1449" s="52"/>
      <c r="G1449" s="52"/>
      <c r="H1449" s="52"/>
    </row>
    <row r="1450" spans="1:8" ht="15.75">
      <c r="A1450" s="50">
        <v>41472</v>
      </c>
      <c r="B1450" s="102">
        <v>969.87</v>
      </c>
      <c r="C1450" s="52"/>
      <c r="D1450" s="52"/>
      <c r="E1450" s="52"/>
      <c r="F1450" s="52"/>
      <c r="G1450" s="52"/>
      <c r="H1450" s="52"/>
    </row>
    <row r="1451" spans="1:8" ht="15.75">
      <c r="A1451" s="50">
        <v>41473</v>
      </c>
      <c r="B1451" s="102">
        <v>979.03</v>
      </c>
      <c r="C1451" s="52"/>
      <c r="D1451" s="52"/>
      <c r="E1451" s="52"/>
      <c r="F1451" s="52"/>
      <c r="G1451" s="52"/>
      <c r="H1451" s="52"/>
    </row>
    <row r="1452" spans="1:8" ht="15.75">
      <c r="A1452" s="50">
        <v>41474</v>
      </c>
      <c r="B1452" s="102">
        <v>986.34</v>
      </c>
      <c r="C1452" s="52"/>
      <c r="D1452" s="52"/>
      <c r="E1452" s="52"/>
      <c r="F1452" s="52"/>
      <c r="G1452" s="52"/>
      <c r="H1452" s="52"/>
    </row>
    <row r="1453" spans="1:8" ht="15.75">
      <c r="A1453" s="50">
        <v>41477</v>
      </c>
      <c r="B1453" s="51">
        <v>1012.82</v>
      </c>
      <c r="C1453" s="52"/>
      <c r="D1453" s="52"/>
      <c r="E1453" s="52"/>
      <c r="F1453" s="52"/>
      <c r="G1453" s="52"/>
      <c r="H1453" s="52"/>
    </row>
    <row r="1454" spans="1:8" ht="15.75">
      <c r="A1454" s="50">
        <v>41478</v>
      </c>
      <c r="B1454" s="51">
        <v>1018.57</v>
      </c>
      <c r="C1454" s="52"/>
      <c r="D1454" s="52"/>
      <c r="E1454" s="52"/>
      <c r="F1454" s="52"/>
      <c r="G1454" s="52"/>
      <c r="H1454" s="52"/>
    </row>
    <row r="1455" spans="1:8" ht="15.75">
      <c r="A1455" s="50">
        <v>41479</v>
      </c>
      <c r="B1455" s="51">
        <v>1001.44</v>
      </c>
      <c r="C1455" s="52"/>
      <c r="D1455" s="52"/>
      <c r="E1455" s="52"/>
      <c r="F1455" s="52"/>
      <c r="G1455" s="52"/>
      <c r="H1455" s="52"/>
    </row>
    <row r="1456" spans="1:8" ht="15.75">
      <c r="A1456" s="50">
        <v>41480</v>
      </c>
      <c r="B1456" s="51">
        <v>1004.71</v>
      </c>
      <c r="C1456" s="52"/>
      <c r="D1456" s="52"/>
      <c r="E1456" s="52"/>
      <c r="F1456" s="52"/>
      <c r="G1456" s="52"/>
      <c r="H1456" s="52"/>
    </row>
    <row r="1457" spans="1:8" ht="15.75">
      <c r="A1457" s="50">
        <v>41481</v>
      </c>
      <c r="B1457" s="51">
        <v>1004.41</v>
      </c>
      <c r="C1457" s="52"/>
      <c r="D1457" s="52"/>
      <c r="E1457" s="52"/>
      <c r="F1457" s="52"/>
      <c r="G1457" s="52"/>
      <c r="H1457" s="52"/>
    </row>
    <row r="1458" spans="1:8" ht="15.75">
      <c r="A1458" s="50">
        <v>41484</v>
      </c>
      <c r="B1458" s="51">
        <v>1000.72</v>
      </c>
      <c r="C1458" s="52"/>
      <c r="D1458" s="52"/>
      <c r="E1458" s="52"/>
      <c r="F1458" s="52"/>
      <c r="G1458" s="52"/>
      <c r="H1458" s="52"/>
    </row>
    <row r="1459" spans="1:8" ht="15.75">
      <c r="A1459" s="50">
        <v>41485</v>
      </c>
      <c r="B1459" s="51">
        <v>1000.08</v>
      </c>
      <c r="C1459" s="52"/>
      <c r="D1459" s="52"/>
      <c r="E1459" s="52"/>
      <c r="F1459" s="52"/>
      <c r="G1459" s="52"/>
      <c r="H1459" s="52"/>
    </row>
    <row r="1460" spans="1:8" ht="15.75">
      <c r="A1460" s="50">
        <v>41486</v>
      </c>
      <c r="B1460" s="102">
        <v>994.85</v>
      </c>
      <c r="C1460" s="52"/>
      <c r="D1460" s="52"/>
      <c r="E1460" s="52"/>
      <c r="F1460" s="52"/>
      <c r="G1460" s="52"/>
      <c r="H1460" s="52"/>
    </row>
    <row r="1461" spans="1:8" ht="15.75">
      <c r="A1461" s="50">
        <v>41487</v>
      </c>
      <c r="B1461" s="102">
        <v>991.03</v>
      </c>
      <c r="C1461" s="52"/>
      <c r="D1461" s="52"/>
      <c r="E1461" s="52"/>
      <c r="F1461" s="52"/>
      <c r="G1461" s="52"/>
      <c r="H1461" s="52"/>
    </row>
    <row r="1462" spans="1:8" ht="15.75">
      <c r="A1462" s="50">
        <v>41488</v>
      </c>
      <c r="B1462" s="102">
        <v>989.53</v>
      </c>
      <c r="C1462" s="52"/>
      <c r="D1462" s="52"/>
      <c r="E1462" s="52"/>
      <c r="F1462" s="52"/>
      <c r="G1462" s="52"/>
      <c r="H1462" s="52"/>
    </row>
    <row r="1463" spans="1:8" ht="15.75">
      <c r="A1463" s="50">
        <v>41491</v>
      </c>
      <c r="B1463" s="102">
        <v>983.6</v>
      </c>
      <c r="C1463" s="52"/>
      <c r="D1463" s="52"/>
      <c r="E1463" s="52"/>
      <c r="F1463" s="52"/>
      <c r="G1463" s="52"/>
      <c r="H1463" s="52"/>
    </row>
    <row r="1464" spans="1:8" ht="15.75">
      <c r="A1464" s="50">
        <v>41492</v>
      </c>
      <c r="B1464" s="102">
        <v>963.89</v>
      </c>
      <c r="C1464" s="52"/>
      <c r="D1464" s="52"/>
      <c r="E1464" s="52"/>
      <c r="F1464" s="52"/>
      <c r="G1464" s="52"/>
      <c r="H1464" s="52"/>
    </row>
    <row r="1465" spans="1:8" ht="15.75">
      <c r="A1465" s="50">
        <v>41493</v>
      </c>
      <c r="B1465" s="102">
        <v>965.51</v>
      </c>
      <c r="C1465" s="52"/>
      <c r="D1465" s="52"/>
      <c r="E1465" s="52"/>
      <c r="F1465" s="52"/>
      <c r="G1465" s="52"/>
      <c r="H1465" s="52"/>
    </row>
    <row r="1466" spans="1:8" ht="15.75">
      <c r="A1466" s="50">
        <v>41494</v>
      </c>
      <c r="B1466" s="102">
        <v>980.87</v>
      </c>
      <c r="C1466" s="52"/>
      <c r="D1466" s="52"/>
      <c r="E1466" s="52"/>
      <c r="F1466" s="52"/>
      <c r="G1466" s="52"/>
      <c r="H1466" s="52"/>
    </row>
    <row r="1467" spans="1:8" ht="15.75">
      <c r="A1467" s="50">
        <v>41495</v>
      </c>
      <c r="B1467" s="102">
        <v>985.09</v>
      </c>
      <c r="C1467" s="52"/>
      <c r="D1467" s="52"/>
      <c r="E1467" s="52"/>
      <c r="F1467" s="52"/>
      <c r="G1467" s="52"/>
      <c r="H1467" s="52"/>
    </row>
    <row r="1468" spans="1:8" ht="15.75">
      <c r="A1468" s="50">
        <v>41498</v>
      </c>
      <c r="B1468" s="51">
        <v>1005.23</v>
      </c>
      <c r="C1468" s="52"/>
      <c r="D1468" s="52"/>
      <c r="E1468" s="52"/>
      <c r="F1468" s="52"/>
      <c r="G1468" s="52"/>
      <c r="H1468" s="52"/>
    </row>
    <row r="1469" spans="1:8" ht="15.75">
      <c r="A1469" s="50">
        <v>41499</v>
      </c>
      <c r="B1469" s="102">
        <v>996.27</v>
      </c>
      <c r="C1469" s="52"/>
      <c r="D1469" s="52"/>
      <c r="E1469" s="52"/>
      <c r="F1469" s="52"/>
      <c r="G1469" s="52"/>
      <c r="H1469" s="52"/>
    </row>
    <row r="1470" spans="1:8" ht="15.75">
      <c r="A1470" s="50">
        <v>41500</v>
      </c>
      <c r="B1470" s="51">
        <v>1007.73</v>
      </c>
      <c r="C1470" s="52"/>
      <c r="D1470" s="52"/>
      <c r="E1470" s="52"/>
      <c r="F1470" s="52"/>
      <c r="G1470" s="52"/>
      <c r="H1470" s="52"/>
    </row>
    <row r="1471" spans="1:8" ht="15.75">
      <c r="A1471" s="50">
        <v>41501</v>
      </c>
      <c r="B1471" s="51">
        <v>1023.5</v>
      </c>
      <c r="C1471" s="52"/>
      <c r="D1471" s="52"/>
      <c r="E1471" s="52"/>
      <c r="F1471" s="52"/>
      <c r="G1471" s="52"/>
      <c r="H1471" s="52"/>
    </row>
    <row r="1472" spans="1:8" ht="15.75">
      <c r="A1472" s="50">
        <v>41502</v>
      </c>
      <c r="B1472" s="51">
        <v>1032.52</v>
      </c>
      <c r="C1472" s="52"/>
      <c r="D1472" s="52"/>
      <c r="E1472" s="52"/>
      <c r="F1472" s="52"/>
      <c r="G1472" s="52"/>
      <c r="H1472" s="52"/>
    </row>
    <row r="1473" spans="1:8" ht="15.75">
      <c r="A1473" s="50">
        <v>41505</v>
      </c>
      <c r="B1473" s="51">
        <v>1024.26</v>
      </c>
      <c r="C1473" s="52"/>
      <c r="D1473" s="52"/>
      <c r="E1473" s="52"/>
      <c r="F1473" s="52"/>
      <c r="G1473" s="52"/>
      <c r="H1473" s="52"/>
    </row>
    <row r="1474" spans="1:8" ht="15.75">
      <c r="A1474" s="50">
        <v>41506</v>
      </c>
      <c r="B1474" s="51">
        <v>1021.8</v>
      </c>
      <c r="C1474" s="52"/>
      <c r="D1474" s="52"/>
      <c r="E1474" s="52"/>
      <c r="F1474" s="52"/>
      <c r="G1474" s="52"/>
      <c r="H1474" s="52"/>
    </row>
    <row r="1475" spans="1:8" ht="15.75">
      <c r="A1475" s="50">
        <v>41507</v>
      </c>
      <c r="B1475" s="51">
        <v>1023.32</v>
      </c>
      <c r="C1475" s="52"/>
      <c r="D1475" s="52"/>
      <c r="E1475" s="52"/>
      <c r="F1475" s="52"/>
      <c r="G1475" s="52"/>
      <c r="H1475" s="52"/>
    </row>
    <row r="1476" spans="1:8" ht="15.75">
      <c r="A1476" s="50">
        <v>41508</v>
      </c>
      <c r="B1476" s="51">
        <v>1031.03</v>
      </c>
      <c r="C1476" s="52"/>
      <c r="D1476" s="52"/>
      <c r="E1476" s="52"/>
      <c r="F1476" s="52"/>
      <c r="G1476" s="52"/>
      <c r="H1476" s="52"/>
    </row>
    <row r="1477" spans="1:8" ht="15.75">
      <c r="A1477" s="50">
        <v>41509</v>
      </c>
      <c r="B1477" s="51">
        <v>1043.78</v>
      </c>
      <c r="C1477" s="52"/>
      <c r="D1477" s="52"/>
      <c r="E1477" s="52"/>
      <c r="F1477" s="52"/>
      <c r="G1477" s="52"/>
      <c r="H1477" s="52"/>
    </row>
    <row r="1478" spans="1:8" ht="15.75">
      <c r="A1478" s="50">
        <v>41512</v>
      </c>
      <c r="B1478" s="51">
        <v>1050.74</v>
      </c>
      <c r="C1478" s="52"/>
      <c r="D1478" s="52"/>
      <c r="E1478" s="52"/>
      <c r="F1478" s="52"/>
      <c r="G1478" s="52"/>
      <c r="H1478" s="52"/>
    </row>
    <row r="1479" spans="1:8" ht="15.75">
      <c r="A1479" s="50">
        <v>41513</v>
      </c>
      <c r="B1479" s="51">
        <v>1057.51</v>
      </c>
      <c r="C1479" s="52"/>
      <c r="D1479" s="52"/>
      <c r="E1479" s="52"/>
      <c r="F1479" s="52"/>
      <c r="G1479" s="52"/>
      <c r="H1479" s="52"/>
    </row>
    <row r="1480" spans="1:8" ht="15.75">
      <c r="A1480" s="50">
        <v>41514</v>
      </c>
      <c r="B1480" s="51">
        <v>1059.4100000000001</v>
      </c>
      <c r="C1480" s="52"/>
      <c r="D1480" s="52"/>
      <c r="E1480" s="52"/>
      <c r="F1480" s="52"/>
      <c r="G1480" s="52"/>
      <c r="H1480" s="52"/>
    </row>
    <row r="1481" spans="1:8" ht="15.75">
      <c r="A1481" s="50">
        <v>41515</v>
      </c>
      <c r="B1481" s="51">
        <v>1063.08</v>
      </c>
      <c r="C1481" s="52"/>
      <c r="D1481" s="52"/>
      <c r="E1481" s="52"/>
      <c r="F1481" s="52"/>
      <c r="G1481" s="52"/>
      <c r="H1481" s="52"/>
    </row>
    <row r="1482" spans="1:8" ht="15.75">
      <c r="A1482" s="50">
        <v>41516</v>
      </c>
      <c r="B1482" s="51">
        <v>1055.02</v>
      </c>
      <c r="C1482" s="52"/>
      <c r="D1482" s="52"/>
      <c r="E1482" s="52"/>
      <c r="F1482" s="52"/>
      <c r="G1482" s="52"/>
      <c r="H1482" s="52"/>
    </row>
    <row r="1483" spans="1:8" ht="15.75">
      <c r="A1483" s="50">
        <v>41519</v>
      </c>
      <c r="B1483" s="51">
        <v>1055.32</v>
      </c>
      <c r="C1483" s="52"/>
      <c r="D1483" s="52"/>
      <c r="E1483" s="52"/>
      <c r="F1483" s="52"/>
      <c r="G1483" s="52"/>
      <c r="H1483" s="52"/>
    </row>
    <row r="1484" spans="1:8" ht="15.75">
      <c r="A1484" s="50">
        <v>41520</v>
      </c>
      <c r="B1484" s="51">
        <v>1073</v>
      </c>
      <c r="C1484" s="52"/>
      <c r="D1484" s="52"/>
      <c r="E1484" s="52"/>
      <c r="F1484" s="52"/>
      <c r="G1484" s="52"/>
      <c r="H1484" s="52"/>
    </row>
    <row r="1485" spans="1:8" ht="15.75">
      <c r="A1485" s="50">
        <v>41521</v>
      </c>
      <c r="B1485" s="51">
        <v>1053.8499999999999</v>
      </c>
      <c r="C1485" s="52"/>
      <c r="D1485" s="52"/>
      <c r="E1485" s="52"/>
      <c r="F1485" s="52"/>
      <c r="G1485" s="52"/>
      <c r="H1485" s="52"/>
    </row>
    <row r="1486" spans="1:8" ht="15.75">
      <c r="A1486" s="50">
        <v>41522</v>
      </c>
      <c r="B1486" s="51">
        <v>1044.33</v>
      </c>
      <c r="C1486" s="52"/>
      <c r="D1486" s="52"/>
      <c r="E1486" s="52"/>
      <c r="F1486" s="52"/>
      <c r="G1486" s="52"/>
      <c r="H1486" s="52"/>
    </row>
    <row r="1487" spans="1:8" ht="15.75">
      <c r="A1487" s="50">
        <v>41523</v>
      </c>
      <c r="B1487" s="51">
        <v>1053.42</v>
      </c>
      <c r="C1487" s="52"/>
      <c r="D1487" s="52"/>
      <c r="E1487" s="52"/>
      <c r="F1487" s="52"/>
      <c r="G1487" s="52"/>
      <c r="H1487" s="52"/>
    </row>
    <row r="1488" spans="1:8" ht="15.75">
      <c r="A1488" s="50">
        <v>41526</v>
      </c>
      <c r="B1488" s="51">
        <v>1045.8399999999999</v>
      </c>
      <c r="C1488" s="52"/>
      <c r="D1488" s="52"/>
      <c r="E1488" s="52"/>
      <c r="F1488" s="52"/>
      <c r="G1488" s="52"/>
      <c r="H1488" s="52"/>
    </row>
    <row r="1489" spans="1:8" ht="15.75">
      <c r="A1489" s="50">
        <v>41527</v>
      </c>
      <c r="B1489" s="51">
        <v>1027.78</v>
      </c>
      <c r="C1489" s="52"/>
      <c r="D1489" s="52"/>
      <c r="E1489" s="52"/>
      <c r="F1489" s="52"/>
      <c r="G1489" s="52"/>
      <c r="H1489" s="52"/>
    </row>
    <row r="1490" spans="1:8" ht="15.75">
      <c r="A1490" s="50">
        <v>41528</v>
      </c>
      <c r="B1490" s="51">
        <v>1026.26</v>
      </c>
      <c r="C1490" s="52"/>
      <c r="D1490" s="52"/>
      <c r="E1490" s="52"/>
      <c r="F1490" s="52"/>
      <c r="G1490" s="52"/>
      <c r="H1490" s="52"/>
    </row>
    <row r="1491" spans="1:8" ht="15.75">
      <c r="A1491" s="50">
        <v>41529</v>
      </c>
      <c r="B1491" s="102">
        <v>999.21</v>
      </c>
      <c r="C1491" s="52"/>
      <c r="D1491" s="52"/>
      <c r="E1491" s="52"/>
      <c r="F1491" s="52"/>
      <c r="G1491" s="52"/>
      <c r="H1491" s="52"/>
    </row>
    <row r="1492" spans="1:8" ht="15.75">
      <c r="A1492" s="50">
        <v>41530</v>
      </c>
      <c r="B1492" s="102">
        <v>998.01</v>
      </c>
      <c r="C1492" s="52"/>
      <c r="D1492" s="52"/>
      <c r="E1492" s="52"/>
      <c r="F1492" s="52"/>
      <c r="G1492" s="52"/>
      <c r="H1492" s="52"/>
    </row>
    <row r="1493" spans="1:8" ht="15.75">
      <c r="A1493" s="50">
        <v>41532</v>
      </c>
      <c r="B1493" s="102">
        <v>991.96</v>
      </c>
      <c r="C1493" s="52"/>
      <c r="D1493" s="52"/>
      <c r="E1493" s="52"/>
      <c r="F1493" s="52"/>
      <c r="G1493" s="52"/>
      <c r="H1493" s="52"/>
    </row>
    <row r="1494" spans="1:8" ht="15.75">
      <c r="A1494" s="50">
        <v>41533</v>
      </c>
      <c r="B1494" s="102">
        <v>985.41</v>
      </c>
      <c r="C1494" s="52"/>
      <c r="D1494" s="52"/>
      <c r="E1494" s="52"/>
      <c r="F1494" s="52"/>
      <c r="G1494" s="52"/>
      <c r="H1494" s="52"/>
    </row>
    <row r="1495" spans="1:8" ht="15.75">
      <c r="A1495" s="50">
        <v>41534</v>
      </c>
      <c r="B1495" s="102">
        <v>980.39</v>
      </c>
      <c r="C1495" s="52"/>
      <c r="D1495" s="52"/>
      <c r="E1495" s="52"/>
      <c r="F1495" s="52"/>
      <c r="G1495" s="52"/>
      <c r="H1495" s="52"/>
    </row>
    <row r="1496" spans="1:8" ht="15.75">
      <c r="A1496" s="50">
        <v>41535</v>
      </c>
      <c r="B1496" s="51">
        <v>1006.03</v>
      </c>
      <c r="C1496" s="52"/>
      <c r="D1496" s="52"/>
      <c r="E1496" s="52"/>
      <c r="F1496" s="52"/>
      <c r="G1496" s="52"/>
      <c r="H1496" s="52"/>
    </row>
    <row r="1497" spans="1:8" ht="15.75">
      <c r="A1497" s="50">
        <v>41536</v>
      </c>
      <c r="B1497" s="51">
        <v>1008.68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41537</v>
      </c>
      <c r="B1498" s="102">
        <v>980.35</v>
      </c>
      <c r="C1498" s="52"/>
      <c r="D1498" s="52"/>
      <c r="E1498" s="52"/>
      <c r="F1498" s="52"/>
      <c r="G1498" s="52"/>
      <c r="H1498" s="52"/>
    </row>
    <row r="1499" spans="1:8" ht="15.75">
      <c r="A1499" s="50">
        <v>41540</v>
      </c>
      <c r="B1499" s="102">
        <v>992.18</v>
      </c>
      <c r="C1499" s="52"/>
      <c r="D1499" s="52"/>
      <c r="E1499" s="52"/>
      <c r="F1499" s="52"/>
      <c r="G1499" s="52"/>
      <c r="H1499" s="52"/>
    </row>
    <row r="1500" spans="1:8" ht="15.75">
      <c r="A1500" s="50">
        <v>41541</v>
      </c>
      <c r="B1500" s="102">
        <v>982.04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41542</v>
      </c>
      <c r="B1501" s="102">
        <v>985.77</v>
      </c>
      <c r="C1501" s="52"/>
      <c r="D1501" s="52"/>
      <c r="E1501" s="52"/>
      <c r="F1501" s="52"/>
      <c r="G1501" s="52"/>
      <c r="H1501" s="52"/>
    </row>
    <row r="1502" spans="1:8" ht="15.75">
      <c r="A1502" s="50">
        <v>41543</v>
      </c>
      <c r="B1502" s="102">
        <v>981.5</v>
      </c>
      <c r="C1502" s="52"/>
      <c r="D1502" s="52"/>
      <c r="E1502" s="52"/>
      <c r="F1502" s="52"/>
      <c r="G1502" s="52"/>
      <c r="H1502" s="52"/>
    </row>
    <row r="1503" spans="1:8" ht="15.75">
      <c r="A1503" s="50">
        <v>41544</v>
      </c>
      <c r="B1503" s="102">
        <v>987.8</v>
      </c>
      <c r="C1503" s="52"/>
      <c r="D1503" s="52"/>
      <c r="E1503" s="52"/>
      <c r="F1503" s="52"/>
      <c r="G1503" s="52"/>
      <c r="H1503" s="52"/>
    </row>
    <row r="1504" spans="1:8" ht="15.75">
      <c r="A1504" s="50">
        <v>41547</v>
      </c>
      <c r="B1504" s="102">
        <v>983.06</v>
      </c>
      <c r="C1504" s="52"/>
      <c r="D1504" s="52"/>
      <c r="E1504" s="52"/>
      <c r="F1504" s="52"/>
      <c r="G1504" s="52"/>
      <c r="H1504" s="52"/>
    </row>
    <row r="1505" spans="1:8" ht="15.75">
      <c r="A1505" s="50">
        <v>41548</v>
      </c>
      <c r="B1505" s="102">
        <v>952.34</v>
      </c>
      <c r="C1505" s="52"/>
      <c r="D1505" s="52"/>
      <c r="E1505" s="52"/>
      <c r="F1505" s="52"/>
      <c r="G1505" s="52"/>
      <c r="H1505" s="52"/>
    </row>
    <row r="1506" spans="1:8" ht="15.75">
      <c r="A1506" s="50">
        <v>41549</v>
      </c>
      <c r="B1506" s="102">
        <v>967.9</v>
      </c>
      <c r="C1506" s="52"/>
      <c r="D1506" s="52"/>
      <c r="E1506" s="52"/>
      <c r="F1506" s="52"/>
      <c r="G1506" s="52"/>
      <c r="H1506" s="52"/>
    </row>
    <row r="1507" spans="1:8" ht="15.75">
      <c r="A1507" s="50">
        <v>41550</v>
      </c>
      <c r="B1507" s="102">
        <v>966.38</v>
      </c>
      <c r="C1507" s="52"/>
      <c r="D1507" s="52"/>
      <c r="E1507" s="52"/>
      <c r="F1507" s="52"/>
      <c r="G1507" s="52"/>
      <c r="H1507" s="52"/>
    </row>
    <row r="1508" spans="1:8" ht="15.75">
      <c r="A1508" s="50">
        <v>41551</v>
      </c>
      <c r="B1508" s="102">
        <v>967.03</v>
      </c>
      <c r="C1508" s="52"/>
      <c r="D1508" s="52"/>
      <c r="E1508" s="52"/>
      <c r="F1508" s="52"/>
      <c r="G1508" s="52"/>
      <c r="H1508" s="52"/>
    </row>
    <row r="1509" spans="1:8" ht="15.75">
      <c r="A1509" s="50">
        <v>41553</v>
      </c>
      <c r="B1509" s="102">
        <v>966.53</v>
      </c>
      <c r="C1509" s="52"/>
      <c r="D1509" s="52"/>
      <c r="E1509" s="52"/>
      <c r="F1509" s="52"/>
      <c r="G1509" s="52"/>
      <c r="H1509" s="52"/>
    </row>
    <row r="1510" spans="1:8" ht="15.75">
      <c r="A1510" s="50">
        <v>41554</v>
      </c>
      <c r="B1510" s="102">
        <v>974.26</v>
      </c>
      <c r="C1510" s="52"/>
      <c r="D1510" s="52"/>
      <c r="E1510" s="52"/>
      <c r="F1510" s="52"/>
      <c r="G1510" s="52"/>
      <c r="H1510" s="52"/>
    </row>
    <row r="1511" spans="1:8" ht="15.75">
      <c r="A1511" s="50">
        <v>41555</v>
      </c>
      <c r="B1511" s="102">
        <v>971.63</v>
      </c>
      <c r="C1511" s="52"/>
      <c r="D1511" s="52"/>
      <c r="E1511" s="52"/>
      <c r="F1511" s="52"/>
      <c r="G1511" s="52"/>
      <c r="H1511" s="52"/>
    </row>
    <row r="1512" spans="1:8" ht="15.75">
      <c r="A1512" s="50">
        <v>41556</v>
      </c>
      <c r="B1512" s="102">
        <v>966.34</v>
      </c>
      <c r="C1512" s="52"/>
      <c r="D1512" s="52"/>
      <c r="E1512" s="52"/>
      <c r="F1512" s="52"/>
      <c r="G1512" s="52"/>
      <c r="H1512" s="52"/>
    </row>
    <row r="1513" spans="1:8" ht="15.75">
      <c r="A1513" s="50">
        <v>41557</v>
      </c>
      <c r="B1513" s="102">
        <v>950.74</v>
      </c>
      <c r="C1513" s="52"/>
      <c r="D1513" s="52"/>
      <c r="E1513" s="52"/>
      <c r="F1513" s="52"/>
      <c r="G1513" s="52"/>
      <c r="H1513" s="52"/>
    </row>
    <row r="1514" spans="1:8" ht="15.75">
      <c r="A1514" s="50">
        <v>41558</v>
      </c>
      <c r="B1514" s="102">
        <v>940</v>
      </c>
      <c r="C1514" s="52"/>
      <c r="D1514" s="52"/>
      <c r="E1514" s="52"/>
      <c r="F1514" s="52"/>
      <c r="G1514" s="52"/>
      <c r="H1514" s="52"/>
    </row>
    <row r="1515" spans="1:8" ht="15.75">
      <c r="A1515" s="50">
        <v>41561</v>
      </c>
      <c r="B1515" s="102">
        <v>938.98</v>
      </c>
      <c r="C1515" s="52"/>
      <c r="D1515" s="52"/>
      <c r="E1515" s="52"/>
      <c r="F1515" s="52"/>
      <c r="G1515" s="52"/>
      <c r="H1515" s="52"/>
    </row>
    <row r="1516" spans="1:8" ht="15.75">
      <c r="A1516" s="50">
        <v>41562</v>
      </c>
      <c r="B1516" s="102">
        <v>946.63</v>
      </c>
      <c r="C1516" s="52"/>
      <c r="D1516" s="52"/>
      <c r="E1516" s="52"/>
      <c r="F1516" s="52"/>
      <c r="G1516" s="52"/>
      <c r="H1516" s="52"/>
    </row>
    <row r="1517" spans="1:8" ht="15.75">
      <c r="A1517" s="50">
        <v>41563</v>
      </c>
      <c r="B1517" s="102">
        <v>946.73</v>
      </c>
      <c r="C1517" s="52"/>
      <c r="D1517" s="52"/>
      <c r="E1517" s="52"/>
      <c r="F1517" s="52"/>
      <c r="G1517" s="52"/>
      <c r="H1517" s="52"/>
    </row>
    <row r="1518" spans="1:8" ht="15.75">
      <c r="A1518" s="50">
        <v>41564</v>
      </c>
      <c r="B1518" s="102">
        <v>965.4</v>
      </c>
      <c r="C1518" s="52"/>
      <c r="D1518" s="52"/>
      <c r="E1518" s="52"/>
      <c r="F1518" s="52"/>
      <c r="G1518" s="52"/>
      <c r="H1518" s="52"/>
    </row>
    <row r="1519" spans="1:8" ht="15.75">
      <c r="A1519" s="50">
        <v>41565</v>
      </c>
      <c r="B1519" s="102">
        <v>961.9</v>
      </c>
      <c r="C1519" s="52"/>
      <c r="D1519" s="52"/>
      <c r="E1519" s="52"/>
      <c r="F1519" s="52"/>
      <c r="G1519" s="52"/>
      <c r="H1519" s="52"/>
    </row>
    <row r="1520" spans="1:8" ht="15.75">
      <c r="A1520" s="50">
        <v>41568</v>
      </c>
      <c r="B1520" s="102">
        <v>962.13</v>
      </c>
      <c r="C1520" s="52"/>
      <c r="D1520" s="52"/>
      <c r="E1520" s="52"/>
      <c r="F1520" s="52"/>
      <c r="G1520" s="52"/>
      <c r="H1520" s="52"/>
    </row>
    <row r="1521" spans="1:8" ht="15.75">
      <c r="A1521" s="50">
        <v>41569</v>
      </c>
      <c r="B1521" s="102">
        <v>972.5</v>
      </c>
      <c r="C1521" s="52"/>
      <c r="D1521" s="52"/>
      <c r="E1521" s="52"/>
      <c r="F1521" s="52"/>
      <c r="G1521" s="52"/>
      <c r="H1521" s="52"/>
    </row>
    <row r="1522" spans="1:8" ht="15.75">
      <c r="A1522" s="50">
        <v>41570</v>
      </c>
      <c r="B1522" s="102">
        <v>967.8</v>
      </c>
      <c r="C1522" s="52"/>
      <c r="D1522" s="52"/>
      <c r="E1522" s="52"/>
      <c r="F1522" s="52"/>
      <c r="G1522" s="52"/>
      <c r="H1522" s="52"/>
    </row>
    <row r="1523" spans="1:8" ht="15.75">
      <c r="A1523" s="50">
        <v>41571</v>
      </c>
      <c r="B1523" s="102">
        <v>976.19</v>
      </c>
      <c r="C1523" s="52"/>
      <c r="D1523" s="52"/>
      <c r="E1523" s="52"/>
      <c r="F1523" s="52"/>
      <c r="G1523" s="52"/>
      <c r="H1523" s="52"/>
    </row>
    <row r="1524" spans="1:8" ht="15.75">
      <c r="A1524" s="50">
        <v>41572</v>
      </c>
      <c r="B1524" s="102">
        <v>980.26</v>
      </c>
      <c r="C1524" s="52"/>
      <c r="D1524" s="52"/>
      <c r="E1524" s="52"/>
      <c r="F1524" s="52"/>
      <c r="G1524" s="52"/>
      <c r="H1524" s="52"/>
    </row>
    <row r="1525" spans="1:8" ht="15.75">
      <c r="A1525" s="50">
        <v>41574</v>
      </c>
      <c r="B1525" s="102">
        <v>978.71</v>
      </c>
      <c r="C1525" s="52"/>
      <c r="D1525" s="52"/>
      <c r="E1525" s="52"/>
      <c r="F1525" s="52"/>
      <c r="G1525" s="52"/>
      <c r="H1525" s="52"/>
    </row>
    <row r="1526" spans="1:8" ht="15.75">
      <c r="A1526" s="50">
        <v>41575</v>
      </c>
      <c r="B1526" s="102">
        <v>981.18</v>
      </c>
      <c r="C1526" s="52"/>
      <c r="D1526" s="52"/>
      <c r="E1526" s="52"/>
      <c r="F1526" s="52"/>
      <c r="G1526" s="52"/>
      <c r="H1526" s="52"/>
    </row>
    <row r="1527" spans="1:8" ht="15.75">
      <c r="A1527" s="50">
        <v>41576</v>
      </c>
      <c r="B1527" s="102">
        <v>977.91</v>
      </c>
      <c r="C1527" s="52"/>
      <c r="D1527" s="52"/>
      <c r="E1527" s="52"/>
      <c r="F1527" s="52"/>
      <c r="G1527" s="52"/>
      <c r="H1527" s="52"/>
    </row>
    <row r="1528" spans="1:8" ht="15.75">
      <c r="A1528" s="50">
        <v>41577</v>
      </c>
      <c r="B1528" s="102">
        <v>976.6</v>
      </c>
      <c r="C1528" s="52"/>
      <c r="D1528" s="52"/>
      <c r="E1528" s="52"/>
      <c r="F1528" s="52"/>
      <c r="G1528" s="52"/>
      <c r="H1528" s="52"/>
    </row>
    <row r="1529" spans="1:8" ht="15.75">
      <c r="A1529" s="50">
        <v>41578</v>
      </c>
      <c r="B1529" s="102">
        <v>974.02</v>
      </c>
      <c r="C1529" s="52"/>
      <c r="D1529" s="52"/>
      <c r="E1529" s="52"/>
      <c r="F1529" s="52"/>
      <c r="G1529" s="52"/>
      <c r="H1529" s="52"/>
    </row>
    <row r="1530" spans="1:8" ht="15.75">
      <c r="A1530" s="50">
        <v>41579</v>
      </c>
      <c r="B1530" s="102">
        <v>975.57</v>
      </c>
      <c r="C1530" s="52"/>
      <c r="D1530" s="52"/>
      <c r="E1530" s="52"/>
      <c r="F1530" s="52"/>
      <c r="G1530" s="52"/>
      <c r="H1530" s="52"/>
    </row>
    <row r="1531" spans="1:8" ht="15.75">
      <c r="A1531" s="50">
        <v>41582</v>
      </c>
      <c r="B1531" s="102">
        <v>971.8</v>
      </c>
      <c r="C1531" s="52"/>
      <c r="D1531" s="52"/>
      <c r="E1531" s="52"/>
      <c r="F1531" s="52"/>
      <c r="G1531" s="52"/>
      <c r="H1531" s="52"/>
    </row>
    <row r="1532" spans="1:8" ht="15.75">
      <c r="A1532" s="50">
        <v>41583</v>
      </c>
      <c r="B1532" s="102">
        <v>972.02</v>
      </c>
      <c r="C1532" s="52"/>
      <c r="D1532" s="52"/>
      <c r="E1532" s="52"/>
      <c r="F1532" s="52"/>
      <c r="G1532" s="52"/>
      <c r="H1532" s="52"/>
    </row>
    <row r="1533" spans="1:8" ht="15.75">
      <c r="A1533" s="50">
        <v>41584</v>
      </c>
      <c r="B1533" s="102">
        <v>974.99</v>
      </c>
      <c r="C1533" s="52"/>
      <c r="D1533" s="52"/>
      <c r="E1533" s="52"/>
      <c r="F1533" s="52"/>
      <c r="G1533" s="52"/>
      <c r="H1533" s="52"/>
    </row>
    <row r="1534" spans="1:8" ht="15.75">
      <c r="A1534" s="50">
        <v>41585</v>
      </c>
      <c r="B1534" s="102">
        <v>974.62</v>
      </c>
      <c r="C1534" s="52"/>
      <c r="D1534" s="52"/>
      <c r="E1534" s="52"/>
      <c r="F1534" s="52"/>
      <c r="G1534" s="52"/>
      <c r="H1534" s="52"/>
    </row>
    <row r="1535" spans="1:8" ht="15.75">
      <c r="A1535" s="50">
        <v>41586</v>
      </c>
      <c r="B1535" s="102">
        <v>963.65</v>
      </c>
      <c r="C1535" s="52"/>
      <c r="D1535" s="52"/>
      <c r="E1535" s="52"/>
      <c r="F1535" s="52"/>
      <c r="G1535" s="52"/>
      <c r="H1535" s="52"/>
    </row>
    <row r="1536" spans="1:8" ht="15.75">
      <c r="A1536" s="50">
        <v>41589</v>
      </c>
      <c r="B1536" s="102">
        <v>956.21</v>
      </c>
      <c r="C1536" s="52"/>
      <c r="D1536" s="52"/>
      <c r="E1536" s="52"/>
      <c r="F1536" s="52"/>
      <c r="G1536" s="52"/>
      <c r="H1536" s="52"/>
    </row>
    <row r="1537" spans="1:8" ht="15.75">
      <c r="A1537" s="50">
        <v>41590</v>
      </c>
      <c r="B1537" s="102">
        <v>943.48</v>
      </c>
      <c r="C1537" s="52"/>
      <c r="D1537" s="52"/>
      <c r="E1537" s="52"/>
      <c r="F1537" s="52"/>
      <c r="G1537" s="52"/>
      <c r="H1537" s="52"/>
    </row>
    <row r="1538" spans="1:8" ht="15.75">
      <c r="A1538" s="50">
        <v>41591</v>
      </c>
      <c r="B1538" s="102">
        <v>950.5</v>
      </c>
      <c r="C1538" s="52"/>
      <c r="D1538" s="52"/>
      <c r="E1538" s="52"/>
      <c r="F1538" s="52"/>
      <c r="G1538" s="52"/>
      <c r="H1538" s="52"/>
    </row>
    <row r="1539" spans="1:8" ht="15.75">
      <c r="A1539" s="50">
        <v>41592</v>
      </c>
      <c r="B1539" s="102">
        <v>958.54</v>
      </c>
      <c r="C1539" s="52"/>
      <c r="D1539" s="52"/>
      <c r="E1539" s="52"/>
      <c r="F1539" s="52"/>
      <c r="G1539" s="52"/>
      <c r="H1539" s="52"/>
    </row>
    <row r="1540" spans="1:8" ht="15.75">
      <c r="A1540" s="50">
        <v>41593</v>
      </c>
      <c r="B1540" s="102">
        <v>955.79</v>
      </c>
      <c r="C1540" s="52"/>
      <c r="D1540" s="52"/>
      <c r="E1540" s="52"/>
      <c r="F1540" s="52"/>
      <c r="G1540" s="52"/>
      <c r="H1540" s="52"/>
    </row>
    <row r="1541" spans="1:8" ht="15.75">
      <c r="A1541" s="50">
        <v>41596</v>
      </c>
      <c r="B1541" s="102">
        <v>942.61</v>
      </c>
      <c r="C1541" s="52"/>
      <c r="D1541" s="52"/>
      <c r="E1541" s="52"/>
      <c r="F1541" s="52"/>
      <c r="G1541" s="52"/>
      <c r="H1541" s="52"/>
    </row>
    <row r="1542" spans="1:8" ht="15.75">
      <c r="A1542" s="50">
        <v>41597</v>
      </c>
      <c r="B1542" s="102">
        <v>946.96</v>
      </c>
      <c r="C1542" s="52"/>
      <c r="D1542" s="52"/>
      <c r="E1542" s="52"/>
      <c r="F1542" s="52"/>
      <c r="G1542" s="52"/>
      <c r="H1542" s="52"/>
    </row>
    <row r="1543" spans="1:8" ht="15.75">
      <c r="A1543" s="50">
        <v>41598</v>
      </c>
      <c r="B1543" s="102">
        <v>925.04</v>
      </c>
      <c r="C1543" s="52"/>
      <c r="D1543" s="52"/>
      <c r="E1543" s="52"/>
      <c r="F1543" s="52"/>
      <c r="G1543" s="52"/>
      <c r="H1543" s="52"/>
    </row>
    <row r="1544" spans="1:8" ht="15.75">
      <c r="A1544" s="50">
        <v>41599</v>
      </c>
      <c r="B1544" s="102">
        <v>918.35</v>
      </c>
      <c r="C1544" s="52"/>
      <c r="D1544" s="52"/>
      <c r="E1544" s="52"/>
      <c r="F1544" s="52"/>
      <c r="G1544" s="52"/>
      <c r="H1544" s="52"/>
    </row>
    <row r="1545" spans="1:8" ht="15.75">
      <c r="A1545" s="50">
        <v>41600</v>
      </c>
      <c r="B1545" s="102">
        <v>917.07</v>
      </c>
      <c r="C1545" s="52"/>
      <c r="D1545" s="52"/>
      <c r="E1545" s="52"/>
      <c r="F1545" s="52"/>
      <c r="G1545" s="52"/>
      <c r="H1545" s="52"/>
    </row>
    <row r="1546" spans="1:8" ht="15.75">
      <c r="A1546" s="50">
        <v>41603</v>
      </c>
      <c r="B1546" s="102">
        <v>925.58</v>
      </c>
      <c r="C1546" s="52"/>
      <c r="D1546" s="52"/>
      <c r="E1546" s="52"/>
      <c r="F1546" s="52"/>
      <c r="G1546" s="52"/>
      <c r="H1546" s="52"/>
    </row>
    <row r="1547" spans="1:8" ht="15.75">
      <c r="A1547" s="50">
        <v>41604</v>
      </c>
      <c r="B1547" s="102">
        <v>914.98</v>
      </c>
      <c r="C1547" s="52"/>
      <c r="D1547" s="52"/>
      <c r="E1547" s="52"/>
      <c r="F1547" s="52"/>
      <c r="G1547" s="52"/>
      <c r="H1547" s="52"/>
    </row>
    <row r="1548" spans="1:8" ht="15.75">
      <c r="A1548" s="50">
        <v>41605</v>
      </c>
      <c r="B1548" s="102">
        <v>911.34</v>
      </c>
      <c r="C1548" s="52"/>
      <c r="D1548" s="52"/>
      <c r="E1548" s="52"/>
      <c r="F1548" s="52"/>
      <c r="G1548" s="52"/>
      <c r="H1548" s="52"/>
    </row>
    <row r="1549" spans="1:8" ht="15.75">
      <c r="A1549" s="50">
        <v>41606</v>
      </c>
      <c r="B1549" s="102">
        <v>913.51</v>
      </c>
      <c r="C1549" s="52"/>
      <c r="D1549" s="52"/>
      <c r="E1549" s="52"/>
      <c r="F1549" s="52"/>
      <c r="G1549" s="52"/>
      <c r="H1549" s="52"/>
    </row>
    <row r="1550" spans="1:8" ht="15.75">
      <c r="A1550" s="50">
        <v>41607</v>
      </c>
      <c r="B1550" s="102">
        <v>921.04</v>
      </c>
      <c r="C1550" s="52"/>
      <c r="D1550" s="52"/>
      <c r="E1550" s="52"/>
      <c r="F1550" s="52"/>
      <c r="G1550" s="52"/>
      <c r="H1550" s="52"/>
    </row>
    <row r="1551" spans="1:8" ht="15.75">
      <c r="A1551" s="50">
        <v>41610</v>
      </c>
      <c r="B1551" s="102">
        <v>900.72</v>
      </c>
      <c r="C1551" s="52"/>
      <c r="D1551" s="52"/>
      <c r="E1551" s="52"/>
      <c r="F1551" s="52"/>
      <c r="G1551" s="52"/>
      <c r="H1551" s="52"/>
    </row>
    <row r="1552" spans="1:8" ht="15.75">
      <c r="A1552" s="50">
        <v>41611</v>
      </c>
      <c r="B1552" s="102">
        <v>899.71</v>
      </c>
      <c r="C1552" s="52"/>
      <c r="D1552" s="52"/>
      <c r="E1552" s="52"/>
      <c r="F1552" s="52"/>
      <c r="G1552" s="52"/>
      <c r="H1552" s="52"/>
    </row>
    <row r="1553" spans="1:8" ht="15.75">
      <c r="A1553" s="50">
        <v>41612</v>
      </c>
      <c r="B1553" s="102">
        <v>914.87</v>
      </c>
      <c r="C1553" s="52"/>
      <c r="D1553" s="52"/>
      <c r="E1553" s="52"/>
      <c r="F1553" s="52"/>
      <c r="G1553" s="52"/>
      <c r="H1553" s="52"/>
    </row>
    <row r="1554" spans="1:8" ht="15.75">
      <c r="A1554" s="50">
        <v>41613</v>
      </c>
      <c r="B1554" s="102">
        <v>892.7</v>
      </c>
      <c r="C1554" s="52"/>
      <c r="D1554" s="52"/>
      <c r="E1554" s="52"/>
      <c r="F1554" s="52"/>
      <c r="G1554" s="52"/>
      <c r="H1554" s="52"/>
    </row>
    <row r="1555" spans="1:8" ht="15.75">
      <c r="A1555" s="50">
        <v>41614</v>
      </c>
      <c r="B1555" s="102">
        <v>897.73</v>
      </c>
      <c r="C1555" s="52"/>
      <c r="D1555" s="52"/>
      <c r="E1555" s="52"/>
      <c r="F1555" s="52"/>
      <c r="G1555" s="52"/>
      <c r="H1555" s="52"/>
    </row>
    <row r="1556" spans="1:8" ht="15.75">
      <c r="A1556" s="50">
        <v>41617</v>
      </c>
      <c r="B1556" s="102">
        <v>903.07</v>
      </c>
      <c r="C1556" s="52"/>
      <c r="D1556" s="52"/>
      <c r="E1556" s="52"/>
      <c r="F1556" s="52"/>
      <c r="G1556" s="52"/>
      <c r="H1556" s="52"/>
    </row>
    <row r="1557" spans="1:8" ht="15.75">
      <c r="A1557" s="50">
        <v>41618</v>
      </c>
      <c r="B1557" s="102">
        <v>917.28</v>
      </c>
      <c r="C1557" s="52"/>
      <c r="D1557" s="52"/>
      <c r="E1557" s="52"/>
      <c r="F1557" s="52"/>
      <c r="G1557" s="52"/>
      <c r="H1557" s="52"/>
    </row>
    <row r="1558" spans="1:8" ht="15.75">
      <c r="A1558" s="50">
        <v>41619</v>
      </c>
      <c r="B1558" s="102">
        <v>903.39</v>
      </c>
      <c r="C1558" s="52"/>
      <c r="D1558" s="52"/>
      <c r="E1558" s="52"/>
      <c r="F1558" s="52"/>
      <c r="G1558" s="52"/>
      <c r="H1558" s="52"/>
    </row>
    <row r="1559" spans="1:8" ht="15.75">
      <c r="A1559" s="50">
        <v>41620</v>
      </c>
      <c r="B1559" s="102">
        <v>892.84</v>
      </c>
      <c r="C1559" s="52"/>
      <c r="D1559" s="52"/>
      <c r="E1559" s="52"/>
      <c r="F1559" s="52"/>
      <c r="G1559" s="52"/>
      <c r="H1559" s="52"/>
    </row>
    <row r="1560" spans="1:8" ht="15.75">
      <c r="A1560" s="50">
        <v>41621</v>
      </c>
      <c r="B1560" s="102">
        <v>901.51</v>
      </c>
      <c r="C1560" s="52"/>
      <c r="D1560" s="52"/>
      <c r="E1560" s="52"/>
      <c r="F1560" s="52"/>
      <c r="G1560" s="52"/>
      <c r="H1560" s="52"/>
    </row>
    <row r="1561" spans="1:8" ht="15.75">
      <c r="A1561" s="50">
        <v>41624</v>
      </c>
      <c r="B1561" s="102">
        <v>902.98</v>
      </c>
      <c r="C1561" s="52"/>
      <c r="D1561" s="52"/>
      <c r="E1561" s="52"/>
      <c r="F1561" s="52"/>
      <c r="G1561" s="52"/>
      <c r="H1561" s="52"/>
    </row>
    <row r="1562" spans="1:8" ht="15.75">
      <c r="A1562" s="50">
        <v>41625</v>
      </c>
      <c r="B1562" s="102">
        <v>895</v>
      </c>
      <c r="C1562" s="52"/>
      <c r="D1562" s="52"/>
      <c r="E1562" s="52"/>
      <c r="F1562" s="52"/>
      <c r="G1562" s="52"/>
      <c r="H1562" s="52"/>
    </row>
    <row r="1563" spans="1:8" ht="15.75">
      <c r="A1563" s="50">
        <v>41626</v>
      </c>
      <c r="B1563" s="102">
        <v>893.15</v>
      </c>
      <c r="C1563" s="52"/>
      <c r="D1563" s="52"/>
      <c r="E1563" s="52"/>
      <c r="F1563" s="52"/>
      <c r="G1563" s="52"/>
      <c r="H1563" s="52"/>
    </row>
    <row r="1564" spans="1:8" ht="15.75">
      <c r="A1564" s="50">
        <v>41627</v>
      </c>
      <c r="B1564" s="102">
        <v>868.7</v>
      </c>
      <c r="C1564" s="52"/>
      <c r="D1564" s="52"/>
      <c r="E1564" s="52"/>
      <c r="F1564" s="52"/>
      <c r="G1564" s="52"/>
      <c r="H1564" s="52"/>
    </row>
    <row r="1565" spans="1:8" ht="15.75">
      <c r="A1565" s="50">
        <v>41628</v>
      </c>
      <c r="B1565" s="102">
        <v>880.06</v>
      </c>
      <c r="C1565" s="52"/>
      <c r="D1565" s="52"/>
      <c r="E1565" s="52"/>
      <c r="F1565" s="52"/>
      <c r="G1565" s="52"/>
      <c r="H1565" s="52"/>
    </row>
    <row r="1566" spans="1:8" ht="15.75">
      <c r="A1566" s="50">
        <v>41631</v>
      </c>
      <c r="B1566" s="102">
        <v>875.09</v>
      </c>
      <c r="C1566" s="52"/>
      <c r="D1566" s="52"/>
      <c r="E1566" s="52"/>
      <c r="F1566" s="52"/>
      <c r="G1566" s="52"/>
      <c r="H1566" s="52"/>
    </row>
    <row r="1567" spans="1:8" ht="15.75">
      <c r="A1567" s="50">
        <v>41632</v>
      </c>
      <c r="B1567" s="102">
        <v>881.03</v>
      </c>
      <c r="C1567" s="52"/>
      <c r="D1567" s="52"/>
      <c r="E1567" s="52"/>
      <c r="F1567" s="52"/>
      <c r="G1567" s="52"/>
      <c r="H1567" s="52"/>
    </row>
    <row r="1568" spans="1:8" ht="15.75">
      <c r="A1568" s="50">
        <v>41633</v>
      </c>
      <c r="B1568" s="102">
        <v>878.83</v>
      </c>
      <c r="C1568" s="52"/>
      <c r="D1568" s="52"/>
      <c r="E1568" s="52"/>
      <c r="F1568" s="52"/>
      <c r="G1568" s="52"/>
      <c r="H1568" s="52"/>
    </row>
    <row r="1569" spans="1:8" ht="15.75">
      <c r="A1569" s="50">
        <v>41634</v>
      </c>
      <c r="B1569" s="102">
        <v>884.45</v>
      </c>
      <c r="C1569" s="52"/>
      <c r="D1569" s="52"/>
      <c r="E1569" s="52"/>
      <c r="F1569" s="52"/>
      <c r="G1569" s="52"/>
      <c r="H1569" s="52"/>
    </row>
    <row r="1570" spans="1:8" ht="15.75">
      <c r="A1570" s="50">
        <v>41635</v>
      </c>
      <c r="B1570" s="102">
        <v>880.03</v>
      </c>
      <c r="C1570" s="52"/>
      <c r="D1570" s="52"/>
      <c r="E1570" s="52"/>
      <c r="F1570" s="52"/>
      <c r="G1570" s="52"/>
      <c r="H1570" s="52"/>
    </row>
    <row r="1571" spans="1:8" ht="15.75">
      <c r="A1571" s="50">
        <v>41638</v>
      </c>
      <c r="B1571" s="102">
        <v>867.61</v>
      </c>
      <c r="C1571" s="52"/>
      <c r="D1571" s="52"/>
      <c r="E1571" s="52"/>
      <c r="F1571" s="52"/>
      <c r="G1571" s="52"/>
      <c r="H1571" s="52"/>
    </row>
    <row r="1572" spans="1:8" ht="15.75">
      <c r="A1572" s="50">
        <v>41639</v>
      </c>
      <c r="B1572" s="102">
        <v>876.64</v>
      </c>
      <c r="C1572" s="52"/>
      <c r="D1572" s="52"/>
      <c r="E1572" s="52"/>
      <c r="F1572" s="52"/>
      <c r="G1572" s="52"/>
      <c r="H1572" s="52"/>
    </row>
    <row r="1573" spans="1:8" ht="15.75">
      <c r="A1573" s="50">
        <v>41641</v>
      </c>
      <c r="B1573" s="102">
        <v>895.65</v>
      </c>
      <c r="C1573" s="52"/>
      <c r="D1573" s="52"/>
      <c r="E1573" s="52"/>
      <c r="F1573" s="52"/>
      <c r="G1573" s="52"/>
      <c r="H1573" s="52"/>
    </row>
    <row r="1574" spans="1:8" ht="15.75">
      <c r="A1574" s="50">
        <v>41642</v>
      </c>
      <c r="B1574" s="102">
        <v>910.33</v>
      </c>
      <c r="C1574" s="52"/>
      <c r="D1574" s="52"/>
      <c r="E1574" s="52"/>
      <c r="F1574" s="52"/>
      <c r="G1574" s="52"/>
      <c r="H1574" s="52"/>
    </row>
    <row r="1575" spans="1:8" ht="15.75">
      <c r="A1575" s="50">
        <v>41645</v>
      </c>
      <c r="B1575" s="102">
        <v>907.8</v>
      </c>
      <c r="C1575" s="52"/>
      <c r="D1575" s="52"/>
      <c r="E1575" s="52"/>
      <c r="F1575" s="52"/>
      <c r="G1575" s="52"/>
      <c r="H1575" s="52"/>
    </row>
    <row r="1576" spans="1:8" ht="15.75">
      <c r="A1576" s="50">
        <v>41646</v>
      </c>
      <c r="B1576" s="102">
        <v>904.8</v>
      </c>
      <c r="C1576" s="52"/>
      <c r="D1576" s="52"/>
      <c r="E1576" s="52"/>
      <c r="F1576" s="52"/>
      <c r="G1576" s="52"/>
      <c r="H1576" s="52"/>
    </row>
    <row r="1577" spans="1:8" ht="15.75">
      <c r="A1577" s="50">
        <v>41647</v>
      </c>
      <c r="B1577" s="102">
        <v>903.24</v>
      </c>
      <c r="C1577" s="52"/>
      <c r="D1577" s="52"/>
      <c r="E1577" s="52"/>
      <c r="F1577" s="52"/>
      <c r="G1577" s="52"/>
      <c r="H1577" s="52"/>
    </row>
    <row r="1578" spans="1:8" ht="15.75">
      <c r="A1578" s="50">
        <v>41648</v>
      </c>
      <c r="B1578" s="102">
        <v>901.71</v>
      </c>
      <c r="C1578" s="52"/>
      <c r="D1578" s="52"/>
      <c r="E1578" s="52"/>
      <c r="F1578" s="52"/>
      <c r="G1578" s="52"/>
      <c r="H1578" s="52"/>
    </row>
    <row r="1579" spans="1:8" ht="15.75">
      <c r="A1579" s="50">
        <v>41649</v>
      </c>
      <c r="B1579" s="102">
        <v>913.57</v>
      </c>
      <c r="C1579" s="52"/>
      <c r="D1579" s="52"/>
      <c r="E1579" s="52"/>
      <c r="F1579" s="52"/>
      <c r="G1579" s="52"/>
      <c r="H1579" s="52"/>
    </row>
    <row r="1580" spans="1:8" ht="15.75">
      <c r="A1580" s="50">
        <v>41652</v>
      </c>
      <c r="B1580" s="102">
        <v>917.18</v>
      </c>
      <c r="C1580" s="52"/>
      <c r="D1580" s="52"/>
      <c r="E1580" s="52"/>
      <c r="F1580" s="52"/>
      <c r="G1580" s="52"/>
      <c r="H1580" s="52"/>
    </row>
    <row r="1581" spans="1:8" ht="15.75">
      <c r="A1581" s="50">
        <v>41653</v>
      </c>
      <c r="B1581" s="102">
        <v>908.06</v>
      </c>
      <c r="C1581" s="52"/>
      <c r="D1581" s="52"/>
      <c r="E1581" s="52"/>
      <c r="F1581" s="52"/>
      <c r="G1581" s="52"/>
      <c r="H1581" s="52"/>
    </row>
    <row r="1582" spans="1:8" ht="15.75">
      <c r="A1582" s="50">
        <v>41654</v>
      </c>
      <c r="B1582" s="102">
        <v>912.53</v>
      </c>
      <c r="C1582" s="52"/>
      <c r="D1582" s="52"/>
      <c r="E1582" s="52"/>
      <c r="F1582" s="52"/>
      <c r="G1582" s="52"/>
      <c r="H1582" s="52"/>
    </row>
    <row r="1583" spans="1:8" ht="15.75">
      <c r="A1583" s="50">
        <v>41655</v>
      </c>
      <c r="B1583" s="102">
        <v>913.08</v>
      </c>
      <c r="C1583" s="52"/>
      <c r="D1583" s="52"/>
      <c r="E1583" s="52"/>
      <c r="F1583" s="52"/>
      <c r="G1583" s="52"/>
      <c r="H1583" s="52"/>
    </row>
    <row r="1584" spans="1:8" ht="15.75">
      <c r="A1584" s="50">
        <v>41656</v>
      </c>
      <c r="B1584" s="102">
        <v>930.47</v>
      </c>
      <c r="C1584" s="52"/>
      <c r="D1584" s="52"/>
      <c r="E1584" s="52"/>
      <c r="F1584" s="52"/>
      <c r="G1584" s="52"/>
      <c r="H1584" s="52"/>
    </row>
    <row r="1585" spans="1:8" ht="15.75">
      <c r="A1585" s="50">
        <v>41659</v>
      </c>
      <c r="B1585" s="102">
        <v>925.57</v>
      </c>
      <c r="C1585" s="52"/>
      <c r="D1585" s="52"/>
      <c r="E1585" s="52"/>
      <c r="F1585" s="52"/>
      <c r="G1585" s="52"/>
      <c r="H1585" s="52"/>
    </row>
    <row r="1586" spans="1:8" ht="15.75">
      <c r="A1586" s="50">
        <v>41660</v>
      </c>
      <c r="B1586" s="102">
        <v>914.74</v>
      </c>
      <c r="C1586" s="52"/>
      <c r="D1586" s="52"/>
      <c r="E1586" s="52"/>
      <c r="F1586" s="52"/>
      <c r="G1586" s="52"/>
      <c r="H1586" s="52"/>
    </row>
    <row r="1587" spans="1:8" ht="15.75">
      <c r="A1587" s="50">
        <v>41661</v>
      </c>
      <c r="B1587" s="102">
        <v>913.13</v>
      </c>
      <c r="C1587" s="52"/>
      <c r="D1587" s="52"/>
      <c r="E1587" s="52"/>
      <c r="F1587" s="52"/>
      <c r="G1587" s="52"/>
      <c r="H1587" s="52"/>
    </row>
    <row r="1588" spans="1:8" ht="15.75">
      <c r="A1588" s="50">
        <v>41662</v>
      </c>
      <c r="B1588" s="102">
        <v>923.57</v>
      </c>
      <c r="C1588" s="52"/>
      <c r="D1588" s="52"/>
      <c r="E1588" s="52"/>
      <c r="F1588" s="52"/>
      <c r="G1588" s="52"/>
      <c r="H1588" s="52"/>
    </row>
    <row r="1589" spans="1:8" ht="15.75">
      <c r="A1589" s="50">
        <v>41663</v>
      </c>
      <c r="B1589" s="102">
        <v>927.75</v>
      </c>
      <c r="C1589" s="52"/>
      <c r="D1589" s="52"/>
      <c r="E1589" s="52"/>
      <c r="F1589" s="52"/>
      <c r="G1589" s="52"/>
      <c r="H1589" s="52"/>
    </row>
    <row r="1590" spans="1:8" ht="15.75">
      <c r="A1590" s="50">
        <v>41666</v>
      </c>
      <c r="B1590" s="102">
        <v>919.11</v>
      </c>
      <c r="C1590" s="52"/>
      <c r="D1590" s="52"/>
      <c r="E1590" s="52"/>
      <c r="F1590" s="52"/>
      <c r="G1590" s="52"/>
      <c r="H1590" s="52"/>
    </row>
    <row r="1591" spans="1:8" ht="15.75">
      <c r="A1591" s="50">
        <v>41667</v>
      </c>
      <c r="B1591" s="102">
        <v>920.23</v>
      </c>
      <c r="C1591" s="52"/>
      <c r="D1591" s="52"/>
      <c r="E1591" s="52"/>
      <c r="F1591" s="52"/>
      <c r="G1591" s="52"/>
      <c r="H1591" s="52"/>
    </row>
    <row r="1592" spans="1:8" ht="15.75">
      <c r="A1592" s="50">
        <v>41668</v>
      </c>
      <c r="B1592" s="102">
        <v>927.9</v>
      </c>
      <c r="C1592" s="52"/>
      <c r="D1592" s="52"/>
      <c r="E1592" s="52"/>
      <c r="F1592" s="52"/>
      <c r="G1592" s="52"/>
      <c r="H1592" s="52"/>
    </row>
    <row r="1593" spans="1:8" ht="15.75">
      <c r="A1593" s="50">
        <v>41669</v>
      </c>
      <c r="B1593" s="102">
        <v>917.05</v>
      </c>
      <c r="C1593" s="52"/>
      <c r="D1593" s="52"/>
      <c r="E1593" s="52"/>
      <c r="F1593" s="52"/>
      <c r="G1593" s="52"/>
      <c r="H1593" s="52"/>
    </row>
    <row r="1594" spans="1:8" ht="15.75">
      <c r="A1594" s="50">
        <v>41670</v>
      </c>
      <c r="B1594" s="102">
        <v>923.4</v>
      </c>
      <c r="C1594" s="52"/>
      <c r="D1594" s="52"/>
      <c r="E1594" s="52"/>
      <c r="F1594" s="52"/>
      <c r="G1594" s="52"/>
      <c r="H1594" s="52"/>
    </row>
    <row r="1595" spans="1:8" ht="15.75">
      <c r="A1595" s="50">
        <v>41673</v>
      </c>
      <c r="B1595" s="102">
        <v>929.4</v>
      </c>
      <c r="C1595" s="52"/>
      <c r="D1595" s="52"/>
      <c r="E1595" s="52"/>
      <c r="F1595" s="52"/>
      <c r="G1595" s="52"/>
      <c r="H1595" s="52"/>
    </row>
    <row r="1596" spans="1:8" ht="15.75">
      <c r="A1596" s="50">
        <v>41674</v>
      </c>
      <c r="B1596" s="102">
        <v>926.97</v>
      </c>
      <c r="C1596" s="52"/>
      <c r="D1596" s="52"/>
      <c r="E1596" s="52"/>
      <c r="F1596" s="52"/>
      <c r="G1596" s="52"/>
      <c r="H1596" s="52"/>
    </row>
    <row r="1597" spans="1:8" ht="15.75">
      <c r="A1597" s="50">
        <v>41675</v>
      </c>
      <c r="B1597" s="102">
        <v>927.81</v>
      </c>
      <c r="C1597" s="52"/>
      <c r="D1597" s="52"/>
      <c r="E1597" s="52"/>
      <c r="F1597" s="52"/>
      <c r="G1597" s="52"/>
      <c r="H1597" s="52"/>
    </row>
    <row r="1598" spans="1:8" ht="15.75">
      <c r="A1598" s="50">
        <v>41676</v>
      </c>
      <c r="B1598" s="102">
        <v>922.9</v>
      </c>
      <c r="C1598" s="52"/>
      <c r="D1598" s="52"/>
      <c r="E1598" s="52"/>
      <c r="F1598" s="52"/>
      <c r="G1598" s="52"/>
      <c r="H1598" s="52"/>
    </row>
    <row r="1599" spans="1:8" ht="15.75">
      <c r="A1599" s="50">
        <v>41677</v>
      </c>
      <c r="B1599" s="102">
        <v>929.45</v>
      </c>
      <c r="C1599" s="52"/>
      <c r="D1599" s="52"/>
      <c r="E1599" s="52"/>
      <c r="F1599" s="52"/>
      <c r="G1599" s="52"/>
      <c r="H1599" s="52"/>
    </row>
    <row r="1600" spans="1:8" ht="15.75">
      <c r="A1600" s="50">
        <v>41680</v>
      </c>
      <c r="B1600" s="102">
        <v>935.45</v>
      </c>
      <c r="C1600" s="52"/>
      <c r="D1600" s="52"/>
      <c r="E1600" s="52"/>
      <c r="F1600" s="52"/>
      <c r="G1600" s="52"/>
      <c r="H1600" s="52"/>
    </row>
    <row r="1601" spans="1:8" ht="15.75">
      <c r="A1601" s="50">
        <v>41681</v>
      </c>
      <c r="B1601" s="102">
        <v>947.86</v>
      </c>
      <c r="C1601" s="52"/>
      <c r="D1601" s="52"/>
      <c r="E1601" s="52"/>
      <c r="F1601" s="52"/>
      <c r="G1601" s="52"/>
      <c r="H1601" s="52"/>
    </row>
    <row r="1602" spans="1:8" ht="15.75">
      <c r="A1602" s="50">
        <v>41682</v>
      </c>
      <c r="B1602" s="102">
        <v>949.73</v>
      </c>
      <c r="C1602" s="52"/>
      <c r="D1602" s="52"/>
      <c r="E1602" s="52"/>
      <c r="F1602" s="52"/>
      <c r="G1602" s="52"/>
      <c r="H1602" s="52"/>
    </row>
    <row r="1603" spans="1:8" ht="15.75">
      <c r="A1603" s="50">
        <v>41683</v>
      </c>
      <c r="B1603" s="102">
        <v>951.6</v>
      </c>
      <c r="C1603" s="52"/>
      <c r="D1603" s="52"/>
      <c r="E1603" s="52"/>
      <c r="F1603" s="52"/>
      <c r="G1603" s="52"/>
      <c r="H1603" s="52"/>
    </row>
    <row r="1604" spans="1:8" ht="15.75">
      <c r="A1604" s="50">
        <v>41684</v>
      </c>
      <c r="B1604" s="102">
        <v>963.5</v>
      </c>
      <c r="C1604" s="52"/>
      <c r="D1604" s="52"/>
      <c r="E1604" s="52"/>
      <c r="F1604" s="52"/>
      <c r="G1604" s="52"/>
      <c r="H1604" s="52"/>
    </row>
    <row r="1605" spans="1:8" ht="15.75">
      <c r="A1605" s="50">
        <v>41687</v>
      </c>
      <c r="B1605" s="102">
        <v>969.4</v>
      </c>
      <c r="C1605" s="52"/>
      <c r="D1605" s="52"/>
      <c r="E1605" s="52"/>
      <c r="F1605" s="52"/>
      <c r="G1605" s="52"/>
      <c r="H1605" s="52"/>
    </row>
    <row r="1606" spans="1:8" ht="15.75">
      <c r="A1606" s="50">
        <v>41688</v>
      </c>
      <c r="B1606" s="102">
        <v>959.15</v>
      </c>
      <c r="C1606" s="52"/>
      <c r="D1606" s="52"/>
      <c r="E1606" s="52"/>
      <c r="F1606" s="52"/>
      <c r="G1606" s="52"/>
      <c r="H1606" s="52"/>
    </row>
    <row r="1607" spans="1:8" ht="15.75">
      <c r="A1607" s="50">
        <v>41689</v>
      </c>
      <c r="B1607" s="102">
        <v>954.78</v>
      </c>
      <c r="C1607" s="52"/>
      <c r="D1607" s="52"/>
      <c r="E1607" s="52"/>
      <c r="F1607" s="52"/>
      <c r="G1607" s="52"/>
      <c r="H1607" s="52"/>
    </row>
    <row r="1608" spans="1:8" ht="15.75">
      <c r="A1608" s="50">
        <v>41690</v>
      </c>
      <c r="B1608" s="102">
        <v>964.73</v>
      </c>
      <c r="C1608" s="52"/>
      <c r="D1608" s="52"/>
      <c r="E1608" s="52"/>
      <c r="F1608" s="52"/>
      <c r="G1608" s="52"/>
      <c r="H1608" s="52"/>
    </row>
    <row r="1609" spans="1:8" ht="15.75">
      <c r="A1609" s="50">
        <v>41691</v>
      </c>
      <c r="B1609" s="102">
        <v>965.16</v>
      </c>
      <c r="C1609" s="52"/>
      <c r="D1609" s="52"/>
      <c r="E1609" s="52"/>
      <c r="F1609" s="52"/>
      <c r="G1609" s="52"/>
      <c r="H1609" s="52"/>
    </row>
    <row r="1610" spans="1:8" ht="15.75">
      <c r="A1610" s="50">
        <v>41694</v>
      </c>
      <c r="B1610" s="102">
        <v>973.1</v>
      </c>
      <c r="C1610" s="52"/>
      <c r="D1610" s="52"/>
      <c r="E1610" s="52"/>
      <c r="F1610" s="52"/>
      <c r="G1610" s="52"/>
      <c r="H1610" s="52"/>
    </row>
    <row r="1611" spans="1:8" ht="15.75">
      <c r="A1611" s="50">
        <v>41695</v>
      </c>
      <c r="B1611" s="102">
        <v>975.73</v>
      </c>
      <c r="C1611" s="52"/>
      <c r="D1611" s="52"/>
      <c r="E1611" s="52"/>
      <c r="F1611" s="52"/>
      <c r="G1611" s="52"/>
      <c r="H1611" s="52"/>
    </row>
    <row r="1612" spans="1:8" ht="15.75">
      <c r="A1612" s="50">
        <v>41696</v>
      </c>
      <c r="B1612" s="102">
        <v>971.94</v>
      </c>
      <c r="C1612" s="52"/>
      <c r="D1612" s="52"/>
      <c r="E1612" s="52"/>
      <c r="F1612" s="52"/>
      <c r="G1612" s="52"/>
      <c r="H1612" s="52"/>
    </row>
    <row r="1613" spans="1:8" ht="15.75">
      <c r="A1613" s="50">
        <v>41697</v>
      </c>
      <c r="B1613" s="102">
        <v>970.6</v>
      </c>
      <c r="C1613" s="52"/>
      <c r="D1613" s="52"/>
      <c r="E1613" s="52"/>
      <c r="F1613" s="52"/>
      <c r="G1613" s="52"/>
      <c r="H1613" s="52"/>
    </row>
    <row r="1614" spans="1:8" ht="15.75">
      <c r="A1614" s="50">
        <v>41698</v>
      </c>
      <c r="B1614" s="102">
        <v>960.3</v>
      </c>
      <c r="C1614" s="52"/>
      <c r="D1614" s="52"/>
      <c r="E1614" s="52"/>
      <c r="F1614" s="52"/>
      <c r="G1614" s="52"/>
      <c r="H1614" s="52"/>
    </row>
    <row r="1615" spans="1:8" ht="15.75">
      <c r="A1615" s="50">
        <v>41700</v>
      </c>
      <c r="B1615" s="102">
        <v>963.37</v>
      </c>
      <c r="C1615" s="52"/>
      <c r="D1615" s="52"/>
      <c r="E1615" s="52"/>
      <c r="F1615" s="52"/>
      <c r="G1615" s="52"/>
      <c r="H1615" s="52"/>
    </row>
    <row r="1616" spans="1:8" ht="15.75">
      <c r="A1616" s="50">
        <v>41701</v>
      </c>
      <c r="B1616" s="102">
        <v>982.6</v>
      </c>
      <c r="C1616" s="52"/>
      <c r="D1616" s="52"/>
      <c r="E1616" s="52"/>
      <c r="F1616" s="52"/>
      <c r="G1616" s="52"/>
      <c r="H1616" s="52"/>
    </row>
    <row r="1617" spans="1:8" ht="15.75">
      <c r="A1617" s="50">
        <v>41702</v>
      </c>
      <c r="B1617" s="102">
        <v>971.22</v>
      </c>
      <c r="C1617" s="52"/>
      <c r="D1617" s="52"/>
      <c r="E1617" s="52"/>
      <c r="F1617" s="52"/>
      <c r="G1617" s="52"/>
      <c r="H1617" s="52"/>
    </row>
    <row r="1618" spans="1:8" ht="15.75">
      <c r="A1618" s="50">
        <v>41703</v>
      </c>
      <c r="B1618" s="102">
        <v>973.35</v>
      </c>
      <c r="C1618" s="52"/>
      <c r="D1618" s="52"/>
      <c r="E1618" s="52"/>
      <c r="F1618" s="52"/>
      <c r="G1618" s="52"/>
      <c r="H1618" s="52"/>
    </row>
    <row r="1619" spans="1:8" ht="15.75">
      <c r="A1619" s="50">
        <v>41704</v>
      </c>
      <c r="B1619" s="102">
        <v>974.24</v>
      </c>
      <c r="C1619" s="52"/>
      <c r="D1619" s="52"/>
      <c r="E1619" s="52"/>
      <c r="F1619" s="52"/>
      <c r="G1619" s="52"/>
      <c r="H1619" s="52"/>
    </row>
    <row r="1620" spans="1:8" ht="15.75">
      <c r="A1620" s="50">
        <v>41705</v>
      </c>
      <c r="B1620" s="102">
        <v>966.14</v>
      </c>
      <c r="C1620" s="52"/>
      <c r="D1620" s="52"/>
      <c r="E1620" s="52"/>
      <c r="F1620" s="52"/>
      <c r="G1620" s="52"/>
      <c r="H1620" s="52"/>
    </row>
    <row r="1621" spans="1:8" ht="15.75">
      <c r="A1621" s="50">
        <v>41707</v>
      </c>
      <c r="B1621" s="102">
        <v>965.93</v>
      </c>
      <c r="C1621" s="52"/>
      <c r="D1621" s="52"/>
      <c r="E1621" s="52"/>
      <c r="F1621" s="52"/>
      <c r="G1621" s="52"/>
      <c r="H1621" s="52"/>
    </row>
    <row r="1622" spans="1:8" ht="15.75">
      <c r="A1622" s="50">
        <v>41708</v>
      </c>
      <c r="B1622" s="102">
        <v>965.6</v>
      </c>
      <c r="C1622" s="52"/>
      <c r="D1622" s="52"/>
      <c r="E1622" s="52"/>
      <c r="F1622" s="52"/>
      <c r="G1622" s="52"/>
      <c r="H1622" s="52"/>
    </row>
    <row r="1623" spans="1:8" ht="15.75">
      <c r="A1623" s="50">
        <v>41709</v>
      </c>
      <c r="B1623" s="102">
        <v>973.52</v>
      </c>
      <c r="C1623" s="52"/>
      <c r="D1623" s="52"/>
      <c r="E1623" s="52"/>
      <c r="F1623" s="52"/>
      <c r="G1623" s="52"/>
      <c r="H1623" s="52"/>
    </row>
    <row r="1624" spans="1:8" ht="15.75">
      <c r="A1624" s="50">
        <v>41710</v>
      </c>
      <c r="B1624" s="102">
        <v>983.03</v>
      </c>
      <c r="C1624" s="52"/>
      <c r="D1624" s="52"/>
      <c r="E1624" s="52"/>
      <c r="F1624" s="52"/>
      <c r="G1624" s="52"/>
      <c r="H1624" s="52"/>
    </row>
    <row r="1625" spans="1:8" ht="15.75">
      <c r="A1625" s="50">
        <v>41711</v>
      </c>
      <c r="B1625" s="102">
        <v>988.31</v>
      </c>
      <c r="C1625" s="52"/>
      <c r="D1625" s="52"/>
      <c r="E1625" s="52"/>
      <c r="F1625" s="52"/>
      <c r="G1625" s="52"/>
      <c r="H1625" s="52"/>
    </row>
    <row r="1626" spans="1:8" ht="15.75">
      <c r="A1626" s="50">
        <v>41712</v>
      </c>
      <c r="B1626" s="102">
        <v>994.03</v>
      </c>
      <c r="C1626" s="52"/>
      <c r="D1626" s="52"/>
      <c r="E1626" s="52"/>
      <c r="F1626" s="52"/>
      <c r="G1626" s="52"/>
      <c r="H1626" s="52"/>
    </row>
    <row r="1627" spans="1:8" ht="15.75">
      <c r="A1627" s="50">
        <v>41714</v>
      </c>
      <c r="B1627" s="102">
        <v>998.74</v>
      </c>
      <c r="C1627" s="52"/>
      <c r="D1627" s="52"/>
      <c r="E1627" s="52"/>
      <c r="F1627" s="52"/>
      <c r="G1627" s="52"/>
      <c r="H1627" s="52"/>
    </row>
    <row r="1628" spans="1:8" ht="15.75">
      <c r="A1628" s="50">
        <v>41715</v>
      </c>
      <c r="B1628" s="102">
        <v>981.25</v>
      </c>
      <c r="C1628" s="52"/>
      <c r="D1628" s="52"/>
      <c r="E1628" s="52"/>
      <c r="F1628" s="52"/>
      <c r="G1628" s="52"/>
      <c r="H1628" s="52"/>
    </row>
    <row r="1629" spans="1:8" ht="15.75">
      <c r="A1629" s="50">
        <v>41716</v>
      </c>
      <c r="B1629" s="102">
        <v>973.16</v>
      </c>
      <c r="C1629" s="52"/>
      <c r="D1629" s="52"/>
      <c r="E1629" s="52"/>
      <c r="F1629" s="52"/>
      <c r="G1629" s="52"/>
      <c r="H1629" s="52"/>
    </row>
    <row r="1630" spans="1:8" ht="15.75">
      <c r="A1630" s="50">
        <v>41717</v>
      </c>
      <c r="B1630" s="102">
        <v>959.95</v>
      </c>
      <c r="C1630" s="52"/>
      <c r="D1630" s="52"/>
      <c r="E1630" s="52"/>
      <c r="F1630" s="52"/>
      <c r="G1630" s="52"/>
      <c r="H1630" s="52"/>
    </row>
    <row r="1631" spans="1:8" ht="15.75">
      <c r="A1631" s="50">
        <v>41718</v>
      </c>
      <c r="B1631" s="102">
        <v>966.15</v>
      </c>
      <c r="C1631" s="52"/>
      <c r="D1631" s="52"/>
      <c r="E1631" s="52"/>
      <c r="F1631" s="52"/>
      <c r="G1631" s="52"/>
      <c r="H1631" s="52"/>
    </row>
    <row r="1632" spans="1:8" ht="15.75">
      <c r="A1632" s="50">
        <v>41719</v>
      </c>
      <c r="B1632" s="102">
        <v>967.16</v>
      </c>
      <c r="C1632" s="52"/>
      <c r="D1632" s="52"/>
      <c r="E1632" s="52"/>
      <c r="F1632" s="52"/>
      <c r="G1632" s="52"/>
      <c r="H1632" s="52"/>
    </row>
    <row r="1633" spans="1:8" ht="15.75">
      <c r="A1633" s="50">
        <v>41721</v>
      </c>
      <c r="B1633" s="102">
        <v>965.63</v>
      </c>
      <c r="C1633" s="52"/>
      <c r="D1633" s="52"/>
      <c r="E1633" s="52"/>
      <c r="F1633" s="52"/>
      <c r="G1633" s="52"/>
      <c r="H1633" s="52"/>
    </row>
    <row r="1634" spans="1:8" ht="15.75">
      <c r="A1634" s="50">
        <v>41722</v>
      </c>
      <c r="B1634" s="102">
        <v>946.19</v>
      </c>
      <c r="C1634" s="52"/>
      <c r="D1634" s="52"/>
      <c r="E1634" s="52"/>
      <c r="F1634" s="52"/>
      <c r="G1634" s="52"/>
      <c r="H1634" s="52"/>
    </row>
    <row r="1635" spans="1:8" ht="15.75">
      <c r="A1635" s="50">
        <v>41723</v>
      </c>
      <c r="B1635" s="102">
        <v>948.18</v>
      </c>
      <c r="C1635" s="52"/>
      <c r="D1635" s="52"/>
      <c r="E1635" s="52"/>
      <c r="F1635" s="52"/>
      <c r="G1635" s="52"/>
      <c r="H1635" s="52"/>
    </row>
    <row r="1636" spans="1:8" ht="15.75">
      <c r="A1636" s="50">
        <v>41724</v>
      </c>
      <c r="B1636" s="102">
        <v>946.9</v>
      </c>
      <c r="C1636" s="52"/>
      <c r="D1636" s="52"/>
      <c r="E1636" s="52"/>
      <c r="F1636" s="52"/>
      <c r="G1636" s="52"/>
      <c r="H1636" s="52"/>
    </row>
    <row r="1637" spans="1:8" ht="15.75">
      <c r="A1637" s="50">
        <v>41725</v>
      </c>
      <c r="B1637" s="102">
        <v>940.41</v>
      </c>
      <c r="C1637" s="52"/>
      <c r="D1637" s="52"/>
      <c r="E1637" s="52"/>
      <c r="F1637" s="52"/>
      <c r="G1637" s="52"/>
      <c r="H1637" s="52"/>
    </row>
    <row r="1638" spans="1:8" ht="15.75">
      <c r="A1638" s="50">
        <v>41726</v>
      </c>
      <c r="B1638" s="102">
        <v>941.02</v>
      </c>
      <c r="C1638" s="52"/>
      <c r="D1638" s="52"/>
      <c r="E1638" s="52"/>
      <c r="F1638" s="52"/>
      <c r="G1638" s="52"/>
      <c r="H1638" s="52"/>
    </row>
    <row r="1639" spans="1:8" ht="15.75">
      <c r="A1639" s="50">
        <v>41729</v>
      </c>
      <c r="B1639" s="102">
        <v>932.3</v>
      </c>
      <c r="C1639" s="52"/>
      <c r="D1639" s="52"/>
      <c r="E1639" s="52"/>
      <c r="F1639" s="52"/>
      <c r="G1639" s="52"/>
      <c r="H1639" s="52"/>
    </row>
    <row r="1640" spans="1:8" ht="15.75">
      <c r="A1640" s="50">
        <v>41730</v>
      </c>
      <c r="B1640" s="102">
        <v>927.07</v>
      </c>
      <c r="C1640" s="52"/>
      <c r="D1640" s="52"/>
      <c r="E1640" s="52"/>
      <c r="F1640" s="52"/>
      <c r="G1640" s="52"/>
      <c r="H1640" s="52"/>
    </row>
    <row r="1641" spans="1:8" ht="15.75">
      <c r="A1641" s="50">
        <v>41731</v>
      </c>
      <c r="B1641" s="102">
        <v>935.63</v>
      </c>
      <c r="C1641" s="52"/>
      <c r="D1641" s="52"/>
      <c r="E1641" s="52"/>
      <c r="F1641" s="52"/>
      <c r="G1641" s="52"/>
      <c r="H1641" s="52"/>
    </row>
    <row r="1642" spans="1:8" ht="15.75">
      <c r="A1642" s="50">
        <v>41732</v>
      </c>
      <c r="B1642" s="102">
        <v>937.86</v>
      </c>
      <c r="C1642" s="52"/>
      <c r="D1642" s="52"/>
      <c r="E1642" s="52"/>
      <c r="F1642" s="52"/>
      <c r="G1642" s="52"/>
      <c r="H1642" s="52"/>
    </row>
    <row r="1643" spans="1:8" ht="15.75">
      <c r="A1643" s="50">
        <v>41733</v>
      </c>
      <c r="B1643" s="102">
        <v>951.35</v>
      </c>
      <c r="C1643" s="52"/>
      <c r="D1643" s="52"/>
      <c r="E1643" s="52"/>
      <c r="F1643" s="52"/>
      <c r="G1643" s="52"/>
      <c r="H1643" s="52"/>
    </row>
    <row r="1644" spans="1:8" ht="15.75">
      <c r="A1644" s="50">
        <v>41736</v>
      </c>
      <c r="B1644" s="102">
        <v>943.64</v>
      </c>
      <c r="C1644" s="52"/>
      <c r="D1644" s="52"/>
      <c r="E1644" s="52"/>
      <c r="F1644" s="52"/>
      <c r="G1644" s="52"/>
      <c r="H1644" s="52"/>
    </row>
    <row r="1645" spans="1:8" ht="15.75">
      <c r="A1645" s="50">
        <v>41737</v>
      </c>
      <c r="B1645" s="102">
        <v>949.98</v>
      </c>
      <c r="C1645" s="52"/>
      <c r="D1645" s="52"/>
      <c r="E1645" s="52"/>
      <c r="F1645" s="52"/>
      <c r="G1645" s="52"/>
      <c r="H1645" s="52"/>
    </row>
    <row r="1646" spans="1:8" ht="15.75">
      <c r="A1646" s="50">
        <v>41738</v>
      </c>
      <c r="B1646" s="102">
        <v>947.38</v>
      </c>
      <c r="C1646" s="52"/>
      <c r="D1646" s="52"/>
      <c r="E1646" s="52"/>
      <c r="F1646" s="52"/>
      <c r="G1646" s="52"/>
      <c r="H1646" s="52"/>
    </row>
    <row r="1647" spans="1:8" ht="15.75">
      <c r="A1647" s="50">
        <v>41739</v>
      </c>
      <c r="B1647" s="102">
        <v>950.46</v>
      </c>
      <c r="C1647" s="52"/>
      <c r="D1647" s="52"/>
      <c r="E1647" s="52"/>
      <c r="F1647" s="52"/>
      <c r="G1647" s="52"/>
      <c r="H1647" s="52"/>
    </row>
    <row r="1648" spans="1:8" ht="15.75">
      <c r="A1648" s="50">
        <v>41740</v>
      </c>
      <c r="B1648" s="102">
        <v>950.1</v>
      </c>
      <c r="C1648" s="52"/>
      <c r="D1648" s="52"/>
      <c r="E1648" s="52"/>
      <c r="F1648" s="52"/>
      <c r="G1648" s="52"/>
      <c r="H1648" s="52"/>
    </row>
    <row r="1649" spans="1:8" ht="15.75">
      <c r="A1649" s="50">
        <v>41743</v>
      </c>
      <c r="B1649" s="102">
        <v>958.1</v>
      </c>
      <c r="C1649" s="52"/>
      <c r="D1649" s="52"/>
      <c r="E1649" s="52"/>
      <c r="F1649" s="52"/>
      <c r="G1649" s="52"/>
      <c r="H1649" s="52"/>
    </row>
    <row r="1650" spans="1:8" ht="15.75">
      <c r="A1650" s="50">
        <v>41744</v>
      </c>
      <c r="B1650" s="102">
        <v>941.28</v>
      </c>
      <c r="C1650" s="52"/>
      <c r="D1650" s="52"/>
      <c r="E1650" s="52"/>
      <c r="F1650" s="52"/>
      <c r="G1650" s="52"/>
      <c r="H1650" s="52"/>
    </row>
    <row r="1651" spans="1:8" ht="15.75">
      <c r="A1651" s="50">
        <v>41745</v>
      </c>
      <c r="B1651" s="102">
        <v>941.52</v>
      </c>
      <c r="C1651" s="52"/>
      <c r="D1651" s="52"/>
      <c r="E1651" s="52"/>
      <c r="F1651" s="52"/>
      <c r="G1651" s="52"/>
      <c r="H1651" s="52"/>
    </row>
    <row r="1652" spans="1:8" ht="15.75">
      <c r="A1652" s="50">
        <v>41746</v>
      </c>
      <c r="B1652" s="102">
        <v>937.38</v>
      </c>
      <c r="C1652" s="52"/>
      <c r="D1652" s="52"/>
      <c r="E1652" s="52"/>
      <c r="F1652" s="52"/>
      <c r="G1652" s="52"/>
      <c r="H1652" s="52"/>
    </row>
    <row r="1653" spans="1:8" ht="15.75">
      <c r="A1653" s="50">
        <v>41750</v>
      </c>
      <c r="B1653" s="102">
        <v>934.83</v>
      </c>
      <c r="C1653" s="52"/>
      <c r="D1653" s="52"/>
      <c r="E1653" s="52"/>
      <c r="F1653" s="52"/>
      <c r="G1653" s="52"/>
      <c r="H1653" s="52"/>
    </row>
    <row r="1654" spans="1:8" ht="15.75">
      <c r="A1654" s="50">
        <v>41751</v>
      </c>
      <c r="B1654" s="102">
        <v>924.24</v>
      </c>
      <c r="C1654" s="52"/>
      <c r="D1654" s="52"/>
      <c r="E1654" s="52"/>
      <c r="F1654" s="52"/>
      <c r="G1654" s="52"/>
      <c r="H1654" s="52"/>
    </row>
    <row r="1655" spans="1:8" ht="15.75">
      <c r="A1655" s="50">
        <v>41752</v>
      </c>
      <c r="B1655" s="102">
        <v>928.67</v>
      </c>
      <c r="C1655" s="52"/>
      <c r="D1655" s="52"/>
      <c r="E1655" s="52"/>
      <c r="F1655" s="52"/>
      <c r="G1655" s="52"/>
      <c r="H1655" s="52"/>
    </row>
    <row r="1656" spans="1:8" ht="15.75">
      <c r="A1656" s="50">
        <v>41753</v>
      </c>
      <c r="B1656" s="102">
        <v>934.68</v>
      </c>
      <c r="C1656" s="52"/>
      <c r="D1656" s="52"/>
      <c r="E1656" s="52"/>
      <c r="F1656" s="52"/>
      <c r="G1656" s="52"/>
      <c r="H1656" s="52"/>
    </row>
    <row r="1657" spans="1:8" ht="15.75">
      <c r="A1657" s="50">
        <v>41754</v>
      </c>
      <c r="B1657" s="102">
        <v>941.56</v>
      </c>
      <c r="C1657" s="52"/>
      <c r="D1657" s="52"/>
      <c r="E1657" s="52"/>
      <c r="F1657" s="52"/>
      <c r="G1657" s="52"/>
      <c r="H1657" s="52"/>
    </row>
    <row r="1658" spans="1:8" ht="15.75">
      <c r="A1658" s="50">
        <v>41756</v>
      </c>
      <c r="B1658" s="102">
        <v>941.63</v>
      </c>
      <c r="C1658" s="52"/>
      <c r="D1658" s="52"/>
      <c r="E1658" s="52"/>
      <c r="F1658" s="52"/>
      <c r="G1658" s="52"/>
      <c r="H1658" s="52"/>
    </row>
    <row r="1659" spans="1:8" ht="15.75">
      <c r="A1659" s="50">
        <v>41757</v>
      </c>
      <c r="B1659" s="102">
        <v>936.6</v>
      </c>
      <c r="C1659" s="52"/>
      <c r="D1659" s="52"/>
      <c r="E1659" s="52"/>
      <c r="F1659" s="52"/>
      <c r="G1659" s="52"/>
      <c r="H1659" s="52"/>
    </row>
    <row r="1660" spans="1:8" ht="15.75">
      <c r="A1660" s="50">
        <v>41758</v>
      </c>
      <c r="B1660" s="102">
        <v>939.83</v>
      </c>
      <c r="C1660" s="52"/>
      <c r="D1660" s="52"/>
      <c r="E1660" s="52"/>
      <c r="F1660" s="52"/>
      <c r="G1660" s="52"/>
      <c r="H1660" s="52"/>
    </row>
    <row r="1661" spans="1:8" ht="15.75">
      <c r="A1661" s="50">
        <v>41759</v>
      </c>
      <c r="B1661" s="102">
        <v>932.42</v>
      </c>
      <c r="C1661" s="52"/>
      <c r="D1661" s="52"/>
      <c r="E1661" s="52"/>
      <c r="F1661" s="52"/>
      <c r="G1661" s="52"/>
      <c r="H1661" s="52"/>
    </row>
    <row r="1662" spans="1:8" ht="15.75">
      <c r="A1662" s="50">
        <v>41760</v>
      </c>
      <c r="B1662" s="102">
        <v>926.41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41761</v>
      </c>
      <c r="B1663" s="102">
        <v>936.47</v>
      </c>
      <c r="C1663" s="52"/>
      <c r="D1663" s="52"/>
      <c r="E1663" s="52"/>
      <c r="F1663" s="52"/>
      <c r="G1663" s="52"/>
      <c r="H1663" s="52"/>
    </row>
    <row r="1664" spans="1:8" ht="15.75">
      <c r="A1664" s="50">
        <v>41764</v>
      </c>
      <c r="B1664" s="102">
        <v>941.69</v>
      </c>
      <c r="C1664" s="52"/>
      <c r="D1664" s="52"/>
      <c r="E1664" s="52"/>
      <c r="F1664" s="52"/>
      <c r="G1664" s="52"/>
      <c r="H1664" s="52"/>
    </row>
    <row r="1665" spans="1:8" ht="15.75">
      <c r="A1665" s="50">
        <v>41765</v>
      </c>
      <c r="B1665" s="102">
        <v>940.51</v>
      </c>
      <c r="C1665" s="52"/>
      <c r="D1665" s="52"/>
      <c r="E1665" s="52"/>
      <c r="F1665" s="52"/>
      <c r="G1665" s="52"/>
      <c r="H1665" s="52"/>
    </row>
    <row r="1666" spans="1:8" ht="15.75">
      <c r="A1666" s="50">
        <v>41766</v>
      </c>
      <c r="B1666" s="102">
        <v>921.87</v>
      </c>
      <c r="C1666" s="52"/>
      <c r="D1666" s="52"/>
      <c r="E1666" s="52"/>
      <c r="F1666" s="52"/>
      <c r="G1666" s="52"/>
      <c r="H1666" s="52"/>
    </row>
    <row r="1667" spans="1:8" ht="15.75">
      <c r="A1667" s="50">
        <v>41767</v>
      </c>
      <c r="B1667" s="102">
        <v>931.33</v>
      </c>
      <c r="C1667" s="52"/>
      <c r="D1667" s="52"/>
      <c r="E1667" s="52"/>
      <c r="F1667" s="52"/>
      <c r="G1667" s="52"/>
      <c r="H1667" s="52"/>
    </row>
    <row r="1668" spans="1:8" ht="15.75">
      <c r="A1668" s="50">
        <v>41768</v>
      </c>
      <c r="B1668" s="102">
        <v>935.43</v>
      </c>
      <c r="C1668" s="52"/>
      <c r="D1668" s="52"/>
      <c r="E1668" s="52"/>
      <c r="F1668" s="52"/>
      <c r="G1668" s="52"/>
      <c r="H1668" s="52"/>
    </row>
    <row r="1669" spans="1:8" ht="15.75">
      <c r="A1669" s="50">
        <v>41771</v>
      </c>
      <c r="B1669" s="102">
        <v>941.71</v>
      </c>
      <c r="C1669" s="52"/>
      <c r="D1669" s="52"/>
      <c r="E1669" s="52"/>
      <c r="F1669" s="52"/>
      <c r="G1669" s="52"/>
      <c r="H1669" s="52"/>
    </row>
    <row r="1670" spans="1:8" ht="15.75">
      <c r="A1670" s="50">
        <v>41772</v>
      </c>
      <c r="B1670" s="102">
        <v>943.88</v>
      </c>
      <c r="C1670" s="52"/>
      <c r="D1670" s="52"/>
      <c r="E1670" s="52"/>
      <c r="F1670" s="52"/>
      <c r="G1670" s="52"/>
      <c r="H1670" s="52"/>
    </row>
    <row r="1671" spans="1:8" ht="15.75">
      <c r="A1671" s="50">
        <v>41773</v>
      </c>
      <c r="B1671" s="102">
        <v>952.02</v>
      </c>
      <c r="C1671" s="52"/>
      <c r="D1671" s="52"/>
      <c r="E1671" s="52"/>
      <c r="F1671" s="52"/>
      <c r="G1671" s="52"/>
      <c r="H1671" s="52"/>
    </row>
    <row r="1672" spans="1:8" ht="15.75">
      <c r="A1672" s="50">
        <v>41774</v>
      </c>
      <c r="B1672" s="102">
        <v>945.66</v>
      </c>
      <c r="C1672" s="52"/>
      <c r="D1672" s="52"/>
      <c r="E1672" s="52"/>
      <c r="F1672" s="52"/>
      <c r="G1672" s="52"/>
      <c r="H1672" s="52"/>
    </row>
    <row r="1673" spans="1:8" ht="15.75">
      <c r="A1673" s="50">
        <v>41775</v>
      </c>
      <c r="B1673" s="102">
        <v>944.06</v>
      </c>
      <c r="C1673" s="52"/>
      <c r="D1673" s="52"/>
      <c r="E1673" s="52"/>
      <c r="F1673" s="52"/>
      <c r="G1673" s="52"/>
      <c r="H1673" s="52"/>
    </row>
    <row r="1674" spans="1:8" ht="15.75">
      <c r="A1674" s="50">
        <v>41777</v>
      </c>
      <c r="B1674" s="102">
        <v>944.96</v>
      </c>
      <c r="C1674" s="52"/>
      <c r="D1674" s="52"/>
      <c r="E1674" s="52"/>
      <c r="F1674" s="52"/>
      <c r="G1674" s="52"/>
      <c r="H1674" s="52"/>
    </row>
    <row r="1675" spans="1:8" ht="15.75">
      <c r="A1675" s="50">
        <v>41778</v>
      </c>
      <c r="B1675" s="102">
        <v>941.35</v>
      </c>
      <c r="C1675" s="52"/>
      <c r="D1675" s="52"/>
      <c r="E1675" s="52"/>
      <c r="F1675" s="52"/>
      <c r="G1675" s="52"/>
      <c r="H1675" s="52"/>
    </row>
    <row r="1676" spans="1:8" ht="15.75">
      <c r="A1676" s="50">
        <v>41779</v>
      </c>
      <c r="B1676" s="102">
        <v>942.7</v>
      </c>
      <c r="C1676" s="52"/>
      <c r="D1676" s="52"/>
      <c r="E1676" s="52"/>
      <c r="F1676" s="52"/>
      <c r="G1676" s="52"/>
      <c r="H1676" s="52"/>
    </row>
    <row r="1677" spans="1:8" ht="15.75">
      <c r="A1677" s="50">
        <v>41780</v>
      </c>
      <c r="B1677" s="102">
        <v>940.67</v>
      </c>
      <c r="C1677" s="52"/>
      <c r="D1677" s="52"/>
      <c r="E1677" s="52"/>
      <c r="F1677" s="52"/>
      <c r="G1677" s="52"/>
      <c r="H1677" s="52"/>
    </row>
    <row r="1678" spans="1:8" ht="15.75">
      <c r="A1678" s="50">
        <v>41781</v>
      </c>
      <c r="B1678" s="102">
        <v>947.35</v>
      </c>
      <c r="C1678" s="52"/>
      <c r="D1678" s="52"/>
      <c r="E1678" s="52"/>
      <c r="F1678" s="52"/>
      <c r="G1678" s="52"/>
      <c r="H1678" s="52"/>
    </row>
    <row r="1679" spans="1:8" ht="15.75">
      <c r="A1679" s="50">
        <v>41782</v>
      </c>
      <c r="B1679" s="102">
        <v>948.22</v>
      </c>
      <c r="C1679" s="52"/>
      <c r="D1679" s="52"/>
      <c r="E1679" s="52"/>
      <c r="F1679" s="52"/>
      <c r="G1679" s="52"/>
      <c r="H1679" s="52"/>
    </row>
    <row r="1680" spans="1:8" ht="15.75">
      <c r="A1680" s="50">
        <v>41785</v>
      </c>
      <c r="B1680" s="102">
        <v>946.39</v>
      </c>
      <c r="C1680" s="52"/>
      <c r="D1680" s="52"/>
      <c r="E1680" s="52"/>
      <c r="F1680" s="52"/>
      <c r="G1680" s="52"/>
      <c r="H1680" s="52"/>
    </row>
    <row r="1681" spans="1:8" ht="15.75">
      <c r="A1681" s="50">
        <v>41786</v>
      </c>
      <c r="B1681" s="102">
        <v>928.93</v>
      </c>
      <c r="C1681" s="52"/>
      <c r="D1681" s="52"/>
      <c r="E1681" s="52"/>
      <c r="F1681" s="52"/>
      <c r="G1681" s="52"/>
      <c r="H1681" s="52"/>
    </row>
    <row r="1682" spans="1:8" ht="15.75">
      <c r="A1682" s="50">
        <v>41787</v>
      </c>
      <c r="B1682" s="102">
        <v>925.59</v>
      </c>
      <c r="C1682" s="52"/>
      <c r="D1682" s="52"/>
      <c r="E1682" s="52"/>
      <c r="F1682" s="52"/>
      <c r="G1682" s="52"/>
      <c r="H1682" s="52"/>
    </row>
    <row r="1683" spans="1:8" ht="15.75">
      <c r="A1683" s="50">
        <v>41788</v>
      </c>
      <c r="B1683" s="102">
        <v>923.11</v>
      </c>
      <c r="C1683" s="52"/>
      <c r="D1683" s="52"/>
      <c r="E1683" s="52"/>
      <c r="F1683" s="52"/>
      <c r="G1683" s="52"/>
      <c r="H1683" s="52"/>
    </row>
    <row r="1684" spans="1:8" ht="15.75">
      <c r="A1684" s="50">
        <v>41789</v>
      </c>
      <c r="B1684" s="102">
        <v>917.43</v>
      </c>
      <c r="C1684" s="52"/>
      <c r="D1684" s="52"/>
      <c r="E1684" s="52"/>
      <c r="F1684" s="52"/>
      <c r="G1684" s="52"/>
      <c r="H1684" s="52"/>
    </row>
    <row r="1685" spans="1:8" ht="15.75">
      <c r="A1685" s="50">
        <v>41791</v>
      </c>
      <c r="B1685" s="102">
        <v>916.46</v>
      </c>
      <c r="C1685" s="52"/>
      <c r="D1685" s="52"/>
      <c r="E1685" s="52"/>
      <c r="F1685" s="52"/>
      <c r="G1685" s="52"/>
      <c r="H1685" s="52"/>
    </row>
    <row r="1686" spans="1:8" ht="15.75">
      <c r="A1686" s="50">
        <v>41792</v>
      </c>
      <c r="B1686" s="102">
        <v>917.79</v>
      </c>
      <c r="C1686" s="52"/>
      <c r="D1686" s="52"/>
      <c r="E1686" s="52"/>
      <c r="F1686" s="52"/>
      <c r="G1686" s="52"/>
      <c r="H1686" s="52"/>
    </row>
    <row r="1687" spans="1:8" ht="15.75">
      <c r="A1687" s="50">
        <v>41793</v>
      </c>
      <c r="B1687" s="102">
        <v>915</v>
      </c>
      <c r="C1687" s="52"/>
      <c r="D1687" s="52"/>
      <c r="E1687" s="52"/>
      <c r="F1687" s="52"/>
      <c r="G1687" s="52"/>
      <c r="H1687" s="52"/>
    </row>
    <row r="1688" spans="1:8" ht="15.75">
      <c r="A1688" s="50">
        <v>41794</v>
      </c>
      <c r="B1688" s="102">
        <v>914.68</v>
      </c>
      <c r="C1688" s="52"/>
      <c r="D1688" s="52"/>
      <c r="E1688" s="52"/>
      <c r="F1688" s="52"/>
      <c r="G1688" s="52"/>
      <c r="H1688" s="52"/>
    </row>
    <row r="1689" spans="1:8" ht="15.75">
      <c r="A1689" s="50">
        <v>41795</v>
      </c>
      <c r="B1689" s="102">
        <v>919.2</v>
      </c>
      <c r="C1689" s="52"/>
      <c r="D1689" s="52"/>
      <c r="E1689" s="52"/>
      <c r="F1689" s="52"/>
      <c r="G1689" s="52"/>
      <c r="H1689" s="52"/>
    </row>
    <row r="1690" spans="1:8" ht="15.75">
      <c r="A1690" s="50">
        <v>41796</v>
      </c>
      <c r="B1690" s="102">
        <v>918.15</v>
      </c>
      <c r="C1690" s="52"/>
      <c r="D1690" s="52"/>
      <c r="E1690" s="52"/>
      <c r="F1690" s="52"/>
      <c r="G1690" s="52"/>
      <c r="H1690" s="52"/>
    </row>
    <row r="1691" spans="1:8" ht="15.75">
      <c r="A1691" s="50">
        <v>41798</v>
      </c>
      <c r="B1691" s="102">
        <v>916.75</v>
      </c>
      <c r="C1691" s="52"/>
      <c r="D1691" s="52"/>
      <c r="E1691" s="52"/>
      <c r="F1691" s="52"/>
      <c r="G1691" s="52"/>
      <c r="H1691" s="52"/>
    </row>
    <row r="1692" spans="1:8" ht="15.75">
      <c r="A1692" s="50">
        <v>41799</v>
      </c>
      <c r="B1692" s="102">
        <v>921.17</v>
      </c>
      <c r="C1692" s="52"/>
      <c r="D1692" s="52"/>
      <c r="E1692" s="52"/>
      <c r="F1692" s="52"/>
      <c r="G1692" s="52"/>
      <c r="H1692" s="52"/>
    </row>
    <row r="1693" spans="1:8" ht="15.75">
      <c r="A1693" s="50">
        <v>41800</v>
      </c>
      <c r="B1693" s="102">
        <v>930.24</v>
      </c>
      <c r="C1693" s="52"/>
      <c r="D1693" s="52"/>
      <c r="E1693" s="52"/>
      <c r="F1693" s="52"/>
      <c r="G1693" s="52"/>
      <c r="H1693" s="52"/>
    </row>
    <row r="1694" spans="1:8" ht="15.75">
      <c r="A1694" s="50">
        <v>41801</v>
      </c>
      <c r="B1694" s="102">
        <v>931.43</v>
      </c>
      <c r="C1694" s="52"/>
      <c r="D1694" s="52"/>
      <c r="E1694" s="52"/>
      <c r="F1694" s="52"/>
      <c r="G1694" s="52"/>
      <c r="H1694" s="52"/>
    </row>
    <row r="1695" spans="1:8" ht="15.75">
      <c r="A1695" s="50">
        <v>41802</v>
      </c>
      <c r="B1695" s="102">
        <v>941.11</v>
      </c>
      <c r="C1695" s="52"/>
      <c r="D1695" s="52"/>
      <c r="E1695" s="52"/>
      <c r="F1695" s="52"/>
      <c r="G1695" s="52"/>
      <c r="H1695" s="52"/>
    </row>
    <row r="1696" spans="1:8" ht="15.75">
      <c r="A1696" s="50">
        <v>41803</v>
      </c>
      <c r="B1696" s="102">
        <v>943.8</v>
      </c>
      <c r="C1696" s="52"/>
      <c r="D1696" s="52"/>
      <c r="E1696" s="52"/>
      <c r="F1696" s="52"/>
      <c r="G1696" s="52"/>
      <c r="H1696" s="52"/>
    </row>
    <row r="1697" spans="1:8" ht="15.75">
      <c r="A1697" s="50">
        <v>41806</v>
      </c>
      <c r="B1697" s="102">
        <v>937.04</v>
      </c>
      <c r="C1697" s="52"/>
      <c r="D1697" s="52"/>
      <c r="E1697" s="52"/>
      <c r="F1697" s="52"/>
      <c r="G1697" s="52"/>
      <c r="H1697" s="52"/>
    </row>
    <row r="1698" spans="1:8" ht="15.75">
      <c r="A1698" s="50">
        <v>41807</v>
      </c>
      <c r="B1698" s="102">
        <v>938.58</v>
      </c>
      <c r="C1698" s="52"/>
      <c r="D1698" s="52"/>
      <c r="E1698" s="52"/>
      <c r="F1698" s="52"/>
      <c r="G1698" s="52"/>
      <c r="H1698" s="52"/>
    </row>
    <row r="1699" spans="1:8" ht="15.75">
      <c r="A1699" s="50">
        <v>41808</v>
      </c>
      <c r="B1699" s="102">
        <v>940.36</v>
      </c>
      <c r="C1699" s="52"/>
      <c r="D1699" s="52"/>
      <c r="E1699" s="52"/>
      <c r="F1699" s="52"/>
      <c r="G1699" s="52"/>
      <c r="H1699" s="52"/>
    </row>
    <row r="1700" spans="1:8" ht="15.75">
      <c r="A1700" s="50">
        <v>41809</v>
      </c>
      <c r="B1700" s="102">
        <v>970.49</v>
      </c>
      <c r="C1700" s="52"/>
      <c r="D1700" s="52"/>
      <c r="E1700" s="52"/>
      <c r="F1700" s="52"/>
      <c r="G1700" s="52"/>
      <c r="H1700" s="52"/>
    </row>
    <row r="1701" spans="1:8" ht="15.75">
      <c r="A1701" s="50">
        <v>41810</v>
      </c>
      <c r="B1701" s="102">
        <v>967.79</v>
      </c>
      <c r="C1701" s="52"/>
      <c r="D1701" s="52"/>
      <c r="E1701" s="52"/>
      <c r="F1701" s="52"/>
      <c r="G1701" s="52"/>
      <c r="H1701" s="52"/>
    </row>
    <row r="1702" spans="1:8" ht="15.75">
      <c r="A1702" s="50">
        <v>41813</v>
      </c>
      <c r="B1702" s="102">
        <v>967.03</v>
      </c>
      <c r="C1702" s="52"/>
      <c r="D1702" s="52"/>
      <c r="E1702" s="52"/>
      <c r="F1702" s="52"/>
      <c r="G1702" s="52"/>
      <c r="H1702" s="52"/>
    </row>
    <row r="1703" spans="1:8" ht="15.75">
      <c r="A1703" s="50">
        <v>41814</v>
      </c>
      <c r="B1703" s="102">
        <v>968.91</v>
      </c>
      <c r="C1703" s="52"/>
      <c r="D1703" s="52"/>
      <c r="E1703" s="52"/>
      <c r="F1703" s="52"/>
      <c r="G1703" s="52"/>
      <c r="H1703" s="52"/>
    </row>
    <row r="1704" spans="1:8" ht="15.75">
      <c r="A1704" s="50">
        <v>41815</v>
      </c>
      <c r="B1704" s="102">
        <v>968.09</v>
      </c>
      <c r="C1704" s="52"/>
      <c r="D1704" s="52"/>
      <c r="E1704" s="52"/>
      <c r="F1704" s="52"/>
      <c r="G1704" s="52"/>
      <c r="H1704" s="52"/>
    </row>
    <row r="1705" spans="1:8" ht="15.75">
      <c r="A1705" s="50">
        <v>41816</v>
      </c>
      <c r="B1705" s="102">
        <v>966.36</v>
      </c>
      <c r="C1705" s="52"/>
      <c r="D1705" s="52"/>
      <c r="E1705" s="52"/>
      <c r="F1705" s="52"/>
      <c r="G1705" s="52"/>
      <c r="H1705" s="52"/>
    </row>
    <row r="1706" spans="1:8" ht="15.75">
      <c r="A1706" s="50">
        <v>41817</v>
      </c>
      <c r="B1706" s="102">
        <v>965</v>
      </c>
      <c r="C1706" s="52"/>
      <c r="D1706" s="52"/>
      <c r="E1706" s="52"/>
      <c r="F1706" s="52"/>
      <c r="G1706" s="52"/>
      <c r="H1706" s="52"/>
    </row>
    <row r="1707" spans="1:8" ht="15.75">
      <c r="A1707" s="50">
        <v>41819</v>
      </c>
      <c r="B1707" s="102">
        <v>958.85</v>
      </c>
      <c r="C1707" s="52"/>
      <c r="D1707" s="52"/>
      <c r="E1707" s="52"/>
      <c r="F1707" s="52"/>
      <c r="G1707" s="52"/>
      <c r="H1707" s="52"/>
    </row>
    <row r="1708" spans="1:8" ht="15.75">
      <c r="A1708" s="50">
        <v>41820</v>
      </c>
      <c r="B1708" s="102">
        <v>969.4</v>
      </c>
      <c r="C1708" s="52"/>
      <c r="D1708" s="52"/>
      <c r="E1708" s="52"/>
      <c r="F1708" s="52"/>
      <c r="G1708" s="52"/>
      <c r="H1708" s="52"/>
    </row>
    <row r="1709" spans="1:8" ht="15.75">
      <c r="A1709" s="50">
        <v>41821</v>
      </c>
      <c r="B1709" s="102">
        <v>969.15</v>
      </c>
      <c r="C1709" s="52"/>
      <c r="D1709" s="52"/>
      <c r="E1709" s="52"/>
      <c r="F1709" s="52"/>
      <c r="G1709" s="52"/>
      <c r="H1709" s="52"/>
    </row>
    <row r="1710" spans="1:8" ht="15.75">
      <c r="A1710" s="50">
        <v>41822</v>
      </c>
      <c r="B1710" s="102">
        <v>974.19</v>
      </c>
      <c r="C1710" s="52"/>
      <c r="D1710" s="52"/>
      <c r="E1710" s="52"/>
      <c r="F1710" s="52"/>
      <c r="G1710" s="52"/>
      <c r="H1710" s="52"/>
    </row>
    <row r="1711" spans="1:8" ht="15.75">
      <c r="A1711" s="50">
        <v>41823</v>
      </c>
      <c r="B1711" s="102">
        <v>970.68</v>
      </c>
      <c r="C1711" s="52"/>
      <c r="D1711" s="52"/>
      <c r="E1711" s="52"/>
      <c r="F1711" s="52"/>
      <c r="G1711" s="52"/>
      <c r="H1711" s="52"/>
    </row>
    <row r="1712" spans="1:8" ht="15.75">
      <c r="A1712" s="50">
        <v>41824</v>
      </c>
      <c r="B1712" s="102">
        <v>969.99</v>
      </c>
      <c r="C1712" s="52"/>
      <c r="D1712" s="52"/>
      <c r="E1712" s="52"/>
      <c r="F1712" s="52"/>
      <c r="G1712" s="52"/>
      <c r="H1712" s="52"/>
    </row>
    <row r="1713" spans="1:8" ht="15.75">
      <c r="A1713" s="50">
        <v>41827</v>
      </c>
      <c r="B1713" s="102">
        <v>970.27</v>
      </c>
      <c r="C1713" s="52"/>
      <c r="D1713" s="52"/>
      <c r="E1713" s="52"/>
      <c r="F1713" s="52"/>
      <c r="G1713" s="52"/>
      <c r="H1713" s="52"/>
    </row>
    <row r="1714" spans="1:8" ht="15.75">
      <c r="A1714" s="50">
        <v>41828</v>
      </c>
      <c r="B1714" s="102">
        <v>969.44</v>
      </c>
      <c r="C1714" s="52"/>
      <c r="D1714" s="52"/>
      <c r="E1714" s="52"/>
      <c r="F1714" s="52"/>
      <c r="G1714" s="52"/>
      <c r="H1714" s="52"/>
    </row>
    <row r="1715" spans="1:8" ht="15.75">
      <c r="A1715" s="50">
        <v>41829</v>
      </c>
      <c r="B1715" s="102">
        <v>972.58</v>
      </c>
      <c r="C1715" s="52"/>
      <c r="D1715" s="52"/>
      <c r="E1715" s="52"/>
      <c r="F1715" s="52"/>
      <c r="G1715" s="52"/>
      <c r="H1715" s="52"/>
    </row>
    <row r="1716" spans="1:8" ht="15.75">
      <c r="A1716" s="50">
        <v>41830</v>
      </c>
      <c r="B1716" s="102">
        <v>981.22</v>
      </c>
      <c r="C1716" s="52"/>
      <c r="D1716" s="52"/>
      <c r="E1716" s="52"/>
      <c r="F1716" s="52"/>
      <c r="G1716" s="52"/>
      <c r="H1716" s="52"/>
    </row>
    <row r="1717" spans="1:8" ht="15.75">
      <c r="A1717" s="50">
        <v>41831</v>
      </c>
      <c r="B1717" s="102">
        <v>983.98</v>
      </c>
      <c r="C1717" s="52"/>
      <c r="D1717" s="52"/>
      <c r="E1717" s="52"/>
      <c r="F1717" s="52"/>
      <c r="G1717" s="52"/>
      <c r="H1717" s="52"/>
    </row>
    <row r="1718" spans="1:8" ht="15.75">
      <c r="A1718" s="50">
        <v>41834</v>
      </c>
      <c r="B1718" s="102">
        <v>959.84</v>
      </c>
      <c r="C1718" s="52"/>
      <c r="D1718" s="52"/>
      <c r="E1718" s="52"/>
      <c r="F1718" s="52"/>
      <c r="G1718" s="52"/>
      <c r="H1718" s="52"/>
    </row>
    <row r="1719" spans="1:8" ht="15.75">
      <c r="A1719" s="50">
        <v>41835</v>
      </c>
      <c r="B1719" s="102">
        <v>953.5</v>
      </c>
      <c r="C1719" s="52"/>
      <c r="D1719" s="52"/>
      <c r="E1719" s="52"/>
      <c r="F1719" s="52"/>
      <c r="G1719" s="52"/>
      <c r="H1719" s="52"/>
    </row>
    <row r="1720" spans="1:8" ht="15.75">
      <c r="A1720" s="50">
        <v>41836</v>
      </c>
      <c r="B1720" s="102">
        <v>958.52</v>
      </c>
      <c r="C1720" s="52"/>
      <c r="D1720" s="52"/>
      <c r="E1720" s="52"/>
      <c r="F1720" s="52"/>
      <c r="G1720" s="52"/>
      <c r="H1720" s="52"/>
    </row>
    <row r="1721" spans="1:8" ht="15.75">
      <c r="A1721" s="50">
        <v>41837</v>
      </c>
      <c r="B1721" s="102">
        <v>974.61</v>
      </c>
      <c r="C1721" s="52"/>
      <c r="D1721" s="52"/>
      <c r="E1721" s="52"/>
      <c r="F1721" s="52"/>
      <c r="G1721" s="52"/>
      <c r="H1721" s="52"/>
    </row>
    <row r="1722" spans="1:8" ht="15.75">
      <c r="A1722" s="50">
        <v>41838</v>
      </c>
      <c r="B1722" s="102">
        <v>967.96</v>
      </c>
      <c r="C1722" s="52"/>
      <c r="D1722" s="52"/>
      <c r="E1722" s="52"/>
      <c r="F1722" s="52"/>
      <c r="G1722" s="52"/>
      <c r="H1722" s="52"/>
    </row>
    <row r="1723" spans="1:8" ht="15.75">
      <c r="A1723" s="50">
        <v>41841</v>
      </c>
      <c r="B1723" s="102">
        <v>970.2</v>
      </c>
      <c r="C1723" s="52"/>
      <c r="D1723" s="52"/>
      <c r="E1723" s="52"/>
      <c r="F1723" s="52"/>
      <c r="G1723" s="52"/>
      <c r="H1723" s="52"/>
    </row>
    <row r="1724" spans="1:8" ht="15.75">
      <c r="A1724" s="50">
        <v>41842</v>
      </c>
      <c r="B1724" s="102">
        <v>970.97</v>
      </c>
      <c r="C1724" s="52"/>
      <c r="D1724" s="52"/>
      <c r="E1724" s="52"/>
      <c r="F1724" s="52"/>
      <c r="G1724" s="52"/>
      <c r="H1724" s="52"/>
    </row>
    <row r="1725" spans="1:8" ht="15.75">
      <c r="A1725" s="50">
        <v>41843</v>
      </c>
      <c r="B1725" s="102">
        <v>968.73</v>
      </c>
      <c r="C1725" s="52"/>
      <c r="D1725" s="52"/>
      <c r="E1725" s="52"/>
      <c r="F1725" s="52"/>
      <c r="G1725" s="52"/>
      <c r="H1725" s="52"/>
    </row>
    <row r="1726" spans="1:8" ht="15.75">
      <c r="A1726" s="50">
        <v>41844</v>
      </c>
      <c r="B1726" s="102">
        <v>960.93</v>
      </c>
      <c r="C1726" s="52"/>
      <c r="D1726" s="52"/>
      <c r="E1726" s="52"/>
      <c r="F1726" s="52"/>
      <c r="G1726" s="52"/>
      <c r="H1726" s="52"/>
    </row>
    <row r="1727" spans="1:8" ht="15.75">
      <c r="A1727" s="50">
        <v>41845</v>
      </c>
      <c r="B1727" s="102">
        <v>973.5</v>
      </c>
      <c r="C1727" s="52"/>
      <c r="D1727" s="52"/>
      <c r="E1727" s="52"/>
      <c r="F1727" s="52"/>
      <c r="G1727" s="52"/>
      <c r="H1727" s="52"/>
    </row>
    <row r="1728" spans="1:8" ht="15.75">
      <c r="A1728" s="50">
        <v>41847</v>
      </c>
      <c r="B1728" s="102">
        <v>975.35</v>
      </c>
      <c r="C1728" s="52"/>
      <c r="D1728" s="52"/>
      <c r="E1728" s="52"/>
      <c r="F1728" s="52"/>
      <c r="G1728" s="52"/>
      <c r="H1728" s="52"/>
    </row>
    <row r="1729" spans="1:8" ht="15.75">
      <c r="A1729" s="50">
        <v>41848</v>
      </c>
      <c r="B1729" s="102">
        <v>970.42</v>
      </c>
      <c r="C1729" s="52"/>
      <c r="D1729" s="52"/>
      <c r="E1729" s="52"/>
      <c r="F1729" s="52"/>
      <c r="G1729" s="52"/>
      <c r="H1729" s="52"/>
    </row>
    <row r="1730" spans="1:8" ht="15.75">
      <c r="A1730" s="50">
        <v>41849</v>
      </c>
      <c r="B1730" s="102">
        <v>968.61</v>
      </c>
      <c r="C1730" s="52"/>
      <c r="D1730" s="52"/>
      <c r="E1730" s="52"/>
      <c r="F1730" s="52"/>
      <c r="G1730" s="52"/>
      <c r="H1730" s="52"/>
    </row>
    <row r="1731" spans="1:8" ht="15.75">
      <c r="A1731" s="50">
        <v>41850</v>
      </c>
      <c r="B1731" s="102">
        <v>967.53</v>
      </c>
      <c r="C1731" s="52"/>
      <c r="D1731" s="52"/>
      <c r="E1731" s="52"/>
      <c r="F1731" s="52"/>
      <c r="G1731" s="52"/>
      <c r="H1731" s="52"/>
    </row>
    <row r="1732" spans="1:8" ht="15.75">
      <c r="A1732" s="50">
        <v>41851</v>
      </c>
      <c r="B1732" s="102">
        <v>955.64</v>
      </c>
      <c r="C1732" s="52"/>
      <c r="D1732" s="52"/>
      <c r="E1732" s="52"/>
      <c r="F1732" s="52"/>
      <c r="G1732" s="52"/>
      <c r="H1732" s="52"/>
    </row>
    <row r="1733" spans="1:8" ht="15.75">
      <c r="A1733" s="50">
        <v>41852</v>
      </c>
      <c r="B1733" s="102">
        <v>963.41</v>
      </c>
      <c r="C1733" s="52"/>
      <c r="D1733" s="52"/>
      <c r="E1733" s="52"/>
      <c r="F1733" s="52"/>
      <c r="G1733" s="52"/>
      <c r="H1733" s="52"/>
    </row>
    <row r="1734" spans="1:8" ht="15.75">
      <c r="A1734" s="50">
        <v>41854</v>
      </c>
      <c r="B1734" s="102">
        <v>963.29</v>
      </c>
      <c r="C1734" s="52"/>
      <c r="D1734" s="52"/>
      <c r="E1734" s="52"/>
      <c r="F1734" s="52"/>
      <c r="G1734" s="52"/>
      <c r="H1734" s="52"/>
    </row>
    <row r="1735" spans="1:8" ht="15.75">
      <c r="A1735" s="50">
        <v>41855</v>
      </c>
      <c r="B1735" s="102">
        <v>959.66</v>
      </c>
      <c r="C1735" s="52"/>
      <c r="D1735" s="52"/>
      <c r="E1735" s="52"/>
      <c r="F1735" s="52"/>
      <c r="G1735" s="52"/>
      <c r="H1735" s="52"/>
    </row>
    <row r="1736" spans="1:8" ht="15.75">
      <c r="A1736" s="50">
        <v>41856</v>
      </c>
      <c r="B1736" s="102">
        <v>963.69</v>
      </c>
      <c r="C1736" s="52"/>
      <c r="D1736" s="52"/>
      <c r="E1736" s="52"/>
      <c r="F1736" s="52"/>
      <c r="G1736" s="52"/>
      <c r="H1736" s="52"/>
    </row>
    <row r="1737" spans="1:8" ht="15.75">
      <c r="A1737" s="50">
        <v>41857</v>
      </c>
      <c r="B1737" s="102">
        <v>975.77</v>
      </c>
      <c r="C1737" s="52"/>
      <c r="D1737" s="52"/>
      <c r="E1737" s="52"/>
      <c r="F1737" s="52"/>
      <c r="G1737" s="52"/>
      <c r="H1737" s="52"/>
    </row>
    <row r="1738" spans="1:8" ht="15.75">
      <c r="A1738" s="50">
        <v>41858</v>
      </c>
      <c r="B1738" s="102">
        <v>982.73</v>
      </c>
      <c r="C1738" s="52"/>
      <c r="D1738" s="52"/>
      <c r="E1738" s="52"/>
      <c r="F1738" s="52"/>
      <c r="G1738" s="52"/>
      <c r="H1738" s="52"/>
    </row>
    <row r="1739" spans="1:8" ht="15.75">
      <c r="A1739" s="50">
        <v>41859</v>
      </c>
      <c r="B1739" s="102">
        <v>976.95</v>
      </c>
      <c r="C1739" s="52"/>
      <c r="D1739" s="52"/>
      <c r="E1739" s="52"/>
      <c r="F1739" s="52"/>
      <c r="G1739" s="52"/>
      <c r="H1739" s="52"/>
    </row>
    <row r="1740" spans="1:8" ht="15.75">
      <c r="A1740" s="50">
        <v>41862</v>
      </c>
      <c r="B1740" s="102">
        <v>977.47</v>
      </c>
      <c r="C1740" s="52"/>
      <c r="D1740" s="52"/>
      <c r="E1740" s="52"/>
      <c r="F1740" s="52"/>
      <c r="G1740" s="52"/>
      <c r="H1740" s="52"/>
    </row>
    <row r="1741" spans="1:8" ht="15.75">
      <c r="A1741" s="50">
        <v>41863</v>
      </c>
      <c r="B1741" s="102">
        <v>978.87</v>
      </c>
      <c r="C1741" s="52"/>
      <c r="D1741" s="52"/>
      <c r="E1741" s="52"/>
      <c r="F1741" s="52"/>
      <c r="G1741" s="52"/>
      <c r="H1741" s="52"/>
    </row>
    <row r="1742" spans="1:8" ht="15.75">
      <c r="A1742" s="50">
        <v>41864</v>
      </c>
      <c r="B1742" s="102">
        <v>982.45</v>
      </c>
      <c r="C1742" s="52"/>
      <c r="D1742" s="52"/>
      <c r="E1742" s="52"/>
      <c r="F1742" s="52"/>
      <c r="G1742" s="52"/>
      <c r="H1742" s="52"/>
    </row>
    <row r="1743" spans="1:8" ht="15.75">
      <c r="A1743" s="50">
        <v>41865</v>
      </c>
      <c r="B1743" s="102">
        <v>982.3</v>
      </c>
      <c r="C1743" s="52"/>
      <c r="D1743" s="52"/>
      <c r="E1743" s="52"/>
      <c r="F1743" s="52"/>
      <c r="G1743" s="52"/>
      <c r="H1743" s="52"/>
    </row>
    <row r="1744" spans="1:8" ht="15.75">
      <c r="A1744" s="50">
        <v>41866</v>
      </c>
      <c r="B1744" s="102">
        <v>973.73</v>
      </c>
      <c r="C1744" s="52"/>
      <c r="D1744" s="52"/>
      <c r="E1744" s="52"/>
      <c r="F1744" s="52"/>
      <c r="G1744" s="52"/>
      <c r="H1744" s="52"/>
    </row>
    <row r="1745" spans="1:8" ht="15.75">
      <c r="A1745" s="50">
        <v>41869</v>
      </c>
      <c r="B1745" s="102">
        <v>970.89</v>
      </c>
      <c r="C1745" s="52"/>
      <c r="D1745" s="52"/>
      <c r="E1745" s="52"/>
      <c r="F1745" s="52"/>
      <c r="G1745" s="52"/>
      <c r="H1745" s="52"/>
    </row>
    <row r="1746" spans="1:8" ht="15.75">
      <c r="A1746" s="50">
        <v>41870</v>
      </c>
      <c r="B1746" s="102">
        <v>972.41</v>
      </c>
      <c r="C1746" s="52"/>
      <c r="D1746" s="52"/>
      <c r="E1746" s="52"/>
      <c r="F1746" s="52"/>
      <c r="G1746" s="52"/>
      <c r="H1746" s="52"/>
    </row>
    <row r="1747" spans="1:8" ht="15.75">
      <c r="A1747" s="50">
        <v>41871</v>
      </c>
      <c r="B1747" s="102">
        <v>973.53</v>
      </c>
      <c r="C1747" s="52"/>
      <c r="D1747" s="52"/>
      <c r="E1747" s="52"/>
      <c r="F1747" s="52"/>
      <c r="G1747" s="52"/>
      <c r="H1747" s="52"/>
    </row>
    <row r="1748" spans="1:8" ht="15.75">
      <c r="A1748" s="50">
        <v>41872</v>
      </c>
      <c r="B1748" s="102">
        <v>961.15</v>
      </c>
      <c r="C1748" s="52"/>
      <c r="D1748" s="52"/>
      <c r="E1748" s="52"/>
      <c r="F1748" s="52"/>
      <c r="G1748" s="52"/>
      <c r="H1748" s="52"/>
    </row>
    <row r="1749" spans="1:8" ht="15.75">
      <c r="A1749" s="50">
        <v>41873</v>
      </c>
      <c r="B1749" s="102">
        <v>967.11</v>
      </c>
      <c r="C1749" s="52"/>
      <c r="D1749" s="52"/>
      <c r="E1749" s="52"/>
      <c r="F1749" s="52"/>
      <c r="G1749" s="52"/>
      <c r="H1749" s="52"/>
    </row>
    <row r="1750" spans="1:8" ht="15.75">
      <c r="A1750" s="50">
        <v>41875</v>
      </c>
      <c r="B1750" s="102">
        <v>971.59</v>
      </c>
      <c r="C1750" s="52"/>
      <c r="D1750" s="52"/>
      <c r="E1750" s="52"/>
      <c r="F1750" s="52"/>
      <c r="G1750" s="52"/>
      <c r="H1750" s="52"/>
    </row>
    <row r="1751" spans="1:8" ht="15.75">
      <c r="A1751" s="50">
        <v>41876</v>
      </c>
      <c r="B1751" s="102">
        <v>970.29</v>
      </c>
      <c r="C1751" s="52"/>
      <c r="D1751" s="52"/>
      <c r="E1751" s="52"/>
      <c r="F1751" s="52"/>
      <c r="G1751" s="52"/>
      <c r="H1751" s="52"/>
    </row>
    <row r="1752" spans="1:8" ht="15.75">
      <c r="A1752" s="50">
        <v>41877</v>
      </c>
      <c r="B1752" s="102">
        <v>972.73</v>
      </c>
      <c r="C1752" s="52"/>
      <c r="D1752" s="52"/>
      <c r="E1752" s="52"/>
      <c r="F1752" s="52"/>
      <c r="G1752" s="52"/>
      <c r="H1752" s="52"/>
    </row>
    <row r="1753" spans="1:8" ht="15.75">
      <c r="A1753" s="50">
        <v>41878</v>
      </c>
      <c r="B1753" s="102">
        <v>972.19</v>
      </c>
      <c r="C1753" s="52"/>
      <c r="D1753" s="52"/>
      <c r="E1753" s="52"/>
      <c r="F1753" s="52"/>
      <c r="G1753" s="52"/>
      <c r="H1753" s="52"/>
    </row>
    <row r="1754" spans="1:8" ht="15.75">
      <c r="A1754" s="50">
        <v>41879</v>
      </c>
      <c r="B1754" s="102">
        <v>978.16</v>
      </c>
      <c r="C1754" s="52"/>
      <c r="D1754" s="52"/>
      <c r="E1754" s="52"/>
      <c r="F1754" s="52"/>
      <c r="G1754" s="52"/>
      <c r="H1754" s="52"/>
    </row>
    <row r="1755" spans="1:8" ht="15.75">
      <c r="A1755" s="50">
        <v>41880</v>
      </c>
      <c r="B1755" s="102">
        <v>976.45</v>
      </c>
      <c r="C1755" s="52"/>
      <c r="D1755" s="52"/>
      <c r="E1755" s="52"/>
      <c r="F1755" s="52"/>
      <c r="G1755" s="52"/>
      <c r="H1755" s="52"/>
    </row>
    <row r="1756" spans="1:8" ht="15.75">
      <c r="A1756" s="50">
        <v>41883</v>
      </c>
      <c r="B1756" s="102">
        <v>980.04</v>
      </c>
      <c r="C1756" s="52"/>
      <c r="D1756" s="52"/>
      <c r="E1756" s="52"/>
      <c r="F1756" s="52"/>
      <c r="G1756" s="52"/>
      <c r="H1756" s="52"/>
    </row>
    <row r="1757" spans="1:8" ht="15.75">
      <c r="A1757" s="50">
        <v>41884</v>
      </c>
      <c r="B1757" s="102">
        <v>960.94</v>
      </c>
      <c r="C1757" s="52"/>
      <c r="D1757" s="52"/>
      <c r="E1757" s="52"/>
      <c r="F1757" s="52"/>
      <c r="G1757" s="52"/>
      <c r="H1757" s="52"/>
    </row>
    <row r="1758" spans="1:8" ht="15.75">
      <c r="A1758" s="50">
        <v>41885</v>
      </c>
      <c r="B1758" s="102">
        <v>960.53</v>
      </c>
      <c r="C1758" s="52"/>
      <c r="D1758" s="52"/>
      <c r="E1758" s="52"/>
      <c r="F1758" s="52"/>
      <c r="G1758" s="52"/>
      <c r="H1758" s="52"/>
    </row>
    <row r="1759" spans="1:8" ht="15.75">
      <c r="A1759" s="50">
        <v>41886</v>
      </c>
      <c r="B1759" s="102">
        <v>973.79</v>
      </c>
      <c r="C1759" s="52"/>
      <c r="D1759" s="52"/>
      <c r="E1759" s="52"/>
      <c r="F1759" s="52"/>
      <c r="G1759" s="52"/>
      <c r="H1759" s="52"/>
    </row>
    <row r="1760" spans="1:8" ht="15.75">
      <c r="A1760" s="50">
        <v>41887</v>
      </c>
      <c r="B1760" s="102">
        <v>979.69</v>
      </c>
      <c r="C1760" s="52"/>
      <c r="D1760" s="52"/>
      <c r="E1760" s="52"/>
      <c r="F1760" s="52"/>
      <c r="G1760" s="52"/>
      <c r="H1760" s="52"/>
    </row>
    <row r="1761" spans="1:8" ht="15.75">
      <c r="A1761" s="50">
        <v>41890</v>
      </c>
      <c r="B1761" s="102">
        <v>973.75</v>
      </c>
      <c r="C1761" s="52"/>
      <c r="D1761" s="52"/>
      <c r="E1761" s="52"/>
      <c r="F1761" s="52"/>
      <c r="G1761" s="52"/>
      <c r="H1761" s="52"/>
    </row>
    <row r="1762" spans="1:8" ht="15.75">
      <c r="A1762" s="50">
        <v>41891</v>
      </c>
      <c r="B1762" s="102">
        <v>970.71</v>
      </c>
      <c r="C1762" s="52"/>
      <c r="D1762" s="52"/>
      <c r="E1762" s="52"/>
      <c r="F1762" s="52"/>
      <c r="G1762" s="52"/>
      <c r="H1762" s="52"/>
    </row>
    <row r="1763" spans="1:8" ht="15.75">
      <c r="A1763" s="50">
        <v>41892</v>
      </c>
      <c r="B1763" s="102">
        <v>967.29</v>
      </c>
      <c r="C1763" s="52"/>
      <c r="D1763" s="52"/>
      <c r="E1763" s="52"/>
      <c r="F1763" s="52"/>
      <c r="G1763" s="52"/>
      <c r="H1763" s="52"/>
    </row>
    <row r="1764" spans="1:8" ht="15.75">
      <c r="A1764" s="50">
        <v>41893</v>
      </c>
      <c r="B1764" s="102">
        <v>956.6</v>
      </c>
      <c r="C1764" s="52"/>
      <c r="D1764" s="52"/>
      <c r="E1764" s="52"/>
      <c r="F1764" s="52"/>
      <c r="G1764" s="52"/>
      <c r="H1764" s="52"/>
    </row>
    <row r="1765" spans="1:8" ht="15.75">
      <c r="A1765" s="50">
        <v>41894</v>
      </c>
      <c r="B1765" s="102">
        <v>947.37</v>
      </c>
      <c r="C1765" s="52"/>
      <c r="D1765" s="52"/>
      <c r="E1765" s="52"/>
      <c r="F1765" s="52"/>
      <c r="G1765" s="52"/>
      <c r="H1765" s="52"/>
    </row>
    <row r="1766" spans="1:8" ht="15.75">
      <c r="A1766" s="50">
        <v>41897</v>
      </c>
      <c r="B1766" s="102">
        <v>953.01</v>
      </c>
      <c r="C1766" s="52"/>
      <c r="D1766" s="52"/>
      <c r="E1766" s="52"/>
      <c r="F1766" s="52"/>
      <c r="G1766" s="52"/>
      <c r="H1766" s="52"/>
    </row>
    <row r="1767" spans="1:8" ht="15.75">
      <c r="A1767" s="50">
        <v>41898</v>
      </c>
      <c r="B1767" s="102">
        <v>953.24</v>
      </c>
      <c r="C1767" s="52"/>
      <c r="D1767" s="52"/>
      <c r="E1767" s="52"/>
      <c r="F1767" s="52"/>
      <c r="G1767" s="52"/>
      <c r="H1767" s="52"/>
    </row>
    <row r="1768" spans="1:8" ht="15.75">
      <c r="A1768" s="50">
        <v>41899</v>
      </c>
      <c r="B1768" s="102">
        <v>952.62</v>
      </c>
      <c r="C1768" s="52"/>
      <c r="D1768" s="52"/>
      <c r="E1768" s="52"/>
      <c r="F1768" s="52"/>
      <c r="G1768" s="52"/>
      <c r="H1768" s="52"/>
    </row>
    <row r="1769" spans="1:8" ht="15.75">
      <c r="A1769" s="50">
        <v>41900</v>
      </c>
      <c r="B1769" s="102">
        <v>948.52</v>
      </c>
      <c r="C1769" s="52"/>
      <c r="D1769" s="52"/>
      <c r="E1769" s="52"/>
      <c r="F1769" s="52"/>
      <c r="G1769" s="52"/>
      <c r="H1769" s="52"/>
    </row>
    <row r="1770" spans="1:8" ht="15.75">
      <c r="A1770" s="50">
        <v>41901</v>
      </c>
      <c r="B1770" s="102">
        <v>949.68</v>
      </c>
      <c r="C1770" s="52"/>
      <c r="D1770" s="52"/>
      <c r="E1770" s="52"/>
      <c r="F1770" s="52"/>
      <c r="G1770" s="52"/>
      <c r="H1770" s="52"/>
    </row>
    <row r="1771" spans="1:8" ht="15.75">
      <c r="A1771" s="50">
        <v>41904</v>
      </c>
      <c r="B1771" s="102">
        <v>945.71</v>
      </c>
      <c r="C1771" s="52"/>
      <c r="D1771" s="52"/>
      <c r="E1771" s="52"/>
      <c r="F1771" s="52"/>
      <c r="G1771" s="52"/>
      <c r="H1771" s="52"/>
    </row>
    <row r="1772" spans="1:8" ht="15.75">
      <c r="A1772" s="50">
        <v>41905</v>
      </c>
      <c r="B1772" s="102">
        <v>951.59</v>
      </c>
      <c r="C1772" s="52"/>
      <c r="D1772" s="52"/>
      <c r="E1772" s="52"/>
      <c r="F1772" s="52"/>
      <c r="G1772" s="52"/>
      <c r="H1772" s="52"/>
    </row>
    <row r="1773" spans="1:8" ht="15.75">
      <c r="A1773" s="50">
        <v>41906</v>
      </c>
      <c r="B1773" s="102">
        <v>952.3</v>
      </c>
      <c r="C1773" s="52"/>
      <c r="D1773" s="52"/>
      <c r="E1773" s="52"/>
      <c r="F1773" s="52"/>
      <c r="G1773" s="52"/>
      <c r="H1773" s="52"/>
    </row>
    <row r="1774" spans="1:8" ht="15.75">
      <c r="A1774" s="50">
        <v>41907</v>
      </c>
      <c r="B1774" s="102">
        <v>958.46</v>
      </c>
      <c r="C1774" s="52"/>
      <c r="D1774" s="52"/>
      <c r="E1774" s="52"/>
      <c r="F1774" s="52"/>
      <c r="G1774" s="52"/>
      <c r="H1774" s="52"/>
    </row>
    <row r="1775" spans="1:8" ht="15.75">
      <c r="A1775" s="50">
        <v>41908</v>
      </c>
      <c r="B1775" s="102">
        <v>960.99</v>
      </c>
      <c r="C1775" s="52"/>
      <c r="D1775" s="52"/>
      <c r="E1775" s="52"/>
      <c r="F1775" s="52"/>
      <c r="G1775" s="52"/>
      <c r="H1775" s="52"/>
    </row>
    <row r="1776" spans="1:8" ht="15.75">
      <c r="A1776" s="50">
        <v>41911</v>
      </c>
      <c r="B1776" s="102">
        <v>957.53</v>
      </c>
      <c r="C1776" s="52"/>
      <c r="D1776" s="52"/>
      <c r="E1776" s="52"/>
      <c r="F1776" s="52"/>
      <c r="G1776" s="52"/>
      <c r="H1776" s="52"/>
    </row>
    <row r="1777" spans="1:8" ht="15.75">
      <c r="A1777" s="50">
        <v>41912</v>
      </c>
      <c r="B1777" s="102">
        <v>953.13</v>
      </c>
      <c r="C1777" s="52"/>
      <c r="D1777" s="52"/>
      <c r="E1777" s="52"/>
      <c r="F1777" s="52"/>
      <c r="G1777" s="52"/>
      <c r="H1777" s="52"/>
    </row>
    <row r="1778" spans="1:8" ht="15.75">
      <c r="A1778" s="50">
        <v>41913</v>
      </c>
      <c r="B1778" s="102">
        <v>961.4</v>
      </c>
      <c r="C1778" s="52"/>
      <c r="D1778" s="52"/>
      <c r="E1778" s="52"/>
      <c r="F1778" s="52"/>
      <c r="G1778" s="52"/>
      <c r="H1778" s="52"/>
    </row>
    <row r="1779" spans="1:8" ht="15.75">
      <c r="A1779" s="50">
        <v>41914</v>
      </c>
      <c r="B1779" s="102">
        <v>958.14</v>
      </c>
      <c r="C1779" s="52"/>
      <c r="D1779" s="52"/>
      <c r="E1779" s="52"/>
      <c r="F1779" s="52"/>
      <c r="G1779" s="52"/>
      <c r="H1779" s="52"/>
    </row>
    <row r="1780" spans="1:8" ht="15.75">
      <c r="A1780" s="50">
        <v>41915</v>
      </c>
      <c r="B1780" s="102">
        <v>951.16</v>
      </c>
      <c r="C1780" s="52"/>
      <c r="D1780" s="52"/>
      <c r="E1780" s="52"/>
      <c r="F1780" s="52"/>
      <c r="G1780" s="52"/>
      <c r="H1780" s="52"/>
    </row>
    <row r="1781" spans="1:8" ht="15.75">
      <c r="A1781" s="50">
        <v>41918</v>
      </c>
      <c r="B1781" s="102">
        <v>953.82</v>
      </c>
      <c r="C1781" s="52"/>
      <c r="D1781" s="52"/>
      <c r="E1781" s="52"/>
      <c r="F1781" s="52"/>
      <c r="G1781" s="52"/>
      <c r="H1781" s="52"/>
    </row>
    <row r="1782" spans="1:8" ht="15.75">
      <c r="A1782" s="50">
        <v>41919</v>
      </c>
      <c r="B1782" s="102">
        <v>954.21</v>
      </c>
      <c r="C1782" s="52"/>
      <c r="D1782" s="52"/>
      <c r="E1782" s="52"/>
      <c r="F1782" s="52"/>
      <c r="G1782" s="52"/>
      <c r="H1782" s="52"/>
    </row>
    <row r="1783" spans="1:8" ht="15.75">
      <c r="A1783" s="50">
        <v>41920</v>
      </c>
      <c r="B1783" s="102">
        <v>961.43</v>
      </c>
      <c r="C1783" s="52"/>
      <c r="D1783" s="52"/>
      <c r="E1783" s="52"/>
      <c r="F1783" s="52"/>
      <c r="G1783" s="52"/>
      <c r="H1783" s="52"/>
    </row>
    <row r="1784" spans="1:8" ht="15.75">
      <c r="A1784" s="50">
        <v>41921</v>
      </c>
      <c r="B1784" s="102">
        <v>964.48</v>
      </c>
      <c r="C1784" s="52"/>
      <c r="D1784" s="52"/>
      <c r="E1784" s="52"/>
      <c r="F1784" s="52"/>
      <c r="G1784" s="52"/>
      <c r="H1784" s="52"/>
    </row>
    <row r="1785" spans="1:8" ht="15.75">
      <c r="A1785" s="50">
        <v>41922</v>
      </c>
      <c r="B1785" s="102">
        <v>968.92</v>
      </c>
      <c r="C1785" s="52"/>
      <c r="D1785" s="52"/>
      <c r="E1785" s="52"/>
      <c r="F1785" s="52"/>
      <c r="G1785" s="52"/>
      <c r="H1785" s="52"/>
    </row>
    <row r="1786" spans="1:8" ht="15.75">
      <c r="A1786" s="50">
        <v>41924</v>
      </c>
      <c r="B1786" s="102">
        <v>969.07</v>
      </c>
      <c r="C1786" s="52"/>
      <c r="D1786" s="52"/>
      <c r="E1786" s="52"/>
      <c r="F1786" s="52"/>
      <c r="G1786" s="52"/>
      <c r="H1786" s="52"/>
    </row>
    <row r="1787" spans="1:8" ht="15.75">
      <c r="A1787" s="50">
        <v>41925</v>
      </c>
      <c r="B1787" s="102">
        <v>970.73</v>
      </c>
      <c r="C1787" s="52"/>
      <c r="D1787" s="52"/>
      <c r="E1787" s="52"/>
      <c r="F1787" s="52"/>
      <c r="G1787" s="52"/>
      <c r="H1787" s="52"/>
    </row>
    <row r="1788" spans="1:8" ht="15.75">
      <c r="A1788" s="50">
        <v>41926</v>
      </c>
      <c r="B1788" s="102">
        <v>969.74</v>
      </c>
      <c r="C1788" s="52"/>
      <c r="D1788" s="52"/>
      <c r="E1788" s="52"/>
      <c r="F1788" s="52"/>
      <c r="G1788" s="52"/>
      <c r="H1788" s="52"/>
    </row>
    <row r="1789" spans="1:8" ht="15.75">
      <c r="A1789" s="50">
        <v>41927</v>
      </c>
      <c r="B1789" s="102">
        <v>968.12</v>
      </c>
      <c r="C1789" s="52"/>
      <c r="D1789" s="52"/>
      <c r="E1789" s="52"/>
      <c r="F1789" s="52"/>
      <c r="G1789" s="52"/>
      <c r="H1789" s="52"/>
    </row>
    <row r="1790" spans="1:8" ht="15.75">
      <c r="A1790" s="50">
        <v>41928</v>
      </c>
      <c r="B1790" s="102">
        <v>969.15</v>
      </c>
      <c r="C1790" s="52"/>
      <c r="D1790" s="52"/>
      <c r="E1790" s="52"/>
      <c r="F1790" s="52"/>
      <c r="G1790" s="52"/>
      <c r="H1790" s="52"/>
    </row>
    <row r="1791" spans="1:8" ht="15.75">
      <c r="A1791" s="50">
        <v>41929</v>
      </c>
      <c r="B1791" s="102">
        <v>969.89</v>
      </c>
      <c r="C1791" s="52"/>
      <c r="D1791" s="52"/>
      <c r="E1791" s="52"/>
      <c r="F1791" s="52"/>
      <c r="G1791" s="52"/>
      <c r="H1791" s="52"/>
    </row>
    <row r="1792" spans="1:8" ht="15.75">
      <c r="A1792" s="50">
        <v>41932</v>
      </c>
      <c r="B1792" s="102">
        <v>964.92</v>
      </c>
      <c r="C1792" s="52"/>
      <c r="D1792" s="52"/>
      <c r="E1792" s="52"/>
      <c r="F1792" s="52"/>
      <c r="G1792" s="52"/>
      <c r="H1792" s="52"/>
    </row>
    <row r="1793" spans="1:8" ht="15.75">
      <c r="A1793" s="50">
        <v>41933</v>
      </c>
      <c r="B1793" s="102">
        <v>982.62</v>
      </c>
      <c r="C1793" s="52"/>
      <c r="D1793" s="52"/>
      <c r="E1793" s="52"/>
      <c r="F1793" s="52"/>
      <c r="G1793" s="52"/>
      <c r="H1793" s="52"/>
    </row>
    <row r="1794" spans="1:8" ht="15.75">
      <c r="A1794" s="50">
        <v>41934</v>
      </c>
      <c r="B1794" s="102">
        <v>981.73</v>
      </c>
      <c r="C1794" s="52"/>
      <c r="D1794" s="52"/>
      <c r="E1794" s="52"/>
      <c r="F1794" s="52"/>
      <c r="G1794" s="52"/>
      <c r="H1794" s="52"/>
    </row>
    <row r="1795" spans="1:8" ht="15.75">
      <c r="A1795" s="50">
        <v>41935</v>
      </c>
      <c r="B1795" s="102">
        <v>972.09</v>
      </c>
      <c r="C1795" s="52"/>
      <c r="D1795" s="52"/>
      <c r="E1795" s="52"/>
      <c r="F1795" s="52"/>
      <c r="G1795" s="52"/>
      <c r="H1795" s="52"/>
    </row>
    <row r="1796" spans="1:8" ht="15.75">
      <c r="A1796" s="50">
        <v>41936</v>
      </c>
      <c r="B1796" s="102">
        <v>972.71</v>
      </c>
      <c r="C1796" s="52"/>
      <c r="D1796" s="52"/>
      <c r="E1796" s="52"/>
      <c r="F1796" s="52"/>
      <c r="G1796" s="52"/>
      <c r="H1796" s="52"/>
    </row>
    <row r="1797" spans="1:8" ht="15.75">
      <c r="A1797" s="50">
        <v>41938</v>
      </c>
      <c r="B1797" s="102">
        <v>969.03</v>
      </c>
      <c r="C1797" s="52"/>
      <c r="D1797" s="52"/>
      <c r="E1797" s="52"/>
      <c r="F1797" s="52"/>
      <c r="G1797" s="52"/>
      <c r="H1797" s="52"/>
    </row>
    <row r="1798" spans="1:8" ht="15.75">
      <c r="A1798" s="50">
        <v>41939</v>
      </c>
      <c r="B1798" s="102">
        <v>965.62</v>
      </c>
      <c r="C1798" s="52"/>
      <c r="D1798" s="52"/>
      <c r="E1798" s="52"/>
      <c r="F1798" s="52"/>
      <c r="G1798" s="52"/>
      <c r="H1798" s="52"/>
    </row>
    <row r="1799" spans="1:8" ht="15.75">
      <c r="A1799" s="50">
        <v>41940</v>
      </c>
      <c r="B1799" s="102">
        <v>958.07</v>
      </c>
      <c r="C1799" s="52"/>
      <c r="D1799" s="52"/>
      <c r="E1799" s="52"/>
      <c r="F1799" s="52"/>
      <c r="G1799" s="52"/>
      <c r="H1799" s="52"/>
    </row>
    <row r="1800" spans="1:8" ht="15.75">
      <c r="A1800" s="50">
        <v>41941</v>
      </c>
      <c r="B1800" s="102">
        <v>958.44</v>
      </c>
      <c r="C1800" s="52"/>
      <c r="D1800" s="52"/>
      <c r="E1800" s="52"/>
      <c r="F1800" s="52"/>
      <c r="G1800" s="52"/>
      <c r="H1800" s="52"/>
    </row>
    <row r="1801" spans="1:8" ht="15.75">
      <c r="A1801" s="50">
        <v>41942</v>
      </c>
      <c r="B1801" s="102">
        <v>951.94</v>
      </c>
      <c r="C1801" s="52"/>
      <c r="D1801" s="52"/>
      <c r="E1801" s="52"/>
      <c r="F1801" s="52"/>
      <c r="G1801" s="52"/>
      <c r="H1801" s="52"/>
    </row>
    <row r="1802" spans="1:8" ht="15.75">
      <c r="A1802" s="50">
        <v>41943</v>
      </c>
      <c r="B1802" s="102">
        <v>938.47</v>
      </c>
      <c r="C1802" s="52"/>
      <c r="D1802" s="52"/>
      <c r="E1802" s="52"/>
      <c r="F1802" s="52"/>
      <c r="G1802" s="52"/>
      <c r="H1802" s="52"/>
    </row>
    <row r="1803" spans="1:8" ht="15.75">
      <c r="A1803" s="50">
        <v>41945</v>
      </c>
      <c r="B1803" s="102">
        <v>938.84</v>
      </c>
      <c r="C1803" s="52"/>
      <c r="D1803" s="52"/>
      <c r="E1803" s="52"/>
      <c r="F1803" s="52"/>
      <c r="G1803" s="52"/>
      <c r="H1803" s="52"/>
    </row>
    <row r="1804" spans="1:8" ht="15.75">
      <c r="A1804" s="50">
        <v>41946</v>
      </c>
      <c r="B1804" s="102">
        <v>935.07</v>
      </c>
      <c r="C1804" s="52"/>
      <c r="D1804" s="52"/>
      <c r="E1804" s="52"/>
      <c r="F1804" s="52"/>
      <c r="G1804" s="52"/>
      <c r="H1804" s="52"/>
    </row>
    <row r="1805" spans="1:8" ht="15.75">
      <c r="A1805" s="50">
        <v>41947</v>
      </c>
      <c r="B1805" s="102">
        <v>931.01</v>
      </c>
      <c r="C1805" s="52"/>
      <c r="D1805" s="52"/>
      <c r="E1805" s="52"/>
      <c r="F1805" s="52"/>
      <c r="G1805" s="52"/>
      <c r="H1805" s="52"/>
    </row>
    <row r="1806" spans="1:8" ht="15.75">
      <c r="A1806" s="50">
        <v>41948</v>
      </c>
      <c r="B1806" s="102">
        <v>913.94</v>
      </c>
      <c r="C1806" s="52"/>
      <c r="D1806" s="52"/>
      <c r="E1806" s="52"/>
      <c r="F1806" s="52"/>
      <c r="G1806" s="52"/>
      <c r="H1806" s="52"/>
    </row>
    <row r="1807" spans="1:8" ht="15.75">
      <c r="A1807" s="50">
        <v>41949</v>
      </c>
      <c r="B1807" s="102">
        <v>922.88</v>
      </c>
      <c r="C1807" s="52"/>
      <c r="D1807" s="52"/>
      <c r="E1807" s="52"/>
      <c r="F1807" s="52"/>
      <c r="G1807" s="52"/>
      <c r="H1807" s="52"/>
    </row>
    <row r="1808" spans="1:8" ht="15.75">
      <c r="A1808" s="50">
        <v>41950</v>
      </c>
      <c r="B1808" s="102">
        <v>949.42</v>
      </c>
      <c r="C1808" s="52"/>
      <c r="D1808" s="52"/>
      <c r="E1808" s="52"/>
      <c r="F1808" s="52"/>
      <c r="G1808" s="52"/>
      <c r="H1808" s="52"/>
    </row>
    <row r="1809" spans="1:8" ht="15.75">
      <c r="A1809" s="50">
        <v>41953</v>
      </c>
      <c r="B1809" s="102">
        <v>923.7</v>
      </c>
      <c r="C1809" s="52"/>
      <c r="D1809" s="52"/>
      <c r="E1809" s="52"/>
      <c r="F1809" s="52"/>
      <c r="G1809" s="52"/>
      <c r="H1809" s="52"/>
    </row>
    <row r="1810" spans="1:8" ht="15.75">
      <c r="A1810" s="50">
        <v>41954</v>
      </c>
      <c r="B1810" s="102">
        <v>913.9</v>
      </c>
      <c r="C1810" s="52"/>
      <c r="D1810" s="52"/>
      <c r="E1810" s="52"/>
      <c r="F1810" s="52"/>
      <c r="G1810" s="52"/>
      <c r="H1810" s="52"/>
    </row>
    <row r="1811" spans="1:8" ht="15.75">
      <c r="A1811" s="50">
        <v>41955</v>
      </c>
      <c r="B1811" s="102">
        <v>937.25</v>
      </c>
      <c r="C1811" s="52"/>
      <c r="D1811" s="52"/>
      <c r="E1811" s="52"/>
      <c r="F1811" s="52"/>
      <c r="G1811" s="52"/>
      <c r="H1811" s="52"/>
    </row>
    <row r="1812" spans="1:8" ht="15.75">
      <c r="A1812" s="50">
        <v>41956</v>
      </c>
      <c r="B1812" s="102">
        <v>932.2</v>
      </c>
      <c r="C1812" s="52"/>
      <c r="D1812" s="52"/>
      <c r="E1812" s="52"/>
      <c r="F1812" s="52"/>
      <c r="G1812" s="52"/>
      <c r="H1812" s="52"/>
    </row>
    <row r="1813" spans="1:8" ht="15.75">
      <c r="A1813" s="50">
        <v>41957</v>
      </c>
      <c r="B1813" s="102">
        <v>949.59</v>
      </c>
      <c r="C1813" s="52"/>
      <c r="D1813" s="52"/>
      <c r="E1813" s="52"/>
      <c r="F1813" s="52"/>
      <c r="G1813" s="52"/>
      <c r="H1813" s="52"/>
    </row>
    <row r="1814" spans="1:8" ht="15.75">
      <c r="A1814" s="50">
        <v>41960</v>
      </c>
      <c r="B1814" s="102">
        <v>953.37</v>
      </c>
      <c r="C1814" s="52"/>
      <c r="D1814" s="52"/>
      <c r="E1814" s="52"/>
      <c r="F1814" s="52"/>
      <c r="G1814" s="52"/>
      <c r="H1814" s="52"/>
    </row>
    <row r="1815" spans="1:8" ht="15.75">
      <c r="A1815" s="50">
        <v>41961</v>
      </c>
      <c r="B1815" s="102">
        <v>955.47</v>
      </c>
      <c r="C1815" s="52"/>
      <c r="D1815" s="52"/>
      <c r="E1815" s="52"/>
      <c r="F1815" s="52"/>
      <c r="G1815" s="52"/>
      <c r="H1815" s="52"/>
    </row>
    <row r="1816" spans="1:8" ht="15.75">
      <c r="A1816" s="50">
        <v>41962</v>
      </c>
      <c r="B1816" s="102">
        <v>938.87</v>
      </c>
      <c r="C1816" s="52"/>
      <c r="D1816" s="52"/>
      <c r="E1816" s="52"/>
      <c r="F1816" s="52"/>
      <c r="G1816" s="52"/>
      <c r="H1816" s="52"/>
    </row>
    <row r="1817" spans="1:8" ht="15.75">
      <c r="A1817" s="50">
        <v>41963</v>
      </c>
      <c r="B1817" s="102">
        <v>948.34</v>
      </c>
      <c r="C1817" s="52"/>
      <c r="D1817" s="52"/>
      <c r="E1817" s="52"/>
      <c r="F1817" s="52"/>
      <c r="G1817" s="52"/>
      <c r="H1817" s="52"/>
    </row>
    <row r="1818" spans="1:8" ht="15.75">
      <c r="A1818" s="50">
        <v>41964</v>
      </c>
      <c r="B1818" s="102">
        <v>969.74</v>
      </c>
      <c r="C1818" s="52"/>
      <c r="D1818" s="52"/>
      <c r="E1818" s="52"/>
      <c r="F1818" s="52"/>
      <c r="G1818" s="52"/>
      <c r="H1818" s="52"/>
    </row>
    <row r="1819" spans="1:8" ht="15.75">
      <c r="A1819" s="50">
        <v>41967</v>
      </c>
      <c r="B1819" s="102">
        <v>963.27</v>
      </c>
      <c r="C1819" s="52"/>
      <c r="D1819" s="52"/>
      <c r="E1819" s="52"/>
      <c r="F1819" s="52"/>
      <c r="G1819" s="52"/>
      <c r="H1819" s="52"/>
    </row>
    <row r="1820" spans="1:8" ht="15.75">
      <c r="A1820" s="50">
        <v>41968</v>
      </c>
      <c r="B1820" s="102">
        <v>962.85</v>
      </c>
      <c r="C1820" s="52"/>
      <c r="D1820" s="52"/>
      <c r="E1820" s="52"/>
      <c r="F1820" s="52"/>
      <c r="G1820" s="52"/>
      <c r="H1820" s="52"/>
    </row>
    <row r="1821" spans="1:8" ht="15.75">
      <c r="A1821" s="50">
        <v>41969</v>
      </c>
      <c r="B1821" s="102">
        <v>958.4</v>
      </c>
      <c r="C1821" s="52"/>
      <c r="D1821" s="52"/>
      <c r="E1821" s="52"/>
      <c r="F1821" s="52"/>
      <c r="G1821" s="52"/>
      <c r="H1821" s="52"/>
    </row>
    <row r="1822" spans="1:8" ht="15.75">
      <c r="A1822" s="50">
        <v>41970</v>
      </c>
      <c r="B1822" s="102">
        <v>958.47</v>
      </c>
      <c r="C1822" s="52"/>
      <c r="D1822" s="52"/>
      <c r="E1822" s="52"/>
      <c r="F1822" s="52"/>
      <c r="G1822" s="52"/>
      <c r="H1822" s="52"/>
    </row>
    <row r="1823" spans="1:8" ht="15.75">
      <c r="A1823" s="50">
        <v>41971</v>
      </c>
      <c r="B1823" s="102">
        <v>937.2</v>
      </c>
      <c r="C1823" s="52"/>
      <c r="D1823" s="52"/>
      <c r="E1823" s="52"/>
      <c r="F1823" s="52"/>
      <c r="G1823" s="52"/>
      <c r="H1823" s="52"/>
    </row>
    <row r="1824" spans="1:8" ht="15.75">
      <c r="A1824" s="50">
        <v>41974</v>
      </c>
      <c r="B1824" s="102">
        <v>971.4</v>
      </c>
      <c r="C1824" s="52"/>
      <c r="D1824" s="52"/>
      <c r="E1824" s="52"/>
      <c r="F1824" s="52"/>
      <c r="G1824" s="52"/>
      <c r="H1824" s="52"/>
    </row>
    <row r="1825" spans="1:8" ht="15.75">
      <c r="A1825" s="50">
        <v>41975</v>
      </c>
      <c r="B1825" s="102">
        <v>967.68</v>
      </c>
      <c r="C1825" s="52"/>
      <c r="D1825" s="52"/>
      <c r="E1825" s="52"/>
      <c r="F1825" s="52"/>
      <c r="G1825" s="52"/>
      <c r="H1825" s="52"/>
    </row>
    <row r="1826" spans="1:8" ht="15.75">
      <c r="A1826" s="50">
        <v>41976</v>
      </c>
      <c r="B1826" s="102">
        <v>982.94</v>
      </c>
      <c r="C1826" s="52"/>
      <c r="D1826" s="52"/>
      <c r="E1826" s="52"/>
      <c r="F1826" s="52"/>
      <c r="G1826" s="52"/>
      <c r="H1826" s="52"/>
    </row>
    <row r="1827" spans="1:8" ht="15.75">
      <c r="A1827" s="50">
        <v>41977</v>
      </c>
      <c r="B1827" s="102">
        <v>974.15</v>
      </c>
      <c r="C1827" s="52"/>
      <c r="D1827" s="52"/>
      <c r="E1827" s="52"/>
      <c r="F1827" s="52"/>
      <c r="G1827" s="52"/>
      <c r="H1827" s="52"/>
    </row>
    <row r="1828" spans="1:8" ht="15.75">
      <c r="A1828" s="50">
        <v>41978</v>
      </c>
      <c r="B1828" s="102">
        <v>971.1</v>
      </c>
      <c r="C1828" s="52"/>
      <c r="D1828" s="52"/>
      <c r="E1828" s="52"/>
      <c r="F1828" s="52"/>
      <c r="G1828" s="52"/>
      <c r="H1828" s="52"/>
    </row>
    <row r="1829" spans="1:8" ht="15.75">
      <c r="A1829" s="50">
        <v>41980</v>
      </c>
      <c r="B1829" s="102">
        <v>970.62</v>
      </c>
      <c r="C1829" s="52"/>
      <c r="D1829" s="52"/>
      <c r="E1829" s="52"/>
      <c r="F1829" s="52"/>
      <c r="G1829" s="52"/>
      <c r="H1829" s="52"/>
    </row>
    <row r="1830" spans="1:8" ht="15.75">
      <c r="A1830" s="50">
        <v>41981</v>
      </c>
      <c r="B1830" s="102">
        <v>976.86</v>
      </c>
      <c r="C1830" s="52"/>
      <c r="D1830" s="52"/>
      <c r="E1830" s="52"/>
      <c r="F1830" s="52"/>
      <c r="G1830" s="52"/>
      <c r="H1830" s="52"/>
    </row>
    <row r="1831" spans="1:8" ht="15.75">
      <c r="A1831" s="50">
        <v>41982</v>
      </c>
      <c r="B1831" s="102">
        <v>994.99</v>
      </c>
      <c r="C1831" s="52"/>
      <c r="D1831" s="52"/>
      <c r="E1831" s="52"/>
      <c r="F1831" s="52"/>
      <c r="G1831" s="52"/>
      <c r="H1831" s="52"/>
    </row>
    <row r="1832" spans="1:8" ht="15.75">
      <c r="A1832" s="50">
        <v>41983</v>
      </c>
      <c r="B1832" s="102">
        <v>984.42</v>
      </c>
      <c r="C1832" s="52"/>
      <c r="D1832" s="52"/>
      <c r="E1832" s="52"/>
      <c r="F1832" s="52"/>
      <c r="G1832" s="52"/>
      <c r="H1832" s="52"/>
    </row>
    <row r="1833" spans="1:8" ht="15.75">
      <c r="A1833" s="50">
        <v>41984</v>
      </c>
      <c r="B1833" s="102">
        <v>989.44</v>
      </c>
      <c r="C1833" s="52"/>
      <c r="D1833" s="52"/>
      <c r="E1833" s="52"/>
      <c r="F1833" s="52"/>
      <c r="G1833" s="52"/>
      <c r="H1833" s="52"/>
    </row>
    <row r="1834" spans="1:8" ht="15.75">
      <c r="A1834" s="50">
        <v>41985</v>
      </c>
      <c r="B1834" s="102">
        <v>980.5</v>
      </c>
      <c r="C1834" s="52"/>
      <c r="D1834" s="52"/>
      <c r="E1834" s="52"/>
      <c r="F1834" s="52"/>
      <c r="G1834" s="52"/>
      <c r="H1834" s="52"/>
    </row>
    <row r="1835" spans="1:8" ht="15.75">
      <c r="A1835" s="50">
        <v>41987</v>
      </c>
      <c r="B1835" s="102">
        <v>975.23</v>
      </c>
      <c r="C1835" s="52"/>
      <c r="D1835" s="52"/>
      <c r="E1835" s="52"/>
      <c r="F1835" s="52"/>
      <c r="G1835" s="52"/>
      <c r="H1835" s="52"/>
    </row>
    <row r="1836" spans="1:8" ht="15.75">
      <c r="A1836" s="50">
        <v>41988</v>
      </c>
      <c r="B1836" s="102">
        <v>959.09</v>
      </c>
      <c r="C1836" s="52"/>
      <c r="D1836" s="52"/>
      <c r="E1836" s="52"/>
      <c r="F1836" s="52"/>
      <c r="G1836" s="52"/>
      <c r="H1836" s="52"/>
    </row>
    <row r="1837" spans="1:8" ht="15.75">
      <c r="A1837" s="50">
        <v>41989</v>
      </c>
      <c r="B1837" s="102">
        <v>955.01</v>
      </c>
      <c r="C1837" s="52"/>
      <c r="D1837" s="52"/>
      <c r="E1837" s="52"/>
      <c r="F1837" s="52"/>
      <c r="G1837" s="52"/>
      <c r="H1837" s="52"/>
    </row>
    <row r="1838" spans="1:8" ht="15.75">
      <c r="A1838" s="50">
        <v>41990</v>
      </c>
      <c r="B1838" s="102">
        <v>956.38</v>
      </c>
      <c r="C1838" s="52"/>
      <c r="D1838" s="52"/>
      <c r="E1838" s="52"/>
      <c r="F1838" s="52"/>
      <c r="G1838" s="52"/>
      <c r="H1838" s="52"/>
    </row>
    <row r="1839" spans="1:8" ht="15.75">
      <c r="A1839" s="50">
        <v>41991</v>
      </c>
      <c r="B1839" s="102">
        <v>975.14</v>
      </c>
      <c r="C1839" s="52"/>
      <c r="D1839" s="52"/>
      <c r="E1839" s="52"/>
      <c r="F1839" s="52"/>
      <c r="G1839" s="52"/>
      <c r="H1839" s="52"/>
    </row>
    <row r="1840" spans="1:8" ht="15.75">
      <c r="A1840" s="50">
        <v>41992</v>
      </c>
      <c r="B1840" s="102">
        <v>976.74</v>
      </c>
      <c r="C1840" s="52"/>
      <c r="D1840" s="52"/>
      <c r="E1840" s="52"/>
      <c r="F1840" s="52"/>
      <c r="G1840" s="52"/>
      <c r="H1840" s="52"/>
    </row>
    <row r="1841" spans="1:8" ht="15.75">
      <c r="A1841" s="50">
        <v>41995</v>
      </c>
      <c r="B1841" s="102">
        <v>962.62</v>
      </c>
      <c r="C1841" s="52"/>
      <c r="D1841" s="52"/>
      <c r="E1841" s="52"/>
      <c r="F1841" s="52"/>
      <c r="G1841" s="52"/>
      <c r="H1841" s="52"/>
    </row>
    <row r="1842" spans="1:8" ht="15.75">
      <c r="A1842" s="50">
        <v>41996</v>
      </c>
      <c r="B1842" s="102">
        <v>961.31</v>
      </c>
      <c r="C1842" s="52"/>
      <c r="D1842" s="52"/>
      <c r="E1842" s="52"/>
      <c r="F1842" s="52"/>
      <c r="G1842" s="52"/>
      <c r="H1842" s="52"/>
    </row>
    <row r="1843" spans="1:8" ht="15.75">
      <c r="A1843" s="50">
        <v>41997</v>
      </c>
      <c r="B1843" s="102">
        <v>963.44</v>
      </c>
      <c r="C1843" s="52"/>
      <c r="D1843" s="52"/>
      <c r="E1843" s="52"/>
      <c r="F1843" s="52"/>
      <c r="G1843" s="52"/>
      <c r="H1843" s="52"/>
    </row>
    <row r="1844" spans="1:8" ht="15.75">
      <c r="A1844" s="50">
        <v>41998</v>
      </c>
      <c r="B1844" s="102">
        <v>959.91</v>
      </c>
      <c r="C1844" s="52"/>
      <c r="D1844" s="52"/>
      <c r="E1844" s="52"/>
      <c r="F1844" s="52"/>
      <c r="G1844" s="52"/>
      <c r="H1844" s="52"/>
    </row>
    <row r="1845" spans="1:8" ht="15.75">
      <c r="A1845" s="50">
        <v>41999</v>
      </c>
      <c r="B1845" s="102">
        <v>979.96</v>
      </c>
      <c r="C1845" s="52"/>
      <c r="D1845" s="52"/>
      <c r="E1845" s="52"/>
      <c r="F1845" s="52"/>
      <c r="G1845" s="52"/>
      <c r="H1845" s="52"/>
    </row>
    <row r="1846" spans="1:8" ht="15.75">
      <c r="A1846" s="50">
        <v>42002</v>
      </c>
      <c r="B1846" s="102">
        <v>942.1</v>
      </c>
      <c r="C1846" s="52"/>
      <c r="D1846" s="52"/>
      <c r="E1846" s="52"/>
      <c r="F1846" s="52"/>
      <c r="G1846" s="52"/>
      <c r="H1846" s="52"/>
    </row>
    <row r="1847" spans="1:8" ht="15.75">
      <c r="A1847" s="50">
        <v>42003</v>
      </c>
      <c r="B1847" s="102">
        <v>987.21</v>
      </c>
      <c r="C1847" s="52"/>
      <c r="D1847" s="52"/>
      <c r="E1847" s="52"/>
      <c r="F1847" s="52"/>
      <c r="G1847" s="52"/>
      <c r="H1847" s="52"/>
    </row>
    <row r="1848" spans="1:8" ht="15.75">
      <c r="A1848" s="50">
        <v>42004</v>
      </c>
      <c r="B1848" s="102">
        <v>978.1</v>
      </c>
      <c r="C1848" s="52"/>
      <c r="D1848" s="52"/>
      <c r="E1848" s="52"/>
      <c r="F1848" s="52"/>
      <c r="G1848" s="52"/>
      <c r="H1848" s="52"/>
    </row>
    <row r="1849" spans="1:8" ht="15.75">
      <c r="A1849" s="50">
        <v>42006</v>
      </c>
      <c r="B1849" s="102">
        <v>991.58</v>
      </c>
      <c r="C1849" s="52"/>
      <c r="D1849" s="52"/>
      <c r="E1849" s="52"/>
      <c r="F1849" s="52"/>
      <c r="G1849" s="52"/>
      <c r="H1849" s="52"/>
    </row>
    <row r="1850" spans="1:8" ht="15.75">
      <c r="A1850" s="50">
        <v>42009</v>
      </c>
      <c r="B1850" s="51">
        <v>1014.08</v>
      </c>
      <c r="C1850" s="52"/>
      <c r="D1850" s="52"/>
      <c r="E1850" s="52"/>
      <c r="F1850" s="52"/>
      <c r="G1850" s="52"/>
      <c r="H1850" s="52"/>
    </row>
    <row r="1851" spans="1:8" ht="15.75">
      <c r="A1851" s="50">
        <v>42010</v>
      </c>
      <c r="B1851" s="51">
        <v>1021.9</v>
      </c>
      <c r="C1851" s="52"/>
      <c r="D1851" s="52"/>
      <c r="E1851" s="52"/>
      <c r="F1851" s="52"/>
      <c r="G1851" s="52"/>
      <c r="H1851" s="52"/>
    </row>
    <row r="1852" spans="1:8" ht="15.75">
      <c r="A1852" s="50">
        <v>42011</v>
      </c>
      <c r="B1852" s="51">
        <v>1024.33</v>
      </c>
      <c r="C1852" s="52"/>
      <c r="D1852" s="52"/>
      <c r="E1852" s="52"/>
      <c r="F1852" s="52"/>
      <c r="G1852" s="52"/>
      <c r="H1852" s="52"/>
    </row>
    <row r="1853" spans="1:8" ht="15.75">
      <c r="A1853" s="50">
        <v>42012</v>
      </c>
      <c r="B1853" s="51">
        <v>1025.4100000000001</v>
      </c>
      <c r="C1853" s="52"/>
      <c r="D1853" s="52"/>
      <c r="E1853" s="52"/>
      <c r="F1853" s="52"/>
      <c r="G1853" s="52"/>
      <c r="H1853" s="52"/>
    </row>
    <row r="1854" spans="1:8" ht="15.75">
      <c r="A1854" s="50">
        <v>42013</v>
      </c>
      <c r="B1854" s="51">
        <v>1032.6300000000001</v>
      </c>
      <c r="C1854" s="52"/>
      <c r="D1854" s="52"/>
      <c r="E1854" s="52"/>
      <c r="F1854" s="52"/>
      <c r="G1854" s="52"/>
      <c r="H1854" s="52"/>
    </row>
    <row r="1855" spans="1:8" ht="15.75">
      <c r="A1855" s="50">
        <v>42016</v>
      </c>
      <c r="B1855" s="51">
        <v>1042.3</v>
      </c>
      <c r="C1855" s="52"/>
      <c r="D1855" s="52"/>
      <c r="E1855" s="52"/>
      <c r="F1855" s="52"/>
      <c r="G1855" s="52"/>
      <c r="H1855" s="52"/>
    </row>
    <row r="1856" spans="1:8" ht="15.75">
      <c r="A1856" s="50">
        <v>42017</v>
      </c>
      <c r="B1856" s="51">
        <v>1045.22</v>
      </c>
      <c r="C1856" s="52"/>
      <c r="D1856" s="52"/>
      <c r="E1856" s="52"/>
      <c r="F1856" s="52"/>
      <c r="G1856" s="52"/>
      <c r="H1856" s="52"/>
    </row>
    <row r="1857" spans="1:8" ht="15.75">
      <c r="A1857" s="50">
        <v>42018</v>
      </c>
      <c r="B1857" s="51">
        <v>1042.71</v>
      </c>
      <c r="C1857" s="52"/>
      <c r="D1857" s="52"/>
      <c r="E1857" s="52"/>
      <c r="F1857" s="52"/>
      <c r="G1857" s="52"/>
      <c r="H1857" s="52"/>
    </row>
    <row r="1858" spans="1:8" ht="15.75">
      <c r="A1858" s="50">
        <v>42019</v>
      </c>
      <c r="B1858" s="51">
        <v>1086.5</v>
      </c>
      <c r="C1858" s="52"/>
      <c r="D1858" s="52"/>
      <c r="E1858" s="52"/>
      <c r="F1858" s="52"/>
      <c r="G1858" s="52"/>
      <c r="H1858" s="52"/>
    </row>
    <row r="1859" spans="1:8" ht="15.75">
      <c r="A1859" s="50">
        <v>42020</v>
      </c>
      <c r="B1859" s="51">
        <v>1106.6500000000001</v>
      </c>
      <c r="C1859" s="52"/>
      <c r="D1859" s="52"/>
      <c r="E1859" s="52"/>
      <c r="F1859" s="52"/>
      <c r="G1859" s="52"/>
      <c r="H1859" s="52"/>
    </row>
    <row r="1860" spans="1:8" ht="15.75">
      <c r="A1860" s="50">
        <v>42023</v>
      </c>
      <c r="B1860" s="51">
        <v>1102.8900000000001</v>
      </c>
      <c r="C1860" s="52"/>
      <c r="D1860" s="52"/>
      <c r="E1860" s="52"/>
      <c r="F1860" s="52"/>
      <c r="G1860" s="52"/>
      <c r="H1860" s="52"/>
    </row>
    <row r="1861" spans="1:8" ht="15.75">
      <c r="A1861" s="50">
        <v>42024</v>
      </c>
      <c r="B1861" s="51">
        <v>1120.07</v>
      </c>
      <c r="C1861" s="52"/>
      <c r="D1861" s="52"/>
      <c r="E1861" s="52"/>
      <c r="F1861" s="52"/>
      <c r="G1861" s="52"/>
      <c r="H1861" s="52"/>
    </row>
    <row r="1862" spans="1:8" ht="15.75">
      <c r="A1862" s="50">
        <v>42025</v>
      </c>
      <c r="B1862" s="51">
        <v>1113.01</v>
      </c>
      <c r="C1862" s="52"/>
      <c r="D1862" s="52"/>
      <c r="E1862" s="52"/>
      <c r="F1862" s="52"/>
      <c r="G1862" s="52"/>
      <c r="H1862" s="52"/>
    </row>
    <row r="1863" spans="1:8" ht="15.75">
      <c r="A1863" s="50">
        <v>42026</v>
      </c>
      <c r="B1863" s="51">
        <v>1146.55</v>
      </c>
      <c r="C1863" s="52"/>
      <c r="D1863" s="52"/>
      <c r="E1863" s="52"/>
      <c r="F1863" s="52"/>
      <c r="G1863" s="52"/>
      <c r="H1863" s="52"/>
    </row>
    <row r="1864" spans="1:8" ht="15.75">
      <c r="A1864" s="50">
        <v>42027</v>
      </c>
      <c r="B1864" s="51">
        <v>1155.8399999999999</v>
      </c>
      <c r="C1864" s="52"/>
      <c r="D1864" s="52"/>
      <c r="E1864" s="52"/>
      <c r="F1864" s="52"/>
      <c r="G1864" s="52"/>
      <c r="H1864" s="52"/>
    </row>
    <row r="1865" spans="1:8" ht="15.75">
      <c r="A1865" s="50">
        <v>42030</v>
      </c>
      <c r="B1865" s="51">
        <v>1139.93</v>
      </c>
      <c r="C1865" s="52"/>
      <c r="D1865" s="52"/>
      <c r="E1865" s="52"/>
      <c r="F1865" s="52"/>
      <c r="G1865" s="52"/>
      <c r="H1865" s="52"/>
    </row>
    <row r="1866" spans="1:8" ht="15.75">
      <c r="A1866" s="50">
        <v>42031</v>
      </c>
      <c r="B1866" s="51">
        <v>1140.08</v>
      </c>
      <c r="C1866" s="52"/>
      <c r="D1866" s="52"/>
      <c r="E1866" s="52"/>
      <c r="F1866" s="52"/>
      <c r="G1866" s="52"/>
      <c r="H1866" s="52"/>
    </row>
    <row r="1867" spans="1:8" ht="15.75">
      <c r="A1867" s="50">
        <v>42032</v>
      </c>
      <c r="B1867" s="51">
        <v>1138.42</v>
      </c>
      <c r="C1867" s="52"/>
      <c r="D1867" s="52"/>
      <c r="E1867" s="52"/>
      <c r="F1867" s="52"/>
      <c r="G1867" s="52"/>
      <c r="H1867" s="52"/>
    </row>
    <row r="1868" spans="1:8" ht="15.75">
      <c r="A1868" s="50">
        <v>42033</v>
      </c>
      <c r="B1868" s="51">
        <v>1110.73</v>
      </c>
      <c r="C1868" s="52"/>
      <c r="D1868" s="52"/>
      <c r="E1868" s="52"/>
      <c r="F1868" s="52"/>
      <c r="G1868" s="52"/>
      <c r="H1868" s="52"/>
    </row>
    <row r="1869" spans="1:8" ht="15.75">
      <c r="A1869" s="50">
        <v>42034</v>
      </c>
      <c r="B1869" s="51">
        <v>1137.44</v>
      </c>
      <c r="C1869" s="52"/>
      <c r="D1869" s="52"/>
      <c r="E1869" s="52"/>
      <c r="F1869" s="52"/>
      <c r="G1869" s="52"/>
      <c r="H1869" s="52"/>
    </row>
    <row r="1870" spans="1:8" ht="15.75">
      <c r="A1870" s="50">
        <v>42037</v>
      </c>
      <c r="B1870" s="51">
        <v>1133.56</v>
      </c>
      <c r="C1870" s="52"/>
      <c r="D1870" s="52"/>
      <c r="E1870" s="52"/>
      <c r="F1870" s="52"/>
      <c r="G1870" s="52"/>
      <c r="H1870" s="52"/>
    </row>
    <row r="1871" spans="1:8" ht="15.75">
      <c r="A1871" s="50">
        <v>42038</v>
      </c>
      <c r="B1871" s="51">
        <v>1099.1400000000001</v>
      </c>
      <c r="C1871" s="52"/>
      <c r="D1871" s="52"/>
      <c r="E1871" s="52"/>
      <c r="F1871" s="52"/>
      <c r="G1871" s="52"/>
      <c r="H1871" s="52"/>
    </row>
    <row r="1872" spans="1:8" ht="15.75">
      <c r="A1872" s="50">
        <v>42039</v>
      </c>
      <c r="B1872" s="51">
        <v>1119.71</v>
      </c>
      <c r="C1872" s="52"/>
      <c r="D1872" s="52"/>
      <c r="E1872" s="52"/>
      <c r="F1872" s="52"/>
      <c r="G1872" s="52"/>
      <c r="H1872" s="52"/>
    </row>
    <row r="1873" spans="1:8" ht="15.75">
      <c r="A1873" s="50">
        <v>42040</v>
      </c>
      <c r="B1873" s="51">
        <v>1101.93</v>
      </c>
      <c r="C1873" s="52"/>
      <c r="D1873" s="52"/>
      <c r="E1873" s="52"/>
      <c r="F1873" s="52"/>
      <c r="G1873" s="52"/>
      <c r="H1873" s="52"/>
    </row>
    <row r="1874" spans="1:8" ht="15.75">
      <c r="A1874" s="50">
        <v>42041</v>
      </c>
      <c r="B1874" s="51">
        <v>1090.5899999999999</v>
      </c>
      <c r="C1874" s="52"/>
      <c r="D1874" s="52"/>
      <c r="E1874" s="52"/>
      <c r="F1874" s="52"/>
      <c r="G1874" s="52"/>
      <c r="H1874" s="52"/>
    </row>
    <row r="1875" spans="1:8" ht="15.75">
      <c r="A1875" s="50">
        <v>42044</v>
      </c>
      <c r="B1875" s="51">
        <v>1093.8</v>
      </c>
      <c r="C1875" s="52"/>
      <c r="D1875" s="52"/>
      <c r="E1875" s="52"/>
      <c r="F1875" s="52"/>
      <c r="G1875" s="52"/>
      <c r="H1875" s="52"/>
    </row>
    <row r="1876" spans="1:8" ht="15.75">
      <c r="A1876" s="50">
        <v>42045</v>
      </c>
      <c r="B1876" s="51">
        <v>1090.1300000000001</v>
      </c>
      <c r="C1876" s="52"/>
      <c r="D1876" s="52"/>
      <c r="E1876" s="52"/>
      <c r="F1876" s="52"/>
      <c r="G1876" s="52"/>
      <c r="H1876" s="52"/>
    </row>
    <row r="1877" spans="1:8" ht="15.75">
      <c r="A1877" s="50">
        <v>42046</v>
      </c>
      <c r="B1877" s="51">
        <v>1073.7</v>
      </c>
      <c r="C1877" s="52"/>
      <c r="D1877" s="52"/>
      <c r="E1877" s="52"/>
      <c r="F1877" s="52"/>
      <c r="G1877" s="52"/>
      <c r="H1877" s="52"/>
    </row>
    <row r="1878" spans="1:8" ht="15.75">
      <c r="A1878" s="50">
        <v>42047</v>
      </c>
      <c r="B1878" s="51">
        <v>1068.77</v>
      </c>
      <c r="C1878" s="52"/>
      <c r="D1878" s="52"/>
      <c r="E1878" s="52"/>
      <c r="F1878" s="52"/>
      <c r="G1878" s="52"/>
      <c r="H1878" s="52"/>
    </row>
    <row r="1879" spans="1:8" ht="15.75">
      <c r="A1879" s="50">
        <v>42048</v>
      </c>
      <c r="B1879" s="51">
        <v>1078.67</v>
      </c>
      <c r="C1879" s="52"/>
      <c r="D1879" s="52"/>
      <c r="E1879" s="52"/>
      <c r="F1879" s="52"/>
      <c r="G1879" s="52"/>
      <c r="H1879" s="52"/>
    </row>
    <row r="1880" spans="1:8" ht="15.75">
      <c r="A1880" s="50">
        <v>42051</v>
      </c>
      <c r="B1880" s="51">
        <v>1085.1400000000001</v>
      </c>
      <c r="C1880" s="52"/>
      <c r="D1880" s="52"/>
      <c r="E1880" s="52"/>
      <c r="F1880" s="52"/>
      <c r="G1880" s="52"/>
      <c r="H1880" s="52"/>
    </row>
    <row r="1881" spans="1:8" ht="15.75">
      <c r="A1881" s="50">
        <v>42052</v>
      </c>
      <c r="B1881" s="51">
        <v>1059.8900000000001</v>
      </c>
      <c r="C1881" s="52"/>
      <c r="D1881" s="52"/>
      <c r="E1881" s="52"/>
      <c r="F1881" s="52"/>
      <c r="G1881" s="52"/>
      <c r="H1881" s="52"/>
    </row>
    <row r="1882" spans="1:8" ht="15.75">
      <c r="A1882" s="50">
        <v>42053</v>
      </c>
      <c r="B1882" s="51">
        <v>1064.73</v>
      </c>
      <c r="C1882" s="52"/>
      <c r="D1882" s="52"/>
      <c r="E1882" s="52"/>
      <c r="F1882" s="52"/>
      <c r="G1882" s="52"/>
      <c r="H1882" s="52"/>
    </row>
    <row r="1883" spans="1:8" ht="15.75">
      <c r="A1883" s="50">
        <v>42054</v>
      </c>
      <c r="B1883" s="51">
        <v>1062.25</v>
      </c>
      <c r="C1883" s="52"/>
      <c r="D1883" s="52"/>
      <c r="E1883" s="52"/>
      <c r="F1883" s="52"/>
      <c r="G1883" s="52"/>
      <c r="H1883" s="52"/>
    </row>
    <row r="1884" spans="1:8" ht="15.75">
      <c r="A1884" s="50">
        <v>42055</v>
      </c>
      <c r="B1884" s="51">
        <v>1056.3</v>
      </c>
      <c r="C1884" s="52"/>
      <c r="D1884" s="52"/>
      <c r="E1884" s="52"/>
      <c r="F1884" s="52"/>
      <c r="G1884" s="52"/>
      <c r="H1884" s="52"/>
    </row>
    <row r="1885" spans="1:8" ht="15.75">
      <c r="A1885" s="50">
        <v>42058</v>
      </c>
      <c r="B1885" s="51">
        <v>1059.71</v>
      </c>
      <c r="C1885" s="52"/>
      <c r="D1885" s="52"/>
      <c r="E1885" s="52"/>
      <c r="F1885" s="52"/>
      <c r="G1885" s="52"/>
      <c r="H1885" s="52"/>
    </row>
    <row r="1886" spans="1:8" ht="15.75">
      <c r="A1886" s="50">
        <v>42059</v>
      </c>
      <c r="B1886" s="51">
        <v>1059.03</v>
      </c>
      <c r="C1886" s="52"/>
      <c r="D1886" s="52"/>
      <c r="E1886" s="52"/>
      <c r="F1886" s="52"/>
      <c r="G1886" s="52"/>
      <c r="H1886" s="52"/>
    </row>
    <row r="1887" spans="1:8" ht="15.75">
      <c r="A1887" s="50">
        <v>42060</v>
      </c>
      <c r="B1887" s="51">
        <v>1059.52</v>
      </c>
      <c r="C1887" s="52"/>
      <c r="D1887" s="52"/>
      <c r="E1887" s="52"/>
      <c r="F1887" s="52"/>
      <c r="G1887" s="52"/>
      <c r="H1887" s="52"/>
    </row>
    <row r="1888" spans="1:8" ht="15.75">
      <c r="A1888" s="50">
        <v>42061</v>
      </c>
      <c r="B1888" s="51">
        <v>1079.98</v>
      </c>
      <c r="C1888" s="52"/>
      <c r="D1888" s="52"/>
      <c r="E1888" s="52"/>
      <c r="F1888" s="52"/>
      <c r="G1888" s="52"/>
      <c r="H1888" s="52"/>
    </row>
    <row r="1889" spans="1:8" ht="15.75">
      <c r="A1889" s="50">
        <v>42062</v>
      </c>
      <c r="B1889" s="51">
        <v>1084.04</v>
      </c>
      <c r="C1889" s="52"/>
      <c r="D1889" s="52"/>
      <c r="E1889" s="52"/>
      <c r="F1889" s="52"/>
      <c r="G1889" s="52"/>
      <c r="H1889" s="52"/>
    </row>
    <row r="1890" spans="1:8" ht="15.75">
      <c r="A1890" s="50">
        <v>42065</v>
      </c>
      <c r="B1890" s="51">
        <v>1078.93</v>
      </c>
      <c r="C1890" s="52"/>
      <c r="D1890" s="52"/>
      <c r="E1890" s="52"/>
      <c r="F1890" s="52"/>
      <c r="G1890" s="52"/>
      <c r="H1890" s="52"/>
    </row>
    <row r="1891" spans="1:8" ht="15.75">
      <c r="A1891" s="50">
        <v>42066</v>
      </c>
      <c r="B1891" s="51">
        <v>1077.0999999999999</v>
      </c>
      <c r="C1891" s="52"/>
      <c r="D1891" s="52"/>
      <c r="E1891" s="52"/>
      <c r="F1891" s="52"/>
      <c r="G1891" s="52"/>
      <c r="H1891" s="52"/>
    </row>
    <row r="1892" spans="1:8" ht="15.75">
      <c r="A1892" s="50">
        <v>42067</v>
      </c>
      <c r="B1892" s="51">
        <v>1081.1300000000001</v>
      </c>
      <c r="C1892" s="52"/>
      <c r="D1892" s="52"/>
      <c r="E1892" s="52"/>
      <c r="F1892" s="52"/>
      <c r="G1892" s="52"/>
      <c r="H1892" s="52"/>
    </row>
    <row r="1893" spans="1:8" ht="15.75">
      <c r="A1893" s="50">
        <v>42068</v>
      </c>
      <c r="B1893" s="51">
        <v>1081.2</v>
      </c>
      <c r="C1893" s="52"/>
      <c r="D1893" s="52"/>
      <c r="E1893" s="52"/>
      <c r="F1893" s="52"/>
      <c r="G1893" s="52"/>
      <c r="H1893" s="52"/>
    </row>
    <row r="1894" spans="1:8" ht="15.75">
      <c r="A1894" s="50">
        <v>42069</v>
      </c>
      <c r="B1894" s="51">
        <v>1077.74</v>
      </c>
      <c r="C1894" s="52"/>
      <c r="D1894" s="52"/>
      <c r="E1894" s="52"/>
      <c r="F1894" s="52"/>
      <c r="G1894" s="52"/>
      <c r="H1894" s="52"/>
    </row>
    <row r="1895" spans="1:8" ht="15.75">
      <c r="A1895" s="50">
        <v>42071</v>
      </c>
      <c r="B1895" s="51">
        <v>1080.42</v>
      </c>
      <c r="C1895" s="52"/>
      <c r="D1895" s="52"/>
      <c r="E1895" s="52"/>
      <c r="F1895" s="52"/>
      <c r="G1895" s="52"/>
      <c r="H1895" s="52"/>
    </row>
    <row r="1896" spans="1:8" ht="15.75">
      <c r="A1896" s="50">
        <v>42072</v>
      </c>
      <c r="B1896" s="51">
        <v>1075.8</v>
      </c>
      <c r="C1896" s="52"/>
      <c r="D1896" s="52"/>
      <c r="E1896" s="52"/>
      <c r="F1896" s="52"/>
      <c r="G1896" s="52"/>
      <c r="H1896" s="52"/>
    </row>
    <row r="1897" spans="1:8" ht="15.75">
      <c r="A1897" s="50">
        <v>42073</v>
      </c>
      <c r="B1897" s="51">
        <v>1088.47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42074</v>
      </c>
      <c r="B1898" s="51">
        <v>1095.74</v>
      </c>
      <c r="C1898" s="52"/>
      <c r="D1898" s="52"/>
      <c r="E1898" s="52"/>
      <c r="F1898" s="52"/>
      <c r="G1898" s="52"/>
      <c r="H1898" s="52"/>
    </row>
    <row r="1899" spans="1:8" ht="15.75">
      <c r="A1899" s="50">
        <v>42075</v>
      </c>
      <c r="B1899" s="51">
        <v>1086.71</v>
      </c>
      <c r="C1899" s="52"/>
      <c r="D1899" s="52"/>
      <c r="E1899" s="52"/>
      <c r="F1899" s="52"/>
      <c r="G1899" s="52"/>
      <c r="H1899" s="52"/>
    </row>
    <row r="1900" spans="1:8" ht="15.75">
      <c r="A1900" s="50">
        <v>42076</v>
      </c>
      <c r="B1900" s="51">
        <v>1104.58</v>
      </c>
      <c r="C1900" s="52"/>
      <c r="D1900" s="52"/>
      <c r="E1900" s="52"/>
      <c r="F1900" s="52"/>
      <c r="G1900" s="52"/>
      <c r="H1900" s="52"/>
    </row>
    <row r="1901" spans="1:8" ht="15.75">
      <c r="A1901" s="50">
        <v>42078</v>
      </c>
      <c r="B1901" s="51">
        <v>1101.93</v>
      </c>
      <c r="C1901" s="52"/>
      <c r="D1901" s="52"/>
      <c r="E1901" s="52"/>
      <c r="F1901" s="52"/>
      <c r="G1901" s="52"/>
      <c r="H1901" s="52"/>
    </row>
    <row r="1902" spans="1:8" ht="15.75">
      <c r="A1902" s="50">
        <v>42079</v>
      </c>
      <c r="B1902" s="51">
        <v>1092.43</v>
      </c>
      <c r="C1902" s="52"/>
      <c r="D1902" s="52"/>
      <c r="E1902" s="52"/>
      <c r="F1902" s="52"/>
      <c r="G1902" s="52"/>
      <c r="H1902" s="52"/>
    </row>
    <row r="1903" spans="1:8" ht="15.75">
      <c r="A1903" s="50">
        <v>42080</v>
      </c>
      <c r="B1903" s="51">
        <v>1085.48</v>
      </c>
      <c r="C1903" s="52"/>
      <c r="D1903" s="52"/>
      <c r="E1903" s="52"/>
      <c r="F1903" s="52"/>
      <c r="G1903" s="52"/>
      <c r="H1903" s="52"/>
    </row>
    <row r="1904" spans="1:8" ht="15.75">
      <c r="A1904" s="50">
        <v>42081</v>
      </c>
      <c r="B1904" s="51">
        <v>1078.9100000000001</v>
      </c>
      <c r="C1904" s="52"/>
      <c r="D1904" s="52"/>
      <c r="E1904" s="52"/>
      <c r="F1904" s="52"/>
      <c r="G1904" s="52"/>
      <c r="H1904" s="52"/>
    </row>
    <row r="1905" spans="1:8" ht="15.75">
      <c r="A1905" s="50">
        <v>42082</v>
      </c>
      <c r="B1905" s="51">
        <v>1097.82</v>
      </c>
      <c r="C1905" s="52"/>
      <c r="D1905" s="52"/>
      <c r="E1905" s="52"/>
      <c r="F1905" s="52"/>
      <c r="G1905" s="52"/>
      <c r="H1905" s="52"/>
    </row>
    <row r="1906" spans="1:8" ht="15.75">
      <c r="A1906" s="50">
        <v>42083</v>
      </c>
      <c r="B1906" s="51">
        <v>1093.1099999999999</v>
      </c>
      <c r="C1906" s="52"/>
      <c r="D1906" s="52"/>
      <c r="E1906" s="52"/>
      <c r="F1906" s="52"/>
      <c r="G1906" s="52"/>
      <c r="H1906" s="52"/>
    </row>
    <row r="1907" spans="1:8" ht="15.75">
      <c r="A1907" s="50">
        <v>42085</v>
      </c>
      <c r="B1907" s="51">
        <v>1093.95</v>
      </c>
      <c r="C1907" s="52"/>
      <c r="D1907" s="52"/>
      <c r="E1907" s="52"/>
      <c r="F1907" s="52"/>
      <c r="G1907" s="52"/>
      <c r="H1907" s="52"/>
    </row>
    <row r="1908" spans="1:8" ht="15.75">
      <c r="A1908" s="50">
        <v>42086</v>
      </c>
      <c r="B1908" s="51">
        <v>1085.6300000000001</v>
      </c>
      <c r="C1908" s="52"/>
      <c r="D1908" s="52"/>
      <c r="E1908" s="52"/>
      <c r="F1908" s="52"/>
      <c r="G1908" s="52"/>
      <c r="H1908" s="52"/>
    </row>
    <row r="1909" spans="1:8" ht="15.75">
      <c r="A1909" s="50">
        <v>42087</v>
      </c>
      <c r="B1909" s="51">
        <v>1092.8900000000001</v>
      </c>
      <c r="C1909" s="52"/>
      <c r="D1909" s="52"/>
      <c r="E1909" s="52"/>
      <c r="F1909" s="52"/>
      <c r="G1909" s="52"/>
      <c r="H1909" s="52"/>
    </row>
    <row r="1910" spans="1:8" ht="15.75">
      <c r="A1910" s="50">
        <v>42088</v>
      </c>
      <c r="B1910" s="51">
        <v>1090.0999999999999</v>
      </c>
      <c r="C1910" s="52"/>
      <c r="D1910" s="52"/>
      <c r="E1910" s="52"/>
      <c r="F1910" s="52"/>
      <c r="G1910" s="52"/>
      <c r="H1910" s="52"/>
    </row>
    <row r="1911" spans="1:8" ht="15.75">
      <c r="A1911" s="50">
        <v>42089</v>
      </c>
      <c r="B1911" s="51">
        <v>1107.43</v>
      </c>
      <c r="C1911" s="52"/>
      <c r="D1911" s="52"/>
      <c r="E1911" s="52"/>
      <c r="F1911" s="52"/>
      <c r="G1911" s="52"/>
      <c r="H1911" s="52"/>
    </row>
    <row r="1912" spans="1:8" ht="15.75">
      <c r="A1912" s="50">
        <v>42090</v>
      </c>
      <c r="B1912" s="51">
        <v>1101.18</v>
      </c>
      <c r="C1912" s="52"/>
      <c r="D1912" s="52"/>
      <c r="E1912" s="52"/>
      <c r="F1912" s="52"/>
      <c r="G1912" s="52"/>
      <c r="H1912" s="52"/>
    </row>
    <row r="1913" spans="1:8" ht="15.75">
      <c r="A1913" s="50">
        <v>42092</v>
      </c>
      <c r="B1913" s="51">
        <v>1101.49</v>
      </c>
      <c r="C1913" s="52"/>
      <c r="D1913" s="52"/>
      <c r="E1913" s="52"/>
      <c r="F1913" s="52"/>
      <c r="G1913" s="52"/>
      <c r="H1913" s="52"/>
    </row>
    <row r="1914" spans="1:8" ht="15.75">
      <c r="A1914" s="50">
        <v>42093</v>
      </c>
      <c r="B1914" s="51">
        <v>1095.8</v>
      </c>
      <c r="C1914" s="52"/>
      <c r="D1914" s="52"/>
      <c r="E1914" s="52"/>
      <c r="F1914" s="52"/>
      <c r="G1914" s="52"/>
      <c r="H1914" s="52"/>
    </row>
    <row r="1915" spans="1:8" ht="15.75">
      <c r="A1915" s="50">
        <v>42094</v>
      </c>
      <c r="B1915" s="51">
        <v>1101.75</v>
      </c>
      <c r="C1915" s="52"/>
      <c r="D1915" s="52"/>
      <c r="E1915" s="52"/>
      <c r="F1915" s="52"/>
      <c r="G1915" s="52"/>
      <c r="H1915" s="52"/>
    </row>
    <row r="1916" spans="1:8" ht="15.75">
      <c r="A1916" s="50">
        <v>42095</v>
      </c>
      <c r="B1916" s="51">
        <v>1118.21</v>
      </c>
      <c r="C1916" s="52"/>
      <c r="D1916" s="52"/>
      <c r="E1916" s="52"/>
      <c r="F1916" s="52"/>
      <c r="G1916" s="52"/>
      <c r="H1916" s="52"/>
    </row>
    <row r="1917" spans="1:8" ht="15.75">
      <c r="A1917" s="50">
        <v>42096</v>
      </c>
      <c r="B1917" s="51">
        <v>1098.17</v>
      </c>
      <c r="C1917" s="52"/>
      <c r="D1917" s="52"/>
      <c r="E1917" s="52"/>
      <c r="F1917" s="52"/>
      <c r="G1917" s="52"/>
      <c r="H1917" s="52"/>
    </row>
    <row r="1918" spans="1:8" ht="15.75">
      <c r="A1918" s="50">
        <v>42100</v>
      </c>
      <c r="B1918" s="51">
        <v>1110.94</v>
      </c>
      <c r="C1918" s="52"/>
      <c r="D1918" s="52"/>
      <c r="E1918" s="52"/>
      <c r="F1918" s="52"/>
      <c r="G1918" s="52"/>
      <c r="H1918" s="52"/>
    </row>
    <row r="1919" spans="1:8" ht="15.75">
      <c r="A1919" s="50">
        <v>42101</v>
      </c>
      <c r="B1919" s="51">
        <v>1117.94</v>
      </c>
      <c r="C1919" s="52"/>
      <c r="D1919" s="52"/>
      <c r="E1919" s="52"/>
      <c r="F1919" s="52"/>
      <c r="G1919" s="52"/>
      <c r="H1919" s="52"/>
    </row>
    <row r="1920" spans="1:8" ht="15.75">
      <c r="A1920" s="50">
        <v>42102</v>
      </c>
      <c r="B1920" s="51">
        <v>1115.46</v>
      </c>
      <c r="C1920" s="52"/>
      <c r="D1920" s="52"/>
      <c r="E1920" s="52"/>
      <c r="F1920" s="52"/>
      <c r="G1920" s="52"/>
      <c r="H1920" s="52"/>
    </row>
    <row r="1921" spans="1:8" ht="15.75">
      <c r="A1921" s="50">
        <v>42103</v>
      </c>
      <c r="B1921" s="51">
        <v>1120.22</v>
      </c>
      <c r="C1921" s="52"/>
      <c r="D1921" s="52"/>
      <c r="E1921" s="52"/>
      <c r="F1921" s="52"/>
      <c r="G1921" s="52"/>
      <c r="H1921" s="52"/>
    </row>
    <row r="1922" spans="1:8" ht="15.75">
      <c r="A1922" s="50">
        <v>42104</v>
      </c>
      <c r="B1922" s="51">
        <v>1141.18</v>
      </c>
      <c r="C1922" s="52"/>
      <c r="D1922" s="52"/>
      <c r="E1922" s="52"/>
      <c r="F1922" s="52"/>
      <c r="G1922" s="52"/>
      <c r="H1922" s="52"/>
    </row>
    <row r="1923" spans="1:8" ht="15.75">
      <c r="A1923" s="50">
        <v>42107</v>
      </c>
      <c r="B1923" s="51">
        <v>1134.31</v>
      </c>
      <c r="C1923" s="52"/>
      <c r="D1923" s="52"/>
      <c r="E1923" s="52"/>
      <c r="F1923" s="52"/>
      <c r="G1923" s="52"/>
      <c r="H1923" s="52"/>
    </row>
    <row r="1924" spans="1:8" ht="15.75">
      <c r="A1924" s="50">
        <v>42108</v>
      </c>
      <c r="B1924" s="51">
        <v>1119.24</v>
      </c>
      <c r="C1924" s="52"/>
      <c r="D1924" s="52"/>
      <c r="E1924" s="52"/>
      <c r="F1924" s="52"/>
      <c r="G1924" s="52"/>
      <c r="H1924" s="52"/>
    </row>
    <row r="1925" spans="1:8" ht="15.75">
      <c r="A1925" s="50">
        <v>42109</v>
      </c>
      <c r="B1925" s="51">
        <v>1125.3</v>
      </c>
      <c r="C1925" s="52"/>
      <c r="D1925" s="52"/>
      <c r="E1925" s="52"/>
      <c r="F1925" s="52"/>
      <c r="G1925" s="52"/>
      <c r="H1925" s="52"/>
    </row>
    <row r="1926" spans="1:8" ht="15.75">
      <c r="A1926" s="50">
        <v>42110</v>
      </c>
      <c r="B1926" s="51">
        <v>1113.33</v>
      </c>
      <c r="C1926" s="52"/>
      <c r="D1926" s="52"/>
      <c r="E1926" s="52"/>
      <c r="F1926" s="52"/>
      <c r="G1926" s="52"/>
      <c r="H1926" s="52"/>
    </row>
    <row r="1927" spans="1:8" ht="15.75">
      <c r="A1927" s="50">
        <v>42111</v>
      </c>
      <c r="B1927" s="51">
        <v>1114.8</v>
      </c>
      <c r="C1927" s="52"/>
      <c r="D1927" s="52"/>
      <c r="E1927" s="52"/>
      <c r="F1927" s="52"/>
      <c r="G1927" s="52"/>
      <c r="H1927" s="52"/>
    </row>
    <row r="1928" spans="1:8" ht="15.75">
      <c r="A1928" s="50">
        <v>42114</v>
      </c>
      <c r="B1928" s="51">
        <v>1108.72</v>
      </c>
      <c r="C1928" s="52"/>
      <c r="D1928" s="52"/>
      <c r="E1928" s="52"/>
      <c r="F1928" s="52"/>
      <c r="G1928" s="52"/>
      <c r="H1928" s="52"/>
    </row>
    <row r="1929" spans="1:8" ht="15.75">
      <c r="A1929" s="50">
        <v>42115</v>
      </c>
      <c r="B1929" s="51">
        <v>1119.81</v>
      </c>
      <c r="C1929" s="52"/>
      <c r="D1929" s="52"/>
      <c r="E1929" s="52"/>
      <c r="F1929" s="52"/>
      <c r="G1929" s="52"/>
      <c r="H1929" s="52"/>
    </row>
    <row r="1930" spans="1:8" ht="15.75">
      <c r="A1930" s="50">
        <v>42116</v>
      </c>
      <c r="B1930" s="51">
        <v>1107.51</v>
      </c>
      <c r="C1930" s="52"/>
      <c r="D1930" s="52"/>
      <c r="E1930" s="52"/>
      <c r="F1930" s="52"/>
      <c r="G1930" s="52"/>
      <c r="H1930" s="52"/>
    </row>
    <row r="1931" spans="1:8" ht="15.75">
      <c r="A1931" s="50">
        <v>42117</v>
      </c>
      <c r="B1931" s="51">
        <v>1103.46</v>
      </c>
      <c r="C1931" s="52"/>
      <c r="D1931" s="52"/>
      <c r="E1931" s="52"/>
      <c r="F1931" s="52"/>
      <c r="G1931" s="52"/>
      <c r="H1931" s="52"/>
    </row>
    <row r="1932" spans="1:8" ht="15.75">
      <c r="A1932" s="50">
        <v>42118</v>
      </c>
      <c r="B1932" s="51">
        <v>1084.74</v>
      </c>
      <c r="C1932" s="52"/>
      <c r="D1932" s="52"/>
      <c r="E1932" s="52"/>
      <c r="F1932" s="52"/>
      <c r="G1932" s="52"/>
      <c r="H1932" s="52"/>
    </row>
    <row r="1933" spans="1:8" ht="15.75">
      <c r="A1933" s="50">
        <v>42121</v>
      </c>
      <c r="B1933" s="51">
        <v>1104.47</v>
      </c>
      <c r="C1933" s="52"/>
      <c r="D1933" s="52"/>
      <c r="E1933" s="52"/>
      <c r="F1933" s="52"/>
      <c r="G1933" s="52"/>
      <c r="H1933" s="52"/>
    </row>
    <row r="1934" spans="1:8" ht="15.75">
      <c r="A1934" s="50">
        <v>42122</v>
      </c>
      <c r="B1934" s="51">
        <v>1104.22</v>
      </c>
      <c r="C1934" s="52"/>
      <c r="D1934" s="52"/>
      <c r="E1934" s="52"/>
      <c r="F1934" s="52"/>
      <c r="G1934" s="52"/>
      <c r="H1934" s="52"/>
    </row>
    <row r="1935" spans="1:8" ht="15.75">
      <c r="A1935" s="50">
        <v>42123</v>
      </c>
      <c r="B1935" s="51">
        <v>1087.33</v>
      </c>
      <c r="C1935" s="52"/>
      <c r="D1935" s="52"/>
      <c r="E1935" s="52"/>
      <c r="F1935" s="52"/>
      <c r="G1935" s="52"/>
      <c r="H1935" s="52"/>
    </row>
    <row r="1936" spans="1:8" ht="15.75">
      <c r="A1936" s="50">
        <v>42124</v>
      </c>
      <c r="B1936" s="51">
        <v>1058.24</v>
      </c>
      <c r="C1936" s="52"/>
      <c r="D1936" s="52"/>
      <c r="E1936" s="52"/>
      <c r="F1936" s="52"/>
      <c r="G1936" s="52"/>
      <c r="H1936" s="52"/>
    </row>
    <row r="1937" spans="1:8" ht="15.75">
      <c r="A1937" s="50">
        <v>42125</v>
      </c>
      <c r="B1937" s="51">
        <v>1052.1400000000001</v>
      </c>
      <c r="C1937" s="52"/>
      <c r="D1937" s="52"/>
      <c r="E1937" s="52"/>
      <c r="F1937" s="52"/>
      <c r="G1937" s="52"/>
      <c r="H1937" s="52"/>
    </row>
    <row r="1938" spans="1:8" ht="15.75">
      <c r="A1938" s="50">
        <v>42127</v>
      </c>
      <c r="B1938" s="51">
        <v>1052.33</v>
      </c>
      <c r="C1938" s="52"/>
      <c r="D1938" s="52"/>
      <c r="E1938" s="52"/>
      <c r="F1938" s="52"/>
      <c r="G1938" s="52"/>
      <c r="H1938" s="52"/>
    </row>
    <row r="1939" spans="1:8" ht="15.75">
      <c r="A1939" s="50">
        <v>42128</v>
      </c>
      <c r="B1939" s="51">
        <v>1065.75</v>
      </c>
      <c r="C1939" s="52"/>
      <c r="D1939" s="52"/>
      <c r="E1939" s="52"/>
      <c r="F1939" s="52"/>
      <c r="G1939" s="52"/>
      <c r="H1939" s="52"/>
    </row>
    <row r="1940" spans="1:8" ht="15.75">
      <c r="A1940" s="50">
        <v>42129</v>
      </c>
      <c r="B1940" s="51">
        <v>1066.6199999999999</v>
      </c>
      <c r="C1940" s="52"/>
      <c r="D1940" s="52"/>
      <c r="E1940" s="52"/>
      <c r="F1940" s="52"/>
      <c r="G1940" s="52"/>
      <c r="H1940" s="52"/>
    </row>
    <row r="1941" spans="1:8" ht="15.75">
      <c r="A1941" s="50">
        <v>42130</v>
      </c>
      <c r="B1941" s="51">
        <v>1050.32</v>
      </c>
      <c r="C1941" s="52"/>
      <c r="D1941" s="52"/>
      <c r="E1941" s="52"/>
      <c r="F1941" s="52"/>
      <c r="G1941" s="52"/>
      <c r="H1941" s="52"/>
    </row>
    <row r="1942" spans="1:8" ht="15.75">
      <c r="A1942" s="50">
        <v>42131</v>
      </c>
      <c r="B1942" s="51">
        <v>1053.1600000000001</v>
      </c>
      <c r="C1942" s="52"/>
      <c r="D1942" s="52"/>
      <c r="E1942" s="52"/>
      <c r="F1942" s="52"/>
      <c r="G1942" s="52"/>
      <c r="H1942" s="52"/>
    </row>
    <row r="1943" spans="1:8" ht="15.75">
      <c r="A1943" s="50">
        <v>42132</v>
      </c>
      <c r="B1943" s="51">
        <v>1058.45</v>
      </c>
      <c r="C1943" s="52"/>
      <c r="D1943" s="52"/>
      <c r="E1943" s="52"/>
      <c r="F1943" s="52"/>
      <c r="G1943" s="52"/>
      <c r="H1943" s="52"/>
    </row>
    <row r="1944" spans="1:8" ht="15.75">
      <c r="A1944" s="50">
        <v>42135</v>
      </c>
      <c r="B1944" s="51">
        <v>1061.4000000000001</v>
      </c>
      <c r="C1944" s="52"/>
      <c r="D1944" s="52"/>
      <c r="E1944" s="52"/>
      <c r="F1944" s="52"/>
      <c r="G1944" s="52"/>
      <c r="H1944" s="52"/>
    </row>
    <row r="1945" spans="1:8" ht="15.75">
      <c r="A1945" s="50">
        <v>42136</v>
      </c>
      <c r="B1945" s="51">
        <v>1063.92</v>
      </c>
      <c r="C1945" s="52"/>
      <c r="D1945" s="52"/>
      <c r="E1945" s="52"/>
      <c r="F1945" s="52"/>
      <c r="G1945" s="52"/>
      <c r="H1945" s="52"/>
    </row>
    <row r="1946" spans="1:8" ht="15.75">
      <c r="A1946" s="50">
        <v>42137</v>
      </c>
      <c r="B1946" s="51">
        <v>1070.9100000000001</v>
      </c>
      <c r="C1946" s="52"/>
      <c r="D1946" s="52"/>
      <c r="E1946" s="52"/>
      <c r="F1946" s="52"/>
      <c r="G1946" s="52"/>
      <c r="H1946" s="52"/>
    </row>
    <row r="1947" spans="1:8" ht="15.75">
      <c r="A1947" s="50">
        <v>42138</v>
      </c>
      <c r="B1947" s="51">
        <v>1067.5</v>
      </c>
      <c r="C1947" s="52"/>
      <c r="D1947" s="52"/>
      <c r="E1947" s="52"/>
      <c r="F1947" s="52"/>
      <c r="G1947" s="52"/>
      <c r="H1947" s="52"/>
    </row>
    <row r="1948" spans="1:8" ht="15.75">
      <c r="A1948" s="50">
        <v>42139</v>
      </c>
      <c r="B1948" s="51">
        <v>1074.8499999999999</v>
      </c>
      <c r="C1948" s="52"/>
      <c r="D1948" s="52"/>
      <c r="E1948" s="52"/>
      <c r="F1948" s="52"/>
      <c r="G1948" s="52"/>
      <c r="H1948" s="52"/>
    </row>
    <row r="1949" spans="1:8" ht="15.75">
      <c r="A1949" s="50">
        <v>42142</v>
      </c>
      <c r="B1949" s="51">
        <v>1083.3399999999999</v>
      </c>
      <c r="C1949" s="52"/>
      <c r="D1949" s="52"/>
      <c r="E1949" s="52"/>
      <c r="F1949" s="52"/>
      <c r="G1949" s="52"/>
      <c r="H1949" s="52"/>
    </row>
    <row r="1950" spans="1:8" ht="15.75">
      <c r="A1950" s="50">
        <v>42143</v>
      </c>
      <c r="B1950" s="51">
        <v>1087.47</v>
      </c>
      <c r="C1950" s="52"/>
      <c r="D1950" s="52"/>
      <c r="E1950" s="52"/>
      <c r="F1950" s="52"/>
      <c r="G1950" s="52"/>
      <c r="H1950" s="52"/>
    </row>
    <row r="1951" spans="1:8" ht="15.75">
      <c r="A1951" s="50">
        <v>42144</v>
      </c>
      <c r="B1951" s="51">
        <v>1090.5899999999999</v>
      </c>
      <c r="C1951" s="52"/>
      <c r="D1951" s="52"/>
      <c r="E1951" s="52"/>
      <c r="F1951" s="52"/>
      <c r="G1951" s="52"/>
      <c r="H1951" s="52"/>
    </row>
    <row r="1952" spans="1:8" ht="15.75">
      <c r="A1952" s="50">
        <v>42145</v>
      </c>
      <c r="B1952" s="51">
        <v>1086.5</v>
      </c>
      <c r="C1952" s="52"/>
      <c r="D1952" s="52"/>
      <c r="E1952" s="52"/>
      <c r="F1952" s="52"/>
      <c r="G1952" s="52"/>
      <c r="H1952" s="52"/>
    </row>
    <row r="1953" spans="1:8" ht="15.75">
      <c r="A1953" s="50">
        <v>42146</v>
      </c>
      <c r="B1953" s="51">
        <v>1095.02</v>
      </c>
      <c r="C1953" s="52"/>
      <c r="D1953" s="52"/>
      <c r="E1953" s="52"/>
      <c r="F1953" s="52"/>
      <c r="G1953" s="52"/>
      <c r="H1953" s="52"/>
    </row>
    <row r="1954" spans="1:8" ht="15.75">
      <c r="A1954" s="50">
        <v>42149</v>
      </c>
      <c r="B1954" s="51">
        <v>1093.8599999999999</v>
      </c>
      <c r="C1954" s="52"/>
      <c r="D1954" s="52"/>
      <c r="E1954" s="52"/>
      <c r="F1954" s="52"/>
      <c r="G1954" s="52"/>
      <c r="H1954" s="52"/>
    </row>
    <row r="1955" spans="1:8" ht="15.75">
      <c r="A1955" s="50">
        <v>42150</v>
      </c>
      <c r="B1955" s="51">
        <v>1087.17</v>
      </c>
      <c r="C1955" s="52"/>
      <c r="D1955" s="52"/>
      <c r="E1955" s="52"/>
      <c r="F1955" s="52"/>
      <c r="G1955" s="52"/>
      <c r="H1955" s="52"/>
    </row>
    <row r="1956" spans="1:8" ht="15.75">
      <c r="A1956" s="50">
        <v>42151</v>
      </c>
      <c r="B1956" s="51">
        <v>1090.05</v>
      </c>
      <c r="C1956" s="52"/>
      <c r="D1956" s="52"/>
      <c r="E1956" s="52"/>
      <c r="F1956" s="52"/>
      <c r="G1956" s="52"/>
      <c r="H1956" s="52"/>
    </row>
    <row r="1957" spans="1:8" ht="15.75">
      <c r="A1957" s="50">
        <v>42152</v>
      </c>
      <c r="B1957" s="51">
        <v>1084.25</v>
      </c>
      <c r="C1957" s="52"/>
      <c r="D1957" s="52"/>
      <c r="E1957" s="52"/>
      <c r="F1957" s="52"/>
      <c r="G1957" s="52"/>
      <c r="H1957" s="52"/>
    </row>
    <row r="1958" spans="1:8" ht="15.75">
      <c r="A1958" s="50">
        <v>42153</v>
      </c>
      <c r="B1958" s="51">
        <v>1091.3</v>
      </c>
      <c r="C1958" s="52"/>
      <c r="D1958" s="52"/>
      <c r="E1958" s="52"/>
      <c r="F1958" s="52"/>
      <c r="G1958" s="52"/>
      <c r="H1958" s="52"/>
    </row>
    <row r="1959" spans="1:8" ht="15.75">
      <c r="A1959" s="50">
        <v>42156</v>
      </c>
      <c r="B1959" s="51">
        <v>1088.67</v>
      </c>
      <c r="C1959" s="52"/>
      <c r="D1959" s="52"/>
      <c r="E1959" s="52"/>
      <c r="F1959" s="52"/>
      <c r="G1959" s="52"/>
      <c r="H1959" s="52"/>
    </row>
    <row r="1960" spans="1:8" ht="15.75">
      <c r="A1960" s="50">
        <v>42157</v>
      </c>
      <c r="B1960" s="51">
        <v>1070.3</v>
      </c>
      <c r="C1960" s="52"/>
      <c r="D1960" s="52"/>
      <c r="E1960" s="52"/>
      <c r="F1960" s="52"/>
      <c r="G1960" s="52"/>
      <c r="H1960" s="52"/>
    </row>
    <row r="1961" spans="1:8" ht="15.75">
      <c r="A1961" s="50">
        <v>42158</v>
      </c>
      <c r="B1961" s="51">
        <v>1051.82</v>
      </c>
      <c r="C1961" s="52"/>
      <c r="D1961" s="52"/>
      <c r="E1961" s="52"/>
      <c r="F1961" s="52"/>
      <c r="G1961" s="52"/>
      <c r="H1961" s="52"/>
    </row>
    <row r="1962" spans="1:8" ht="15.75">
      <c r="A1962" s="50">
        <v>42159</v>
      </c>
      <c r="B1962" s="51">
        <v>1048.73</v>
      </c>
      <c r="C1962" s="52"/>
      <c r="D1962" s="52"/>
      <c r="E1962" s="52"/>
      <c r="F1962" s="52"/>
      <c r="G1962" s="52"/>
      <c r="H1962" s="52"/>
    </row>
    <row r="1963" spans="1:8" ht="15.75">
      <c r="A1963" s="50">
        <v>42160</v>
      </c>
      <c r="B1963" s="51">
        <v>1054.6199999999999</v>
      </c>
      <c r="C1963" s="52"/>
      <c r="D1963" s="52"/>
      <c r="E1963" s="52"/>
      <c r="F1963" s="52"/>
      <c r="G1963" s="52"/>
      <c r="H1963" s="52"/>
    </row>
    <row r="1964" spans="1:8" ht="15.75">
      <c r="A1964" s="50">
        <v>42163</v>
      </c>
      <c r="B1964" s="51">
        <v>1040.3599999999999</v>
      </c>
      <c r="C1964" s="52"/>
      <c r="D1964" s="52"/>
      <c r="E1964" s="52"/>
      <c r="F1964" s="52"/>
      <c r="G1964" s="52"/>
      <c r="H1964" s="52"/>
    </row>
    <row r="1965" spans="1:8" ht="15.75">
      <c r="A1965" s="50">
        <v>42164</v>
      </c>
      <c r="B1965" s="51">
        <v>1043.3599999999999</v>
      </c>
      <c r="C1965" s="52"/>
      <c r="D1965" s="52"/>
      <c r="E1965" s="52"/>
      <c r="F1965" s="52"/>
      <c r="G1965" s="52"/>
      <c r="H1965" s="52"/>
    </row>
    <row r="1966" spans="1:8" ht="15.75">
      <c r="A1966" s="50">
        <v>42165</v>
      </c>
      <c r="B1966" s="51">
        <v>1047.48</v>
      </c>
      <c r="C1966" s="52"/>
      <c r="D1966" s="52"/>
      <c r="E1966" s="52"/>
      <c r="F1966" s="52"/>
      <c r="G1966" s="52"/>
      <c r="H1966" s="52"/>
    </row>
    <row r="1967" spans="1:8" ht="15.75">
      <c r="A1967" s="50">
        <v>42166</v>
      </c>
      <c r="B1967" s="51">
        <v>1056.1400000000001</v>
      </c>
      <c r="C1967" s="52"/>
      <c r="D1967" s="52"/>
      <c r="E1967" s="52"/>
      <c r="F1967" s="52"/>
      <c r="G1967" s="52"/>
      <c r="H1967" s="52"/>
    </row>
    <row r="1968" spans="1:8" ht="15.75">
      <c r="A1968" s="50">
        <v>42167</v>
      </c>
      <c r="B1968" s="51">
        <v>1049.1099999999999</v>
      </c>
      <c r="C1968" s="52"/>
      <c r="D1968" s="52"/>
      <c r="E1968" s="52"/>
      <c r="F1968" s="52"/>
      <c r="G1968" s="52"/>
      <c r="H1968" s="52"/>
    </row>
    <row r="1969" spans="1:8" ht="15.75">
      <c r="A1969" s="50">
        <v>42170</v>
      </c>
      <c r="B1969" s="51">
        <v>1051.68</v>
      </c>
      <c r="C1969" s="52"/>
      <c r="D1969" s="52"/>
      <c r="E1969" s="52"/>
      <c r="F1969" s="52"/>
      <c r="G1969" s="52"/>
      <c r="H1969" s="52"/>
    </row>
    <row r="1970" spans="1:8" ht="15.75">
      <c r="A1970" s="50">
        <v>42171</v>
      </c>
      <c r="B1970" s="51">
        <v>1050.75</v>
      </c>
      <c r="C1970" s="52"/>
      <c r="D1970" s="52"/>
      <c r="E1970" s="52"/>
      <c r="F1970" s="52"/>
      <c r="G1970" s="52"/>
      <c r="H1970" s="52"/>
    </row>
    <row r="1971" spans="1:8" ht="15.75">
      <c r="A1971" s="50">
        <v>42172</v>
      </c>
      <c r="B1971" s="51">
        <v>1045.46</v>
      </c>
      <c r="C1971" s="52"/>
      <c r="D1971" s="52"/>
      <c r="E1971" s="52"/>
      <c r="F1971" s="52"/>
      <c r="G1971" s="52"/>
      <c r="H1971" s="52"/>
    </row>
    <row r="1972" spans="1:8" ht="15.75">
      <c r="A1972" s="50">
        <v>42173</v>
      </c>
      <c r="B1972" s="51">
        <v>1060.69</v>
      </c>
      <c r="C1972" s="52"/>
      <c r="D1972" s="52"/>
      <c r="E1972" s="52"/>
      <c r="F1972" s="52"/>
      <c r="G1972" s="52"/>
      <c r="H1972" s="52"/>
    </row>
    <row r="1973" spans="1:8" ht="15.75">
      <c r="A1973" s="50">
        <v>42174</v>
      </c>
      <c r="B1973" s="51">
        <v>1060.23</v>
      </c>
      <c r="C1973" s="52"/>
      <c r="D1973" s="52"/>
      <c r="E1973" s="52"/>
      <c r="F1973" s="52"/>
      <c r="G1973" s="52"/>
      <c r="H1973" s="52"/>
    </row>
    <row r="1974" spans="1:8" ht="15.75">
      <c r="A1974" s="50">
        <v>42177</v>
      </c>
      <c r="B1974" s="51">
        <v>1045.46</v>
      </c>
      <c r="C1974" s="52"/>
      <c r="D1974" s="52"/>
      <c r="E1974" s="52"/>
      <c r="F1974" s="52"/>
      <c r="G1974" s="52"/>
      <c r="H1974" s="52"/>
    </row>
    <row r="1975" spans="1:8" ht="15.75">
      <c r="A1975" s="50">
        <v>42178</v>
      </c>
      <c r="B1975" s="51">
        <v>1048.05</v>
      </c>
      <c r="C1975" s="52"/>
      <c r="D1975" s="52"/>
      <c r="E1975" s="52"/>
      <c r="F1975" s="52"/>
      <c r="G1975" s="52"/>
      <c r="H1975" s="52"/>
    </row>
    <row r="1976" spans="1:8" ht="15.75">
      <c r="A1976" s="50">
        <v>42179</v>
      </c>
      <c r="B1976" s="51">
        <v>1049.0999999999999</v>
      </c>
      <c r="C1976" s="52"/>
      <c r="D1976" s="52"/>
      <c r="E1976" s="52"/>
      <c r="F1976" s="52"/>
      <c r="G1976" s="52"/>
      <c r="H1976" s="52"/>
    </row>
    <row r="1977" spans="1:8" ht="15.75">
      <c r="A1977" s="50">
        <v>42180</v>
      </c>
      <c r="B1977" s="51">
        <v>1044.6400000000001</v>
      </c>
      <c r="C1977" s="52"/>
      <c r="D1977" s="52"/>
      <c r="E1977" s="52"/>
      <c r="F1977" s="52"/>
      <c r="G1977" s="52"/>
      <c r="H1977" s="52"/>
    </row>
    <row r="1978" spans="1:8" ht="15.75">
      <c r="A1978" s="50">
        <v>42181</v>
      </c>
      <c r="B1978" s="51">
        <v>1051.93</v>
      </c>
      <c r="C1978" s="52"/>
      <c r="D1978" s="52"/>
      <c r="E1978" s="52"/>
      <c r="F1978" s="52"/>
      <c r="G1978" s="52"/>
      <c r="H1978" s="52"/>
    </row>
    <row r="1979" spans="1:8" ht="15.75">
      <c r="A1979" s="50">
        <v>42184</v>
      </c>
      <c r="B1979" s="51">
        <v>1053.94</v>
      </c>
      <c r="C1979" s="52"/>
      <c r="D1979" s="52"/>
      <c r="E1979" s="52"/>
      <c r="F1979" s="52"/>
      <c r="G1979" s="52"/>
      <c r="H1979" s="52"/>
    </row>
    <row r="1980" spans="1:8" ht="15.75">
      <c r="A1980" s="50">
        <v>42185</v>
      </c>
      <c r="B1980" s="51">
        <v>1052.32</v>
      </c>
      <c r="C1980" s="52"/>
      <c r="D1980" s="52"/>
      <c r="E1980" s="52"/>
      <c r="F1980" s="52"/>
      <c r="G1980" s="52"/>
      <c r="H1980" s="52"/>
    </row>
    <row r="1981" spans="1:8" ht="15.75">
      <c r="A1981" s="50">
        <v>42186</v>
      </c>
      <c r="B1981" s="51">
        <v>1057.07</v>
      </c>
      <c r="C1981" s="52"/>
      <c r="D1981" s="52"/>
      <c r="E1981" s="52"/>
      <c r="F1981" s="52"/>
      <c r="G1981" s="52"/>
      <c r="H1981" s="52"/>
    </row>
    <row r="1982" spans="1:8" ht="15.75">
      <c r="A1982" s="50">
        <v>42187</v>
      </c>
      <c r="B1982" s="51">
        <v>1057.47</v>
      </c>
      <c r="C1982" s="52"/>
      <c r="D1982" s="52"/>
      <c r="E1982" s="52"/>
      <c r="F1982" s="52"/>
      <c r="G1982" s="52"/>
      <c r="H1982" s="52"/>
    </row>
    <row r="1983" spans="1:8" ht="15.75">
      <c r="A1983" s="50">
        <v>42188</v>
      </c>
      <c r="B1983" s="51">
        <v>1051.74</v>
      </c>
      <c r="C1983" s="52"/>
      <c r="D1983" s="52"/>
      <c r="E1983" s="52"/>
      <c r="F1983" s="52"/>
      <c r="G1983" s="52"/>
      <c r="H1983" s="52"/>
    </row>
    <row r="1984" spans="1:8" ht="15.75">
      <c r="A1984" s="50">
        <v>42191</v>
      </c>
      <c r="B1984" s="51">
        <v>1058.19</v>
      </c>
      <c r="C1984" s="52"/>
      <c r="D1984" s="52"/>
      <c r="E1984" s="52"/>
      <c r="F1984" s="52"/>
      <c r="G1984" s="52"/>
      <c r="H1984" s="52"/>
    </row>
    <row r="1985" spans="1:8" ht="15.75">
      <c r="A1985" s="50">
        <v>42192</v>
      </c>
      <c r="B1985" s="51">
        <v>1059.2</v>
      </c>
      <c r="C1985" s="52"/>
      <c r="D1985" s="52"/>
      <c r="E1985" s="52"/>
      <c r="F1985" s="52"/>
      <c r="G1985" s="52"/>
      <c r="H1985" s="52"/>
    </row>
    <row r="1986" spans="1:8" ht="15.75">
      <c r="A1986" s="50">
        <v>42193</v>
      </c>
      <c r="B1986" s="51">
        <v>1046.05</v>
      </c>
      <c r="C1986" s="52"/>
      <c r="D1986" s="52"/>
      <c r="E1986" s="52"/>
      <c r="F1986" s="52"/>
      <c r="G1986" s="52"/>
      <c r="H1986" s="52"/>
    </row>
    <row r="1987" spans="1:8" ht="15.75">
      <c r="A1987" s="50">
        <v>42194</v>
      </c>
      <c r="B1987" s="51">
        <v>1050.31</v>
      </c>
      <c r="C1987" s="52"/>
      <c r="D1987" s="52"/>
      <c r="E1987" s="52"/>
      <c r="F1987" s="52"/>
      <c r="G1987" s="52"/>
      <c r="H1987" s="52"/>
    </row>
    <row r="1988" spans="1:8" ht="15.75">
      <c r="A1988" s="50">
        <v>42195</v>
      </c>
      <c r="B1988" s="51">
        <v>1043.2</v>
      </c>
      <c r="C1988" s="52"/>
      <c r="D1988" s="52"/>
      <c r="E1988" s="52"/>
      <c r="F1988" s="52"/>
      <c r="G1988" s="52"/>
      <c r="H1988" s="52"/>
    </row>
    <row r="1989" spans="1:8" ht="15.75">
      <c r="A1989" s="50">
        <v>42198</v>
      </c>
      <c r="B1989" s="51">
        <v>1052.25</v>
      </c>
      <c r="C1989" s="52"/>
      <c r="D1989" s="52"/>
      <c r="E1989" s="52"/>
      <c r="F1989" s="52"/>
      <c r="G1989" s="52"/>
      <c r="H1989" s="52"/>
    </row>
    <row r="1990" spans="1:8" ht="15.75">
      <c r="A1990" s="50">
        <v>42199</v>
      </c>
      <c r="B1990" s="51">
        <v>1049.8599999999999</v>
      </c>
      <c r="C1990" s="52"/>
      <c r="D1990" s="52"/>
      <c r="E1990" s="52"/>
      <c r="F1990" s="52"/>
      <c r="G1990" s="52"/>
      <c r="H1990" s="52"/>
    </row>
    <row r="1991" spans="1:8" ht="15.75">
      <c r="A1991" s="50">
        <v>42200</v>
      </c>
      <c r="B1991" s="51">
        <v>1049.81</v>
      </c>
      <c r="C1991" s="52"/>
      <c r="D1991" s="52"/>
      <c r="E1991" s="52"/>
      <c r="F1991" s="52"/>
      <c r="G1991" s="52"/>
      <c r="H1991" s="52"/>
    </row>
    <row r="1992" spans="1:8" ht="15.75">
      <c r="A1992" s="50">
        <v>42201</v>
      </c>
      <c r="B1992" s="51">
        <v>1047.99</v>
      </c>
      <c r="C1992" s="52"/>
      <c r="D1992" s="52"/>
      <c r="E1992" s="52"/>
      <c r="F1992" s="52"/>
      <c r="G1992" s="52"/>
      <c r="H1992" s="52"/>
    </row>
    <row r="1993" spans="1:8" ht="15.75">
      <c r="A1993" s="50">
        <v>42202</v>
      </c>
      <c r="B1993" s="51">
        <v>1047.18</v>
      </c>
      <c r="C1993" s="52"/>
      <c r="D1993" s="52"/>
      <c r="E1993" s="52"/>
      <c r="F1993" s="52"/>
      <c r="G1993" s="52"/>
      <c r="H1993" s="52"/>
    </row>
    <row r="1994" spans="1:8" ht="15.75">
      <c r="A1994" s="50">
        <v>42205</v>
      </c>
      <c r="B1994" s="51">
        <v>1023.65</v>
      </c>
      <c r="C1994" s="52"/>
      <c r="D1994" s="52"/>
      <c r="E1994" s="52"/>
      <c r="F1994" s="52"/>
      <c r="G1994" s="52"/>
      <c r="H1994" s="52"/>
    </row>
    <row r="1995" spans="1:8" ht="15.75">
      <c r="A1995" s="50">
        <v>42206</v>
      </c>
      <c r="B1995" s="51">
        <v>1006.81</v>
      </c>
      <c r="C1995" s="52"/>
      <c r="D1995" s="52"/>
      <c r="E1995" s="52"/>
      <c r="F1995" s="52"/>
      <c r="G1995" s="52"/>
      <c r="H1995" s="52"/>
    </row>
    <row r="1996" spans="1:8" ht="15.75">
      <c r="A1996" s="50">
        <v>42207</v>
      </c>
      <c r="B1996" s="51">
        <v>1001.56</v>
      </c>
      <c r="C1996" s="52"/>
      <c r="D1996" s="52"/>
      <c r="E1996" s="52"/>
      <c r="F1996" s="52"/>
      <c r="G1996" s="52"/>
      <c r="H1996" s="52"/>
    </row>
    <row r="1997" spans="1:8" ht="15.75">
      <c r="A1997" s="50">
        <v>42208</v>
      </c>
      <c r="B1997" s="102">
        <v>993.17</v>
      </c>
      <c r="C1997" s="52"/>
      <c r="D1997" s="52"/>
      <c r="E1997" s="52"/>
      <c r="F1997" s="52"/>
      <c r="G1997" s="52"/>
      <c r="H1997" s="52"/>
    </row>
    <row r="1998" spans="1:8" ht="15.75">
      <c r="A1998" s="50">
        <v>42209</v>
      </c>
      <c r="B1998" s="51">
        <v>1001.46</v>
      </c>
      <c r="C1998" s="52"/>
      <c r="D1998" s="52"/>
      <c r="E1998" s="52"/>
      <c r="F1998" s="52"/>
      <c r="G1998" s="52"/>
      <c r="H1998" s="52"/>
    </row>
    <row r="1999" spans="1:8" ht="15.75">
      <c r="A1999" s="50">
        <v>42211</v>
      </c>
      <c r="B1999" s="51">
        <v>1000.91</v>
      </c>
      <c r="C1999" s="52"/>
      <c r="D1999" s="52"/>
      <c r="E1999" s="52"/>
      <c r="F1999" s="52"/>
      <c r="G1999" s="52"/>
      <c r="H1999" s="52"/>
    </row>
    <row r="2000" spans="1:8" ht="15.75">
      <c r="A2000" s="50">
        <v>42212</v>
      </c>
      <c r="B2000" s="102">
        <v>986.59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42213</v>
      </c>
      <c r="B2001" s="102">
        <v>994.67</v>
      </c>
      <c r="C2001" s="52"/>
      <c r="D2001" s="52"/>
      <c r="E2001" s="52"/>
      <c r="F2001" s="52"/>
      <c r="G2001" s="52"/>
      <c r="H2001" s="52"/>
    </row>
    <row r="2002" spans="1:8" ht="15.75">
      <c r="A2002" s="50">
        <v>42214</v>
      </c>
      <c r="B2002" s="51">
        <v>1014.57</v>
      </c>
      <c r="C2002" s="52"/>
      <c r="D2002" s="52"/>
      <c r="E2002" s="52"/>
      <c r="F2002" s="52"/>
      <c r="G2002" s="52"/>
      <c r="H2002" s="52"/>
    </row>
    <row r="2003" spans="1:8" ht="15.75">
      <c r="A2003" s="50">
        <v>42215</v>
      </c>
      <c r="B2003" s="102">
        <v>995.33</v>
      </c>
      <c r="C2003" s="52"/>
      <c r="D2003" s="52"/>
      <c r="E2003" s="52"/>
      <c r="F2003" s="52"/>
      <c r="G2003" s="52"/>
      <c r="H2003" s="52"/>
    </row>
    <row r="2004" spans="1:8" ht="15.75">
      <c r="A2004" s="50">
        <v>42216</v>
      </c>
      <c r="B2004" s="102">
        <v>994.12</v>
      </c>
      <c r="C2004" s="52"/>
      <c r="D2004" s="52"/>
      <c r="E2004" s="52"/>
      <c r="F2004" s="52"/>
      <c r="G2004" s="52"/>
      <c r="H2004" s="52"/>
    </row>
    <row r="2005" spans="1:8" ht="15.75">
      <c r="A2005" s="50">
        <v>42219</v>
      </c>
      <c r="B2005" s="102">
        <v>991.63</v>
      </c>
      <c r="C2005" s="52"/>
      <c r="D2005" s="52"/>
      <c r="E2005" s="52"/>
      <c r="F2005" s="52"/>
      <c r="G2005" s="52"/>
      <c r="H2005" s="52"/>
    </row>
    <row r="2006" spans="1:8" ht="15.75">
      <c r="A2006" s="50">
        <v>42220</v>
      </c>
      <c r="B2006" s="102">
        <v>994.31</v>
      </c>
      <c r="C2006" s="52"/>
      <c r="D2006" s="52"/>
      <c r="E2006" s="52"/>
      <c r="F2006" s="52"/>
      <c r="G2006" s="52"/>
      <c r="H2006" s="52"/>
    </row>
    <row r="2007" spans="1:8" ht="15.75">
      <c r="A2007" s="50">
        <v>42221</v>
      </c>
      <c r="B2007" s="102">
        <v>993.85</v>
      </c>
      <c r="C2007" s="52"/>
      <c r="D2007" s="52"/>
      <c r="E2007" s="52"/>
      <c r="F2007" s="52"/>
      <c r="G2007" s="52"/>
      <c r="H2007" s="52"/>
    </row>
    <row r="2008" spans="1:8" ht="15.75">
      <c r="A2008" s="50">
        <v>42222</v>
      </c>
      <c r="B2008" s="102">
        <v>997.35</v>
      </c>
      <c r="C2008" s="52"/>
      <c r="D2008" s="52"/>
      <c r="E2008" s="52"/>
      <c r="F2008" s="52"/>
      <c r="G2008" s="52"/>
      <c r="H2008" s="52"/>
    </row>
    <row r="2009" spans="1:8" ht="15.75">
      <c r="A2009" s="50">
        <v>42223</v>
      </c>
      <c r="B2009" s="102">
        <v>997.54</v>
      </c>
      <c r="C2009" s="52"/>
      <c r="D2009" s="52"/>
      <c r="E2009" s="52"/>
      <c r="F2009" s="52"/>
      <c r="G2009" s="52"/>
      <c r="H2009" s="52"/>
    </row>
    <row r="2010" spans="1:8" ht="15.75">
      <c r="A2010" s="50">
        <v>42225</v>
      </c>
      <c r="B2010" s="102">
        <v>998.08</v>
      </c>
      <c r="C2010" s="52"/>
      <c r="D2010" s="52"/>
      <c r="E2010" s="52"/>
      <c r="F2010" s="52"/>
      <c r="G2010" s="52"/>
      <c r="H2010" s="52"/>
    </row>
    <row r="2011" spans="1:8" ht="15.75">
      <c r="A2011" s="50">
        <v>42226</v>
      </c>
      <c r="B2011" s="102">
        <v>995.1</v>
      </c>
      <c r="C2011" s="52"/>
      <c r="D2011" s="52"/>
      <c r="E2011" s="52"/>
      <c r="F2011" s="52"/>
      <c r="G2011" s="52"/>
      <c r="H2011" s="52"/>
    </row>
    <row r="2012" spans="1:8" ht="15.75">
      <c r="A2012" s="50">
        <v>42227</v>
      </c>
      <c r="B2012" s="51">
        <v>1004.28</v>
      </c>
      <c r="C2012" s="52"/>
      <c r="D2012" s="52"/>
      <c r="E2012" s="52"/>
      <c r="F2012" s="52"/>
      <c r="G2012" s="52"/>
      <c r="H2012" s="52"/>
    </row>
    <row r="2013" spans="1:8" ht="15.75">
      <c r="A2013" s="50">
        <v>42228</v>
      </c>
      <c r="B2013" s="51">
        <v>1009.59</v>
      </c>
      <c r="C2013" s="52"/>
      <c r="D2013" s="52"/>
      <c r="E2013" s="52"/>
      <c r="F2013" s="52"/>
      <c r="G2013" s="52"/>
      <c r="H2013" s="52"/>
    </row>
    <row r="2014" spans="1:8" ht="15.75">
      <c r="A2014" s="50">
        <v>42229</v>
      </c>
      <c r="B2014" s="102">
        <v>999.69</v>
      </c>
      <c r="C2014" s="52"/>
      <c r="D2014" s="52"/>
      <c r="E2014" s="52"/>
      <c r="F2014" s="52"/>
      <c r="G2014" s="52"/>
      <c r="H2014" s="52"/>
    </row>
    <row r="2015" spans="1:8" ht="15.75">
      <c r="A2015" s="50">
        <v>42230</v>
      </c>
      <c r="B2015" s="51">
        <v>1002.34</v>
      </c>
      <c r="C2015" s="52"/>
      <c r="D2015" s="52"/>
      <c r="E2015" s="52"/>
      <c r="F2015" s="52"/>
      <c r="G2015" s="52"/>
      <c r="H2015" s="52"/>
    </row>
    <row r="2016" spans="1:8" ht="15.75">
      <c r="A2016" s="50">
        <v>42233</v>
      </c>
      <c r="B2016" s="51">
        <v>1005.96</v>
      </c>
      <c r="C2016" s="52"/>
      <c r="D2016" s="52"/>
      <c r="E2016" s="52"/>
      <c r="F2016" s="52"/>
      <c r="G2016" s="52"/>
      <c r="H2016" s="52"/>
    </row>
    <row r="2017" spans="1:8" ht="15.75">
      <c r="A2017" s="50">
        <v>42234</v>
      </c>
      <c r="B2017" s="51">
        <v>1013.88</v>
      </c>
      <c r="C2017" s="52"/>
      <c r="D2017" s="52"/>
      <c r="E2017" s="52"/>
      <c r="F2017" s="52"/>
      <c r="G2017" s="52"/>
      <c r="H2017" s="52"/>
    </row>
    <row r="2018" spans="1:8" ht="15.75">
      <c r="A2018" s="50">
        <v>42235</v>
      </c>
      <c r="B2018" s="51">
        <v>1021.94</v>
      </c>
      <c r="C2018" s="52"/>
      <c r="D2018" s="52"/>
      <c r="E2018" s="52"/>
      <c r="F2018" s="52"/>
      <c r="G2018" s="52"/>
      <c r="H2018" s="52"/>
    </row>
    <row r="2019" spans="1:8" ht="15.75">
      <c r="A2019" s="50">
        <v>42236</v>
      </c>
      <c r="B2019" s="51">
        <v>1035.25</v>
      </c>
      <c r="C2019" s="52"/>
      <c r="D2019" s="52"/>
      <c r="E2019" s="52"/>
      <c r="F2019" s="52"/>
      <c r="G2019" s="52"/>
      <c r="H2019" s="52"/>
    </row>
    <row r="2020" spans="1:8" ht="15.75">
      <c r="A2020" s="50">
        <v>42237</v>
      </c>
      <c r="B2020" s="51">
        <v>1018.75</v>
      </c>
      <c r="C2020" s="52"/>
      <c r="D2020" s="52"/>
      <c r="E2020" s="52"/>
      <c r="F2020" s="52"/>
      <c r="G2020" s="52"/>
      <c r="H2020" s="52"/>
    </row>
    <row r="2021" spans="1:8" ht="15.75">
      <c r="A2021" s="50">
        <v>42240</v>
      </c>
      <c r="B2021" s="102">
        <v>997.54</v>
      </c>
      <c r="C2021" s="52"/>
      <c r="D2021" s="52"/>
      <c r="E2021" s="52"/>
      <c r="F2021" s="52"/>
      <c r="G2021" s="52"/>
      <c r="H2021" s="52"/>
    </row>
    <row r="2022" spans="1:8" ht="15.75">
      <c r="A2022" s="50">
        <v>42241</v>
      </c>
      <c r="B2022" s="102">
        <v>991.18</v>
      </c>
      <c r="C2022" s="52"/>
      <c r="D2022" s="52"/>
      <c r="E2022" s="52"/>
      <c r="F2022" s="52"/>
      <c r="G2022" s="52"/>
      <c r="H2022" s="52"/>
    </row>
    <row r="2023" spans="1:8" ht="15.75">
      <c r="A2023" s="50">
        <v>42242</v>
      </c>
      <c r="B2023" s="102">
        <v>995.09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42243</v>
      </c>
      <c r="B2024" s="51">
        <v>1001.2</v>
      </c>
      <c r="C2024" s="52"/>
      <c r="D2024" s="52"/>
      <c r="E2024" s="52"/>
      <c r="F2024" s="52"/>
      <c r="G2024" s="52"/>
      <c r="H2024" s="52"/>
    </row>
    <row r="2025" spans="1:8" ht="15.75">
      <c r="A2025" s="50">
        <v>42244</v>
      </c>
      <c r="B2025" s="51">
        <v>1014.29</v>
      </c>
      <c r="C2025" s="52"/>
      <c r="D2025" s="52"/>
      <c r="E2025" s="52"/>
      <c r="F2025" s="52"/>
      <c r="G2025" s="52"/>
      <c r="H2025" s="52"/>
    </row>
    <row r="2026" spans="1:8" ht="15.75">
      <c r="A2026" s="50">
        <v>42247</v>
      </c>
      <c r="B2026" s="51">
        <v>1011.86</v>
      </c>
      <c r="C2026" s="52"/>
      <c r="D2026" s="52"/>
      <c r="E2026" s="52"/>
      <c r="F2026" s="52"/>
      <c r="G2026" s="52"/>
      <c r="H2026" s="52"/>
    </row>
    <row r="2027" spans="1:8" ht="15.75">
      <c r="A2027" s="50">
        <v>42248</v>
      </c>
      <c r="B2027" s="51">
        <v>1007.78</v>
      </c>
      <c r="C2027" s="52"/>
      <c r="D2027" s="52"/>
      <c r="E2027" s="52"/>
      <c r="F2027" s="52"/>
      <c r="G2027" s="52"/>
      <c r="H2027" s="52"/>
    </row>
    <row r="2028" spans="1:8" ht="15.75">
      <c r="A2028" s="50">
        <v>42249</v>
      </c>
      <c r="B2028" s="51">
        <v>1010.38</v>
      </c>
      <c r="C2028" s="52"/>
      <c r="D2028" s="52"/>
      <c r="E2028" s="52"/>
      <c r="F2028" s="52"/>
      <c r="G2028" s="52"/>
      <c r="H2028" s="52"/>
    </row>
    <row r="2029" spans="1:8" ht="15.75">
      <c r="A2029" s="50">
        <v>42250</v>
      </c>
      <c r="B2029" s="51">
        <v>1008.81</v>
      </c>
      <c r="C2029" s="52"/>
      <c r="D2029" s="52"/>
      <c r="E2029" s="52"/>
      <c r="F2029" s="52"/>
      <c r="G2029" s="52"/>
      <c r="H2029" s="52"/>
    </row>
    <row r="2030" spans="1:8" ht="15.75">
      <c r="A2030" s="50">
        <v>42251</v>
      </c>
      <c r="B2030" s="51">
        <v>1007.45</v>
      </c>
      <c r="C2030" s="52"/>
      <c r="D2030" s="52"/>
      <c r="E2030" s="52"/>
      <c r="F2030" s="52"/>
      <c r="G2030" s="52"/>
      <c r="H2030" s="52"/>
    </row>
    <row r="2031" spans="1:8" ht="15.75">
      <c r="A2031" s="50">
        <v>42254</v>
      </c>
      <c r="B2031" s="51">
        <v>1002.24</v>
      </c>
      <c r="C2031" s="52"/>
      <c r="D2031" s="52"/>
      <c r="E2031" s="52"/>
      <c r="F2031" s="52"/>
      <c r="G2031" s="52"/>
      <c r="H2031" s="52"/>
    </row>
    <row r="2032" spans="1:8" ht="15.75">
      <c r="A2032" s="50">
        <v>42255</v>
      </c>
      <c r="B2032" s="51">
        <v>1001.16</v>
      </c>
      <c r="C2032" s="52"/>
      <c r="D2032" s="52"/>
      <c r="E2032" s="52"/>
      <c r="F2032" s="52"/>
      <c r="G2032" s="52"/>
      <c r="H2032" s="52"/>
    </row>
    <row r="2033" spans="1:8" ht="15.75">
      <c r="A2033" s="50">
        <v>42256</v>
      </c>
      <c r="B2033" s="102">
        <v>985.57</v>
      </c>
      <c r="C2033" s="52"/>
      <c r="D2033" s="52"/>
      <c r="E2033" s="52"/>
      <c r="F2033" s="52"/>
      <c r="G2033" s="52"/>
      <c r="H2033" s="52"/>
    </row>
    <row r="2034" spans="1:8" ht="15.75">
      <c r="A2034" s="50">
        <v>42257</v>
      </c>
      <c r="B2034" s="102">
        <v>985.59</v>
      </c>
      <c r="C2034" s="52"/>
      <c r="D2034" s="52"/>
      <c r="E2034" s="52"/>
      <c r="F2034" s="52"/>
      <c r="G2034" s="52"/>
      <c r="H2034" s="52"/>
    </row>
    <row r="2035" spans="1:8" ht="15.75">
      <c r="A2035" s="50">
        <v>42258</v>
      </c>
      <c r="B2035" s="102">
        <v>977.42</v>
      </c>
      <c r="C2035" s="52"/>
      <c r="D2035" s="52"/>
      <c r="E2035" s="52"/>
      <c r="F2035" s="52"/>
      <c r="G2035" s="52"/>
      <c r="H2035" s="52"/>
    </row>
    <row r="2036" spans="1:8" ht="15.75">
      <c r="A2036" s="50">
        <v>42260</v>
      </c>
      <c r="B2036" s="102">
        <v>977.16</v>
      </c>
      <c r="C2036" s="52"/>
      <c r="D2036" s="52"/>
      <c r="E2036" s="52"/>
      <c r="F2036" s="52"/>
      <c r="G2036" s="52"/>
      <c r="H2036" s="52"/>
    </row>
    <row r="2037" spans="1:8" ht="15.75">
      <c r="A2037" s="50">
        <v>42261</v>
      </c>
      <c r="B2037" s="102">
        <v>979.94</v>
      </c>
      <c r="C2037" s="52"/>
      <c r="D2037" s="52"/>
      <c r="E2037" s="52"/>
      <c r="F2037" s="52"/>
      <c r="G2037" s="52"/>
      <c r="H2037" s="52"/>
    </row>
    <row r="2038" spans="1:8" ht="15.75">
      <c r="A2038" s="50">
        <v>42262</v>
      </c>
      <c r="B2038" s="102">
        <v>981.1</v>
      </c>
      <c r="C2038" s="52"/>
      <c r="D2038" s="52"/>
      <c r="E2038" s="52"/>
      <c r="F2038" s="52"/>
      <c r="G2038" s="52"/>
      <c r="H2038" s="52"/>
    </row>
    <row r="2039" spans="1:8" ht="15.75">
      <c r="A2039" s="50">
        <v>42263</v>
      </c>
      <c r="B2039" s="102">
        <v>991.81</v>
      </c>
      <c r="C2039" s="52"/>
      <c r="D2039" s="52"/>
      <c r="E2039" s="52"/>
      <c r="F2039" s="52"/>
      <c r="G2039" s="52"/>
      <c r="H2039" s="52"/>
    </row>
    <row r="2040" spans="1:8" ht="15.75">
      <c r="A2040" s="50">
        <v>42264</v>
      </c>
      <c r="B2040" s="102">
        <v>990.32</v>
      </c>
      <c r="C2040" s="52"/>
      <c r="D2040" s="52"/>
      <c r="E2040" s="52"/>
      <c r="F2040" s="52"/>
      <c r="G2040" s="52"/>
      <c r="H2040" s="52"/>
    </row>
    <row r="2041" spans="1:8" ht="15.75">
      <c r="A2041" s="50">
        <v>42265</v>
      </c>
      <c r="B2041" s="51">
        <v>1007.52</v>
      </c>
      <c r="C2041" s="52"/>
      <c r="D2041" s="52"/>
      <c r="E2041" s="52"/>
      <c r="F2041" s="52"/>
      <c r="G2041" s="52"/>
      <c r="H2041" s="52"/>
    </row>
    <row r="2042" spans="1:8" ht="15.75">
      <c r="A2042" s="50">
        <v>42268</v>
      </c>
      <c r="B2042" s="51">
        <v>1012.87</v>
      </c>
      <c r="C2042" s="52"/>
      <c r="D2042" s="52"/>
      <c r="E2042" s="52"/>
      <c r="F2042" s="52"/>
      <c r="G2042" s="52"/>
      <c r="H2042" s="52"/>
    </row>
    <row r="2043" spans="1:8" ht="15.75">
      <c r="A2043" s="50">
        <v>42269</v>
      </c>
      <c r="B2043" s="51">
        <v>1010.56</v>
      </c>
      <c r="C2043" s="52"/>
      <c r="D2043" s="52"/>
      <c r="E2043" s="52"/>
      <c r="F2043" s="52"/>
      <c r="G2043" s="52"/>
      <c r="H2043" s="52"/>
    </row>
    <row r="2044" spans="1:8" ht="15.75">
      <c r="A2044" s="50">
        <v>42270</v>
      </c>
      <c r="B2044" s="51">
        <v>1010.19</v>
      </c>
      <c r="C2044" s="52"/>
      <c r="D2044" s="52"/>
      <c r="E2044" s="52"/>
      <c r="F2044" s="52"/>
      <c r="G2044" s="52"/>
      <c r="H2044" s="52"/>
    </row>
    <row r="2045" spans="1:8" ht="15.75">
      <c r="A2045" s="50">
        <v>42271</v>
      </c>
      <c r="B2045" s="51">
        <v>1031.54</v>
      </c>
      <c r="C2045" s="52"/>
      <c r="D2045" s="52"/>
      <c r="E2045" s="52"/>
      <c r="F2045" s="52"/>
      <c r="G2045" s="52"/>
      <c r="H2045" s="52"/>
    </row>
    <row r="2046" spans="1:8" ht="15.75">
      <c r="A2046" s="50">
        <v>42272</v>
      </c>
      <c r="B2046" s="51">
        <v>1023.49</v>
      </c>
      <c r="C2046" s="52"/>
      <c r="D2046" s="52"/>
      <c r="E2046" s="52"/>
      <c r="F2046" s="52"/>
      <c r="G2046" s="52"/>
      <c r="H2046" s="52"/>
    </row>
    <row r="2047" spans="1:8" ht="15.75">
      <c r="A2047" s="50">
        <v>42275</v>
      </c>
      <c r="B2047" s="51">
        <v>1006.89</v>
      </c>
      <c r="C2047" s="52"/>
      <c r="D2047" s="52"/>
      <c r="E2047" s="52"/>
      <c r="F2047" s="52"/>
      <c r="G2047" s="52"/>
      <c r="H2047" s="52"/>
    </row>
    <row r="2048" spans="1:8" ht="15.75">
      <c r="A2048" s="50">
        <v>42276</v>
      </c>
      <c r="B2048" s="51">
        <v>1001.82</v>
      </c>
      <c r="C2048" s="52"/>
      <c r="D2048" s="52"/>
      <c r="E2048" s="52"/>
      <c r="F2048" s="52"/>
      <c r="G2048" s="52"/>
      <c r="H2048" s="52"/>
    </row>
    <row r="2049" spans="1:8" ht="15.75">
      <c r="A2049" s="50">
        <v>42277</v>
      </c>
      <c r="B2049" s="102">
        <v>997.94</v>
      </c>
      <c r="C2049" s="52"/>
      <c r="D2049" s="52"/>
      <c r="E2049" s="52"/>
      <c r="F2049" s="52"/>
      <c r="G2049" s="52"/>
      <c r="H2049" s="52"/>
    </row>
    <row r="2050" spans="1:8" ht="15.75">
      <c r="A2050" s="50">
        <v>42278</v>
      </c>
      <c r="B2050" s="102">
        <v>995.6</v>
      </c>
      <c r="C2050" s="52"/>
      <c r="D2050" s="52"/>
      <c r="E2050" s="52"/>
      <c r="F2050" s="52"/>
      <c r="G2050" s="52"/>
      <c r="H2050" s="52"/>
    </row>
    <row r="2051" spans="1:8" ht="15.75">
      <c r="A2051" s="50">
        <v>42279</v>
      </c>
      <c r="B2051" s="51">
        <v>1015.28</v>
      </c>
      <c r="C2051" s="52"/>
      <c r="D2051" s="52"/>
      <c r="E2051" s="52"/>
      <c r="F2051" s="52"/>
      <c r="G2051" s="52"/>
      <c r="H2051" s="52"/>
    </row>
    <row r="2052" spans="1:8" ht="15.75">
      <c r="A2052" s="50">
        <v>42281</v>
      </c>
      <c r="B2052" s="51">
        <v>1014.1</v>
      </c>
      <c r="C2052" s="52"/>
      <c r="D2052" s="52"/>
      <c r="E2052" s="52"/>
      <c r="F2052" s="52"/>
      <c r="G2052" s="52"/>
      <c r="H2052" s="52"/>
    </row>
    <row r="2053" spans="1:8" ht="15.75">
      <c r="A2053" s="50">
        <v>42282</v>
      </c>
      <c r="B2053" s="51">
        <v>1015.42</v>
      </c>
      <c r="C2053" s="52"/>
      <c r="D2053" s="52"/>
      <c r="E2053" s="52"/>
      <c r="F2053" s="52"/>
      <c r="G2053" s="52"/>
      <c r="H2053" s="52"/>
    </row>
    <row r="2054" spans="1:8" ht="15.75">
      <c r="A2054" s="50">
        <v>42283</v>
      </c>
      <c r="B2054" s="51">
        <v>1023.6</v>
      </c>
      <c r="C2054" s="52"/>
      <c r="D2054" s="52"/>
      <c r="E2054" s="52"/>
      <c r="F2054" s="52"/>
      <c r="G2054" s="52"/>
      <c r="H2054" s="52"/>
    </row>
    <row r="2055" spans="1:8" ht="15.75">
      <c r="A2055" s="50">
        <v>42284</v>
      </c>
      <c r="B2055" s="51">
        <v>1027.95</v>
      </c>
      <c r="C2055" s="52"/>
      <c r="D2055" s="52"/>
      <c r="E2055" s="52"/>
      <c r="F2055" s="52"/>
      <c r="G2055" s="52"/>
      <c r="H2055" s="52"/>
    </row>
    <row r="2056" spans="1:8" ht="15.75">
      <c r="A2056" s="50">
        <v>42285</v>
      </c>
      <c r="B2056" s="51">
        <v>1023.14</v>
      </c>
      <c r="C2056" s="52"/>
      <c r="D2056" s="52"/>
      <c r="E2056" s="52"/>
      <c r="F2056" s="52"/>
      <c r="G2056" s="52"/>
      <c r="H2056" s="52"/>
    </row>
    <row r="2057" spans="1:8" ht="15.75">
      <c r="A2057" s="50">
        <v>42286</v>
      </c>
      <c r="B2057" s="51">
        <v>1019.04</v>
      </c>
      <c r="C2057" s="52"/>
      <c r="D2057" s="52"/>
      <c r="E2057" s="52"/>
      <c r="F2057" s="52"/>
      <c r="G2057" s="52"/>
      <c r="H2057" s="52"/>
    </row>
    <row r="2058" spans="1:8" ht="15.75">
      <c r="A2058" s="50">
        <v>42289</v>
      </c>
      <c r="B2058" s="51">
        <v>1030.1099999999999</v>
      </c>
      <c r="C2058" s="52"/>
      <c r="D2058" s="52"/>
      <c r="E2058" s="52"/>
      <c r="F2058" s="52"/>
      <c r="G2058" s="52"/>
      <c r="H2058" s="52"/>
    </row>
    <row r="2059" spans="1:8" ht="15.75">
      <c r="A2059" s="50">
        <v>42290</v>
      </c>
      <c r="B2059" s="51">
        <v>1026.8800000000001</v>
      </c>
      <c r="C2059" s="52"/>
      <c r="D2059" s="52"/>
      <c r="E2059" s="52"/>
      <c r="F2059" s="52"/>
      <c r="G2059" s="52"/>
      <c r="H2059" s="52"/>
    </row>
    <row r="2060" spans="1:8" ht="15.75">
      <c r="A2060" s="50">
        <v>42291</v>
      </c>
      <c r="B2060" s="51">
        <v>1032.8699999999999</v>
      </c>
      <c r="C2060" s="52"/>
      <c r="D2060" s="52"/>
      <c r="E2060" s="52"/>
      <c r="F2060" s="52"/>
      <c r="G2060" s="52"/>
      <c r="H2060" s="52"/>
    </row>
    <row r="2061" spans="1:8" ht="15.75">
      <c r="A2061" s="50">
        <v>42292</v>
      </c>
      <c r="B2061" s="51">
        <v>1038.05</v>
      </c>
      <c r="C2061" s="52"/>
      <c r="D2061" s="52"/>
      <c r="E2061" s="52"/>
      <c r="F2061" s="52"/>
      <c r="G2061" s="52"/>
      <c r="H2061" s="52"/>
    </row>
    <row r="2062" spans="1:8" ht="15.75">
      <c r="A2062" s="50">
        <v>42293</v>
      </c>
      <c r="B2062" s="51">
        <v>1037.58</v>
      </c>
      <c r="C2062" s="52"/>
      <c r="D2062" s="52"/>
      <c r="E2062" s="52"/>
      <c r="F2062" s="52"/>
      <c r="G2062" s="52"/>
      <c r="H2062" s="52"/>
    </row>
    <row r="2063" spans="1:8" ht="15.75">
      <c r="A2063" s="50">
        <v>42296</v>
      </c>
      <c r="B2063" s="51">
        <v>1033.23</v>
      </c>
      <c r="C2063" s="52"/>
      <c r="D2063" s="52"/>
      <c r="E2063" s="52"/>
      <c r="F2063" s="52"/>
      <c r="G2063" s="52"/>
      <c r="H2063" s="52"/>
    </row>
    <row r="2064" spans="1:8" ht="15.75">
      <c r="A2064" s="50">
        <v>42297</v>
      </c>
      <c r="B2064" s="51">
        <v>1034.0999999999999</v>
      </c>
      <c r="C2064" s="52"/>
      <c r="D2064" s="52"/>
      <c r="E2064" s="52"/>
      <c r="F2064" s="52"/>
      <c r="G2064" s="52"/>
      <c r="H2064" s="52"/>
    </row>
    <row r="2065" spans="1:8" ht="15.75">
      <c r="A2065" s="50">
        <v>42298</v>
      </c>
      <c r="B2065" s="51">
        <v>1029.28</v>
      </c>
      <c r="C2065" s="52"/>
      <c r="D2065" s="52"/>
      <c r="E2065" s="52"/>
      <c r="F2065" s="52"/>
      <c r="G2065" s="52"/>
      <c r="H2065" s="52"/>
    </row>
    <row r="2066" spans="1:8" ht="15.75">
      <c r="A2066" s="50">
        <v>42299</v>
      </c>
      <c r="B2066" s="51">
        <v>1052.23</v>
      </c>
      <c r="C2066" s="52"/>
      <c r="D2066" s="52"/>
      <c r="E2066" s="52"/>
      <c r="F2066" s="52"/>
      <c r="G2066" s="52"/>
      <c r="H2066" s="52"/>
    </row>
    <row r="2067" spans="1:8" ht="15.75">
      <c r="A2067" s="50">
        <v>42300</v>
      </c>
      <c r="B2067" s="51">
        <v>1056.8599999999999</v>
      </c>
      <c r="C2067" s="52"/>
      <c r="D2067" s="52"/>
      <c r="E2067" s="52"/>
      <c r="F2067" s="52"/>
      <c r="G2067" s="52"/>
      <c r="H2067" s="52"/>
    </row>
    <row r="2068" spans="1:8" ht="15.75">
      <c r="A2068" s="50">
        <v>42302</v>
      </c>
      <c r="B2068" s="51">
        <v>1056.07</v>
      </c>
      <c r="C2068" s="52"/>
      <c r="D2068" s="52"/>
      <c r="E2068" s="52"/>
      <c r="F2068" s="52"/>
      <c r="G2068" s="52"/>
      <c r="H2068" s="52"/>
    </row>
    <row r="2069" spans="1:8" ht="15.75">
      <c r="A2069" s="50">
        <v>42303</v>
      </c>
      <c r="B2069" s="51">
        <v>1052.27</v>
      </c>
      <c r="C2069" s="52"/>
      <c r="D2069" s="52"/>
      <c r="E2069" s="52"/>
      <c r="F2069" s="52"/>
      <c r="G2069" s="52"/>
      <c r="H2069" s="52"/>
    </row>
    <row r="2070" spans="1:8" ht="15.75">
      <c r="A2070" s="50">
        <v>42304</v>
      </c>
      <c r="B2070" s="51">
        <v>1057.3900000000001</v>
      </c>
      <c r="C2070" s="52"/>
      <c r="D2070" s="52"/>
      <c r="E2070" s="52"/>
      <c r="F2070" s="52"/>
      <c r="G2070" s="52"/>
      <c r="H2070" s="52"/>
    </row>
    <row r="2071" spans="1:8" ht="15.75">
      <c r="A2071" s="50">
        <v>42305</v>
      </c>
      <c r="B2071" s="51">
        <v>1059.01</v>
      </c>
      <c r="C2071" s="52"/>
      <c r="D2071" s="52"/>
      <c r="E2071" s="52"/>
      <c r="F2071" s="52"/>
      <c r="G2071" s="52"/>
      <c r="H2071" s="52"/>
    </row>
    <row r="2072" spans="1:8" ht="15.75">
      <c r="A2072" s="50">
        <v>42306</v>
      </c>
      <c r="B2072" s="51">
        <v>1043.57</v>
      </c>
      <c r="C2072" s="52"/>
      <c r="D2072" s="52"/>
      <c r="E2072" s="52"/>
      <c r="F2072" s="52"/>
      <c r="G2072" s="52"/>
      <c r="H2072" s="52"/>
    </row>
    <row r="2073" spans="1:8" ht="15.75">
      <c r="A2073" s="50">
        <v>42307</v>
      </c>
      <c r="B2073" s="51">
        <v>1037.57</v>
      </c>
      <c r="C2073" s="52"/>
      <c r="D2073" s="52"/>
      <c r="E2073" s="52"/>
      <c r="F2073" s="52"/>
      <c r="G2073" s="52"/>
      <c r="H2073" s="52"/>
    </row>
    <row r="2074" spans="1:8" ht="15.75">
      <c r="A2074" s="50">
        <v>42310</v>
      </c>
      <c r="B2074" s="51">
        <v>1029.3800000000001</v>
      </c>
      <c r="C2074" s="52"/>
      <c r="D2074" s="52"/>
      <c r="E2074" s="52"/>
      <c r="F2074" s="52"/>
      <c r="G2074" s="52"/>
      <c r="H2074" s="52"/>
    </row>
    <row r="2075" spans="1:8" ht="15.75">
      <c r="A2075" s="50">
        <v>42311</v>
      </c>
      <c r="B2075" s="51">
        <v>1016.33</v>
      </c>
      <c r="C2075" s="52"/>
      <c r="D2075" s="52"/>
      <c r="E2075" s="52"/>
      <c r="F2075" s="52"/>
      <c r="G2075" s="52"/>
      <c r="H2075" s="52"/>
    </row>
    <row r="2076" spans="1:8" ht="15.75">
      <c r="A2076" s="50">
        <v>42312</v>
      </c>
      <c r="B2076" s="51">
        <v>1013.99</v>
      </c>
      <c r="C2076" s="52"/>
      <c r="D2076" s="52"/>
      <c r="E2076" s="52"/>
      <c r="F2076" s="52"/>
      <c r="G2076" s="52"/>
      <c r="H2076" s="52"/>
    </row>
    <row r="2077" spans="1:8" ht="15.75">
      <c r="A2077" s="50">
        <v>42313</v>
      </c>
      <c r="B2077" s="51">
        <v>1014.29</v>
      </c>
      <c r="C2077" s="52"/>
      <c r="D2077" s="52"/>
      <c r="E2077" s="52"/>
      <c r="F2077" s="52"/>
      <c r="G2077" s="52"/>
      <c r="H2077" s="52"/>
    </row>
    <row r="2078" spans="1:8" ht="15.75">
      <c r="A2078" s="50">
        <v>42314</v>
      </c>
      <c r="B2078" s="51">
        <v>1014.57</v>
      </c>
      <c r="C2078" s="52"/>
      <c r="D2078" s="52"/>
      <c r="E2078" s="52"/>
      <c r="F2078" s="52"/>
      <c r="G2078" s="52"/>
      <c r="H2078" s="52"/>
    </row>
    <row r="2079" spans="1:8" ht="15.75">
      <c r="A2079" s="50">
        <v>42317</v>
      </c>
      <c r="B2079" s="51">
        <v>1015.65</v>
      </c>
      <c r="C2079" s="52"/>
      <c r="D2079" s="52"/>
      <c r="E2079" s="52"/>
      <c r="F2079" s="52"/>
      <c r="G2079" s="52"/>
      <c r="H2079" s="52"/>
    </row>
    <row r="2080" spans="1:8" ht="15.75">
      <c r="A2080" s="50">
        <v>42318</v>
      </c>
      <c r="B2080" s="51">
        <v>1016.32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42319</v>
      </c>
      <c r="B2081" s="51">
        <v>1009.7</v>
      </c>
      <c r="C2081" s="52"/>
      <c r="D2081" s="52"/>
      <c r="E2081" s="52"/>
      <c r="F2081" s="52"/>
      <c r="G2081" s="52"/>
      <c r="H2081" s="52"/>
    </row>
    <row r="2082" spans="1:8" ht="15.75">
      <c r="A2082" s="50">
        <v>42320</v>
      </c>
      <c r="B2082" s="51">
        <v>1005.37</v>
      </c>
      <c r="C2082" s="52"/>
      <c r="D2082" s="52"/>
      <c r="E2082" s="52"/>
      <c r="F2082" s="52"/>
      <c r="G2082" s="52"/>
      <c r="H2082" s="52"/>
    </row>
    <row r="2083" spans="1:8" ht="15.75">
      <c r="A2083" s="50">
        <v>42321</v>
      </c>
      <c r="B2083" s="51">
        <v>1006.13</v>
      </c>
      <c r="C2083" s="52"/>
      <c r="D2083" s="52"/>
      <c r="E2083" s="52"/>
      <c r="F2083" s="52"/>
      <c r="G2083" s="52"/>
      <c r="H2083" s="52"/>
    </row>
    <row r="2084" spans="1:8" ht="15.75">
      <c r="A2084" s="50">
        <v>42324</v>
      </c>
      <c r="B2084" s="51">
        <v>1013.5</v>
      </c>
      <c r="C2084" s="52"/>
      <c r="D2084" s="52"/>
      <c r="E2084" s="52"/>
      <c r="F2084" s="52"/>
      <c r="G2084" s="52"/>
      <c r="H2084" s="52"/>
    </row>
    <row r="2085" spans="1:8" ht="15.75">
      <c r="A2085" s="50">
        <v>42325</v>
      </c>
      <c r="B2085" s="51">
        <v>1005.31</v>
      </c>
      <c r="C2085" s="52"/>
      <c r="D2085" s="52"/>
      <c r="E2085" s="52"/>
      <c r="F2085" s="52"/>
      <c r="G2085" s="52"/>
      <c r="H2085" s="52"/>
    </row>
    <row r="2086" spans="1:8" ht="15.75">
      <c r="A2086" s="50">
        <v>42326</v>
      </c>
      <c r="B2086" s="51">
        <v>1004.41</v>
      </c>
      <c r="C2086" s="52"/>
      <c r="D2086" s="52"/>
      <c r="E2086" s="52"/>
      <c r="F2086" s="52"/>
      <c r="G2086" s="52"/>
      <c r="H2086" s="52"/>
    </row>
    <row r="2087" spans="1:8" ht="15.75">
      <c r="A2087" s="50">
        <v>42327</v>
      </c>
      <c r="B2087" s="51">
        <v>1008.48</v>
      </c>
      <c r="C2087" s="52"/>
      <c r="D2087" s="52"/>
      <c r="E2087" s="52"/>
      <c r="F2087" s="52"/>
      <c r="G2087" s="52"/>
      <c r="H2087" s="52"/>
    </row>
    <row r="2088" spans="1:8" ht="15.75">
      <c r="A2088" s="50">
        <v>42328</v>
      </c>
      <c r="B2088" s="51">
        <v>1013.05</v>
      </c>
      <c r="C2088" s="52"/>
      <c r="D2088" s="52"/>
      <c r="E2088" s="52"/>
      <c r="F2088" s="52"/>
      <c r="G2088" s="52"/>
      <c r="H2088" s="52"/>
    </row>
    <row r="2089" spans="1:8" ht="15.75">
      <c r="A2089" s="50">
        <v>42331</v>
      </c>
      <c r="B2089" s="51">
        <v>1001.32</v>
      </c>
      <c r="C2089" s="52"/>
      <c r="D2089" s="52"/>
      <c r="E2089" s="52"/>
      <c r="F2089" s="52"/>
      <c r="G2089" s="52"/>
      <c r="H2089" s="52"/>
    </row>
    <row r="2090" spans="1:8" ht="15.75">
      <c r="A2090" s="50">
        <v>42332</v>
      </c>
      <c r="B2090" s="51">
        <v>1010.41</v>
      </c>
      <c r="C2090" s="52"/>
      <c r="D2090" s="52"/>
      <c r="E2090" s="52"/>
      <c r="F2090" s="52"/>
      <c r="G2090" s="52"/>
      <c r="H2090" s="52"/>
    </row>
    <row r="2091" spans="1:8" ht="15.75">
      <c r="A2091" s="50">
        <v>42333</v>
      </c>
      <c r="B2091" s="51">
        <v>1017.04</v>
      </c>
      <c r="C2091" s="52"/>
      <c r="D2091" s="52"/>
      <c r="E2091" s="52"/>
      <c r="F2091" s="52"/>
      <c r="G2091" s="52"/>
      <c r="H2091" s="52"/>
    </row>
    <row r="2092" spans="1:8" ht="15.75">
      <c r="A2092" s="50">
        <v>42334</v>
      </c>
      <c r="B2092" s="51">
        <v>1011.69</v>
      </c>
      <c r="C2092" s="52"/>
      <c r="D2092" s="52"/>
      <c r="E2092" s="52"/>
      <c r="F2092" s="52"/>
      <c r="G2092" s="52"/>
      <c r="H2092" s="52"/>
    </row>
    <row r="2093" spans="1:8" ht="15.75">
      <c r="A2093" s="50">
        <v>42335</v>
      </c>
      <c r="B2093" s="102">
        <v>998.96</v>
      </c>
      <c r="C2093" s="52"/>
      <c r="D2093" s="52"/>
      <c r="E2093" s="52"/>
      <c r="F2093" s="52"/>
      <c r="G2093" s="52"/>
      <c r="H2093" s="52"/>
    </row>
    <row r="2094" spans="1:8" ht="15.75">
      <c r="A2094" s="50">
        <v>42338</v>
      </c>
      <c r="B2094" s="51">
        <v>1007.24</v>
      </c>
      <c r="C2094" s="52"/>
      <c r="D2094" s="52"/>
      <c r="E2094" s="52"/>
      <c r="F2094" s="52"/>
      <c r="G2094" s="52"/>
      <c r="H2094" s="52"/>
    </row>
    <row r="2095" spans="1:8" ht="15.75">
      <c r="A2095" s="50">
        <v>42339</v>
      </c>
      <c r="B2095" s="51">
        <v>1005.93</v>
      </c>
      <c r="C2095" s="52"/>
      <c r="D2095" s="52"/>
      <c r="E2095" s="52"/>
      <c r="F2095" s="52"/>
      <c r="G2095" s="52"/>
      <c r="H2095" s="52"/>
    </row>
    <row r="2096" spans="1:8" ht="15.75">
      <c r="A2096" s="50">
        <v>42340</v>
      </c>
      <c r="B2096" s="51">
        <v>1002.97</v>
      </c>
      <c r="C2096" s="52"/>
      <c r="D2096" s="52"/>
      <c r="E2096" s="52"/>
      <c r="F2096" s="52"/>
      <c r="G2096" s="52"/>
      <c r="H2096" s="52"/>
    </row>
    <row r="2097" spans="1:8" ht="15.75">
      <c r="A2097" s="50">
        <v>42341</v>
      </c>
      <c r="B2097" s="102">
        <v>964.41</v>
      </c>
      <c r="C2097" s="52"/>
      <c r="D2097" s="52"/>
      <c r="E2097" s="52"/>
      <c r="F2097" s="52"/>
      <c r="G2097" s="52"/>
      <c r="H2097" s="52"/>
    </row>
    <row r="2098" spans="1:8" ht="15.75">
      <c r="A2098" s="50">
        <v>42342</v>
      </c>
      <c r="B2098" s="102">
        <v>999.15</v>
      </c>
      <c r="C2098" s="52"/>
      <c r="D2098" s="52"/>
      <c r="E2098" s="52"/>
      <c r="F2098" s="52"/>
      <c r="G2098" s="52"/>
      <c r="H2098" s="52"/>
    </row>
    <row r="2099" spans="1:8" ht="15.75">
      <c r="A2099" s="50">
        <v>42345</v>
      </c>
      <c r="B2099" s="102">
        <v>989.01</v>
      </c>
      <c r="C2099" s="52"/>
      <c r="D2099" s="52"/>
      <c r="E2099" s="52"/>
      <c r="F2099" s="52"/>
      <c r="G2099" s="52"/>
      <c r="H2099" s="52"/>
    </row>
    <row r="2100" spans="1:8" ht="15.75">
      <c r="A2100" s="50">
        <v>42346</v>
      </c>
      <c r="B2100" s="102">
        <v>986.49</v>
      </c>
      <c r="C2100" s="52"/>
      <c r="D2100" s="52"/>
      <c r="E2100" s="52"/>
      <c r="F2100" s="52"/>
      <c r="G2100" s="52"/>
      <c r="H2100" s="52"/>
    </row>
    <row r="2101" spans="1:8" ht="15.75">
      <c r="A2101" s="50">
        <v>42347</v>
      </c>
      <c r="B2101" s="102">
        <v>974.31</v>
      </c>
      <c r="C2101" s="52"/>
      <c r="D2101" s="52"/>
      <c r="E2101" s="52"/>
      <c r="F2101" s="52"/>
      <c r="G2101" s="52"/>
      <c r="H2101" s="52"/>
    </row>
    <row r="2102" spans="1:8" ht="15.75">
      <c r="A2102" s="50">
        <v>42348</v>
      </c>
      <c r="B2102" s="102">
        <v>979.6</v>
      </c>
      <c r="C2102" s="52"/>
      <c r="D2102" s="52"/>
      <c r="E2102" s="52"/>
      <c r="F2102" s="52"/>
      <c r="G2102" s="52"/>
      <c r="H2102" s="52"/>
    </row>
    <row r="2103" spans="1:8" ht="15.75">
      <c r="A2103" s="50">
        <v>42349</v>
      </c>
      <c r="B2103" s="102">
        <v>976.9</v>
      </c>
      <c r="C2103" s="52"/>
      <c r="D2103" s="52"/>
      <c r="E2103" s="52"/>
      <c r="F2103" s="52"/>
      <c r="G2103" s="52"/>
      <c r="H2103" s="52"/>
    </row>
    <row r="2104" spans="1:8" ht="15.75">
      <c r="A2104" s="50">
        <v>42352</v>
      </c>
      <c r="B2104" s="102">
        <v>964</v>
      </c>
      <c r="C2104" s="52"/>
      <c r="D2104" s="52"/>
      <c r="E2104" s="52"/>
      <c r="F2104" s="52"/>
      <c r="G2104" s="52"/>
      <c r="H2104" s="52"/>
    </row>
    <row r="2105" spans="1:8" ht="15.75">
      <c r="A2105" s="50">
        <v>42353</v>
      </c>
      <c r="B2105" s="102">
        <v>967.63</v>
      </c>
      <c r="C2105" s="52"/>
      <c r="D2105" s="52"/>
      <c r="E2105" s="52"/>
      <c r="F2105" s="52"/>
      <c r="G2105" s="52"/>
      <c r="H2105" s="52"/>
    </row>
    <row r="2106" spans="1:8" ht="15.75">
      <c r="A2106" s="50">
        <v>42354</v>
      </c>
      <c r="B2106" s="102">
        <v>980.55</v>
      </c>
      <c r="C2106" s="52"/>
      <c r="D2106" s="52"/>
      <c r="E2106" s="52"/>
      <c r="F2106" s="52"/>
      <c r="G2106" s="52"/>
      <c r="H2106" s="52"/>
    </row>
    <row r="2107" spans="1:8" ht="15.75">
      <c r="A2107" s="50">
        <v>42355</v>
      </c>
      <c r="B2107" s="102">
        <v>967.42</v>
      </c>
      <c r="C2107" s="52"/>
      <c r="D2107" s="52"/>
      <c r="E2107" s="52"/>
      <c r="F2107" s="52"/>
      <c r="G2107" s="52"/>
      <c r="H2107" s="52"/>
    </row>
    <row r="2108" spans="1:8" ht="15.75">
      <c r="A2108" s="50">
        <v>42356</v>
      </c>
      <c r="B2108" s="102">
        <v>980.77</v>
      </c>
      <c r="C2108" s="52"/>
      <c r="D2108" s="52"/>
      <c r="E2108" s="52"/>
      <c r="F2108" s="52"/>
      <c r="G2108" s="52"/>
      <c r="H2108" s="52"/>
    </row>
    <row r="2109" spans="1:8" ht="15.75">
      <c r="A2109" s="50">
        <v>42358</v>
      </c>
      <c r="B2109" s="102">
        <v>985.36</v>
      </c>
      <c r="C2109" s="52"/>
      <c r="D2109" s="52"/>
      <c r="E2109" s="52"/>
      <c r="F2109" s="52"/>
      <c r="G2109" s="52"/>
      <c r="H2109" s="52"/>
    </row>
    <row r="2110" spans="1:8" ht="15.75">
      <c r="A2110" s="50">
        <v>42359</v>
      </c>
      <c r="B2110" s="102">
        <v>989.64</v>
      </c>
      <c r="C2110" s="52"/>
      <c r="D2110" s="52"/>
      <c r="E2110" s="52"/>
      <c r="F2110" s="52"/>
      <c r="G2110" s="52"/>
      <c r="H2110" s="52"/>
    </row>
    <row r="2111" spans="1:8" ht="15.75">
      <c r="A2111" s="50">
        <v>42360</v>
      </c>
      <c r="B2111" s="102">
        <v>979.27</v>
      </c>
      <c r="C2111" s="52"/>
      <c r="D2111" s="52"/>
      <c r="E2111" s="52"/>
      <c r="F2111" s="52"/>
      <c r="G2111" s="52"/>
      <c r="H2111" s="52"/>
    </row>
    <row r="2112" spans="1:8" ht="15.75">
      <c r="A2112" s="50">
        <v>42361</v>
      </c>
      <c r="B2112" s="102">
        <v>978.91</v>
      </c>
      <c r="C2112" s="52"/>
      <c r="D2112" s="52"/>
      <c r="E2112" s="52"/>
      <c r="F2112" s="52"/>
      <c r="G2112" s="52"/>
      <c r="H2112" s="52"/>
    </row>
    <row r="2113" spans="1:8" ht="15.75">
      <c r="A2113" s="50">
        <v>42362</v>
      </c>
      <c r="B2113" s="102">
        <v>981.08</v>
      </c>
      <c r="C2113" s="52"/>
      <c r="D2113" s="52"/>
      <c r="E2113" s="52"/>
      <c r="F2113" s="52"/>
      <c r="G2113" s="52"/>
      <c r="H2113" s="52"/>
    </row>
    <row r="2114" spans="1:8" ht="15.75">
      <c r="A2114" s="50">
        <v>42366</v>
      </c>
      <c r="B2114" s="102">
        <v>971.12</v>
      </c>
      <c r="C2114" s="52"/>
      <c r="D2114" s="52"/>
      <c r="E2114" s="52"/>
      <c r="F2114" s="52"/>
      <c r="G2114" s="52"/>
      <c r="H2114" s="52"/>
    </row>
    <row r="2115" spans="1:8" ht="15.75">
      <c r="A2115" s="50">
        <v>42367</v>
      </c>
      <c r="B2115" s="102">
        <v>976.93</v>
      </c>
      <c r="C2115" s="52"/>
      <c r="D2115" s="52"/>
      <c r="E2115" s="52"/>
      <c r="F2115" s="52"/>
      <c r="G2115" s="52"/>
      <c r="H2115" s="52"/>
    </row>
    <row r="2116" spans="1:8" ht="15.75">
      <c r="A2116" s="50">
        <v>42368</v>
      </c>
      <c r="B2116" s="102">
        <v>973.09</v>
      </c>
      <c r="C2116" s="52"/>
      <c r="D2116" s="52"/>
      <c r="E2116" s="52"/>
      <c r="F2116" s="52"/>
      <c r="G2116" s="52"/>
      <c r="H2116" s="52"/>
    </row>
    <row r="2117" spans="1:8" ht="15.75">
      <c r="A2117" s="50">
        <v>42369</v>
      </c>
      <c r="B2117" s="102">
        <v>976.91</v>
      </c>
      <c r="C2117" s="52"/>
      <c r="D2117" s="52"/>
      <c r="E2117" s="52"/>
      <c r="F2117" s="52"/>
      <c r="G2117" s="52"/>
      <c r="H2117" s="52"/>
    </row>
    <row r="2118" spans="1:8" ht="15.75">
      <c r="A2118" s="50">
        <v>42373</v>
      </c>
      <c r="B2118" s="102">
        <v>991.69</v>
      </c>
      <c r="C2118" s="52"/>
      <c r="D2118" s="52"/>
      <c r="E2118" s="52"/>
      <c r="F2118" s="52"/>
      <c r="G2118" s="52"/>
      <c r="H2118" s="52"/>
    </row>
    <row r="2119" spans="1:8" ht="15.75">
      <c r="A2119" s="50">
        <v>42374</v>
      </c>
      <c r="B2119" s="51">
        <v>1001.91</v>
      </c>
      <c r="C2119" s="52"/>
      <c r="D2119" s="52"/>
      <c r="E2119" s="52"/>
      <c r="F2119" s="52"/>
      <c r="G2119" s="52"/>
      <c r="H2119" s="52"/>
    </row>
    <row r="2120" spans="1:8" ht="15.75">
      <c r="A2120" s="50">
        <v>42375</v>
      </c>
      <c r="B2120" s="51">
        <v>1014.64</v>
      </c>
      <c r="C2120" s="52"/>
      <c r="D2120" s="52"/>
      <c r="E2120" s="52"/>
      <c r="F2120" s="52"/>
      <c r="G2120" s="52"/>
      <c r="H2120" s="52"/>
    </row>
    <row r="2121" spans="1:8" ht="15.75">
      <c r="A2121" s="50">
        <v>42376</v>
      </c>
      <c r="B2121" s="51">
        <v>1014.93</v>
      </c>
      <c r="C2121" s="52"/>
      <c r="D2121" s="52"/>
      <c r="E2121" s="52"/>
      <c r="F2121" s="52"/>
      <c r="G2121" s="52"/>
      <c r="H2121" s="52"/>
    </row>
    <row r="2122" spans="1:8" ht="15.75">
      <c r="A2122" s="50">
        <v>42377</v>
      </c>
      <c r="B2122" s="51">
        <v>1010.62</v>
      </c>
      <c r="C2122" s="52"/>
      <c r="D2122" s="52"/>
      <c r="E2122" s="52"/>
      <c r="F2122" s="52"/>
      <c r="G2122" s="52"/>
      <c r="H2122" s="52"/>
    </row>
    <row r="2123" spans="1:8" ht="15.75">
      <c r="A2123" s="50">
        <v>42380</v>
      </c>
      <c r="B2123" s="51">
        <v>1005.98</v>
      </c>
      <c r="C2123" s="52"/>
      <c r="D2123" s="52"/>
      <c r="E2123" s="52"/>
      <c r="F2123" s="52"/>
      <c r="G2123" s="52"/>
      <c r="H2123" s="52"/>
    </row>
    <row r="2124" spans="1:8" ht="15.75">
      <c r="A2124" s="50">
        <v>42381</v>
      </c>
      <c r="B2124" s="51">
        <v>1002.12</v>
      </c>
      <c r="C2124" s="52"/>
      <c r="D2124" s="52"/>
      <c r="E2124" s="52"/>
      <c r="F2124" s="52"/>
      <c r="G2124" s="52"/>
      <c r="H2124" s="52"/>
    </row>
    <row r="2125" spans="1:8" ht="15.75">
      <c r="A2125" s="50">
        <v>42382</v>
      </c>
      <c r="B2125" s="51">
        <v>1007.26</v>
      </c>
      <c r="C2125" s="52"/>
      <c r="D2125" s="52"/>
      <c r="E2125" s="52"/>
      <c r="F2125" s="52"/>
      <c r="G2125" s="52"/>
      <c r="H2125" s="52"/>
    </row>
    <row r="2126" spans="1:8" ht="15.75">
      <c r="A2126" s="50">
        <v>42383</v>
      </c>
      <c r="B2126" s="102">
        <v>992.54</v>
      </c>
      <c r="C2126" s="52"/>
      <c r="D2126" s="52"/>
      <c r="E2126" s="52"/>
      <c r="F2126" s="52"/>
      <c r="G2126" s="52"/>
      <c r="H2126" s="52"/>
    </row>
    <row r="2127" spans="1:8" ht="15.75">
      <c r="A2127" s="50">
        <v>42384</v>
      </c>
      <c r="B2127" s="102">
        <v>997.94</v>
      </c>
      <c r="C2127" s="52"/>
      <c r="D2127" s="52"/>
      <c r="E2127" s="52"/>
      <c r="F2127" s="52"/>
      <c r="G2127" s="52"/>
      <c r="H2127" s="52"/>
    </row>
    <row r="2128" spans="1:8" ht="15.75">
      <c r="A2128" s="50">
        <v>42387</v>
      </c>
      <c r="B2128" s="102">
        <v>997.61</v>
      </c>
      <c r="C2128" s="52"/>
      <c r="D2128" s="52"/>
      <c r="E2128" s="52"/>
      <c r="F2128" s="52"/>
      <c r="G2128" s="52"/>
      <c r="H2128" s="52"/>
    </row>
    <row r="2129" spans="1:8" ht="15.75">
      <c r="A2129" s="50">
        <v>42388</v>
      </c>
      <c r="B2129" s="102">
        <v>991.84</v>
      </c>
      <c r="C2129" s="52"/>
      <c r="D2129" s="52"/>
      <c r="E2129" s="52"/>
      <c r="F2129" s="52"/>
      <c r="G2129" s="52"/>
      <c r="H2129" s="52"/>
    </row>
    <row r="2130" spans="1:8" ht="15.75">
      <c r="A2130" s="50">
        <v>42389</v>
      </c>
      <c r="B2130" s="51">
        <v>1010.56</v>
      </c>
      <c r="C2130" s="52"/>
      <c r="D2130" s="52"/>
      <c r="E2130" s="52"/>
      <c r="F2130" s="52"/>
      <c r="G2130" s="52"/>
      <c r="H2130" s="52"/>
    </row>
    <row r="2131" spans="1:8" ht="15.75">
      <c r="A2131" s="50">
        <v>42390</v>
      </c>
      <c r="B2131" s="51">
        <v>1017.85</v>
      </c>
      <c r="C2131" s="52"/>
      <c r="D2131" s="52"/>
      <c r="E2131" s="52"/>
      <c r="F2131" s="52"/>
      <c r="G2131" s="52"/>
      <c r="H2131" s="52"/>
    </row>
    <row r="2132" spans="1:8" ht="15.75">
      <c r="A2132" s="50">
        <v>42391</v>
      </c>
      <c r="B2132" s="51">
        <v>1016.46</v>
      </c>
      <c r="C2132" s="52"/>
      <c r="D2132" s="52"/>
      <c r="E2132" s="52"/>
      <c r="F2132" s="52"/>
      <c r="G2132" s="52"/>
      <c r="H2132" s="52"/>
    </row>
    <row r="2133" spans="1:8" ht="15.75">
      <c r="A2133" s="50">
        <v>42393</v>
      </c>
      <c r="B2133" s="51">
        <v>1016.94</v>
      </c>
      <c r="C2133" s="52"/>
      <c r="D2133" s="52"/>
      <c r="E2133" s="52"/>
      <c r="F2133" s="52"/>
      <c r="G2133" s="52"/>
      <c r="H2133" s="52"/>
    </row>
    <row r="2134" spans="1:8" ht="15.75">
      <c r="A2134" s="50">
        <v>42394</v>
      </c>
      <c r="B2134" s="51">
        <v>1021.1</v>
      </c>
      <c r="C2134" s="52"/>
      <c r="D2134" s="52"/>
      <c r="E2134" s="52"/>
      <c r="F2134" s="52"/>
      <c r="G2134" s="52"/>
      <c r="H2134" s="52"/>
    </row>
    <row r="2135" spans="1:8" ht="15.75">
      <c r="A2135" s="50">
        <v>42395</v>
      </c>
      <c r="B2135" s="51">
        <v>1030.8800000000001</v>
      </c>
      <c r="C2135" s="52"/>
      <c r="D2135" s="52"/>
      <c r="E2135" s="52"/>
      <c r="F2135" s="52"/>
      <c r="G2135" s="52"/>
      <c r="H2135" s="52"/>
    </row>
    <row r="2136" spans="1:8" ht="15.75">
      <c r="A2136" s="50">
        <v>42396</v>
      </c>
      <c r="B2136" s="51">
        <v>1030.81</v>
      </c>
      <c r="C2136" s="52"/>
      <c r="D2136" s="52"/>
      <c r="E2136" s="52"/>
      <c r="F2136" s="52"/>
      <c r="G2136" s="52"/>
      <c r="H2136" s="52"/>
    </row>
    <row r="2137" spans="1:8" ht="15.75">
      <c r="A2137" s="50">
        <v>42397</v>
      </c>
      <c r="B2137" s="51">
        <v>1023.58</v>
      </c>
      <c r="C2137" s="52"/>
      <c r="D2137" s="52"/>
      <c r="E2137" s="52"/>
      <c r="F2137" s="52"/>
      <c r="G2137" s="52"/>
      <c r="H2137" s="52"/>
    </row>
    <row r="2138" spans="1:8" ht="15.75">
      <c r="A2138" s="50">
        <v>42398</v>
      </c>
      <c r="B2138" s="51">
        <v>1032.3900000000001</v>
      </c>
      <c r="C2138" s="52"/>
      <c r="D2138" s="52"/>
      <c r="E2138" s="52"/>
      <c r="F2138" s="52"/>
      <c r="G2138" s="52"/>
      <c r="H2138" s="52"/>
    </row>
    <row r="2139" spans="1:8" ht="15.75">
      <c r="A2139" s="50">
        <v>42401</v>
      </c>
      <c r="B2139" s="51">
        <v>1036.83</v>
      </c>
      <c r="C2139" s="52"/>
      <c r="D2139" s="52"/>
      <c r="E2139" s="52"/>
      <c r="F2139" s="52"/>
      <c r="G2139" s="52"/>
      <c r="H2139" s="52"/>
    </row>
    <row r="2140" spans="1:8" ht="15.75">
      <c r="A2140" s="50">
        <v>42402</v>
      </c>
      <c r="B2140" s="51">
        <v>1033.3900000000001</v>
      </c>
      <c r="C2140" s="52"/>
      <c r="D2140" s="52"/>
      <c r="E2140" s="52"/>
      <c r="F2140" s="52"/>
      <c r="G2140" s="52"/>
      <c r="H2140" s="52"/>
    </row>
    <row r="2141" spans="1:8" ht="15.75">
      <c r="A2141" s="50">
        <v>42403</v>
      </c>
      <c r="B2141" s="51">
        <v>1030.8599999999999</v>
      </c>
      <c r="C2141" s="52"/>
      <c r="D2141" s="52"/>
      <c r="E2141" s="52"/>
      <c r="F2141" s="52"/>
      <c r="G2141" s="52"/>
      <c r="H2141" s="52"/>
    </row>
    <row r="2142" spans="1:8" ht="15.75">
      <c r="A2142" s="50">
        <v>42404</v>
      </c>
      <c r="B2142" s="51">
        <v>1035.71</v>
      </c>
      <c r="C2142" s="52"/>
      <c r="D2142" s="52"/>
      <c r="E2142" s="52"/>
      <c r="F2142" s="52"/>
      <c r="G2142" s="52"/>
      <c r="H2142" s="52"/>
    </row>
    <row r="2143" spans="1:8" ht="15.75">
      <c r="A2143" s="50">
        <v>42405</v>
      </c>
      <c r="B2143" s="51">
        <v>1051.53</v>
      </c>
      <c r="C2143" s="52"/>
      <c r="D2143" s="52"/>
      <c r="E2143" s="52"/>
      <c r="F2143" s="52"/>
      <c r="G2143" s="52"/>
      <c r="H2143" s="52"/>
    </row>
    <row r="2144" spans="1:8" ht="15.75">
      <c r="A2144" s="50">
        <v>42408</v>
      </c>
      <c r="B2144" s="51">
        <v>1061.9100000000001</v>
      </c>
      <c r="C2144" s="52"/>
      <c r="D2144" s="52"/>
      <c r="E2144" s="52"/>
      <c r="F2144" s="52"/>
      <c r="G2144" s="52"/>
      <c r="H2144" s="52"/>
    </row>
    <row r="2145" spans="1:8" ht="15.75">
      <c r="A2145" s="50">
        <v>42409</v>
      </c>
      <c r="B2145" s="51">
        <v>1053.01</v>
      </c>
      <c r="C2145" s="52"/>
      <c r="D2145" s="52"/>
      <c r="E2145" s="52"/>
      <c r="F2145" s="52"/>
      <c r="G2145" s="52"/>
      <c r="H2145" s="52"/>
    </row>
    <row r="2146" spans="1:8" ht="15.75">
      <c r="A2146" s="50">
        <v>42410</v>
      </c>
      <c r="B2146" s="51">
        <v>1062.1600000000001</v>
      </c>
      <c r="C2146" s="52"/>
      <c r="D2146" s="52"/>
      <c r="E2146" s="52"/>
      <c r="F2146" s="52"/>
      <c r="G2146" s="52"/>
      <c r="H2146" s="52"/>
    </row>
    <row r="2147" spans="1:8" ht="15.75">
      <c r="A2147" s="50">
        <v>42411</v>
      </c>
      <c r="B2147" s="51">
        <v>1101.6300000000001</v>
      </c>
      <c r="C2147" s="52"/>
      <c r="D2147" s="52"/>
      <c r="E2147" s="52"/>
      <c r="F2147" s="52"/>
      <c r="G2147" s="52"/>
      <c r="H2147" s="52"/>
    </row>
    <row r="2148" spans="1:8" ht="15.75">
      <c r="A2148" s="50">
        <v>42412</v>
      </c>
      <c r="B2148" s="51">
        <v>1099.06</v>
      </c>
      <c r="C2148" s="52"/>
      <c r="D2148" s="52"/>
      <c r="E2148" s="52"/>
      <c r="F2148" s="52"/>
      <c r="G2148" s="52"/>
      <c r="H2148" s="52"/>
    </row>
    <row r="2149" spans="1:8" ht="15.75">
      <c r="A2149" s="50">
        <v>42415</v>
      </c>
      <c r="B2149" s="51">
        <v>1075.8800000000001</v>
      </c>
      <c r="C2149" s="52"/>
      <c r="D2149" s="52"/>
      <c r="E2149" s="52"/>
      <c r="F2149" s="52"/>
      <c r="G2149" s="52"/>
      <c r="H2149" s="52"/>
    </row>
    <row r="2150" spans="1:8" ht="15.75">
      <c r="A2150" s="50">
        <v>42416</v>
      </c>
      <c r="B2150" s="51">
        <v>1075.55</v>
      </c>
      <c r="C2150" s="52"/>
      <c r="D2150" s="52"/>
      <c r="E2150" s="52"/>
      <c r="F2150" s="52"/>
      <c r="G2150" s="52"/>
      <c r="H2150" s="52"/>
    </row>
    <row r="2151" spans="1:8" ht="15.75">
      <c r="A2151" s="50">
        <v>42417</v>
      </c>
      <c r="B2151" s="51">
        <v>1108.6600000000001</v>
      </c>
      <c r="C2151" s="52"/>
      <c r="D2151" s="52"/>
      <c r="E2151" s="52"/>
      <c r="F2151" s="52"/>
      <c r="G2151" s="52"/>
      <c r="H2151" s="52"/>
    </row>
    <row r="2152" spans="1:8" ht="15.75">
      <c r="A2152" s="50">
        <v>42418</v>
      </c>
      <c r="B2152" s="51">
        <v>1108.6600000000001</v>
      </c>
      <c r="C2152" s="52"/>
      <c r="D2152" s="52"/>
      <c r="E2152" s="52"/>
      <c r="F2152" s="52"/>
      <c r="G2152" s="52"/>
      <c r="H2152" s="52"/>
    </row>
    <row r="2153" spans="1:8" ht="15.75">
      <c r="A2153" s="50">
        <v>42419</v>
      </c>
      <c r="B2153" s="51">
        <v>1102.99</v>
      </c>
      <c r="C2153" s="52"/>
      <c r="D2153" s="52"/>
      <c r="E2153" s="52"/>
      <c r="F2153" s="52"/>
      <c r="G2153" s="52"/>
      <c r="H2153" s="52"/>
    </row>
    <row r="2154" spans="1:8" ht="15.75">
      <c r="A2154" s="50">
        <v>42421</v>
      </c>
      <c r="B2154" s="51">
        <v>1101.21</v>
      </c>
      <c r="C2154" s="52"/>
      <c r="D2154" s="52"/>
      <c r="E2154" s="52"/>
      <c r="F2154" s="52"/>
      <c r="G2154" s="52"/>
      <c r="H2154" s="52"/>
    </row>
    <row r="2155" spans="1:8" ht="15.75">
      <c r="A2155" s="50">
        <v>42422</v>
      </c>
      <c r="B2155" s="51">
        <v>1094.78</v>
      </c>
      <c r="C2155" s="52"/>
      <c r="D2155" s="52"/>
      <c r="E2155" s="52"/>
      <c r="F2155" s="52"/>
      <c r="G2155" s="52"/>
      <c r="H2155" s="52"/>
    </row>
    <row r="2156" spans="1:8" ht="15.75">
      <c r="A2156" s="50">
        <v>42423</v>
      </c>
      <c r="B2156" s="51">
        <v>1113.48</v>
      </c>
      <c r="C2156" s="52"/>
      <c r="D2156" s="52"/>
      <c r="E2156" s="52"/>
      <c r="F2156" s="52"/>
      <c r="G2156" s="52"/>
      <c r="H2156" s="52"/>
    </row>
    <row r="2157" spans="1:8" ht="15.75">
      <c r="A2157" s="50">
        <v>42424</v>
      </c>
      <c r="B2157" s="51">
        <v>1115.95</v>
      </c>
      <c r="C2157" s="52"/>
      <c r="D2157" s="52"/>
      <c r="E2157" s="52"/>
      <c r="F2157" s="52"/>
      <c r="G2157" s="52"/>
      <c r="H2157" s="52"/>
    </row>
    <row r="2158" spans="1:8" ht="15.75">
      <c r="A2158" s="50">
        <v>42425</v>
      </c>
      <c r="B2158" s="51">
        <v>1130.18</v>
      </c>
      <c r="C2158" s="52"/>
      <c r="D2158" s="52"/>
      <c r="E2158" s="52"/>
      <c r="F2158" s="52"/>
      <c r="G2158" s="52"/>
      <c r="H2158" s="52"/>
    </row>
    <row r="2159" spans="1:8" ht="15.75">
      <c r="A2159" s="50">
        <v>42426</v>
      </c>
      <c r="B2159" s="51">
        <v>1118.6099999999999</v>
      </c>
      <c r="C2159" s="52"/>
      <c r="D2159" s="52"/>
      <c r="E2159" s="52"/>
      <c r="F2159" s="52"/>
      <c r="G2159" s="52"/>
      <c r="H2159" s="52"/>
    </row>
    <row r="2160" spans="1:8" ht="15.75">
      <c r="A2160" s="50">
        <v>42428</v>
      </c>
      <c r="B2160" s="51">
        <v>1119.32</v>
      </c>
      <c r="C2160" s="52"/>
      <c r="D2160" s="52"/>
      <c r="E2160" s="52"/>
      <c r="F2160" s="52"/>
      <c r="G2160" s="52"/>
      <c r="H2160" s="52"/>
    </row>
    <row r="2161" spans="1:8" ht="15.75">
      <c r="A2161" s="50">
        <v>42429</v>
      </c>
      <c r="B2161" s="51">
        <v>1128.29</v>
      </c>
      <c r="C2161" s="52"/>
      <c r="D2161" s="52"/>
      <c r="E2161" s="52"/>
      <c r="F2161" s="52"/>
      <c r="G2161" s="52"/>
      <c r="H2161" s="52"/>
    </row>
    <row r="2162" spans="1:8" ht="15.75">
      <c r="A2162" s="50">
        <v>42430</v>
      </c>
      <c r="B2162" s="51">
        <v>1125.74</v>
      </c>
      <c r="C2162" s="52"/>
      <c r="D2162" s="52"/>
      <c r="E2162" s="52"/>
      <c r="F2162" s="52"/>
      <c r="G2162" s="52"/>
      <c r="H2162" s="52"/>
    </row>
    <row r="2163" spans="1:8" ht="15.75">
      <c r="A2163" s="50">
        <v>42431</v>
      </c>
      <c r="B2163" s="51">
        <v>1141.1600000000001</v>
      </c>
      <c r="C2163" s="52"/>
      <c r="D2163" s="52"/>
      <c r="E2163" s="52"/>
      <c r="F2163" s="52"/>
      <c r="G2163" s="52"/>
      <c r="H2163" s="52"/>
    </row>
    <row r="2164" spans="1:8" ht="15.75">
      <c r="A2164" s="50">
        <v>42432</v>
      </c>
      <c r="B2164" s="51">
        <v>1159.9100000000001</v>
      </c>
      <c r="C2164" s="52"/>
      <c r="D2164" s="52"/>
      <c r="E2164" s="52"/>
      <c r="F2164" s="52"/>
      <c r="G2164" s="52"/>
      <c r="H2164" s="52"/>
    </row>
    <row r="2165" spans="1:8" ht="15.75">
      <c r="A2165" s="50">
        <v>42433</v>
      </c>
      <c r="B2165" s="51">
        <v>1142.95</v>
      </c>
      <c r="C2165" s="52"/>
      <c r="D2165" s="52"/>
      <c r="E2165" s="52"/>
      <c r="F2165" s="52"/>
      <c r="G2165" s="52"/>
      <c r="H2165" s="52"/>
    </row>
    <row r="2166" spans="1:8" ht="15.75">
      <c r="A2166" s="50">
        <v>42436</v>
      </c>
      <c r="B2166" s="51">
        <v>1150.83</v>
      </c>
      <c r="C2166" s="52"/>
      <c r="D2166" s="52"/>
      <c r="E2166" s="52"/>
      <c r="F2166" s="52"/>
      <c r="G2166" s="52"/>
      <c r="H2166" s="52"/>
    </row>
    <row r="2167" spans="1:8" ht="15.75">
      <c r="A2167" s="50">
        <v>42437</v>
      </c>
      <c r="B2167" s="51">
        <v>1144.6199999999999</v>
      </c>
      <c r="C2167" s="52"/>
      <c r="D2167" s="52"/>
      <c r="E2167" s="52"/>
      <c r="F2167" s="52"/>
      <c r="G2167" s="52"/>
      <c r="H2167" s="52"/>
    </row>
    <row r="2168" spans="1:8" ht="15.75">
      <c r="A2168" s="50">
        <v>42438</v>
      </c>
      <c r="B2168" s="51">
        <v>1139.4000000000001</v>
      </c>
      <c r="C2168" s="52"/>
      <c r="D2168" s="52"/>
      <c r="E2168" s="52"/>
      <c r="F2168" s="52"/>
      <c r="G2168" s="52"/>
      <c r="H2168" s="52"/>
    </row>
    <row r="2169" spans="1:8" ht="15.75">
      <c r="A2169" s="50">
        <v>42439</v>
      </c>
      <c r="B2169" s="51">
        <v>1144.76</v>
      </c>
      <c r="C2169" s="52"/>
      <c r="D2169" s="52"/>
      <c r="E2169" s="52"/>
      <c r="F2169" s="52"/>
      <c r="G2169" s="52"/>
      <c r="H2169" s="52"/>
    </row>
    <row r="2170" spans="1:8" ht="15.75">
      <c r="A2170" s="50">
        <v>42440</v>
      </c>
      <c r="B2170" s="51">
        <v>1117.57</v>
      </c>
      <c r="C2170" s="52"/>
      <c r="D2170" s="52"/>
      <c r="E2170" s="52"/>
      <c r="F2170" s="52"/>
      <c r="G2170" s="52"/>
      <c r="H2170" s="52"/>
    </row>
    <row r="2171" spans="1:8" ht="15.75">
      <c r="A2171" s="50">
        <v>42442</v>
      </c>
      <c r="B2171" s="51">
        <v>1120.23</v>
      </c>
      <c r="C2171" s="52"/>
      <c r="D2171" s="52"/>
      <c r="E2171" s="52"/>
      <c r="F2171" s="52"/>
      <c r="G2171" s="52"/>
      <c r="H2171" s="52"/>
    </row>
    <row r="2172" spans="1:8" ht="15.75">
      <c r="A2172" s="50">
        <v>42443</v>
      </c>
      <c r="B2172" s="51">
        <v>1112.6500000000001</v>
      </c>
      <c r="C2172" s="52"/>
      <c r="D2172" s="52"/>
      <c r="E2172" s="52"/>
      <c r="F2172" s="52"/>
      <c r="G2172" s="52"/>
      <c r="H2172" s="52"/>
    </row>
    <row r="2173" spans="1:8" ht="15.75">
      <c r="A2173" s="50">
        <v>42444</v>
      </c>
      <c r="B2173" s="51">
        <v>1110.1400000000001</v>
      </c>
      <c r="C2173" s="52"/>
      <c r="D2173" s="52"/>
      <c r="E2173" s="52"/>
      <c r="F2173" s="52"/>
      <c r="G2173" s="52"/>
      <c r="H2173" s="52"/>
    </row>
    <row r="2174" spans="1:8" ht="15.75">
      <c r="A2174" s="50">
        <v>42445</v>
      </c>
      <c r="B2174" s="51">
        <v>1123.4100000000001</v>
      </c>
      <c r="C2174" s="52"/>
      <c r="D2174" s="52"/>
      <c r="E2174" s="52"/>
      <c r="F2174" s="52"/>
      <c r="G2174" s="52"/>
      <c r="H2174" s="52"/>
    </row>
    <row r="2175" spans="1:8" ht="15.75">
      <c r="A2175" s="50">
        <v>42446</v>
      </c>
      <c r="B2175" s="51">
        <v>1113.1099999999999</v>
      </c>
      <c r="C2175" s="52"/>
      <c r="D2175" s="52"/>
      <c r="E2175" s="52"/>
      <c r="F2175" s="52"/>
      <c r="G2175" s="52"/>
      <c r="H2175" s="52"/>
    </row>
    <row r="2176" spans="1:8" ht="15.75">
      <c r="A2176" s="50">
        <v>42447</v>
      </c>
      <c r="B2176" s="51">
        <v>1114.1099999999999</v>
      </c>
      <c r="C2176" s="52"/>
      <c r="D2176" s="52"/>
      <c r="E2176" s="52"/>
      <c r="F2176" s="52"/>
      <c r="G2176" s="52"/>
      <c r="H2176" s="52"/>
    </row>
    <row r="2177" spans="1:8" ht="15.75">
      <c r="A2177" s="50">
        <v>42449</v>
      </c>
      <c r="B2177" s="51">
        <v>1114.05</v>
      </c>
      <c r="C2177" s="52"/>
      <c r="D2177" s="52"/>
      <c r="E2177" s="52"/>
      <c r="F2177" s="52"/>
      <c r="G2177" s="52"/>
      <c r="H2177" s="52"/>
    </row>
    <row r="2178" spans="1:8" ht="15.75">
      <c r="A2178" s="50">
        <v>42450</v>
      </c>
      <c r="B2178" s="51">
        <v>1106.32</v>
      </c>
      <c r="C2178" s="52"/>
      <c r="D2178" s="52"/>
      <c r="E2178" s="52"/>
      <c r="F2178" s="52"/>
      <c r="G2178" s="52"/>
      <c r="H2178" s="52"/>
    </row>
    <row r="2179" spans="1:8" ht="15.75">
      <c r="A2179" s="50">
        <v>42451</v>
      </c>
      <c r="B2179" s="51">
        <v>1112.21</v>
      </c>
      <c r="C2179" s="52"/>
      <c r="D2179" s="52"/>
      <c r="E2179" s="52"/>
      <c r="F2179" s="52"/>
      <c r="G2179" s="52"/>
      <c r="H2179" s="52"/>
    </row>
    <row r="2180" spans="1:8" ht="15.75">
      <c r="A2180" s="50">
        <v>42452</v>
      </c>
      <c r="B2180" s="51">
        <v>1093.83</v>
      </c>
      <c r="C2180" s="52"/>
      <c r="D2180" s="52"/>
      <c r="E2180" s="52"/>
      <c r="F2180" s="52"/>
      <c r="G2180" s="52"/>
      <c r="H2180" s="52"/>
    </row>
    <row r="2181" spans="1:8" ht="15.75">
      <c r="A2181" s="50">
        <v>42453</v>
      </c>
      <c r="B2181" s="51">
        <v>1088.8699999999999</v>
      </c>
      <c r="C2181" s="52"/>
      <c r="D2181" s="52"/>
      <c r="E2181" s="52"/>
      <c r="F2181" s="52"/>
      <c r="G2181" s="52"/>
      <c r="H2181" s="52"/>
    </row>
    <row r="2182" spans="1:8" ht="15.75">
      <c r="A2182" s="50">
        <v>42456</v>
      </c>
      <c r="B2182" s="51">
        <v>1090.24</v>
      </c>
      <c r="C2182" s="52"/>
      <c r="D2182" s="52"/>
      <c r="E2182" s="52"/>
      <c r="F2182" s="52"/>
      <c r="G2182" s="52"/>
      <c r="H2182" s="52"/>
    </row>
    <row r="2183" spans="1:8" ht="15.75">
      <c r="A2183" s="50">
        <v>42457</v>
      </c>
      <c r="B2183" s="51">
        <v>1090.52</v>
      </c>
      <c r="C2183" s="52"/>
      <c r="D2183" s="52"/>
      <c r="E2183" s="52"/>
      <c r="F2183" s="52"/>
      <c r="G2183" s="52"/>
      <c r="H2183" s="52"/>
    </row>
    <row r="2184" spans="1:8" ht="15.75">
      <c r="A2184" s="50">
        <v>42458</v>
      </c>
      <c r="B2184" s="51">
        <v>1101.3399999999999</v>
      </c>
      <c r="C2184" s="52"/>
      <c r="D2184" s="52"/>
      <c r="E2184" s="52"/>
      <c r="F2184" s="52"/>
      <c r="G2184" s="52"/>
      <c r="H2184" s="52"/>
    </row>
    <row r="2185" spans="1:8" ht="15.75">
      <c r="A2185" s="50">
        <v>42459</v>
      </c>
      <c r="B2185" s="51">
        <v>1079.75</v>
      </c>
      <c r="C2185" s="52"/>
      <c r="D2185" s="52"/>
      <c r="E2185" s="52"/>
      <c r="F2185" s="52"/>
      <c r="G2185" s="52"/>
      <c r="H2185" s="52"/>
    </row>
    <row r="2186" spans="1:8" ht="15.75">
      <c r="A2186" s="50">
        <v>42460</v>
      </c>
      <c r="B2186" s="51">
        <v>1082.93</v>
      </c>
      <c r="C2186" s="52"/>
      <c r="D2186" s="52"/>
      <c r="E2186" s="52"/>
      <c r="F2186" s="52"/>
      <c r="G2186" s="52"/>
      <c r="H2186" s="52"/>
    </row>
    <row r="2187" spans="1:8" ht="15.75">
      <c r="A2187" s="50">
        <v>42461</v>
      </c>
      <c r="B2187" s="51">
        <v>1072.8900000000001</v>
      </c>
      <c r="C2187" s="52"/>
      <c r="D2187" s="52"/>
      <c r="E2187" s="52"/>
      <c r="F2187" s="52"/>
      <c r="G2187" s="52"/>
      <c r="H2187" s="52"/>
    </row>
    <row r="2188" spans="1:8" ht="15.75">
      <c r="A2188" s="50">
        <v>42463</v>
      </c>
      <c r="B2188" s="51">
        <v>1072.6099999999999</v>
      </c>
      <c r="C2188" s="52"/>
      <c r="D2188" s="52"/>
      <c r="E2188" s="52"/>
      <c r="F2188" s="52"/>
      <c r="G2188" s="52"/>
      <c r="H2188" s="52"/>
    </row>
    <row r="2189" spans="1:8" ht="15.75">
      <c r="A2189" s="50">
        <v>42464</v>
      </c>
      <c r="B2189" s="51">
        <v>1065.67</v>
      </c>
      <c r="C2189" s="52"/>
      <c r="D2189" s="52"/>
      <c r="E2189" s="52"/>
      <c r="F2189" s="52"/>
      <c r="G2189" s="52"/>
      <c r="H2189" s="52"/>
    </row>
    <row r="2190" spans="1:8" ht="15.75">
      <c r="A2190" s="50">
        <v>42465</v>
      </c>
      <c r="B2190" s="51">
        <v>1073.27</v>
      </c>
      <c r="C2190" s="52"/>
      <c r="D2190" s="52"/>
      <c r="E2190" s="52"/>
      <c r="F2190" s="52"/>
      <c r="G2190" s="52"/>
      <c r="H2190" s="52"/>
    </row>
    <row r="2191" spans="1:8" ht="15.75">
      <c r="A2191" s="50">
        <v>42466</v>
      </c>
      <c r="B2191" s="51">
        <v>1075.72</v>
      </c>
      <c r="C2191" s="52"/>
      <c r="D2191" s="52"/>
      <c r="E2191" s="52"/>
      <c r="F2191" s="52"/>
      <c r="G2191" s="52"/>
      <c r="H2191" s="52"/>
    </row>
    <row r="2192" spans="1:8" ht="15.75">
      <c r="A2192" s="50">
        <v>42467</v>
      </c>
      <c r="B2192" s="51">
        <v>1091.05</v>
      </c>
      <c r="C2192" s="52"/>
      <c r="D2192" s="52"/>
      <c r="E2192" s="52"/>
      <c r="F2192" s="52"/>
      <c r="G2192" s="52"/>
      <c r="H2192" s="52"/>
    </row>
    <row r="2193" spans="1:8" ht="15.75">
      <c r="A2193" s="50">
        <v>42468</v>
      </c>
      <c r="B2193" s="51">
        <v>1088.53</v>
      </c>
      <c r="C2193" s="52"/>
      <c r="D2193" s="52"/>
      <c r="E2193" s="52"/>
      <c r="F2193" s="52"/>
      <c r="G2193" s="52"/>
      <c r="H2193" s="52"/>
    </row>
    <row r="2194" spans="1:8" ht="15.75">
      <c r="A2194" s="50">
        <v>42471</v>
      </c>
      <c r="B2194" s="51">
        <v>1103.17</v>
      </c>
      <c r="C2194" s="52"/>
      <c r="D2194" s="52"/>
      <c r="E2194" s="52"/>
      <c r="F2194" s="52"/>
      <c r="G2194" s="52"/>
      <c r="H2194" s="52"/>
    </row>
    <row r="2195" spans="1:8" ht="15.75">
      <c r="A2195" s="50">
        <v>42472</v>
      </c>
      <c r="B2195" s="51">
        <v>1100.55</v>
      </c>
      <c r="C2195" s="52"/>
      <c r="D2195" s="52"/>
      <c r="E2195" s="52"/>
      <c r="F2195" s="52"/>
      <c r="G2195" s="52"/>
      <c r="H2195" s="52"/>
    </row>
    <row r="2196" spans="1:8" ht="15.75">
      <c r="A2196" s="50">
        <v>42473</v>
      </c>
      <c r="B2196" s="51">
        <v>1099.58</v>
      </c>
      <c r="C2196" s="52"/>
      <c r="D2196" s="52"/>
      <c r="E2196" s="52"/>
      <c r="F2196" s="52"/>
      <c r="G2196" s="52"/>
      <c r="H2196" s="52"/>
    </row>
    <row r="2197" spans="1:8" ht="15.75">
      <c r="A2197" s="50">
        <v>42474</v>
      </c>
      <c r="B2197" s="51">
        <v>1086.44</v>
      </c>
      <c r="C2197" s="52"/>
      <c r="D2197" s="52"/>
      <c r="E2197" s="52"/>
      <c r="F2197" s="52"/>
      <c r="G2197" s="52"/>
      <c r="H2197" s="52"/>
    </row>
    <row r="2198" spans="1:8" ht="15.75">
      <c r="A2198" s="50">
        <v>42475</v>
      </c>
      <c r="B2198" s="51">
        <v>1096.55</v>
      </c>
      <c r="C2198" s="52"/>
      <c r="D2198" s="52"/>
      <c r="E2198" s="52"/>
      <c r="F2198" s="52"/>
      <c r="G2198" s="52"/>
      <c r="H2198" s="52"/>
    </row>
    <row r="2199" spans="1:8" ht="15.75">
      <c r="A2199" s="50">
        <v>42477</v>
      </c>
      <c r="B2199" s="51">
        <v>1095.3900000000001</v>
      </c>
      <c r="C2199" s="52"/>
      <c r="D2199" s="52"/>
      <c r="E2199" s="52"/>
      <c r="F2199" s="52"/>
      <c r="G2199" s="52"/>
      <c r="H2199" s="52"/>
    </row>
    <row r="2200" spans="1:8" ht="15.75">
      <c r="A2200" s="50">
        <v>42478</v>
      </c>
      <c r="B2200" s="51">
        <v>1088.42</v>
      </c>
      <c r="C2200" s="52"/>
      <c r="D2200" s="52"/>
      <c r="E2200" s="52"/>
      <c r="F2200" s="52"/>
      <c r="G2200" s="52"/>
      <c r="H2200" s="52"/>
    </row>
    <row r="2201" spans="1:8" ht="15.75">
      <c r="A2201" s="50">
        <v>42479</v>
      </c>
      <c r="B2201" s="51">
        <v>1101.18</v>
      </c>
      <c r="C2201" s="52"/>
      <c r="D2201" s="52"/>
      <c r="E2201" s="52"/>
      <c r="F2201" s="52"/>
      <c r="G2201" s="52"/>
      <c r="H2201" s="52"/>
    </row>
    <row r="2202" spans="1:8" ht="15.75">
      <c r="A2202" s="50">
        <v>42480</v>
      </c>
      <c r="B2202" s="51">
        <v>1100.96</v>
      </c>
      <c r="C2202" s="52"/>
      <c r="D2202" s="52"/>
      <c r="E2202" s="52"/>
      <c r="F2202" s="52"/>
      <c r="G2202" s="52"/>
      <c r="H2202" s="52"/>
    </row>
    <row r="2203" spans="1:8" ht="15.75">
      <c r="A2203" s="50">
        <v>42481</v>
      </c>
      <c r="B2203" s="51">
        <v>1106.45</v>
      </c>
      <c r="C2203" s="52"/>
      <c r="D2203" s="52"/>
      <c r="E2203" s="52"/>
      <c r="F2203" s="52"/>
      <c r="G2203" s="52"/>
      <c r="H2203" s="52"/>
    </row>
    <row r="2204" spans="1:8" ht="15.75">
      <c r="A2204" s="50">
        <v>42482</v>
      </c>
      <c r="B2204" s="51">
        <v>1093.6400000000001</v>
      </c>
      <c r="C2204" s="52"/>
      <c r="D2204" s="52"/>
      <c r="E2204" s="52"/>
      <c r="F2204" s="52"/>
      <c r="G2204" s="52"/>
      <c r="H2204" s="52"/>
    </row>
    <row r="2205" spans="1:8" ht="15.75">
      <c r="A2205" s="50">
        <v>42484</v>
      </c>
      <c r="B2205" s="51">
        <v>1093.83</v>
      </c>
      <c r="C2205" s="52"/>
      <c r="D2205" s="52"/>
      <c r="E2205" s="52"/>
      <c r="F2205" s="52"/>
      <c r="G2205" s="52"/>
      <c r="H2205" s="52"/>
    </row>
    <row r="2206" spans="1:8" ht="15.75">
      <c r="A2206" s="50">
        <v>42485</v>
      </c>
      <c r="B2206" s="51">
        <v>1095.46</v>
      </c>
      <c r="C2206" s="52"/>
      <c r="D2206" s="52"/>
      <c r="E2206" s="52"/>
      <c r="F2206" s="52"/>
      <c r="G2206" s="52"/>
      <c r="H2206" s="52"/>
    </row>
    <row r="2207" spans="1:8" ht="15.75">
      <c r="A2207" s="50">
        <v>42486</v>
      </c>
      <c r="B2207" s="51">
        <v>1099.74</v>
      </c>
      <c r="C2207" s="52"/>
      <c r="D2207" s="52"/>
      <c r="E2207" s="52"/>
      <c r="F2207" s="52"/>
      <c r="G2207" s="52"/>
      <c r="H2207" s="52"/>
    </row>
    <row r="2208" spans="1:8" ht="15.75">
      <c r="A2208" s="50">
        <v>42487</v>
      </c>
      <c r="B2208" s="51">
        <v>1100.93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42488</v>
      </c>
      <c r="B2209" s="51">
        <v>1115.57</v>
      </c>
      <c r="C2209" s="52"/>
      <c r="D2209" s="52"/>
      <c r="E2209" s="52"/>
      <c r="F2209" s="52"/>
      <c r="G2209" s="52"/>
      <c r="H2209" s="52"/>
    </row>
    <row r="2210" spans="1:8" ht="15.75">
      <c r="A2210" s="50">
        <v>42489</v>
      </c>
      <c r="B2210" s="51">
        <v>1117.76</v>
      </c>
      <c r="C2210" s="52"/>
      <c r="D2210" s="52"/>
      <c r="E2210" s="52"/>
      <c r="F2210" s="52"/>
      <c r="G2210" s="52"/>
      <c r="H2210" s="52"/>
    </row>
    <row r="2211" spans="1:8" ht="15.75">
      <c r="A2211" s="50">
        <v>42491</v>
      </c>
      <c r="B2211" s="51">
        <v>1116.2</v>
      </c>
      <c r="C2211" s="52"/>
      <c r="D2211" s="52"/>
      <c r="E2211" s="52"/>
      <c r="F2211" s="52"/>
      <c r="G2211" s="52"/>
      <c r="H2211" s="52"/>
    </row>
    <row r="2212" spans="1:8" ht="15.75">
      <c r="A2212" s="50">
        <v>42492</v>
      </c>
      <c r="B2212" s="51">
        <v>1126.56</v>
      </c>
      <c r="C2212" s="52"/>
      <c r="D2212" s="52"/>
      <c r="E2212" s="52"/>
      <c r="F2212" s="52"/>
      <c r="G2212" s="52"/>
      <c r="H2212" s="52"/>
    </row>
    <row r="2213" spans="1:8" ht="15.75">
      <c r="A2213" s="50">
        <v>42493</v>
      </c>
      <c r="B2213" s="51">
        <v>1118.75</v>
      </c>
      <c r="C2213" s="52"/>
      <c r="D2213" s="52"/>
      <c r="E2213" s="52"/>
      <c r="F2213" s="52"/>
      <c r="G2213" s="52"/>
      <c r="H2213" s="52"/>
    </row>
    <row r="2214" spans="1:8" ht="15.75">
      <c r="A2214" s="50">
        <v>42494</v>
      </c>
      <c r="B2214" s="51">
        <v>1105.5</v>
      </c>
      <c r="C2214" s="52"/>
      <c r="D2214" s="52"/>
      <c r="E2214" s="52"/>
      <c r="F2214" s="52"/>
      <c r="G2214" s="52"/>
      <c r="H2214" s="52"/>
    </row>
    <row r="2215" spans="1:8" ht="15.75">
      <c r="A2215" s="50">
        <v>42495</v>
      </c>
      <c r="B2215" s="51">
        <v>1121.2</v>
      </c>
      <c r="C2215" s="52"/>
      <c r="D2215" s="52"/>
      <c r="E2215" s="52"/>
      <c r="F2215" s="52"/>
      <c r="G2215" s="52"/>
      <c r="H2215" s="52"/>
    </row>
    <row r="2216" spans="1:8" ht="15.75">
      <c r="A2216" s="50">
        <v>42496</v>
      </c>
      <c r="B2216" s="51">
        <v>1129.94</v>
      </c>
      <c r="C2216" s="52"/>
      <c r="D2216" s="52"/>
      <c r="E2216" s="52"/>
      <c r="F2216" s="52"/>
      <c r="G2216" s="52"/>
      <c r="H2216" s="52"/>
    </row>
    <row r="2217" spans="1:8" ht="15.75">
      <c r="A2217" s="50">
        <v>42498</v>
      </c>
      <c r="B2217" s="51">
        <v>1130.8399999999999</v>
      </c>
      <c r="C2217" s="52"/>
      <c r="D2217" s="52"/>
      <c r="E2217" s="52"/>
      <c r="F2217" s="52"/>
      <c r="G2217" s="52"/>
      <c r="H2217" s="52"/>
    </row>
    <row r="2218" spans="1:8" ht="15.75">
      <c r="A2218" s="50">
        <v>42499</v>
      </c>
      <c r="B2218" s="51">
        <v>1110.25</v>
      </c>
      <c r="C2218" s="52"/>
      <c r="D2218" s="52"/>
      <c r="E2218" s="52"/>
      <c r="F2218" s="52"/>
      <c r="G2218" s="52"/>
      <c r="H2218" s="52"/>
    </row>
    <row r="2219" spans="1:8" ht="15.75">
      <c r="A2219" s="50">
        <v>42500</v>
      </c>
      <c r="B2219" s="51">
        <v>1113.71</v>
      </c>
      <c r="C2219" s="52"/>
      <c r="D2219" s="52"/>
      <c r="E2219" s="52"/>
      <c r="F2219" s="52"/>
      <c r="G2219" s="52"/>
      <c r="H2219" s="52"/>
    </row>
    <row r="2220" spans="1:8" ht="15.75">
      <c r="A2220" s="50">
        <v>42501</v>
      </c>
      <c r="B2220" s="51">
        <v>1113.8699999999999</v>
      </c>
      <c r="C2220" s="52"/>
      <c r="D2220" s="52"/>
      <c r="E2220" s="52"/>
      <c r="F2220" s="52"/>
      <c r="G2220" s="52"/>
      <c r="H2220" s="52"/>
    </row>
    <row r="2221" spans="1:8" ht="15.75">
      <c r="A2221" s="50">
        <v>42502</v>
      </c>
      <c r="B2221" s="51">
        <v>1122.9000000000001</v>
      </c>
      <c r="C2221" s="52"/>
      <c r="D2221" s="52"/>
      <c r="E2221" s="52"/>
      <c r="F2221" s="52"/>
      <c r="G2221" s="52"/>
      <c r="H2221" s="52"/>
    </row>
    <row r="2222" spans="1:8" ht="15.75">
      <c r="A2222" s="50">
        <v>42503</v>
      </c>
      <c r="B2222" s="51">
        <v>1130.17</v>
      </c>
      <c r="C2222" s="52"/>
      <c r="D2222" s="52"/>
      <c r="E2222" s="52"/>
      <c r="F2222" s="52"/>
      <c r="G2222" s="52"/>
      <c r="H2222" s="52"/>
    </row>
    <row r="2223" spans="1:8" ht="15.75">
      <c r="A2223" s="50">
        <v>42505</v>
      </c>
      <c r="B2223" s="51">
        <v>1130.07</v>
      </c>
      <c r="C2223" s="52"/>
      <c r="D2223" s="52"/>
      <c r="E2223" s="52"/>
      <c r="F2223" s="52"/>
      <c r="G2223" s="52"/>
      <c r="H2223" s="52"/>
    </row>
    <row r="2224" spans="1:8" ht="15.75">
      <c r="A2224" s="50">
        <v>42506</v>
      </c>
      <c r="B2224" s="51">
        <v>1128.49</v>
      </c>
      <c r="C2224" s="52"/>
      <c r="D2224" s="52"/>
      <c r="E2224" s="52"/>
      <c r="F2224" s="52"/>
      <c r="G2224" s="52"/>
      <c r="H2224" s="52"/>
    </row>
    <row r="2225" spans="1:8" ht="15.75">
      <c r="A2225" s="50">
        <v>42507</v>
      </c>
      <c r="B2225" s="51">
        <v>1131.44</v>
      </c>
      <c r="C2225" s="52"/>
      <c r="D2225" s="52"/>
      <c r="E2225" s="52"/>
      <c r="F2225" s="52"/>
      <c r="G2225" s="52"/>
      <c r="H2225" s="52"/>
    </row>
    <row r="2226" spans="1:8" ht="15.75">
      <c r="A2226" s="50">
        <v>42508</v>
      </c>
      <c r="B2226" s="51">
        <v>1121.68</v>
      </c>
      <c r="C2226" s="52"/>
      <c r="D2226" s="52"/>
      <c r="E2226" s="52"/>
      <c r="F2226" s="52"/>
      <c r="G2226" s="52"/>
      <c r="H2226" s="52"/>
    </row>
    <row r="2227" spans="1:8" ht="15.75">
      <c r="A2227" s="50">
        <v>42509</v>
      </c>
      <c r="B2227" s="51">
        <v>1121.32</v>
      </c>
      <c r="C2227" s="52"/>
      <c r="D2227" s="52"/>
      <c r="E2227" s="52"/>
      <c r="F2227" s="52"/>
      <c r="G2227" s="52"/>
      <c r="H2227" s="52"/>
    </row>
    <row r="2228" spans="1:8" ht="15.75">
      <c r="A2228" s="50">
        <v>42510</v>
      </c>
      <c r="B2228" s="51">
        <v>1115.8</v>
      </c>
      <c r="C2228" s="52"/>
      <c r="D2228" s="52"/>
      <c r="E2228" s="52"/>
      <c r="F2228" s="52"/>
      <c r="G2228" s="52"/>
      <c r="H2228" s="52"/>
    </row>
    <row r="2229" spans="1:8" ht="15.75">
      <c r="A2229" s="50">
        <v>42512</v>
      </c>
      <c r="B2229" s="51">
        <v>1116.0999999999999</v>
      </c>
      <c r="C2229" s="52"/>
      <c r="D2229" s="52"/>
      <c r="E2229" s="52"/>
      <c r="F2229" s="52"/>
      <c r="G2229" s="52"/>
      <c r="H2229" s="52"/>
    </row>
    <row r="2230" spans="1:8" ht="15.75">
      <c r="A2230" s="50">
        <v>42513</v>
      </c>
      <c r="B2230" s="51">
        <v>1114.78</v>
      </c>
      <c r="C2230" s="52"/>
      <c r="D2230" s="52"/>
      <c r="E2230" s="52"/>
      <c r="F2230" s="52"/>
      <c r="G2230" s="52"/>
      <c r="H2230" s="52"/>
    </row>
    <row r="2231" spans="1:8" ht="15.75">
      <c r="A2231" s="50">
        <v>42514</v>
      </c>
      <c r="B2231" s="51">
        <v>1100.79</v>
      </c>
      <c r="C2231" s="52"/>
      <c r="D2231" s="52"/>
      <c r="E2231" s="52"/>
      <c r="F2231" s="52"/>
      <c r="G2231" s="52"/>
      <c r="H2231" s="52"/>
    </row>
    <row r="2232" spans="1:8" ht="15.75">
      <c r="A2232" s="50">
        <v>42515</v>
      </c>
      <c r="B2232" s="51">
        <v>1096.72</v>
      </c>
      <c r="C2232" s="52"/>
      <c r="D2232" s="52"/>
      <c r="E2232" s="52"/>
      <c r="F2232" s="52"/>
      <c r="G2232" s="52"/>
      <c r="H2232" s="52"/>
    </row>
    <row r="2233" spans="1:8" ht="15.75">
      <c r="A2233" s="50">
        <v>42516</v>
      </c>
      <c r="B2233" s="51">
        <v>1091.3</v>
      </c>
      <c r="C2233" s="52"/>
      <c r="D2233" s="52"/>
      <c r="E2233" s="52"/>
      <c r="F2233" s="52"/>
      <c r="G2233" s="52"/>
      <c r="H2233" s="52"/>
    </row>
    <row r="2234" spans="1:8" ht="15.75">
      <c r="A2234" s="50">
        <v>42517</v>
      </c>
      <c r="B2234" s="51">
        <v>1085.8699999999999</v>
      </c>
      <c r="C2234" s="52"/>
      <c r="D2234" s="52"/>
      <c r="E2234" s="52"/>
      <c r="F2234" s="52"/>
      <c r="G2234" s="52"/>
      <c r="H2234" s="52"/>
    </row>
    <row r="2235" spans="1:8" ht="15.75">
      <c r="A2235" s="50">
        <v>42519</v>
      </c>
      <c r="B2235" s="51">
        <v>1085.8699999999999</v>
      </c>
      <c r="C2235" s="52"/>
      <c r="D2235" s="52"/>
      <c r="E2235" s="52"/>
      <c r="F2235" s="52"/>
      <c r="G2235" s="52"/>
      <c r="H2235" s="52"/>
    </row>
    <row r="2236" spans="1:8" ht="15.75">
      <c r="A2236" s="50">
        <v>42520</v>
      </c>
      <c r="B2236" s="51">
        <v>1082.1199999999999</v>
      </c>
      <c r="C2236" s="52"/>
      <c r="D2236" s="52"/>
      <c r="E2236" s="52"/>
      <c r="F2236" s="52"/>
      <c r="G2236" s="52"/>
      <c r="H2236" s="52"/>
    </row>
    <row r="2237" spans="1:8" ht="15.75">
      <c r="A2237" s="50">
        <v>42521</v>
      </c>
      <c r="B2237" s="51">
        <v>1092.31</v>
      </c>
      <c r="C2237" s="52"/>
      <c r="D2237" s="52"/>
      <c r="E2237" s="52"/>
      <c r="F2237" s="52"/>
      <c r="G2237" s="52"/>
      <c r="H2237" s="52"/>
    </row>
    <row r="2238" spans="1:8" ht="15.75">
      <c r="A2238" s="50">
        <v>42522</v>
      </c>
      <c r="B2238" s="51">
        <v>1085.55</v>
      </c>
      <c r="C2238" s="52"/>
      <c r="D2238" s="52"/>
      <c r="E2238" s="52"/>
      <c r="F2238" s="52"/>
      <c r="G2238" s="52"/>
      <c r="H2238" s="52"/>
    </row>
    <row r="2239" spans="1:8" ht="15.75">
      <c r="A2239" s="50">
        <v>42523</v>
      </c>
      <c r="B2239" s="51">
        <v>1087.1500000000001</v>
      </c>
      <c r="C2239" s="52"/>
      <c r="D2239" s="52"/>
      <c r="E2239" s="52"/>
      <c r="F2239" s="52"/>
      <c r="G2239" s="52"/>
      <c r="H2239" s="52"/>
    </row>
    <row r="2240" spans="1:8" ht="15.75">
      <c r="A2240" s="50">
        <v>42524</v>
      </c>
      <c r="B2240" s="51">
        <v>1094.98</v>
      </c>
      <c r="C2240" s="52"/>
      <c r="D2240" s="52"/>
      <c r="E2240" s="52"/>
      <c r="F2240" s="52"/>
      <c r="G2240" s="52"/>
      <c r="H2240" s="52"/>
    </row>
    <row r="2241" spans="1:8" ht="15.75">
      <c r="A2241" s="50">
        <v>42526</v>
      </c>
      <c r="B2241" s="51">
        <v>1095.07</v>
      </c>
      <c r="C2241" s="52"/>
      <c r="D2241" s="52"/>
      <c r="E2241" s="52"/>
      <c r="F2241" s="52"/>
      <c r="G2241" s="52"/>
      <c r="H2241" s="52"/>
    </row>
    <row r="2242" spans="1:8" ht="15.75">
      <c r="A2242" s="50">
        <v>42527</v>
      </c>
      <c r="B2242" s="51">
        <v>1099.08</v>
      </c>
      <c r="C2242" s="52"/>
      <c r="D2242" s="52"/>
      <c r="E2242" s="52"/>
      <c r="F2242" s="52"/>
      <c r="G2242" s="52"/>
      <c r="H2242" s="52"/>
    </row>
    <row r="2243" spans="1:8" ht="15.75">
      <c r="A2243" s="50">
        <v>42528</v>
      </c>
      <c r="B2243" s="51">
        <v>1098.29</v>
      </c>
      <c r="C2243" s="52"/>
      <c r="D2243" s="52"/>
      <c r="E2243" s="52"/>
      <c r="F2243" s="52"/>
      <c r="G2243" s="52"/>
      <c r="H2243" s="52"/>
    </row>
    <row r="2244" spans="1:8" ht="15.75">
      <c r="A2244" s="50">
        <v>42529</v>
      </c>
      <c r="B2244" s="51">
        <v>1110.28</v>
      </c>
      <c r="C2244" s="52"/>
      <c r="D2244" s="52"/>
      <c r="E2244" s="52"/>
      <c r="F2244" s="52"/>
      <c r="G2244" s="52"/>
      <c r="H2244" s="52"/>
    </row>
    <row r="2245" spans="1:8" ht="15.75">
      <c r="A2245" s="50">
        <v>42530</v>
      </c>
      <c r="B2245" s="51">
        <v>1121.1600000000001</v>
      </c>
      <c r="C2245" s="52"/>
      <c r="D2245" s="52"/>
      <c r="E2245" s="52"/>
      <c r="F2245" s="52"/>
      <c r="G2245" s="52"/>
      <c r="H2245" s="52"/>
    </row>
    <row r="2246" spans="1:8" ht="15.75">
      <c r="A2246" s="50">
        <v>42531</v>
      </c>
      <c r="B2246" s="51">
        <v>1132.0899999999999</v>
      </c>
      <c r="C2246" s="52"/>
      <c r="D2246" s="52"/>
      <c r="E2246" s="52"/>
      <c r="F2246" s="52"/>
      <c r="G2246" s="52"/>
      <c r="H2246" s="52"/>
    </row>
    <row r="2247" spans="1:8" ht="15.75">
      <c r="A2247" s="50">
        <v>42533</v>
      </c>
      <c r="B2247" s="51">
        <v>1132.49</v>
      </c>
      <c r="C2247" s="52"/>
      <c r="D2247" s="52"/>
      <c r="E2247" s="52"/>
      <c r="F2247" s="52"/>
      <c r="G2247" s="52"/>
      <c r="H2247" s="52"/>
    </row>
    <row r="2248" spans="1:8" ht="15.75">
      <c r="A2248" s="50">
        <v>42534</v>
      </c>
      <c r="B2248" s="51">
        <v>1146.69</v>
      </c>
      <c r="C2248" s="52"/>
      <c r="D2248" s="52"/>
      <c r="E2248" s="52"/>
      <c r="F2248" s="52"/>
      <c r="G2248" s="52"/>
      <c r="H2248" s="52"/>
    </row>
    <row r="2249" spans="1:8" ht="15.75">
      <c r="A2249" s="50">
        <v>42535</v>
      </c>
      <c r="B2249" s="51">
        <v>1155.08</v>
      </c>
      <c r="C2249" s="52"/>
      <c r="D2249" s="52"/>
      <c r="E2249" s="52"/>
      <c r="F2249" s="52"/>
      <c r="G2249" s="52"/>
      <c r="H2249" s="52"/>
    </row>
    <row r="2250" spans="1:8" ht="15.75">
      <c r="A2250" s="50">
        <v>42536</v>
      </c>
      <c r="B2250" s="51">
        <v>1147.04</v>
      </c>
      <c r="C2250" s="52"/>
      <c r="D2250" s="52"/>
      <c r="E2250" s="52"/>
      <c r="F2250" s="52"/>
      <c r="G2250" s="52"/>
      <c r="H2250" s="52"/>
    </row>
    <row r="2251" spans="1:8" ht="15.75">
      <c r="A2251" s="50">
        <v>42537</v>
      </c>
      <c r="B2251" s="51">
        <v>1137.78</v>
      </c>
      <c r="C2251" s="52"/>
      <c r="D2251" s="52"/>
      <c r="E2251" s="52"/>
      <c r="F2251" s="52"/>
      <c r="G2251" s="52"/>
      <c r="H2251" s="52"/>
    </row>
    <row r="2252" spans="1:8" ht="15.75">
      <c r="A2252" s="50">
        <v>42538</v>
      </c>
      <c r="B2252" s="51">
        <v>1154.0899999999999</v>
      </c>
      <c r="C2252" s="52"/>
      <c r="D2252" s="52"/>
      <c r="E2252" s="52"/>
      <c r="F2252" s="52"/>
      <c r="G2252" s="52"/>
      <c r="H2252" s="52"/>
    </row>
    <row r="2253" spans="1:8" ht="15.75">
      <c r="A2253" s="50">
        <v>42540</v>
      </c>
      <c r="B2253" s="51">
        <v>1149.5999999999999</v>
      </c>
      <c r="C2253" s="52"/>
      <c r="D2253" s="52"/>
      <c r="E2253" s="52"/>
      <c r="F2253" s="52"/>
      <c r="G2253" s="52"/>
      <c r="H2253" s="52"/>
    </row>
    <row r="2254" spans="1:8" ht="15.75">
      <c r="A2254" s="50">
        <v>42541</v>
      </c>
      <c r="B2254" s="51">
        <v>1140.72</v>
      </c>
      <c r="C2254" s="52"/>
      <c r="D2254" s="52"/>
      <c r="E2254" s="52"/>
      <c r="F2254" s="52"/>
      <c r="G2254" s="52"/>
      <c r="H2254" s="52"/>
    </row>
    <row r="2255" spans="1:8" ht="15.75">
      <c r="A2255" s="50">
        <v>42542</v>
      </c>
      <c r="B2255" s="51">
        <v>1124.3800000000001</v>
      </c>
      <c r="C2255" s="52"/>
      <c r="D2255" s="52"/>
      <c r="E2255" s="52"/>
      <c r="F2255" s="52"/>
      <c r="G2255" s="52"/>
      <c r="H2255" s="52"/>
    </row>
    <row r="2256" spans="1:8" ht="15.75">
      <c r="A2256" s="50">
        <v>42543</v>
      </c>
      <c r="B2256" s="51">
        <v>1117.28</v>
      </c>
      <c r="C2256" s="52"/>
      <c r="D2256" s="52"/>
      <c r="E2256" s="52"/>
      <c r="F2256" s="52"/>
      <c r="G2256" s="52"/>
      <c r="H2256" s="52"/>
    </row>
    <row r="2257" spans="1:8" ht="15.75">
      <c r="A2257" s="50">
        <v>42544</v>
      </c>
      <c r="B2257" s="51">
        <v>1081.9100000000001</v>
      </c>
      <c r="C2257" s="52"/>
      <c r="D2257" s="52"/>
      <c r="E2257" s="52"/>
      <c r="F2257" s="52"/>
      <c r="G2257" s="52"/>
      <c r="H2257" s="52"/>
    </row>
    <row r="2258" spans="1:8" ht="15.75">
      <c r="A2258" s="50">
        <v>42545</v>
      </c>
      <c r="B2258" s="51">
        <v>1199.6300000000001</v>
      </c>
      <c r="C2258" s="52"/>
      <c r="D2258" s="52"/>
      <c r="E2258" s="52"/>
      <c r="F2258" s="52"/>
      <c r="G2258" s="52"/>
      <c r="H2258" s="52"/>
    </row>
    <row r="2259" spans="1:8" ht="15.75">
      <c r="A2259" s="50">
        <v>42547</v>
      </c>
      <c r="B2259" s="51">
        <v>1181.97</v>
      </c>
      <c r="C2259" s="52"/>
      <c r="D2259" s="52"/>
      <c r="E2259" s="52"/>
      <c r="F2259" s="52"/>
      <c r="G2259" s="52"/>
      <c r="H2259" s="52"/>
    </row>
    <row r="2260" spans="1:8" ht="15.75">
      <c r="A2260" s="50">
        <v>42548</v>
      </c>
      <c r="B2260" s="51">
        <v>1202.18</v>
      </c>
      <c r="C2260" s="52"/>
      <c r="D2260" s="52"/>
      <c r="E2260" s="52"/>
      <c r="F2260" s="52"/>
      <c r="G2260" s="52"/>
      <c r="H2260" s="52"/>
    </row>
    <row r="2261" spans="1:8" ht="15.75">
      <c r="A2261" s="50">
        <v>42549</v>
      </c>
      <c r="B2261" s="51">
        <v>1189.19</v>
      </c>
      <c r="C2261" s="52"/>
      <c r="D2261" s="52"/>
      <c r="E2261" s="52"/>
      <c r="F2261" s="52"/>
      <c r="G2261" s="52"/>
      <c r="H2261" s="52"/>
    </row>
    <row r="2262" spans="1:8" ht="15.75">
      <c r="A2262" s="50">
        <v>42550</v>
      </c>
      <c r="B2262" s="51">
        <v>1194.02</v>
      </c>
      <c r="C2262" s="52"/>
      <c r="D2262" s="52"/>
      <c r="E2262" s="52"/>
      <c r="F2262" s="52"/>
      <c r="G2262" s="52"/>
      <c r="H2262" s="52"/>
    </row>
    <row r="2263" spans="1:8" ht="15.75">
      <c r="A2263" s="50">
        <v>42551</v>
      </c>
      <c r="B2263" s="51">
        <v>1191.26</v>
      </c>
      <c r="C2263" s="52"/>
      <c r="D2263" s="52"/>
      <c r="E2263" s="52"/>
      <c r="F2263" s="52"/>
      <c r="G2263" s="52"/>
      <c r="H2263" s="52"/>
    </row>
    <row r="2264" spans="1:8" ht="15.75">
      <c r="A2264" s="50">
        <v>42552</v>
      </c>
      <c r="B2264" s="51">
        <v>1205.3599999999999</v>
      </c>
      <c r="C2264" s="52"/>
      <c r="D2264" s="52"/>
      <c r="E2264" s="52"/>
      <c r="F2264" s="52"/>
      <c r="G2264" s="52"/>
      <c r="H2264" s="52"/>
    </row>
    <row r="2265" spans="1:8" ht="15.75">
      <c r="A2265" s="50">
        <v>42554</v>
      </c>
      <c r="B2265" s="51">
        <v>1206.01</v>
      </c>
      <c r="C2265" s="52"/>
      <c r="D2265" s="52"/>
      <c r="E2265" s="52"/>
      <c r="F2265" s="52"/>
      <c r="G2265" s="52"/>
      <c r="H2265" s="52"/>
    </row>
    <row r="2266" spans="1:8" ht="15.75">
      <c r="A2266" s="50">
        <v>42555</v>
      </c>
      <c r="B2266" s="51">
        <v>1211.6400000000001</v>
      </c>
      <c r="C2266" s="52"/>
      <c r="D2266" s="52"/>
      <c r="E2266" s="52"/>
      <c r="F2266" s="52"/>
      <c r="G2266" s="52"/>
      <c r="H2266" s="52"/>
    </row>
    <row r="2267" spans="1:8" ht="15.75">
      <c r="A2267" s="50">
        <v>42556</v>
      </c>
      <c r="B2267" s="51">
        <v>1228.8800000000001</v>
      </c>
      <c r="C2267" s="52"/>
      <c r="D2267" s="52"/>
      <c r="E2267" s="52"/>
      <c r="F2267" s="52"/>
      <c r="G2267" s="52"/>
      <c r="H2267" s="52"/>
    </row>
    <row r="2268" spans="1:8" ht="15.75">
      <c r="A2268" s="50">
        <v>42557</v>
      </c>
      <c r="B2268" s="51">
        <v>1229.29</v>
      </c>
      <c r="C2268" s="52"/>
      <c r="D2268" s="52"/>
      <c r="E2268" s="52"/>
      <c r="F2268" s="52"/>
      <c r="G2268" s="52"/>
      <c r="H2268" s="52"/>
    </row>
    <row r="2269" spans="1:8" ht="15.75">
      <c r="A2269" s="50">
        <v>42558</v>
      </c>
      <c r="B2269" s="51">
        <v>1231.92</v>
      </c>
      <c r="C2269" s="52"/>
      <c r="D2269" s="52"/>
      <c r="E2269" s="52"/>
      <c r="F2269" s="52"/>
      <c r="G2269" s="52"/>
      <c r="H2269" s="52"/>
    </row>
    <row r="2270" spans="1:8" ht="15.75">
      <c r="A2270" s="50">
        <v>42559</v>
      </c>
      <c r="B2270" s="51">
        <v>1236.81</v>
      </c>
      <c r="C2270" s="52"/>
      <c r="D2270" s="52"/>
      <c r="E2270" s="52"/>
      <c r="F2270" s="52"/>
      <c r="G2270" s="52"/>
      <c r="H2270" s="52"/>
    </row>
    <row r="2271" spans="1:8" ht="15.75">
      <c r="A2271" s="50">
        <v>42562</v>
      </c>
      <c r="B2271" s="51">
        <v>1225.1400000000001</v>
      </c>
      <c r="C2271" s="52"/>
      <c r="D2271" s="52"/>
      <c r="E2271" s="52"/>
      <c r="F2271" s="52"/>
      <c r="G2271" s="52"/>
      <c r="H2271" s="52"/>
    </row>
    <row r="2272" spans="1:8" ht="15.75">
      <c r="A2272" s="50">
        <v>42563</v>
      </c>
      <c r="B2272" s="51">
        <v>1204.47</v>
      </c>
      <c r="C2272" s="52"/>
      <c r="D2272" s="52"/>
      <c r="E2272" s="52"/>
      <c r="F2272" s="52"/>
      <c r="G2272" s="52"/>
      <c r="H2272" s="52"/>
    </row>
    <row r="2273" spans="1:8" ht="15.75">
      <c r="A2273" s="50">
        <v>42564</v>
      </c>
      <c r="B2273" s="51">
        <v>1214.95</v>
      </c>
      <c r="C2273" s="52"/>
      <c r="D2273" s="52"/>
      <c r="E2273" s="52"/>
      <c r="F2273" s="52"/>
      <c r="G2273" s="52"/>
      <c r="H2273" s="52"/>
    </row>
    <row r="2274" spans="1:8" ht="15.75">
      <c r="A2274" s="50">
        <v>42565</v>
      </c>
      <c r="B2274" s="51">
        <v>1201.3900000000001</v>
      </c>
      <c r="C2274" s="52"/>
      <c r="D2274" s="52"/>
      <c r="E2274" s="52"/>
      <c r="F2274" s="52"/>
      <c r="G2274" s="52"/>
      <c r="H2274" s="52"/>
    </row>
    <row r="2275" spans="1:8" ht="15.75">
      <c r="A2275" s="50">
        <v>42566</v>
      </c>
      <c r="B2275" s="51">
        <v>1212.1500000000001</v>
      </c>
      <c r="C2275" s="52"/>
      <c r="D2275" s="52"/>
      <c r="E2275" s="52"/>
      <c r="F2275" s="52"/>
      <c r="G2275" s="52"/>
      <c r="H2275" s="52"/>
    </row>
    <row r="2276" spans="1:8" ht="15.75">
      <c r="A2276" s="50">
        <v>42568</v>
      </c>
      <c r="B2276" s="51">
        <v>1210.6099999999999</v>
      </c>
      <c r="C2276" s="52"/>
      <c r="D2276" s="52"/>
      <c r="E2276" s="52"/>
      <c r="F2276" s="52"/>
      <c r="G2276" s="52"/>
      <c r="H2276" s="52"/>
    </row>
    <row r="2277" spans="1:8" ht="15.75">
      <c r="A2277" s="50">
        <v>42569</v>
      </c>
      <c r="B2277" s="51">
        <v>1196.8599999999999</v>
      </c>
      <c r="C2277" s="52"/>
      <c r="D2277" s="52"/>
      <c r="E2277" s="52"/>
      <c r="F2277" s="52"/>
      <c r="G2277" s="52"/>
      <c r="H2277" s="52"/>
    </row>
    <row r="2278" spans="1:8" ht="15.75">
      <c r="A2278" s="50">
        <v>42570</v>
      </c>
      <c r="B2278" s="51">
        <v>1211.1400000000001</v>
      </c>
      <c r="C2278" s="52"/>
      <c r="D2278" s="52"/>
      <c r="E2278" s="52"/>
      <c r="F2278" s="52"/>
      <c r="G2278" s="52"/>
      <c r="H2278" s="52"/>
    </row>
    <row r="2279" spans="1:8" ht="15.75">
      <c r="A2279" s="50">
        <v>42571</v>
      </c>
      <c r="B2279" s="51">
        <v>1190.17</v>
      </c>
      <c r="C2279" s="52"/>
      <c r="D2279" s="52"/>
      <c r="E2279" s="52"/>
      <c r="F2279" s="52"/>
      <c r="G2279" s="52"/>
      <c r="H2279" s="52"/>
    </row>
    <row r="2280" spans="1:8" ht="15.75">
      <c r="A2280" s="50">
        <v>42572</v>
      </c>
      <c r="B2280" s="51">
        <v>1214.73</v>
      </c>
      <c r="C2280" s="52"/>
      <c r="D2280" s="52"/>
      <c r="E2280" s="52"/>
      <c r="F2280" s="52"/>
      <c r="G2280" s="52"/>
      <c r="H2280" s="52"/>
    </row>
    <row r="2281" spans="1:8" ht="15.75">
      <c r="A2281" s="50">
        <v>42573</v>
      </c>
      <c r="B2281" s="51">
        <v>1205.6300000000001</v>
      </c>
      <c r="C2281" s="52"/>
      <c r="D2281" s="52"/>
      <c r="E2281" s="52"/>
      <c r="F2281" s="52"/>
      <c r="G2281" s="52"/>
      <c r="H2281" s="52"/>
    </row>
    <row r="2282" spans="1:8" ht="15.75">
      <c r="A2282" s="50">
        <v>42575</v>
      </c>
      <c r="B2282" s="51">
        <v>1205.74</v>
      </c>
      <c r="C2282" s="52"/>
      <c r="D2282" s="52"/>
      <c r="E2282" s="52"/>
      <c r="F2282" s="52"/>
      <c r="G2282" s="52"/>
      <c r="H2282" s="52"/>
    </row>
    <row r="2283" spans="1:8" ht="15.75">
      <c r="A2283" s="50">
        <v>42576</v>
      </c>
      <c r="B2283" s="51">
        <v>1196.8499999999999</v>
      </c>
      <c r="C2283" s="52"/>
      <c r="D2283" s="52"/>
      <c r="E2283" s="52"/>
      <c r="F2283" s="52"/>
      <c r="G2283" s="52"/>
      <c r="H2283" s="52"/>
    </row>
    <row r="2284" spans="1:8" ht="15.75">
      <c r="A2284" s="50">
        <v>42577</v>
      </c>
      <c r="B2284" s="51">
        <v>1197.56</v>
      </c>
      <c r="C2284" s="52"/>
      <c r="D2284" s="52"/>
      <c r="E2284" s="52"/>
      <c r="F2284" s="52"/>
      <c r="G2284" s="52"/>
      <c r="H2284" s="52"/>
    </row>
    <row r="2285" spans="1:8" ht="15.75">
      <c r="A2285" s="50">
        <v>42578</v>
      </c>
      <c r="B2285" s="51">
        <v>1219.1300000000001</v>
      </c>
      <c r="C2285" s="52"/>
      <c r="D2285" s="52"/>
      <c r="E2285" s="52"/>
      <c r="F2285" s="52"/>
      <c r="G2285" s="52"/>
      <c r="H2285" s="52"/>
    </row>
    <row r="2286" spans="1:8" ht="15.75">
      <c r="A2286" s="50">
        <v>42579</v>
      </c>
      <c r="B2286" s="51">
        <v>1205.6500000000001</v>
      </c>
      <c r="C2286" s="52"/>
      <c r="D2286" s="52"/>
      <c r="E2286" s="52"/>
      <c r="F2286" s="52"/>
      <c r="G2286" s="52"/>
      <c r="H2286" s="52"/>
    </row>
    <row r="2287" spans="1:8" ht="15.75">
      <c r="A2287" s="50">
        <v>42580</v>
      </c>
      <c r="B2287" s="51">
        <v>1209.04</v>
      </c>
      <c r="C2287" s="52"/>
      <c r="D2287" s="52"/>
      <c r="E2287" s="52"/>
      <c r="F2287" s="52"/>
      <c r="G2287" s="52"/>
      <c r="H2287" s="52"/>
    </row>
    <row r="2288" spans="1:8" ht="15.75">
      <c r="A2288" s="50">
        <v>42582</v>
      </c>
      <c r="B2288" s="51">
        <v>1209.04</v>
      </c>
      <c r="C2288" s="52"/>
      <c r="D2288" s="52"/>
      <c r="E2288" s="52"/>
      <c r="F2288" s="52"/>
      <c r="G2288" s="52"/>
      <c r="H2288" s="52"/>
    </row>
    <row r="2289" spans="1:8" ht="15.75">
      <c r="A2289" s="50">
        <v>42583</v>
      </c>
      <c r="B2289" s="51">
        <v>1211.8399999999999</v>
      </c>
      <c r="C2289" s="52"/>
      <c r="D2289" s="52"/>
      <c r="E2289" s="52"/>
      <c r="F2289" s="52"/>
      <c r="G2289" s="52"/>
      <c r="H2289" s="52"/>
    </row>
    <row r="2290" spans="1:8" ht="15.75">
      <c r="A2290" s="50">
        <v>42584</v>
      </c>
      <c r="B2290" s="51">
        <v>1215.18</v>
      </c>
      <c r="C2290" s="52"/>
      <c r="D2290" s="52"/>
      <c r="E2290" s="52"/>
      <c r="F2290" s="52"/>
      <c r="G2290" s="52"/>
      <c r="H2290" s="52"/>
    </row>
    <row r="2291" spans="1:8" ht="15.75">
      <c r="A2291" s="50">
        <v>42585</v>
      </c>
      <c r="B2291" s="51">
        <v>1217.74</v>
      </c>
      <c r="C2291" s="52"/>
      <c r="D2291" s="52"/>
      <c r="E2291" s="52"/>
      <c r="F2291" s="52"/>
      <c r="G2291" s="52"/>
      <c r="H2291" s="52"/>
    </row>
    <row r="2292" spans="1:8" ht="15.75">
      <c r="A2292" s="50">
        <v>42586</v>
      </c>
      <c r="B2292" s="51">
        <v>1207.21</v>
      </c>
      <c r="C2292" s="52"/>
      <c r="D2292" s="52"/>
      <c r="E2292" s="52"/>
      <c r="F2292" s="52"/>
      <c r="G2292" s="52"/>
      <c r="H2292" s="52"/>
    </row>
    <row r="2293" spans="1:8" ht="15.75">
      <c r="A2293" s="50">
        <v>42587</v>
      </c>
      <c r="B2293" s="51">
        <v>1205.56</v>
      </c>
      <c r="C2293" s="52"/>
      <c r="D2293" s="52"/>
      <c r="E2293" s="52"/>
      <c r="F2293" s="52"/>
      <c r="G2293" s="52"/>
      <c r="H2293" s="52"/>
    </row>
    <row r="2294" spans="1:8" ht="15.75">
      <c r="A2294" s="50">
        <v>42589</v>
      </c>
      <c r="B2294" s="51">
        <v>1205.56</v>
      </c>
      <c r="C2294" s="52"/>
      <c r="D2294" s="52"/>
      <c r="E2294" s="52"/>
      <c r="F2294" s="52"/>
      <c r="G2294" s="52"/>
      <c r="H2294" s="52"/>
    </row>
    <row r="2295" spans="1:8" ht="15.75">
      <c r="A2295" s="50">
        <v>42590</v>
      </c>
      <c r="B2295" s="51">
        <v>1202.42</v>
      </c>
      <c r="C2295" s="52"/>
      <c r="D2295" s="52"/>
      <c r="E2295" s="52"/>
      <c r="F2295" s="52"/>
      <c r="G2295" s="52"/>
      <c r="H2295" s="52"/>
    </row>
    <row r="2296" spans="1:8" ht="15.75">
      <c r="A2296" s="50">
        <v>42591</v>
      </c>
      <c r="B2296" s="51">
        <v>1206.21</v>
      </c>
      <c r="C2296" s="52"/>
      <c r="D2296" s="52"/>
      <c r="E2296" s="52"/>
      <c r="F2296" s="52"/>
      <c r="G2296" s="52"/>
      <c r="H2296" s="52"/>
    </row>
    <row r="2297" spans="1:8" ht="15.75">
      <c r="A2297" s="50">
        <v>42592</v>
      </c>
      <c r="B2297" s="51">
        <v>1198.9100000000001</v>
      </c>
      <c r="C2297" s="52"/>
      <c r="D2297" s="52"/>
      <c r="E2297" s="52"/>
      <c r="F2297" s="52"/>
      <c r="G2297" s="52"/>
      <c r="H2297" s="52"/>
    </row>
    <row r="2298" spans="1:8" ht="15.75">
      <c r="A2298" s="50">
        <v>42593</v>
      </c>
      <c r="B2298" s="51">
        <v>1200.5</v>
      </c>
      <c r="C2298" s="52"/>
      <c r="D2298" s="52"/>
      <c r="E2298" s="52"/>
      <c r="F2298" s="52"/>
      <c r="G2298" s="52"/>
      <c r="H2298" s="52"/>
    </row>
    <row r="2299" spans="1:8" ht="15.75">
      <c r="A2299" s="50">
        <v>42594</v>
      </c>
      <c r="B2299" s="51">
        <v>1196.78</v>
      </c>
      <c r="C2299" s="52"/>
      <c r="D2299" s="52"/>
      <c r="E2299" s="52"/>
      <c r="F2299" s="52"/>
      <c r="G2299" s="52"/>
      <c r="H2299" s="52"/>
    </row>
    <row r="2300" spans="1:8" ht="15.75">
      <c r="A2300" s="50">
        <v>42596</v>
      </c>
      <c r="B2300" s="51">
        <v>1196.3499999999999</v>
      </c>
      <c r="C2300" s="52"/>
      <c r="D2300" s="52"/>
      <c r="E2300" s="52"/>
      <c r="F2300" s="52"/>
      <c r="G2300" s="52"/>
      <c r="H2300" s="52"/>
    </row>
    <row r="2301" spans="1:8" ht="15.75">
      <c r="A2301" s="50">
        <v>42597</v>
      </c>
      <c r="B2301" s="51">
        <v>1205.27</v>
      </c>
      <c r="C2301" s="52"/>
      <c r="D2301" s="52"/>
      <c r="E2301" s="52"/>
      <c r="F2301" s="52"/>
      <c r="G2301" s="52"/>
      <c r="H2301" s="52"/>
    </row>
    <row r="2302" spans="1:8" ht="15.75">
      <c r="A2302" s="50">
        <v>42598</v>
      </c>
      <c r="B2302" s="51">
        <v>1194.17</v>
      </c>
      <c r="C2302" s="52"/>
      <c r="D2302" s="52"/>
      <c r="E2302" s="52"/>
      <c r="F2302" s="52"/>
      <c r="G2302" s="52"/>
      <c r="H2302" s="52"/>
    </row>
    <row r="2303" spans="1:8" ht="15.75">
      <c r="A2303" s="50">
        <v>42599</v>
      </c>
      <c r="B2303" s="51">
        <v>1194.8499999999999</v>
      </c>
      <c r="C2303" s="52"/>
      <c r="D2303" s="52"/>
      <c r="E2303" s="52"/>
      <c r="F2303" s="52"/>
      <c r="G2303" s="52"/>
      <c r="H2303" s="52"/>
    </row>
    <row r="2304" spans="1:8" ht="15.75">
      <c r="A2304" s="50">
        <v>42600</v>
      </c>
      <c r="B2304" s="51">
        <v>1192.71</v>
      </c>
      <c r="C2304" s="52"/>
      <c r="D2304" s="52"/>
      <c r="E2304" s="52"/>
      <c r="F2304" s="52"/>
      <c r="G2304" s="52"/>
      <c r="H2304" s="52"/>
    </row>
    <row r="2305" spans="1:8" ht="15.75">
      <c r="A2305" s="50">
        <v>42601</v>
      </c>
      <c r="B2305" s="51">
        <v>1184.55</v>
      </c>
      <c r="C2305" s="52"/>
      <c r="D2305" s="52"/>
      <c r="E2305" s="52"/>
      <c r="F2305" s="52"/>
      <c r="G2305" s="52"/>
      <c r="H2305" s="52"/>
    </row>
    <row r="2306" spans="1:8" ht="15.75">
      <c r="A2306" s="50">
        <v>42603</v>
      </c>
      <c r="B2306" s="51">
        <v>1185.5899999999999</v>
      </c>
      <c r="C2306" s="52"/>
      <c r="D2306" s="52"/>
      <c r="E2306" s="52"/>
      <c r="F2306" s="52"/>
      <c r="G2306" s="52"/>
      <c r="H2306" s="52"/>
    </row>
    <row r="2307" spans="1:8" ht="15.75">
      <c r="A2307" s="50">
        <v>42604</v>
      </c>
      <c r="B2307" s="51">
        <v>1177.7</v>
      </c>
      <c r="C2307" s="52"/>
      <c r="D2307" s="52"/>
      <c r="E2307" s="52"/>
      <c r="F2307" s="52"/>
      <c r="G2307" s="52"/>
      <c r="H2307" s="52"/>
    </row>
    <row r="2308" spans="1:8" ht="15.75">
      <c r="A2308" s="50">
        <v>42605</v>
      </c>
      <c r="B2308" s="51">
        <v>1183.8399999999999</v>
      </c>
      <c r="C2308" s="52"/>
      <c r="D2308" s="52"/>
      <c r="E2308" s="52"/>
      <c r="F2308" s="52"/>
      <c r="G2308" s="52"/>
      <c r="H2308" s="52"/>
    </row>
    <row r="2309" spans="1:8" ht="15.75">
      <c r="A2309" s="50">
        <v>42606</v>
      </c>
      <c r="B2309" s="51">
        <v>1175.0999999999999</v>
      </c>
      <c r="C2309" s="52"/>
      <c r="D2309" s="52"/>
      <c r="E2309" s="52"/>
      <c r="F2309" s="52"/>
      <c r="G2309" s="52"/>
      <c r="H2309" s="52"/>
    </row>
    <row r="2310" spans="1:8" ht="15.75">
      <c r="A2310" s="50">
        <v>42607</v>
      </c>
      <c r="B2310" s="51">
        <v>1171.2</v>
      </c>
      <c r="C2310" s="52"/>
      <c r="D2310" s="52"/>
      <c r="E2310" s="52"/>
      <c r="F2310" s="52"/>
      <c r="G2310" s="52"/>
      <c r="H2310" s="52"/>
    </row>
    <row r="2311" spans="1:8" ht="15.75">
      <c r="A2311" s="50">
        <v>42608</v>
      </c>
      <c r="B2311" s="51">
        <v>1176.54</v>
      </c>
      <c r="C2311" s="52"/>
      <c r="D2311" s="52"/>
      <c r="E2311" s="52"/>
      <c r="F2311" s="52"/>
      <c r="G2311" s="52"/>
      <c r="H2311" s="52"/>
    </row>
    <row r="2312" spans="1:8" ht="15.75">
      <c r="A2312" s="50">
        <v>42610</v>
      </c>
      <c r="B2312" s="51">
        <v>1178.22</v>
      </c>
      <c r="C2312" s="52"/>
      <c r="D2312" s="52"/>
      <c r="E2312" s="52"/>
      <c r="F2312" s="52"/>
      <c r="G2312" s="52"/>
      <c r="H2312" s="52"/>
    </row>
    <row r="2313" spans="1:8" ht="15.75">
      <c r="A2313" s="50">
        <v>42611</v>
      </c>
      <c r="B2313" s="51">
        <v>1186.5899999999999</v>
      </c>
      <c r="C2313" s="52"/>
      <c r="D2313" s="52"/>
      <c r="E2313" s="52"/>
      <c r="F2313" s="52"/>
      <c r="G2313" s="52"/>
      <c r="H2313" s="52"/>
    </row>
    <row r="2314" spans="1:8" ht="15.75">
      <c r="A2314" s="50">
        <v>42612</v>
      </c>
      <c r="B2314" s="51">
        <v>1176.6600000000001</v>
      </c>
      <c r="C2314" s="52"/>
      <c r="D2314" s="52"/>
      <c r="E2314" s="52"/>
      <c r="F2314" s="52"/>
      <c r="G2314" s="52"/>
      <c r="H2314" s="52"/>
    </row>
    <row r="2315" spans="1:8" ht="15.75">
      <c r="A2315" s="50">
        <v>42613</v>
      </c>
      <c r="B2315" s="51">
        <v>1173</v>
      </c>
      <c r="C2315" s="52"/>
      <c r="D2315" s="52"/>
      <c r="E2315" s="52"/>
      <c r="F2315" s="52"/>
      <c r="G2315" s="52"/>
      <c r="H2315" s="52"/>
    </row>
    <row r="2316" spans="1:8" ht="15.75">
      <c r="A2316" s="50">
        <v>42614</v>
      </c>
      <c r="B2316" s="51">
        <v>1174.75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42615</v>
      </c>
      <c r="B2317" s="51">
        <v>1190.27</v>
      </c>
      <c r="C2317" s="52"/>
      <c r="D2317" s="52"/>
      <c r="E2317" s="52"/>
      <c r="F2317" s="52"/>
      <c r="G2317" s="52"/>
      <c r="H2317" s="52"/>
    </row>
    <row r="2318" spans="1:8" ht="15.75">
      <c r="A2318" s="50">
        <v>42617</v>
      </c>
      <c r="B2318" s="51">
        <v>1190.27</v>
      </c>
      <c r="C2318" s="52"/>
      <c r="D2318" s="52"/>
      <c r="E2318" s="52"/>
      <c r="F2318" s="52"/>
      <c r="G2318" s="52"/>
      <c r="H2318" s="52"/>
    </row>
    <row r="2319" spans="1:8" ht="15.75">
      <c r="A2319" s="50">
        <v>42618</v>
      </c>
      <c r="B2319" s="51">
        <v>1189.1500000000001</v>
      </c>
      <c r="C2319" s="52"/>
      <c r="D2319" s="52"/>
      <c r="E2319" s="52"/>
      <c r="F2319" s="52"/>
      <c r="G2319" s="52"/>
      <c r="H2319" s="52"/>
    </row>
    <row r="2320" spans="1:8" ht="15.75">
      <c r="A2320" s="50">
        <v>42619</v>
      </c>
      <c r="B2320" s="51">
        <v>1200.05</v>
      </c>
      <c r="C2320" s="52"/>
      <c r="D2320" s="52"/>
      <c r="E2320" s="52"/>
      <c r="F2320" s="52"/>
      <c r="G2320" s="52"/>
      <c r="H2320" s="52"/>
    </row>
    <row r="2321" spans="1:8" ht="15.75">
      <c r="A2321" s="50">
        <v>42620</v>
      </c>
      <c r="B2321" s="51">
        <v>1195.83</v>
      </c>
      <c r="C2321" s="52"/>
      <c r="D2321" s="52"/>
      <c r="E2321" s="52"/>
      <c r="F2321" s="52"/>
      <c r="G2321" s="52"/>
      <c r="H2321" s="52"/>
    </row>
    <row r="2322" spans="1:8" ht="15.75">
      <c r="A2322" s="50">
        <v>42621</v>
      </c>
      <c r="B2322" s="51">
        <v>1187.42</v>
      </c>
      <c r="C2322" s="52"/>
      <c r="D2322" s="52"/>
      <c r="E2322" s="52"/>
      <c r="F2322" s="52"/>
      <c r="G2322" s="52"/>
      <c r="H2322" s="52"/>
    </row>
    <row r="2323" spans="1:8" ht="15.75">
      <c r="A2323" s="50">
        <v>42622</v>
      </c>
      <c r="B2323" s="51">
        <v>1182.3800000000001</v>
      </c>
      <c r="C2323" s="52"/>
      <c r="D2323" s="52"/>
      <c r="E2323" s="52"/>
      <c r="F2323" s="52"/>
      <c r="G2323" s="52"/>
      <c r="H2323" s="52"/>
    </row>
    <row r="2324" spans="1:8" ht="15.75">
      <c r="A2324" s="50">
        <v>42625</v>
      </c>
      <c r="B2324" s="51">
        <v>1190.1199999999999</v>
      </c>
      <c r="C2324" s="52"/>
      <c r="D2324" s="52"/>
      <c r="E2324" s="52"/>
      <c r="F2324" s="52"/>
      <c r="G2324" s="52"/>
      <c r="H2324" s="52"/>
    </row>
    <row r="2325" spans="1:8" ht="15.75">
      <c r="A2325" s="50">
        <v>42626</v>
      </c>
      <c r="B2325" s="51">
        <v>1175.1300000000001</v>
      </c>
      <c r="C2325" s="52"/>
      <c r="D2325" s="52"/>
      <c r="E2325" s="52"/>
      <c r="F2325" s="52"/>
      <c r="G2325" s="52"/>
      <c r="H2325" s="52"/>
    </row>
    <row r="2326" spans="1:8" ht="15.75">
      <c r="A2326" s="50">
        <v>42627</v>
      </c>
      <c r="B2326" s="51">
        <v>1173.7</v>
      </c>
      <c r="C2326" s="52"/>
      <c r="D2326" s="52"/>
      <c r="E2326" s="52"/>
      <c r="F2326" s="52"/>
      <c r="G2326" s="52"/>
      <c r="H2326" s="52"/>
    </row>
    <row r="2327" spans="1:8" ht="15.75">
      <c r="A2327" s="50">
        <v>42628</v>
      </c>
      <c r="B2327" s="51">
        <v>1169.33</v>
      </c>
      <c r="C2327" s="52"/>
      <c r="D2327" s="52"/>
      <c r="E2327" s="52"/>
      <c r="F2327" s="52"/>
      <c r="G2327" s="52"/>
      <c r="H2327" s="52"/>
    </row>
    <row r="2328" spans="1:8" ht="15.75">
      <c r="A2328" s="50">
        <v>42629</v>
      </c>
      <c r="B2328" s="51">
        <v>1168.26</v>
      </c>
      <c r="C2328" s="52"/>
      <c r="D2328" s="52"/>
      <c r="E2328" s="52"/>
      <c r="F2328" s="52"/>
      <c r="G2328" s="52"/>
      <c r="H2328" s="52"/>
    </row>
    <row r="2329" spans="1:8" ht="15.75">
      <c r="A2329" s="50">
        <v>42631</v>
      </c>
      <c r="B2329" s="51">
        <v>1168.47</v>
      </c>
      <c r="C2329" s="52"/>
      <c r="D2329" s="52"/>
      <c r="E2329" s="52"/>
      <c r="F2329" s="52"/>
      <c r="G2329" s="52"/>
      <c r="H2329" s="52"/>
    </row>
    <row r="2330" spans="1:8" ht="15.75">
      <c r="A2330" s="50">
        <v>42632</v>
      </c>
      <c r="B2330" s="51">
        <v>1175.81</v>
      </c>
      <c r="C2330" s="52"/>
      <c r="D2330" s="52"/>
      <c r="E2330" s="52"/>
      <c r="F2330" s="52"/>
      <c r="G2330" s="52"/>
      <c r="H2330" s="52"/>
    </row>
    <row r="2331" spans="1:8" ht="15.75">
      <c r="A2331" s="50">
        <v>42633</v>
      </c>
      <c r="B2331" s="51">
        <v>1179.1400000000001</v>
      </c>
      <c r="C2331" s="52"/>
      <c r="D2331" s="52"/>
      <c r="E2331" s="52"/>
      <c r="F2331" s="52"/>
      <c r="G2331" s="52"/>
      <c r="H2331" s="52"/>
    </row>
    <row r="2332" spans="1:8" ht="15.75">
      <c r="A2332" s="50">
        <v>42634</v>
      </c>
      <c r="B2332" s="51">
        <v>1199.1400000000001</v>
      </c>
      <c r="C2332" s="52"/>
      <c r="D2332" s="52"/>
      <c r="E2332" s="52"/>
      <c r="F2332" s="52"/>
      <c r="G2332" s="52"/>
      <c r="H2332" s="52"/>
    </row>
    <row r="2333" spans="1:8" ht="15.75">
      <c r="A2333" s="50">
        <v>42635</v>
      </c>
      <c r="B2333" s="51">
        <v>1198.54</v>
      </c>
      <c r="C2333" s="52"/>
      <c r="D2333" s="52"/>
      <c r="E2333" s="52"/>
      <c r="F2333" s="52"/>
      <c r="G2333" s="52"/>
      <c r="H2333" s="52"/>
    </row>
    <row r="2334" spans="1:8" ht="15.75">
      <c r="A2334" s="50">
        <v>42636</v>
      </c>
      <c r="B2334" s="51">
        <v>1196.4000000000001</v>
      </c>
      <c r="C2334" s="52"/>
      <c r="D2334" s="52"/>
      <c r="E2334" s="52"/>
      <c r="F2334" s="52"/>
      <c r="G2334" s="52"/>
      <c r="H2334" s="52"/>
    </row>
    <row r="2335" spans="1:8" ht="15.75">
      <c r="A2335" s="50">
        <v>42638</v>
      </c>
      <c r="B2335" s="51">
        <v>1196.08</v>
      </c>
      <c r="C2335" s="52"/>
      <c r="D2335" s="52"/>
      <c r="E2335" s="52"/>
      <c r="F2335" s="52"/>
      <c r="G2335" s="52"/>
      <c r="H2335" s="52"/>
    </row>
    <row r="2336" spans="1:8" ht="15.75">
      <c r="A2336" s="50">
        <v>42639</v>
      </c>
      <c r="B2336" s="51">
        <v>1188.97</v>
      </c>
      <c r="C2336" s="52"/>
      <c r="D2336" s="52"/>
      <c r="E2336" s="52"/>
      <c r="F2336" s="52"/>
      <c r="G2336" s="52"/>
      <c r="H2336" s="52"/>
    </row>
    <row r="2337" spans="1:8" ht="15.75">
      <c r="A2337" s="50">
        <v>42640</v>
      </c>
      <c r="B2337" s="51">
        <v>1182.49</v>
      </c>
      <c r="C2337" s="52"/>
      <c r="D2337" s="52"/>
      <c r="E2337" s="52"/>
      <c r="F2337" s="52"/>
      <c r="G2337" s="52"/>
      <c r="H2337" s="52"/>
    </row>
    <row r="2338" spans="1:8" ht="15.75">
      <c r="A2338" s="50">
        <v>42641</v>
      </c>
      <c r="B2338" s="51">
        <v>1178.42</v>
      </c>
      <c r="C2338" s="52"/>
      <c r="D2338" s="52"/>
      <c r="E2338" s="52"/>
      <c r="F2338" s="52"/>
      <c r="G2338" s="52"/>
      <c r="H2338" s="52"/>
    </row>
    <row r="2339" spans="1:8" ht="15.75">
      <c r="A2339" s="50">
        <v>42642</v>
      </c>
      <c r="B2339" s="51">
        <v>1172.73</v>
      </c>
      <c r="C2339" s="52"/>
      <c r="D2339" s="52"/>
      <c r="E2339" s="52"/>
      <c r="F2339" s="52"/>
      <c r="G2339" s="52"/>
      <c r="H2339" s="52"/>
    </row>
    <row r="2340" spans="1:8" ht="15.75">
      <c r="A2340" s="50">
        <v>42643</v>
      </c>
      <c r="B2340" s="51">
        <v>1167.05</v>
      </c>
      <c r="C2340" s="52"/>
      <c r="D2340" s="52"/>
      <c r="E2340" s="52"/>
      <c r="F2340" s="52"/>
      <c r="G2340" s="52"/>
      <c r="H2340" s="52"/>
    </row>
    <row r="2341" spans="1:8" ht="15.75">
      <c r="A2341" s="50">
        <v>42645</v>
      </c>
      <c r="B2341" s="51">
        <v>1167.3599999999999</v>
      </c>
      <c r="C2341" s="52"/>
      <c r="D2341" s="52"/>
      <c r="E2341" s="52"/>
      <c r="F2341" s="52"/>
      <c r="G2341" s="52"/>
      <c r="H2341" s="52"/>
    </row>
    <row r="2342" spans="1:8" ht="15.75">
      <c r="A2342" s="50">
        <v>42646</v>
      </c>
      <c r="B2342" s="51">
        <v>1170.17</v>
      </c>
      <c r="C2342" s="52"/>
      <c r="D2342" s="52"/>
      <c r="E2342" s="52"/>
      <c r="F2342" s="52"/>
      <c r="G2342" s="52"/>
      <c r="H2342" s="52"/>
    </row>
    <row r="2343" spans="1:8" ht="15.75">
      <c r="A2343" s="50">
        <v>42647</v>
      </c>
      <c r="B2343" s="51">
        <v>1129.98</v>
      </c>
      <c r="C2343" s="52"/>
      <c r="D2343" s="52"/>
      <c r="E2343" s="52"/>
      <c r="F2343" s="52"/>
      <c r="G2343" s="52"/>
      <c r="H2343" s="52"/>
    </row>
    <row r="2344" spans="1:8" ht="15.75">
      <c r="A2344" s="50">
        <v>42648</v>
      </c>
      <c r="B2344" s="51">
        <v>1126.8699999999999</v>
      </c>
      <c r="C2344" s="52"/>
      <c r="D2344" s="52"/>
      <c r="E2344" s="52"/>
      <c r="F2344" s="52"/>
      <c r="G2344" s="52"/>
      <c r="H2344" s="52"/>
    </row>
    <row r="2345" spans="1:8" ht="15.75">
      <c r="A2345" s="50">
        <v>42649</v>
      </c>
      <c r="B2345" s="51">
        <v>1125.49</v>
      </c>
      <c r="C2345" s="52"/>
      <c r="D2345" s="52"/>
      <c r="E2345" s="52"/>
      <c r="F2345" s="52"/>
      <c r="G2345" s="52"/>
      <c r="H2345" s="52"/>
    </row>
    <row r="2346" spans="1:8" ht="15.75">
      <c r="A2346" s="50">
        <v>42650</v>
      </c>
      <c r="B2346" s="51">
        <v>1107.27</v>
      </c>
      <c r="C2346" s="52"/>
      <c r="D2346" s="52"/>
      <c r="E2346" s="52"/>
      <c r="F2346" s="52"/>
      <c r="G2346" s="52"/>
      <c r="H2346" s="52"/>
    </row>
    <row r="2347" spans="1:8" ht="15.75">
      <c r="A2347" s="50">
        <v>42652</v>
      </c>
      <c r="B2347" s="51">
        <v>1109.1500000000001</v>
      </c>
      <c r="C2347" s="52"/>
      <c r="D2347" s="52"/>
      <c r="E2347" s="52"/>
      <c r="F2347" s="52"/>
      <c r="G2347" s="52"/>
      <c r="H2347" s="52"/>
    </row>
    <row r="2348" spans="1:8" ht="15.75">
      <c r="A2348" s="50">
        <v>42653</v>
      </c>
      <c r="B2348" s="51">
        <v>1124.97</v>
      </c>
      <c r="C2348" s="52"/>
      <c r="D2348" s="52"/>
      <c r="E2348" s="52"/>
      <c r="F2348" s="52"/>
      <c r="G2348" s="52"/>
      <c r="H2348" s="52"/>
    </row>
    <row r="2349" spans="1:8" ht="15.75">
      <c r="A2349" s="50">
        <v>42654</v>
      </c>
      <c r="B2349" s="51">
        <v>1126.52</v>
      </c>
      <c r="C2349" s="52"/>
      <c r="D2349" s="52"/>
      <c r="E2349" s="52"/>
      <c r="F2349" s="52"/>
      <c r="G2349" s="52"/>
      <c r="H2349" s="52"/>
    </row>
    <row r="2350" spans="1:8" ht="15.75">
      <c r="A2350" s="50">
        <v>42655</v>
      </c>
      <c r="B2350" s="51">
        <v>1146.8599999999999</v>
      </c>
      <c r="C2350" s="52"/>
      <c r="D2350" s="52"/>
      <c r="E2350" s="52"/>
      <c r="F2350" s="52"/>
      <c r="G2350" s="52"/>
      <c r="H2350" s="52"/>
    </row>
    <row r="2351" spans="1:8" ht="15.75">
      <c r="A2351" s="50">
        <v>42656</v>
      </c>
      <c r="B2351" s="51">
        <v>1139.98</v>
      </c>
      <c r="C2351" s="52"/>
      <c r="D2351" s="52"/>
      <c r="E2351" s="52"/>
      <c r="F2351" s="52"/>
      <c r="G2351" s="52"/>
      <c r="H2351" s="52"/>
    </row>
    <row r="2352" spans="1:8" ht="15.75">
      <c r="A2352" s="50">
        <v>42657</v>
      </c>
      <c r="B2352" s="51">
        <v>1139.8699999999999</v>
      </c>
      <c r="C2352" s="52"/>
      <c r="D2352" s="52"/>
      <c r="E2352" s="52"/>
      <c r="F2352" s="52"/>
      <c r="G2352" s="52"/>
      <c r="H2352" s="52"/>
    </row>
    <row r="2353" spans="1:8" ht="15.75">
      <c r="A2353" s="50">
        <v>42659</v>
      </c>
      <c r="B2353" s="51">
        <v>1139.97</v>
      </c>
      <c r="C2353" s="52"/>
      <c r="D2353" s="52"/>
      <c r="E2353" s="52"/>
      <c r="F2353" s="52"/>
      <c r="G2353" s="52"/>
      <c r="H2353" s="52"/>
    </row>
    <row r="2354" spans="1:8" ht="15.75">
      <c r="A2354" s="50">
        <v>42660</v>
      </c>
      <c r="B2354" s="51">
        <v>1140.21</v>
      </c>
      <c r="C2354" s="52"/>
      <c r="D2354" s="52"/>
      <c r="E2354" s="52"/>
      <c r="F2354" s="52"/>
      <c r="G2354" s="52"/>
      <c r="H2354" s="52"/>
    </row>
    <row r="2355" spans="1:8" ht="15.75">
      <c r="A2355" s="50">
        <v>42661</v>
      </c>
      <c r="B2355" s="51">
        <v>1152.43</v>
      </c>
      <c r="C2355" s="52"/>
      <c r="D2355" s="52"/>
      <c r="E2355" s="52"/>
      <c r="F2355" s="52"/>
      <c r="G2355" s="52"/>
      <c r="H2355" s="52"/>
    </row>
    <row r="2356" spans="1:8" ht="15.75">
      <c r="A2356" s="50">
        <v>42662</v>
      </c>
      <c r="B2356" s="51">
        <v>1159.44</v>
      </c>
      <c r="C2356" s="52"/>
      <c r="D2356" s="52"/>
      <c r="E2356" s="52"/>
      <c r="F2356" s="52"/>
      <c r="G2356" s="52"/>
      <c r="H2356" s="52"/>
    </row>
    <row r="2357" spans="1:8" ht="15.75">
      <c r="A2357" s="50">
        <v>42663</v>
      </c>
      <c r="B2357" s="51">
        <v>1156.32</v>
      </c>
      <c r="C2357" s="52"/>
      <c r="D2357" s="52"/>
      <c r="E2357" s="52"/>
      <c r="F2357" s="52"/>
      <c r="G2357" s="52"/>
      <c r="H2357" s="52"/>
    </row>
    <row r="2358" spans="1:8" ht="15.75">
      <c r="A2358" s="50">
        <v>42664</v>
      </c>
      <c r="B2358" s="51">
        <v>1163.6500000000001</v>
      </c>
      <c r="C2358" s="52"/>
      <c r="D2358" s="52"/>
      <c r="E2358" s="52"/>
      <c r="F2358" s="52"/>
      <c r="G2358" s="52"/>
      <c r="H2358" s="52"/>
    </row>
    <row r="2359" spans="1:8" ht="15.75">
      <c r="A2359" s="50">
        <v>42666</v>
      </c>
      <c r="B2359" s="51">
        <v>1164.29</v>
      </c>
      <c r="C2359" s="52"/>
      <c r="D2359" s="52"/>
      <c r="E2359" s="52"/>
      <c r="F2359" s="52"/>
      <c r="G2359" s="52"/>
      <c r="H2359" s="52"/>
    </row>
    <row r="2360" spans="1:8" ht="15.75">
      <c r="A2360" s="50">
        <v>42667</v>
      </c>
      <c r="B2360" s="51">
        <v>1154.53</v>
      </c>
      <c r="C2360" s="52"/>
      <c r="D2360" s="52"/>
      <c r="E2360" s="52"/>
      <c r="F2360" s="52"/>
      <c r="G2360" s="52"/>
      <c r="H2360" s="52"/>
    </row>
    <row r="2361" spans="1:8" ht="15.75">
      <c r="A2361" s="50">
        <v>42668</v>
      </c>
      <c r="B2361" s="51">
        <v>1172.51</v>
      </c>
      <c r="C2361" s="52"/>
      <c r="D2361" s="52"/>
      <c r="E2361" s="52"/>
      <c r="F2361" s="52"/>
      <c r="G2361" s="52"/>
      <c r="H2361" s="52"/>
    </row>
    <row r="2362" spans="1:8" ht="15.75">
      <c r="A2362" s="50">
        <v>42669</v>
      </c>
      <c r="B2362" s="51">
        <v>1160.28</v>
      </c>
      <c r="C2362" s="52"/>
      <c r="D2362" s="52"/>
      <c r="E2362" s="52"/>
      <c r="F2362" s="52"/>
      <c r="G2362" s="52"/>
      <c r="H2362" s="52"/>
    </row>
    <row r="2363" spans="1:8" ht="15.75">
      <c r="A2363" s="50">
        <v>42670</v>
      </c>
      <c r="B2363" s="51">
        <v>1161.3499999999999</v>
      </c>
      <c r="C2363" s="52"/>
      <c r="D2363" s="52"/>
      <c r="E2363" s="52"/>
      <c r="F2363" s="52"/>
      <c r="G2363" s="52"/>
      <c r="H2363" s="52"/>
    </row>
    <row r="2364" spans="1:8" ht="15.75">
      <c r="A2364" s="50">
        <v>42671</v>
      </c>
      <c r="B2364" s="51">
        <v>1168.99</v>
      </c>
      <c r="C2364" s="52"/>
      <c r="D2364" s="52"/>
      <c r="E2364" s="52"/>
      <c r="F2364" s="52"/>
      <c r="G2364" s="52"/>
      <c r="H2364" s="52"/>
    </row>
    <row r="2365" spans="1:8" ht="15.75">
      <c r="A2365" s="50">
        <v>42673</v>
      </c>
      <c r="B2365" s="51">
        <v>1163.3399999999999</v>
      </c>
      <c r="C2365" s="52"/>
      <c r="D2365" s="52"/>
      <c r="E2365" s="52"/>
      <c r="F2365" s="52"/>
      <c r="G2365" s="52"/>
      <c r="H2365" s="52"/>
    </row>
    <row r="2366" spans="1:8" ht="15.75">
      <c r="A2366" s="50">
        <v>42674</v>
      </c>
      <c r="B2366" s="51">
        <v>1163.49</v>
      </c>
      <c r="C2366" s="52"/>
      <c r="D2366" s="52"/>
      <c r="E2366" s="52"/>
      <c r="F2366" s="52"/>
      <c r="G2366" s="52"/>
      <c r="H2366" s="52"/>
    </row>
    <row r="2367" spans="1:8" ht="15.75">
      <c r="A2367" s="50">
        <v>42675</v>
      </c>
      <c r="B2367" s="51">
        <v>1165.6099999999999</v>
      </c>
      <c r="C2367" s="52"/>
      <c r="D2367" s="52"/>
      <c r="E2367" s="52"/>
      <c r="F2367" s="52"/>
      <c r="G2367" s="52"/>
      <c r="H2367" s="52"/>
    </row>
    <row r="2368" spans="1:8" ht="15.75">
      <c r="A2368" s="50">
        <v>42676</v>
      </c>
      <c r="B2368" s="51">
        <v>1169.56</v>
      </c>
      <c r="C2368" s="52"/>
      <c r="D2368" s="52"/>
      <c r="E2368" s="52"/>
      <c r="F2368" s="52"/>
      <c r="G2368" s="52"/>
      <c r="H2368" s="52"/>
    </row>
    <row r="2369" spans="1:8" ht="15.75">
      <c r="A2369" s="50">
        <v>42677</v>
      </c>
      <c r="B2369" s="51">
        <v>1173.3900000000001</v>
      </c>
      <c r="C2369" s="52"/>
      <c r="D2369" s="52"/>
      <c r="E2369" s="52"/>
      <c r="F2369" s="52"/>
      <c r="G2369" s="52"/>
      <c r="H2369" s="52"/>
    </row>
    <row r="2370" spans="1:8" ht="15.75">
      <c r="A2370" s="50">
        <v>42678</v>
      </c>
      <c r="B2370" s="51">
        <v>1170.57</v>
      </c>
      <c r="C2370" s="52"/>
      <c r="D2370" s="52"/>
      <c r="E2370" s="52"/>
      <c r="F2370" s="52"/>
      <c r="G2370" s="52"/>
      <c r="H2370" s="52"/>
    </row>
    <row r="2371" spans="1:8" ht="15.75">
      <c r="A2371" s="50">
        <v>42680</v>
      </c>
      <c r="B2371" s="51">
        <v>1149.04</v>
      </c>
      <c r="C2371" s="52"/>
      <c r="D2371" s="52"/>
      <c r="E2371" s="52"/>
      <c r="F2371" s="52"/>
      <c r="G2371" s="52"/>
      <c r="H2371" s="52"/>
    </row>
    <row r="2372" spans="1:8" ht="15.75">
      <c r="A2372" s="50">
        <v>42681</v>
      </c>
      <c r="B2372" s="51">
        <v>1158.43</v>
      </c>
      <c r="C2372" s="52"/>
      <c r="D2372" s="52"/>
      <c r="E2372" s="52"/>
      <c r="F2372" s="52"/>
      <c r="G2372" s="52"/>
      <c r="H2372" s="52"/>
    </row>
    <row r="2373" spans="1:8" ht="15.75">
      <c r="A2373" s="50">
        <v>42682</v>
      </c>
      <c r="B2373" s="51">
        <v>1154.21</v>
      </c>
      <c r="C2373" s="52"/>
      <c r="D2373" s="52"/>
      <c r="E2373" s="52"/>
      <c r="F2373" s="52"/>
      <c r="G2373" s="52"/>
      <c r="H2373" s="52"/>
    </row>
    <row r="2374" spans="1:8" ht="15.75">
      <c r="A2374" s="50">
        <v>42683</v>
      </c>
      <c r="B2374" s="51">
        <v>1163.6099999999999</v>
      </c>
      <c r="C2374" s="52"/>
      <c r="D2374" s="52"/>
      <c r="E2374" s="52"/>
      <c r="F2374" s="52"/>
      <c r="G2374" s="52"/>
      <c r="H2374" s="52"/>
    </row>
    <row r="2375" spans="1:8" ht="15.75">
      <c r="A2375" s="50">
        <v>42684</v>
      </c>
      <c r="B2375" s="51">
        <v>1145.57</v>
      </c>
      <c r="C2375" s="52"/>
      <c r="D2375" s="52"/>
      <c r="E2375" s="52"/>
      <c r="F2375" s="52"/>
      <c r="G2375" s="52"/>
      <c r="H2375" s="52"/>
    </row>
    <row r="2376" spans="1:8" ht="15.75">
      <c r="A2376" s="50">
        <v>42685</v>
      </c>
      <c r="B2376" s="51">
        <v>1130.7</v>
      </c>
      <c r="C2376" s="52"/>
      <c r="D2376" s="52"/>
      <c r="E2376" s="52"/>
      <c r="F2376" s="52"/>
      <c r="G2376" s="52"/>
      <c r="H2376" s="52"/>
    </row>
    <row r="2377" spans="1:8" ht="15.75">
      <c r="A2377" s="50">
        <v>42687</v>
      </c>
      <c r="B2377" s="51">
        <v>1117.49</v>
      </c>
      <c r="C2377" s="52"/>
      <c r="D2377" s="52"/>
      <c r="E2377" s="52"/>
      <c r="F2377" s="52"/>
      <c r="G2377" s="52"/>
      <c r="H2377" s="52"/>
    </row>
    <row r="2378" spans="1:8" ht="15.75">
      <c r="A2378" s="50">
        <v>42688</v>
      </c>
      <c r="B2378" s="51">
        <v>1136.6500000000001</v>
      </c>
      <c r="C2378" s="52"/>
      <c r="D2378" s="52"/>
      <c r="E2378" s="52"/>
      <c r="F2378" s="52"/>
      <c r="G2378" s="52"/>
      <c r="H2378" s="52"/>
    </row>
    <row r="2379" spans="1:8" ht="15.75">
      <c r="A2379" s="50">
        <v>42689</v>
      </c>
      <c r="B2379" s="51">
        <v>1145.75</v>
      </c>
      <c r="C2379" s="52"/>
      <c r="D2379" s="52"/>
      <c r="E2379" s="52"/>
      <c r="F2379" s="52"/>
      <c r="G2379" s="52"/>
      <c r="H2379" s="52"/>
    </row>
    <row r="2380" spans="1:8" ht="15.75">
      <c r="A2380" s="50">
        <v>42690</v>
      </c>
      <c r="B2380" s="51">
        <v>1143.8499999999999</v>
      </c>
      <c r="C2380" s="52"/>
      <c r="D2380" s="52"/>
      <c r="E2380" s="52"/>
      <c r="F2380" s="52"/>
      <c r="G2380" s="52"/>
      <c r="H2380" s="52"/>
    </row>
    <row r="2381" spans="1:8" ht="15.75">
      <c r="A2381" s="50">
        <v>42691</v>
      </c>
      <c r="B2381" s="51">
        <v>1150.6400000000001</v>
      </c>
      <c r="C2381" s="52"/>
      <c r="D2381" s="52"/>
      <c r="E2381" s="52"/>
      <c r="F2381" s="52"/>
      <c r="G2381" s="52"/>
      <c r="H2381" s="52"/>
    </row>
    <row r="2382" spans="1:8" ht="15.75">
      <c r="A2382" s="50">
        <v>42692</v>
      </c>
      <c r="B2382" s="51">
        <v>1141.33</v>
      </c>
      <c r="C2382" s="52"/>
      <c r="D2382" s="52"/>
      <c r="E2382" s="52"/>
      <c r="F2382" s="52"/>
      <c r="G2382" s="52"/>
      <c r="H2382" s="52"/>
    </row>
    <row r="2383" spans="1:8" ht="15.75">
      <c r="A2383" s="50">
        <v>42694</v>
      </c>
      <c r="B2383" s="51">
        <v>1134.05</v>
      </c>
      <c r="C2383" s="52"/>
      <c r="D2383" s="52"/>
      <c r="E2383" s="52"/>
      <c r="F2383" s="52"/>
      <c r="G2383" s="52"/>
      <c r="H2383" s="52"/>
    </row>
    <row r="2384" spans="1:8" ht="15.75">
      <c r="A2384" s="50">
        <v>42695</v>
      </c>
      <c r="B2384" s="51">
        <v>1135.27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42696</v>
      </c>
      <c r="B2385" s="51">
        <v>1141.2</v>
      </c>
      <c r="C2385" s="52"/>
      <c r="D2385" s="52"/>
      <c r="E2385" s="52"/>
      <c r="F2385" s="52"/>
      <c r="G2385" s="52"/>
      <c r="H2385" s="52"/>
    </row>
    <row r="2386" spans="1:8" ht="15.75">
      <c r="A2386" s="50">
        <v>42697</v>
      </c>
      <c r="B2386" s="51">
        <v>1130.8399999999999</v>
      </c>
      <c r="C2386" s="52"/>
      <c r="D2386" s="52"/>
      <c r="E2386" s="52"/>
      <c r="F2386" s="52"/>
      <c r="G2386" s="52"/>
      <c r="H2386" s="52"/>
    </row>
    <row r="2387" spans="1:8" ht="15.75">
      <c r="A2387" s="50">
        <v>42698</v>
      </c>
      <c r="B2387" s="51">
        <v>1121.71</v>
      </c>
      <c r="C2387" s="52"/>
      <c r="D2387" s="52"/>
      <c r="E2387" s="52"/>
      <c r="F2387" s="52"/>
      <c r="G2387" s="52"/>
      <c r="H2387" s="52"/>
    </row>
    <row r="2388" spans="1:8" ht="15.75">
      <c r="A2388" s="50">
        <v>42699</v>
      </c>
      <c r="B2388" s="51">
        <v>1116.07</v>
      </c>
      <c r="C2388" s="52"/>
      <c r="D2388" s="52"/>
      <c r="E2388" s="52"/>
      <c r="F2388" s="52"/>
      <c r="G2388" s="52"/>
      <c r="H2388" s="52"/>
    </row>
    <row r="2389" spans="1:8" ht="15.75">
      <c r="A2389" s="50">
        <v>42701</v>
      </c>
      <c r="B2389" s="51">
        <v>1115.22</v>
      </c>
      <c r="C2389" s="52"/>
      <c r="D2389" s="52"/>
      <c r="E2389" s="52"/>
      <c r="F2389" s="52"/>
      <c r="G2389" s="52"/>
      <c r="H2389" s="52"/>
    </row>
    <row r="2390" spans="1:8" ht="15.75">
      <c r="A2390" s="50">
        <v>42702</v>
      </c>
      <c r="B2390" s="51">
        <v>1125.74</v>
      </c>
      <c r="C2390" s="52"/>
      <c r="D2390" s="52"/>
      <c r="E2390" s="52"/>
      <c r="F2390" s="52"/>
      <c r="G2390" s="52"/>
      <c r="H2390" s="52"/>
    </row>
    <row r="2391" spans="1:8" ht="15.75">
      <c r="A2391" s="50">
        <v>42703</v>
      </c>
      <c r="B2391" s="51">
        <v>1115.26</v>
      </c>
      <c r="C2391" s="52"/>
      <c r="D2391" s="52"/>
      <c r="E2391" s="52"/>
      <c r="F2391" s="52"/>
      <c r="G2391" s="52"/>
      <c r="H2391" s="52"/>
    </row>
    <row r="2392" spans="1:8" ht="15.75">
      <c r="A2392" s="50">
        <v>42704</v>
      </c>
      <c r="B2392" s="51">
        <v>1102.6099999999999</v>
      </c>
      <c r="C2392" s="52"/>
      <c r="D2392" s="52"/>
      <c r="E2392" s="52"/>
      <c r="F2392" s="52"/>
      <c r="G2392" s="52"/>
      <c r="H2392" s="52"/>
    </row>
    <row r="2393" spans="1:8" ht="15.75">
      <c r="A2393" s="50">
        <v>42705</v>
      </c>
      <c r="B2393" s="51">
        <v>1088.2</v>
      </c>
      <c r="C2393" s="52"/>
      <c r="D2393" s="52"/>
      <c r="E2393" s="52"/>
      <c r="F2393" s="52"/>
      <c r="G2393" s="52"/>
      <c r="H2393" s="52"/>
    </row>
    <row r="2394" spans="1:8" ht="15.75">
      <c r="A2394" s="50">
        <v>42706</v>
      </c>
      <c r="B2394" s="51">
        <v>1104.08</v>
      </c>
      <c r="C2394" s="52"/>
      <c r="D2394" s="52"/>
      <c r="E2394" s="52"/>
      <c r="F2394" s="52"/>
      <c r="G2394" s="52"/>
      <c r="H2394" s="52"/>
    </row>
    <row r="2395" spans="1:8" ht="15.75">
      <c r="A2395" s="50">
        <v>42709</v>
      </c>
      <c r="B2395" s="51">
        <v>1095.28</v>
      </c>
      <c r="C2395" s="52"/>
      <c r="D2395" s="52"/>
      <c r="E2395" s="52"/>
      <c r="F2395" s="52"/>
      <c r="G2395" s="52"/>
      <c r="H2395" s="52"/>
    </row>
    <row r="2396" spans="1:8" ht="15.75">
      <c r="A2396" s="50">
        <v>42710</v>
      </c>
      <c r="B2396" s="51">
        <v>1099.58</v>
      </c>
      <c r="C2396" s="52"/>
      <c r="D2396" s="52"/>
      <c r="E2396" s="52"/>
      <c r="F2396" s="52"/>
      <c r="G2396" s="52"/>
      <c r="H2396" s="52"/>
    </row>
    <row r="2397" spans="1:8" ht="15.75">
      <c r="A2397" s="50">
        <v>42711</v>
      </c>
      <c r="B2397" s="51">
        <v>1091.3399999999999</v>
      </c>
      <c r="C2397" s="52"/>
      <c r="D2397" s="52"/>
      <c r="E2397" s="52"/>
      <c r="F2397" s="52"/>
      <c r="G2397" s="52"/>
      <c r="H2397" s="52"/>
    </row>
    <row r="2398" spans="1:8" ht="15.75">
      <c r="A2398" s="50">
        <v>42712</v>
      </c>
      <c r="B2398" s="51">
        <v>1103.3399999999999</v>
      </c>
      <c r="C2398" s="52"/>
      <c r="D2398" s="52"/>
      <c r="E2398" s="52"/>
      <c r="F2398" s="52"/>
      <c r="G2398" s="52"/>
      <c r="H2398" s="52"/>
    </row>
    <row r="2399" spans="1:8" ht="15.75">
      <c r="A2399" s="50">
        <v>42713</v>
      </c>
      <c r="B2399" s="51">
        <v>1098.71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42716</v>
      </c>
      <c r="B2400" s="51">
        <v>1092.73</v>
      </c>
      <c r="C2400" s="52"/>
      <c r="D2400" s="52"/>
      <c r="E2400" s="52"/>
      <c r="F2400" s="52"/>
      <c r="G2400" s="52"/>
      <c r="H2400" s="52"/>
    </row>
    <row r="2401" spans="1:8" ht="15.75">
      <c r="A2401" s="50">
        <v>42717</v>
      </c>
      <c r="B2401" s="51">
        <v>1090.02</v>
      </c>
      <c r="C2401" s="52"/>
      <c r="D2401" s="52"/>
      <c r="E2401" s="52"/>
      <c r="F2401" s="52"/>
      <c r="G2401" s="52"/>
      <c r="H2401" s="52"/>
    </row>
    <row r="2402" spans="1:8" ht="15.75">
      <c r="A2402" s="50">
        <v>42718</v>
      </c>
      <c r="B2402" s="51">
        <v>1082.55</v>
      </c>
      <c r="C2402" s="52"/>
      <c r="D2402" s="52"/>
      <c r="E2402" s="52"/>
      <c r="F2402" s="52"/>
      <c r="G2402" s="52"/>
      <c r="H2402" s="52"/>
    </row>
    <row r="2403" spans="1:8" ht="15.75">
      <c r="A2403" s="50">
        <v>42719</v>
      </c>
      <c r="B2403" s="51">
        <v>1082.83</v>
      </c>
      <c r="C2403" s="52"/>
      <c r="D2403" s="52"/>
      <c r="E2403" s="52"/>
      <c r="F2403" s="52"/>
      <c r="G2403" s="52"/>
      <c r="H2403" s="52"/>
    </row>
    <row r="2404" spans="1:8" ht="15.75">
      <c r="A2404" s="50">
        <v>42720</v>
      </c>
      <c r="B2404" s="51">
        <v>1082.33</v>
      </c>
      <c r="C2404" s="52"/>
      <c r="D2404" s="52"/>
      <c r="E2404" s="52"/>
      <c r="F2404" s="52"/>
      <c r="G2404" s="52"/>
      <c r="H2404" s="52"/>
    </row>
    <row r="2405" spans="1:8" ht="15.75">
      <c r="A2405" s="50">
        <v>42723</v>
      </c>
      <c r="B2405" s="51">
        <v>1100.51</v>
      </c>
      <c r="C2405" s="52"/>
      <c r="D2405" s="52"/>
      <c r="E2405" s="52"/>
      <c r="F2405" s="52"/>
      <c r="G2405" s="52"/>
      <c r="H2405" s="52"/>
    </row>
    <row r="2406" spans="1:8" ht="15.75">
      <c r="A2406" s="50">
        <v>42724</v>
      </c>
      <c r="B2406" s="51">
        <v>1089.24</v>
      </c>
      <c r="C2406" s="52"/>
      <c r="D2406" s="52"/>
      <c r="E2406" s="52"/>
      <c r="F2406" s="52"/>
      <c r="G2406" s="52"/>
      <c r="H2406" s="52"/>
    </row>
    <row r="2407" spans="1:8" ht="15.75">
      <c r="A2407" s="50">
        <v>42725</v>
      </c>
      <c r="B2407" s="51">
        <v>1084.72</v>
      </c>
      <c r="C2407" s="52"/>
      <c r="D2407" s="52"/>
      <c r="E2407" s="52"/>
      <c r="F2407" s="52"/>
      <c r="G2407" s="52"/>
      <c r="H2407" s="52"/>
    </row>
    <row r="2408" spans="1:8" ht="15.75">
      <c r="A2408" s="50">
        <v>42726</v>
      </c>
      <c r="B2408" s="51">
        <v>1081.31</v>
      </c>
      <c r="C2408" s="52"/>
      <c r="D2408" s="52"/>
      <c r="E2408" s="52"/>
      <c r="F2408" s="52"/>
      <c r="G2408" s="52"/>
      <c r="H2408" s="52"/>
    </row>
    <row r="2409" spans="1:8" ht="15.75">
      <c r="A2409" s="50">
        <v>42727</v>
      </c>
      <c r="B2409" s="51">
        <v>1084.81</v>
      </c>
      <c r="C2409" s="52"/>
      <c r="D2409" s="52"/>
      <c r="E2409" s="52"/>
      <c r="F2409" s="52"/>
      <c r="G2409" s="52"/>
      <c r="H2409" s="52"/>
    </row>
    <row r="2410" spans="1:8" ht="15.75">
      <c r="A2410" s="50">
        <v>42730</v>
      </c>
      <c r="B2410" s="51">
        <v>1092.6099999999999</v>
      </c>
      <c r="C2410" s="52"/>
      <c r="D2410" s="52"/>
      <c r="E2410" s="52"/>
      <c r="F2410" s="52"/>
      <c r="G2410" s="52"/>
      <c r="H2410" s="52"/>
    </row>
    <row r="2411" spans="1:8" ht="15.75">
      <c r="A2411" s="50">
        <v>42731</v>
      </c>
      <c r="B2411" s="51">
        <v>1088.8699999999999</v>
      </c>
      <c r="C2411" s="52"/>
      <c r="D2411" s="52"/>
      <c r="E2411" s="52"/>
      <c r="F2411" s="52"/>
      <c r="G2411" s="52"/>
      <c r="H2411" s="52"/>
    </row>
    <row r="2412" spans="1:8" ht="15.75">
      <c r="A2412" s="50">
        <v>42732</v>
      </c>
      <c r="B2412" s="51">
        <v>1095.99</v>
      </c>
      <c r="C2412" s="52"/>
      <c r="D2412" s="52"/>
      <c r="E2412" s="52"/>
      <c r="F2412" s="52"/>
      <c r="G2412" s="52"/>
      <c r="H2412" s="52"/>
    </row>
    <row r="2413" spans="1:8" ht="15.75">
      <c r="A2413" s="50">
        <v>42733</v>
      </c>
      <c r="B2413" s="51">
        <v>1103.3900000000001</v>
      </c>
      <c r="C2413" s="52"/>
      <c r="D2413" s="52"/>
      <c r="E2413" s="52"/>
      <c r="F2413" s="52"/>
      <c r="G2413" s="52"/>
      <c r="H2413" s="52"/>
    </row>
    <row r="2414" spans="1:8" ht="15.75">
      <c r="A2414" s="50">
        <v>42734</v>
      </c>
      <c r="B2414" s="51">
        <v>1084.32</v>
      </c>
      <c r="C2414" s="52"/>
      <c r="D2414" s="52"/>
      <c r="E2414" s="52"/>
      <c r="F2414" s="52"/>
      <c r="G2414" s="52"/>
      <c r="H2414" s="52"/>
    </row>
    <row r="2415" spans="1:8" ht="15.75">
      <c r="A2415" s="50">
        <v>42736</v>
      </c>
      <c r="B2415" s="51">
        <v>1077.6099999999999</v>
      </c>
      <c r="C2415" s="52"/>
      <c r="D2415" s="52"/>
      <c r="E2415" s="52"/>
      <c r="F2415" s="52"/>
      <c r="G2415" s="52"/>
      <c r="H2415" s="52"/>
    </row>
    <row r="2416" spans="1:8" ht="15.75">
      <c r="A2416" s="50">
        <v>42737</v>
      </c>
      <c r="B2416" s="51">
        <v>1100.75</v>
      </c>
      <c r="C2416" s="52"/>
      <c r="D2416" s="52"/>
      <c r="E2416" s="52"/>
      <c r="F2416" s="52"/>
      <c r="G2416" s="52"/>
      <c r="H2416" s="52"/>
    </row>
    <row r="2417" spans="1:8" ht="15.75">
      <c r="A2417" s="50">
        <v>42738</v>
      </c>
      <c r="B2417" s="51">
        <v>1113.23</v>
      </c>
      <c r="C2417" s="52"/>
      <c r="D2417" s="52"/>
      <c r="E2417" s="52"/>
      <c r="F2417" s="52"/>
      <c r="G2417" s="52"/>
      <c r="H2417" s="52"/>
    </row>
    <row r="2418" spans="1:8" ht="15.75">
      <c r="A2418" s="50">
        <v>42739</v>
      </c>
      <c r="B2418" s="51">
        <v>1114.49</v>
      </c>
      <c r="C2418" s="52"/>
      <c r="D2418" s="52"/>
      <c r="E2418" s="52"/>
      <c r="F2418" s="52"/>
      <c r="G2418" s="52"/>
      <c r="H2418" s="52"/>
    </row>
    <row r="2419" spans="1:8" ht="15.75">
      <c r="A2419" s="50">
        <v>42740</v>
      </c>
      <c r="B2419" s="51">
        <v>1112.57</v>
      </c>
      <c r="C2419" s="52"/>
      <c r="D2419" s="52"/>
      <c r="E2419" s="52"/>
      <c r="F2419" s="52"/>
      <c r="G2419" s="52"/>
      <c r="H2419" s="52"/>
    </row>
    <row r="2420" spans="1:8" ht="15.75">
      <c r="A2420" s="50">
        <v>42741</v>
      </c>
      <c r="B2420" s="51">
        <v>1110.56</v>
      </c>
      <c r="C2420" s="52"/>
      <c r="D2420" s="52"/>
      <c r="E2420" s="52"/>
      <c r="F2420" s="52"/>
      <c r="G2420" s="52"/>
      <c r="H2420" s="52"/>
    </row>
    <row r="2421" spans="1:8" ht="15.75">
      <c r="A2421" s="50">
        <v>42744</v>
      </c>
      <c r="B2421" s="51">
        <v>1123.1600000000001</v>
      </c>
      <c r="C2421" s="52"/>
      <c r="D2421" s="52"/>
      <c r="E2421" s="52"/>
      <c r="F2421" s="52"/>
      <c r="G2421" s="52"/>
      <c r="H2421" s="52"/>
    </row>
    <row r="2422" spans="1:8" ht="15.75">
      <c r="A2422" s="50">
        <v>42745</v>
      </c>
      <c r="B2422" s="51">
        <v>1126.6099999999999</v>
      </c>
      <c r="C2422" s="52"/>
      <c r="D2422" s="52"/>
      <c r="E2422" s="52"/>
      <c r="F2422" s="52"/>
      <c r="G2422" s="52"/>
      <c r="H2422" s="52"/>
    </row>
    <row r="2423" spans="1:8" ht="15.75">
      <c r="A2423" s="50">
        <v>42746</v>
      </c>
      <c r="B2423" s="51">
        <v>1114.08</v>
      </c>
      <c r="C2423" s="52"/>
      <c r="D2423" s="52"/>
      <c r="E2423" s="52"/>
      <c r="F2423" s="52"/>
      <c r="G2423" s="52"/>
      <c r="H2423" s="52"/>
    </row>
    <row r="2424" spans="1:8" ht="15.75">
      <c r="A2424" s="50">
        <v>42748</v>
      </c>
      <c r="B2424" s="51">
        <v>1125</v>
      </c>
      <c r="C2424" s="52"/>
      <c r="D2424" s="52"/>
      <c r="E2424" s="52"/>
      <c r="F2424" s="52"/>
      <c r="G2424" s="52"/>
      <c r="H2424" s="52"/>
    </row>
    <row r="2425" spans="1:8" ht="15.75">
      <c r="A2425" s="50">
        <v>42751</v>
      </c>
      <c r="B2425" s="51">
        <v>1144</v>
      </c>
      <c r="C2425" s="52"/>
      <c r="D2425" s="52"/>
      <c r="E2425" s="52"/>
      <c r="F2425" s="52"/>
      <c r="G2425" s="52"/>
      <c r="H2425" s="52"/>
    </row>
    <row r="2426" spans="1:8" ht="15.75">
      <c r="A2426" s="50">
        <v>42752</v>
      </c>
      <c r="B2426" s="51">
        <v>1136.08</v>
      </c>
      <c r="C2426" s="52"/>
      <c r="D2426" s="52"/>
      <c r="E2426" s="52"/>
      <c r="F2426" s="52"/>
      <c r="G2426" s="52"/>
      <c r="H2426" s="52"/>
    </row>
    <row r="2427" spans="1:8" ht="15.75">
      <c r="A2427" s="50">
        <v>42753</v>
      </c>
      <c r="B2427" s="51">
        <v>1147.55</v>
      </c>
      <c r="C2427" s="52"/>
      <c r="D2427" s="52"/>
      <c r="E2427" s="52"/>
      <c r="F2427" s="52"/>
      <c r="G2427" s="52"/>
      <c r="H2427" s="52"/>
    </row>
    <row r="2428" spans="1:8" ht="15.75">
      <c r="A2428" s="50">
        <v>42754</v>
      </c>
      <c r="B2428" s="51">
        <v>1138.28</v>
      </c>
      <c r="C2428" s="52"/>
      <c r="D2428" s="52"/>
      <c r="E2428" s="52"/>
      <c r="F2428" s="52"/>
      <c r="G2428" s="52"/>
      <c r="H2428" s="52"/>
    </row>
    <row r="2429" spans="1:8" ht="15.75">
      <c r="A2429" s="50">
        <v>42757</v>
      </c>
      <c r="B2429" s="51">
        <v>1114.6600000000001</v>
      </c>
      <c r="C2429" s="52"/>
      <c r="D2429" s="52"/>
      <c r="E2429" s="52"/>
      <c r="F2429" s="52"/>
      <c r="G2429" s="52"/>
      <c r="H2429" s="52"/>
    </row>
    <row r="2430" spans="1:8" ht="15.75">
      <c r="A2430" s="50">
        <v>42758</v>
      </c>
      <c r="B2430" s="51">
        <v>1132.48</v>
      </c>
      <c r="C2430" s="52"/>
      <c r="D2430" s="52"/>
      <c r="E2430" s="52"/>
      <c r="F2430" s="52"/>
      <c r="G2430" s="52"/>
      <c r="H2430" s="52"/>
    </row>
    <row r="2431" spans="1:8" ht="15.75">
      <c r="A2431" s="50">
        <v>42759</v>
      </c>
      <c r="B2431" s="51">
        <v>1132.3499999999999</v>
      </c>
      <c r="C2431" s="52"/>
      <c r="D2431" s="52"/>
      <c r="E2431" s="52"/>
      <c r="F2431" s="52"/>
      <c r="G2431" s="52"/>
      <c r="H2431" s="52"/>
    </row>
    <row r="2432" spans="1:8" ht="15.75">
      <c r="A2432" s="50">
        <v>42760</v>
      </c>
      <c r="B2432" s="51">
        <v>1119.98</v>
      </c>
      <c r="C2432" s="52"/>
      <c r="D2432" s="52"/>
      <c r="E2432" s="52"/>
      <c r="F2432" s="52"/>
      <c r="G2432" s="52"/>
      <c r="H2432" s="52"/>
    </row>
    <row r="2433" spans="1:8" ht="15.75">
      <c r="A2433" s="50">
        <v>42761</v>
      </c>
      <c r="B2433" s="51">
        <v>1105.56</v>
      </c>
      <c r="C2433" s="52"/>
      <c r="D2433" s="52"/>
      <c r="E2433" s="52"/>
      <c r="F2433" s="52"/>
      <c r="G2433" s="52"/>
      <c r="H2433" s="52"/>
    </row>
    <row r="2434" spans="1:8" ht="15.75">
      <c r="A2434" s="50">
        <v>42762</v>
      </c>
      <c r="B2434" s="51">
        <v>1113.3599999999999</v>
      </c>
      <c r="C2434" s="52"/>
      <c r="D2434" s="52"/>
      <c r="E2434" s="52"/>
      <c r="F2434" s="52"/>
      <c r="G2434" s="52"/>
      <c r="H2434" s="52"/>
    </row>
    <row r="2435" spans="1:8" ht="15.75">
      <c r="A2435" s="50">
        <v>42764</v>
      </c>
      <c r="B2435" s="51">
        <v>1111.8</v>
      </c>
      <c r="C2435" s="52"/>
      <c r="D2435" s="52"/>
      <c r="E2435" s="52"/>
      <c r="F2435" s="52"/>
      <c r="G2435" s="52"/>
      <c r="H2435" s="52"/>
    </row>
    <row r="2436" spans="1:8" ht="15.75">
      <c r="A2436" s="50">
        <v>42765</v>
      </c>
      <c r="B2436" s="51">
        <v>1119.29</v>
      </c>
      <c r="C2436" s="52"/>
      <c r="D2436" s="52"/>
      <c r="E2436" s="52"/>
      <c r="F2436" s="52"/>
      <c r="G2436" s="52"/>
      <c r="H2436" s="52"/>
    </row>
    <row r="2437" spans="1:8" ht="15.75">
      <c r="A2437" s="50">
        <v>42766</v>
      </c>
      <c r="B2437" s="51">
        <v>1125.8499999999999</v>
      </c>
      <c r="C2437" s="52"/>
      <c r="D2437" s="52"/>
      <c r="E2437" s="52"/>
      <c r="F2437" s="52"/>
      <c r="G2437" s="52"/>
      <c r="H2437" s="52"/>
    </row>
    <row r="2438" spans="1:8" ht="15.75">
      <c r="A2438" s="50">
        <v>42767</v>
      </c>
      <c r="B2438" s="51">
        <v>1128.22</v>
      </c>
      <c r="C2438" s="52"/>
      <c r="D2438" s="52"/>
      <c r="E2438" s="52"/>
      <c r="F2438" s="52"/>
      <c r="G2438" s="52"/>
      <c r="H2438" s="52"/>
    </row>
    <row r="2439" spans="1:8" ht="15.75">
      <c r="A2439" s="50">
        <v>42768</v>
      </c>
      <c r="B2439" s="51">
        <v>1137.06</v>
      </c>
      <c r="C2439" s="52"/>
      <c r="D2439" s="52"/>
      <c r="E2439" s="52"/>
      <c r="F2439" s="52"/>
      <c r="G2439" s="52"/>
      <c r="H2439" s="52"/>
    </row>
    <row r="2440" spans="1:8" ht="15.75">
      <c r="A2440" s="50">
        <v>42769</v>
      </c>
      <c r="B2440" s="51">
        <v>1131.3900000000001</v>
      </c>
      <c r="C2440" s="52"/>
      <c r="D2440" s="52"/>
      <c r="E2440" s="52"/>
      <c r="F2440" s="52"/>
      <c r="G2440" s="52"/>
      <c r="H2440" s="52"/>
    </row>
    <row r="2441" spans="1:8" ht="15.75">
      <c r="A2441" s="50">
        <v>42771</v>
      </c>
      <c r="B2441" s="51">
        <v>1131.18</v>
      </c>
      <c r="C2441" s="52"/>
      <c r="D2441" s="52"/>
      <c r="E2441" s="52"/>
      <c r="F2441" s="52"/>
      <c r="G2441" s="52"/>
      <c r="H2441" s="52"/>
    </row>
    <row r="2442" spans="1:8" ht="15.75">
      <c r="A2442" s="50">
        <v>42772</v>
      </c>
      <c r="B2442" s="51">
        <v>1149.72</v>
      </c>
      <c r="C2442" s="52"/>
      <c r="D2442" s="52"/>
      <c r="E2442" s="52"/>
      <c r="F2442" s="52"/>
      <c r="G2442" s="52"/>
      <c r="H2442" s="52"/>
    </row>
    <row r="2443" spans="1:8" ht="15.75">
      <c r="A2443" s="50">
        <v>42773</v>
      </c>
      <c r="B2443" s="51">
        <v>1154.8699999999999</v>
      </c>
      <c r="C2443" s="52"/>
      <c r="D2443" s="52"/>
      <c r="E2443" s="52"/>
      <c r="F2443" s="52"/>
      <c r="G2443" s="52"/>
      <c r="H2443" s="52"/>
    </row>
    <row r="2444" spans="1:8" ht="15.75">
      <c r="A2444" s="50">
        <v>42774</v>
      </c>
      <c r="B2444" s="51">
        <v>1161.32</v>
      </c>
      <c r="C2444" s="52"/>
      <c r="D2444" s="52"/>
      <c r="E2444" s="52"/>
      <c r="F2444" s="52"/>
      <c r="G2444" s="52"/>
      <c r="H2444" s="52"/>
    </row>
    <row r="2445" spans="1:8" ht="15.75">
      <c r="A2445" s="50">
        <v>42775</v>
      </c>
      <c r="B2445" s="51">
        <v>1150.73</v>
      </c>
      <c r="C2445" s="52"/>
      <c r="D2445" s="52"/>
      <c r="E2445" s="52"/>
      <c r="F2445" s="52"/>
      <c r="G2445" s="52"/>
      <c r="H2445" s="52"/>
    </row>
    <row r="2446" spans="1:8" ht="15.75">
      <c r="A2446" s="50">
        <v>42776</v>
      </c>
      <c r="B2446" s="51">
        <v>1159.3800000000001</v>
      </c>
      <c r="C2446" s="52"/>
      <c r="D2446" s="52"/>
      <c r="E2446" s="52"/>
      <c r="F2446" s="52"/>
      <c r="G2446" s="52"/>
      <c r="H2446" s="52"/>
    </row>
    <row r="2447" spans="1:8" ht="15.75">
      <c r="A2447" s="50">
        <v>42778</v>
      </c>
      <c r="B2447" s="51">
        <v>1160.47</v>
      </c>
      <c r="C2447" s="52"/>
      <c r="D2447" s="52"/>
      <c r="E2447" s="52"/>
      <c r="F2447" s="52"/>
      <c r="G2447" s="52"/>
      <c r="H2447" s="52"/>
    </row>
    <row r="2448" spans="1:8" ht="15.75">
      <c r="A2448" s="50">
        <v>42779</v>
      </c>
      <c r="B2448" s="51">
        <v>1157.94</v>
      </c>
      <c r="C2448" s="52"/>
      <c r="D2448" s="52"/>
      <c r="E2448" s="52"/>
      <c r="F2448" s="52"/>
      <c r="G2448" s="52"/>
      <c r="H2448" s="52"/>
    </row>
    <row r="2449" spans="1:8" ht="15.75">
      <c r="A2449" s="50">
        <v>42780</v>
      </c>
      <c r="B2449" s="51">
        <v>1161.6500000000001</v>
      </c>
      <c r="C2449" s="52"/>
      <c r="D2449" s="52"/>
      <c r="E2449" s="52"/>
      <c r="F2449" s="52"/>
      <c r="G2449" s="52"/>
      <c r="H2449" s="52"/>
    </row>
    <row r="2450" spans="1:8" ht="15.75">
      <c r="A2450" s="50">
        <v>42782</v>
      </c>
      <c r="B2450" s="51">
        <v>1161.31</v>
      </c>
      <c r="C2450" s="52"/>
      <c r="D2450" s="52"/>
      <c r="E2450" s="52"/>
      <c r="F2450" s="52"/>
      <c r="G2450" s="52"/>
      <c r="H2450" s="52"/>
    </row>
    <row r="2451" spans="1:8" ht="15.75">
      <c r="A2451" s="50">
        <v>42783</v>
      </c>
      <c r="B2451" s="51">
        <v>1163.3699999999999</v>
      </c>
      <c r="C2451" s="52"/>
      <c r="D2451" s="52"/>
      <c r="E2451" s="52"/>
      <c r="F2451" s="52"/>
      <c r="G2451" s="52"/>
      <c r="H2451" s="52"/>
    </row>
    <row r="2452" spans="1:8" ht="15.75">
      <c r="A2452" s="50">
        <v>42785</v>
      </c>
      <c r="B2452" s="51">
        <v>1158.0999999999999</v>
      </c>
      <c r="C2452" s="52"/>
      <c r="D2452" s="52"/>
      <c r="E2452" s="52"/>
      <c r="F2452" s="52"/>
      <c r="G2452" s="52"/>
      <c r="H2452" s="52"/>
    </row>
    <row r="2453" spans="1:8" ht="15.75">
      <c r="A2453" s="50">
        <v>42786</v>
      </c>
      <c r="B2453" s="51">
        <v>1177.57</v>
      </c>
      <c r="C2453" s="52"/>
      <c r="D2453" s="52"/>
      <c r="E2453" s="52"/>
      <c r="F2453" s="52"/>
      <c r="G2453" s="52"/>
      <c r="H2453" s="52"/>
    </row>
    <row r="2454" spans="1:8" ht="15.75">
      <c r="A2454" s="50">
        <v>42787</v>
      </c>
      <c r="B2454" s="51">
        <v>1172.96</v>
      </c>
      <c r="C2454" s="52"/>
      <c r="D2454" s="52"/>
      <c r="E2454" s="52"/>
      <c r="F2454" s="52"/>
      <c r="G2454" s="52"/>
      <c r="H2454" s="52"/>
    </row>
    <row r="2455" spans="1:8" ht="15.75">
      <c r="A2455" s="50">
        <v>42788</v>
      </c>
      <c r="B2455" s="51">
        <v>1172.3</v>
      </c>
      <c r="C2455" s="52"/>
      <c r="D2455" s="52"/>
      <c r="E2455" s="52"/>
      <c r="F2455" s="52"/>
      <c r="G2455" s="52"/>
      <c r="H2455" s="52"/>
    </row>
    <row r="2456" spans="1:8" ht="15.75">
      <c r="A2456" s="50">
        <v>42789</v>
      </c>
      <c r="B2456" s="51">
        <v>1180.7</v>
      </c>
      <c r="C2456" s="52"/>
      <c r="D2456" s="52"/>
      <c r="E2456" s="52"/>
      <c r="F2456" s="52"/>
      <c r="G2456" s="52"/>
      <c r="H2456" s="52"/>
    </row>
    <row r="2457" spans="1:8" ht="15.75">
      <c r="A2457" s="50">
        <v>42790</v>
      </c>
      <c r="B2457" s="51">
        <v>1185.27</v>
      </c>
      <c r="C2457" s="52"/>
      <c r="D2457" s="52"/>
      <c r="E2457" s="52"/>
      <c r="F2457" s="52"/>
      <c r="G2457" s="52"/>
      <c r="H2457" s="52"/>
    </row>
    <row r="2458" spans="1:8" ht="15.75">
      <c r="A2458" s="50">
        <v>42792</v>
      </c>
      <c r="B2458" s="51">
        <v>1190.0999999999999</v>
      </c>
      <c r="C2458" s="52"/>
      <c r="D2458" s="52"/>
      <c r="E2458" s="52"/>
      <c r="F2458" s="52"/>
      <c r="G2458" s="52"/>
      <c r="H2458" s="52"/>
    </row>
    <row r="2459" spans="1:8" ht="15.75">
      <c r="A2459" s="50">
        <v>42793</v>
      </c>
      <c r="B2459" s="51">
        <v>1177.8699999999999</v>
      </c>
      <c r="C2459" s="52"/>
      <c r="D2459" s="52"/>
      <c r="E2459" s="52"/>
      <c r="F2459" s="52"/>
      <c r="G2459" s="52"/>
      <c r="H2459" s="52"/>
    </row>
    <row r="2460" spans="1:8" ht="15.75">
      <c r="A2460" s="50">
        <v>42794</v>
      </c>
      <c r="B2460" s="51">
        <v>1180.72</v>
      </c>
      <c r="C2460" s="52"/>
      <c r="D2460" s="52"/>
      <c r="E2460" s="52"/>
      <c r="F2460" s="52"/>
      <c r="G2460" s="52"/>
      <c r="H2460" s="52"/>
    </row>
    <row r="2461" spans="1:8" ht="15.75">
      <c r="A2461" s="50">
        <v>42795</v>
      </c>
      <c r="B2461" s="51">
        <v>1184.3699999999999</v>
      </c>
      <c r="C2461" s="52"/>
      <c r="D2461" s="52"/>
      <c r="E2461" s="52"/>
      <c r="F2461" s="52"/>
      <c r="G2461" s="52"/>
      <c r="H2461" s="52"/>
    </row>
    <row r="2462" spans="1:8" ht="15.75">
      <c r="A2462" s="50">
        <v>42796</v>
      </c>
      <c r="B2462" s="51">
        <v>1174.96</v>
      </c>
      <c r="C2462" s="52"/>
      <c r="D2462" s="52"/>
      <c r="E2462" s="52"/>
      <c r="F2462" s="52"/>
      <c r="G2462" s="52"/>
      <c r="H2462" s="52"/>
    </row>
    <row r="2463" spans="1:8" ht="15.75">
      <c r="A2463" s="50">
        <v>42797</v>
      </c>
      <c r="B2463" s="51">
        <v>1162.47</v>
      </c>
      <c r="C2463" s="52"/>
      <c r="D2463" s="52"/>
      <c r="E2463" s="52"/>
      <c r="F2463" s="52"/>
      <c r="G2463" s="52"/>
      <c r="H2463" s="52"/>
    </row>
    <row r="2464" spans="1:8" ht="15.75">
      <c r="A2464" s="50">
        <v>42799</v>
      </c>
      <c r="B2464" s="51">
        <v>1163.1300000000001</v>
      </c>
      <c r="C2464" s="52"/>
      <c r="D2464" s="52"/>
      <c r="E2464" s="52"/>
      <c r="F2464" s="52"/>
      <c r="G2464" s="52"/>
      <c r="H2464" s="52"/>
    </row>
    <row r="2465" spans="1:8" ht="15.75">
      <c r="A2465" s="50">
        <v>42800</v>
      </c>
      <c r="B2465" s="51">
        <v>1160.6199999999999</v>
      </c>
      <c r="C2465" s="52"/>
      <c r="D2465" s="52"/>
      <c r="E2465" s="52"/>
      <c r="F2465" s="52"/>
      <c r="G2465" s="52"/>
      <c r="H2465" s="52"/>
    </row>
    <row r="2466" spans="1:8" ht="15.75">
      <c r="A2466" s="50">
        <v>42801</v>
      </c>
      <c r="B2466" s="51">
        <v>1148.08</v>
      </c>
      <c r="C2466" s="52"/>
      <c r="D2466" s="52"/>
      <c r="E2466" s="52"/>
      <c r="F2466" s="52"/>
      <c r="G2466" s="52"/>
      <c r="H2466" s="52"/>
    </row>
    <row r="2467" spans="1:8" ht="15.75">
      <c r="A2467" s="50">
        <v>42802</v>
      </c>
      <c r="B2467" s="51">
        <v>1143.28</v>
      </c>
      <c r="C2467" s="52"/>
      <c r="D2467" s="52"/>
      <c r="E2467" s="52"/>
      <c r="F2467" s="52"/>
      <c r="G2467" s="52"/>
      <c r="H2467" s="52"/>
    </row>
    <row r="2468" spans="1:8" ht="15.75">
      <c r="A2468" s="50">
        <v>42803</v>
      </c>
      <c r="B2468" s="51">
        <v>1135.3900000000001</v>
      </c>
      <c r="C2468" s="52"/>
      <c r="D2468" s="52"/>
      <c r="E2468" s="52"/>
      <c r="F2468" s="52"/>
      <c r="G2468" s="52"/>
      <c r="H2468" s="52"/>
    </row>
    <row r="2469" spans="1:8" ht="15.75">
      <c r="A2469" s="50">
        <v>42806</v>
      </c>
      <c r="B2469" s="51">
        <v>1129.54</v>
      </c>
      <c r="C2469" s="52"/>
      <c r="D2469" s="52"/>
      <c r="E2469" s="52"/>
      <c r="F2469" s="52"/>
      <c r="G2469" s="52"/>
      <c r="H2469" s="52"/>
    </row>
    <row r="2470" spans="1:8" ht="15.75">
      <c r="A2470" s="50">
        <v>42807</v>
      </c>
      <c r="B2470" s="51">
        <v>1128.9100000000001</v>
      </c>
      <c r="C2470" s="52"/>
      <c r="D2470" s="52"/>
      <c r="E2470" s="52"/>
      <c r="F2470" s="52"/>
      <c r="G2470" s="52"/>
      <c r="H2470" s="52"/>
    </row>
    <row r="2471" spans="1:8" ht="15.75">
      <c r="A2471" s="50">
        <v>42808</v>
      </c>
      <c r="B2471" s="51">
        <v>1130.2</v>
      </c>
      <c r="C2471" s="52"/>
      <c r="D2471" s="52"/>
      <c r="E2471" s="52"/>
      <c r="F2471" s="52"/>
      <c r="G2471" s="52"/>
      <c r="H2471" s="52"/>
    </row>
    <row r="2472" spans="1:8" ht="15.75">
      <c r="A2472" s="50">
        <v>42809</v>
      </c>
      <c r="B2472" s="51">
        <v>1135.6400000000001</v>
      </c>
      <c r="C2472" s="52"/>
      <c r="D2472" s="52"/>
      <c r="E2472" s="52"/>
      <c r="F2472" s="52"/>
      <c r="G2472" s="52"/>
      <c r="H2472" s="52"/>
    </row>
    <row r="2473" spans="1:8" ht="15.75">
      <c r="A2473" s="50">
        <v>42810</v>
      </c>
      <c r="B2473" s="51">
        <v>1139.03</v>
      </c>
      <c r="C2473" s="52"/>
      <c r="D2473" s="52"/>
      <c r="E2473" s="52"/>
      <c r="F2473" s="52"/>
      <c r="G2473" s="52"/>
      <c r="H2473" s="52"/>
    </row>
    <row r="2474" spans="1:8" ht="15.75">
      <c r="A2474" s="50">
        <v>42811</v>
      </c>
      <c r="B2474" s="51">
        <v>1145.8499999999999</v>
      </c>
      <c r="C2474" s="52"/>
      <c r="D2474" s="52"/>
      <c r="E2474" s="52"/>
      <c r="F2474" s="52"/>
      <c r="G2474" s="52"/>
      <c r="H2474" s="52"/>
    </row>
    <row r="2475" spans="1:8" ht="15.75">
      <c r="A2475" s="50">
        <v>42813</v>
      </c>
      <c r="B2475" s="51">
        <v>1145.7</v>
      </c>
      <c r="C2475" s="52"/>
      <c r="D2475" s="52"/>
      <c r="E2475" s="52"/>
      <c r="F2475" s="52"/>
      <c r="G2475" s="52"/>
      <c r="H2475" s="52"/>
    </row>
    <row r="2476" spans="1:8" ht="15.75">
      <c r="A2476" s="50">
        <v>42814</v>
      </c>
      <c r="B2476" s="51">
        <v>1149.76</v>
      </c>
      <c r="C2476" s="52"/>
      <c r="D2476" s="52"/>
      <c r="E2476" s="52"/>
      <c r="F2476" s="52"/>
      <c r="G2476" s="52"/>
      <c r="H2476" s="52"/>
    </row>
    <row r="2477" spans="1:8" ht="15.75">
      <c r="A2477" s="50">
        <v>42815</v>
      </c>
      <c r="B2477" s="51">
        <v>1151.57</v>
      </c>
      <c r="C2477" s="52"/>
      <c r="D2477" s="52"/>
      <c r="E2477" s="52"/>
      <c r="F2477" s="52"/>
      <c r="G2477" s="52"/>
      <c r="H2477" s="52"/>
    </row>
    <row r="2478" spans="1:8" ht="15.75">
      <c r="A2478" s="50">
        <v>42816</v>
      </c>
      <c r="B2478" s="51">
        <v>1155.29</v>
      </c>
      <c r="C2478" s="52"/>
      <c r="D2478" s="52"/>
      <c r="E2478" s="52"/>
      <c r="F2478" s="52"/>
      <c r="G2478" s="52"/>
      <c r="H2478" s="52"/>
    </row>
    <row r="2479" spans="1:8" ht="15.75">
      <c r="A2479" s="50">
        <v>42817</v>
      </c>
      <c r="B2479" s="51">
        <v>1154.48</v>
      </c>
      <c r="C2479" s="52"/>
      <c r="D2479" s="52"/>
      <c r="E2479" s="52"/>
      <c r="F2479" s="52"/>
      <c r="G2479" s="52"/>
      <c r="H2479" s="52"/>
    </row>
    <row r="2480" spans="1:8" ht="15.75">
      <c r="A2480" s="50">
        <v>42818</v>
      </c>
      <c r="B2480" s="51">
        <v>1161.1600000000001</v>
      </c>
      <c r="C2480" s="52"/>
      <c r="D2480" s="52"/>
      <c r="E2480" s="52"/>
      <c r="F2480" s="52"/>
      <c r="G2480" s="52"/>
      <c r="H2480" s="52"/>
    </row>
    <row r="2481" spans="1:8" ht="15.75">
      <c r="A2481" s="50">
        <v>42820</v>
      </c>
      <c r="B2481" s="51">
        <v>1158.8</v>
      </c>
      <c r="C2481" s="52"/>
      <c r="D2481" s="52"/>
      <c r="E2481" s="52"/>
      <c r="F2481" s="52"/>
      <c r="G2481" s="52"/>
      <c r="H2481" s="52"/>
    </row>
    <row r="2482" spans="1:8" ht="15.75">
      <c r="A2482" s="50">
        <v>42821</v>
      </c>
      <c r="B2482" s="51">
        <v>1157.23</v>
      </c>
      <c r="C2482" s="52"/>
      <c r="D2482" s="52"/>
      <c r="E2482" s="52"/>
      <c r="F2482" s="52"/>
      <c r="G2482" s="52"/>
      <c r="H2482" s="52"/>
    </row>
    <row r="2483" spans="1:8" ht="15.75">
      <c r="A2483" s="50">
        <v>42822</v>
      </c>
      <c r="B2483" s="51">
        <v>1161.7</v>
      </c>
      <c r="C2483" s="52"/>
      <c r="D2483" s="52"/>
      <c r="E2483" s="52"/>
      <c r="F2483" s="52"/>
      <c r="G2483" s="52"/>
      <c r="H2483" s="52"/>
    </row>
    <row r="2484" spans="1:8" ht="15.75">
      <c r="A2484" s="50">
        <v>42823</v>
      </c>
      <c r="B2484" s="51">
        <v>1163.23</v>
      </c>
      <c r="C2484" s="52"/>
      <c r="D2484" s="52"/>
      <c r="E2484" s="52"/>
      <c r="F2484" s="52"/>
      <c r="G2484" s="52"/>
      <c r="H2484" s="52"/>
    </row>
    <row r="2485" spans="1:8" ht="15.75">
      <c r="A2485" s="50">
        <v>42824</v>
      </c>
      <c r="B2485" s="51">
        <v>1176.1500000000001</v>
      </c>
      <c r="C2485" s="52"/>
      <c r="D2485" s="52"/>
      <c r="E2485" s="52"/>
      <c r="F2485" s="52"/>
      <c r="G2485" s="52"/>
      <c r="H2485" s="52"/>
    </row>
    <row r="2486" spans="1:8" ht="15.75">
      <c r="A2486" s="50">
        <v>42825</v>
      </c>
      <c r="B2486" s="51">
        <v>1171.24</v>
      </c>
      <c r="C2486" s="52"/>
      <c r="D2486" s="52"/>
      <c r="E2486" s="52"/>
      <c r="F2486" s="52"/>
      <c r="G2486" s="52"/>
      <c r="H2486" s="52"/>
    </row>
    <row r="2487" spans="1:8" ht="15.75">
      <c r="A2487" s="50">
        <v>42827</v>
      </c>
      <c r="B2487" s="51">
        <v>1171.46</v>
      </c>
      <c r="C2487" s="52"/>
      <c r="D2487" s="52"/>
      <c r="E2487" s="52"/>
      <c r="F2487" s="52"/>
      <c r="G2487" s="52"/>
      <c r="H2487" s="52"/>
    </row>
    <row r="2488" spans="1:8" ht="15.75">
      <c r="A2488" s="50">
        <v>42828</v>
      </c>
      <c r="B2488" s="51">
        <v>1179.1300000000001</v>
      </c>
      <c r="C2488" s="52"/>
      <c r="D2488" s="52"/>
      <c r="E2488" s="52"/>
      <c r="F2488" s="52"/>
      <c r="G2488" s="52"/>
      <c r="H2488" s="52"/>
    </row>
    <row r="2489" spans="1:8" ht="15.75">
      <c r="A2489" s="50">
        <v>42829</v>
      </c>
      <c r="B2489" s="51">
        <v>1174.1400000000001</v>
      </c>
      <c r="C2489" s="52"/>
      <c r="D2489" s="52"/>
      <c r="E2489" s="52"/>
      <c r="F2489" s="52"/>
      <c r="G2489" s="52"/>
      <c r="H2489" s="52"/>
    </row>
    <row r="2490" spans="1:8" ht="15.75">
      <c r="A2490" s="50">
        <v>42830</v>
      </c>
      <c r="B2490" s="51">
        <v>1176.7</v>
      </c>
      <c r="C2490" s="52"/>
      <c r="D2490" s="52"/>
      <c r="E2490" s="52"/>
      <c r="F2490" s="52"/>
      <c r="G2490" s="52"/>
      <c r="H2490" s="52"/>
    </row>
    <row r="2491" spans="1:8" ht="15.75">
      <c r="A2491" s="50">
        <v>42831</v>
      </c>
      <c r="B2491" s="51">
        <v>1177.82</v>
      </c>
      <c r="C2491" s="52"/>
      <c r="D2491" s="52"/>
      <c r="E2491" s="52"/>
      <c r="F2491" s="52"/>
      <c r="G2491" s="52"/>
      <c r="H2491" s="52"/>
    </row>
    <row r="2492" spans="1:8" ht="15.75">
      <c r="A2492" s="50">
        <v>42832</v>
      </c>
      <c r="B2492" s="51">
        <v>1183.96</v>
      </c>
      <c r="C2492" s="52"/>
      <c r="D2492" s="52"/>
      <c r="E2492" s="52"/>
      <c r="F2492" s="52"/>
      <c r="G2492" s="52"/>
      <c r="H2492" s="52"/>
    </row>
    <row r="2493" spans="1:8" ht="15.75">
      <c r="A2493" s="50">
        <v>42835</v>
      </c>
      <c r="B2493" s="51">
        <v>1183.82</v>
      </c>
      <c r="C2493" s="52"/>
      <c r="D2493" s="52"/>
      <c r="E2493" s="52"/>
      <c r="F2493" s="52"/>
      <c r="G2493" s="52"/>
      <c r="H2493" s="52"/>
    </row>
    <row r="2494" spans="1:8" ht="15.75">
      <c r="A2494" s="50">
        <v>42836</v>
      </c>
      <c r="B2494" s="51">
        <v>1203.69</v>
      </c>
      <c r="C2494" s="52"/>
      <c r="D2494" s="52"/>
      <c r="E2494" s="52"/>
      <c r="F2494" s="52"/>
      <c r="G2494" s="52"/>
      <c r="H2494" s="52"/>
    </row>
    <row r="2495" spans="1:8" ht="15.75">
      <c r="A2495" s="50">
        <v>42837</v>
      </c>
      <c r="B2495" s="51">
        <v>1205.58</v>
      </c>
      <c r="C2495" s="52"/>
      <c r="D2495" s="52"/>
      <c r="E2495" s="52"/>
      <c r="F2495" s="52"/>
      <c r="G2495" s="52"/>
      <c r="H2495" s="52"/>
    </row>
    <row r="2496" spans="1:8" ht="15.75">
      <c r="A2496" s="50">
        <v>42838</v>
      </c>
      <c r="B2496" s="51">
        <v>1224.0999999999999</v>
      </c>
      <c r="C2496" s="52"/>
      <c r="D2496" s="52"/>
      <c r="E2496" s="52"/>
      <c r="F2496" s="52"/>
      <c r="G2496" s="52"/>
      <c r="H2496" s="52"/>
    </row>
    <row r="2497" spans="1:8" ht="15.75">
      <c r="A2497" s="50">
        <v>42839</v>
      </c>
      <c r="B2497" s="51">
        <v>1211.31</v>
      </c>
      <c r="C2497" s="52"/>
      <c r="D2497" s="52"/>
      <c r="E2497" s="52"/>
      <c r="F2497" s="52"/>
      <c r="G2497" s="52"/>
      <c r="H2497" s="52"/>
    </row>
    <row r="2498" spans="1:8" ht="15.75">
      <c r="A2498" s="50">
        <v>42842</v>
      </c>
      <c r="B2498" s="51">
        <v>1206.72</v>
      </c>
      <c r="C2498" s="52"/>
      <c r="D2498" s="52"/>
      <c r="E2498" s="52"/>
      <c r="F2498" s="52"/>
      <c r="G2498" s="52"/>
      <c r="H2498" s="52"/>
    </row>
    <row r="2499" spans="1:8" ht="15.75">
      <c r="A2499" s="50">
        <v>42843</v>
      </c>
      <c r="B2499" s="51">
        <v>1201.69</v>
      </c>
      <c r="C2499" s="52"/>
      <c r="D2499" s="52"/>
      <c r="E2499" s="52"/>
      <c r="F2499" s="52"/>
      <c r="G2499" s="52"/>
      <c r="H2499" s="52"/>
    </row>
    <row r="2500" spans="1:8" ht="15.75">
      <c r="A2500" s="50">
        <v>42844</v>
      </c>
      <c r="B2500" s="51">
        <v>1196.23</v>
      </c>
      <c r="C2500" s="52"/>
      <c r="D2500" s="52"/>
      <c r="E2500" s="52"/>
      <c r="F2500" s="52"/>
      <c r="G2500" s="52"/>
      <c r="H2500" s="52"/>
    </row>
    <row r="2501" spans="1:8" ht="15.75">
      <c r="A2501" s="50">
        <v>42845</v>
      </c>
      <c r="B2501" s="51">
        <v>1200.6600000000001</v>
      </c>
      <c r="C2501" s="52"/>
      <c r="D2501" s="52"/>
      <c r="E2501" s="52"/>
      <c r="F2501" s="52"/>
      <c r="G2501" s="52"/>
      <c r="H2501" s="52"/>
    </row>
    <row r="2502" spans="1:8" ht="15.75">
      <c r="A2502" s="50">
        <v>42846</v>
      </c>
      <c r="B2502" s="51">
        <v>1197.9100000000001</v>
      </c>
      <c r="C2502" s="52"/>
      <c r="D2502" s="52"/>
      <c r="E2502" s="52"/>
      <c r="F2502" s="52"/>
      <c r="G2502" s="52"/>
      <c r="H2502" s="52"/>
    </row>
    <row r="2503" spans="1:8" ht="15.75">
      <c r="A2503" s="50">
        <v>42849</v>
      </c>
      <c r="B2503" s="51">
        <v>1176.04</v>
      </c>
      <c r="C2503" s="52"/>
      <c r="D2503" s="52"/>
      <c r="E2503" s="52"/>
      <c r="F2503" s="52"/>
      <c r="G2503" s="52"/>
      <c r="H2503" s="52"/>
    </row>
    <row r="2504" spans="1:8" ht="15.75">
      <c r="A2504" s="50">
        <v>42850</v>
      </c>
      <c r="B2504" s="51">
        <v>1156.22</v>
      </c>
      <c r="C2504" s="52"/>
      <c r="D2504" s="52"/>
      <c r="E2504" s="52"/>
      <c r="F2504" s="52"/>
      <c r="G2504" s="52"/>
      <c r="H2504" s="52"/>
    </row>
    <row r="2505" spans="1:8" ht="15.75">
      <c r="A2505" s="50">
        <v>42851</v>
      </c>
      <c r="B2505" s="51">
        <v>1166.67</v>
      </c>
      <c r="C2505" s="52"/>
      <c r="D2505" s="52"/>
      <c r="E2505" s="52"/>
      <c r="F2505" s="52"/>
      <c r="G2505" s="52"/>
      <c r="H2505" s="52"/>
    </row>
    <row r="2506" spans="1:8" ht="15.75">
      <c r="A2506" s="50">
        <v>42852</v>
      </c>
      <c r="B2506" s="51">
        <v>1166.42</v>
      </c>
      <c r="C2506" s="52"/>
      <c r="D2506" s="52"/>
      <c r="E2506" s="52"/>
      <c r="F2506" s="52"/>
      <c r="G2506" s="52"/>
      <c r="H2506" s="52"/>
    </row>
    <row r="2507" spans="1:8" ht="15.75">
      <c r="A2507" s="50">
        <v>42853</v>
      </c>
      <c r="B2507" s="51">
        <v>1163.8699999999999</v>
      </c>
      <c r="C2507" s="52"/>
      <c r="D2507" s="52"/>
      <c r="E2507" s="52"/>
      <c r="F2507" s="52"/>
      <c r="G2507" s="52"/>
      <c r="H2507" s="52"/>
    </row>
    <row r="2508" spans="1:8" ht="15.75">
      <c r="A2508" s="50">
        <v>42856</v>
      </c>
      <c r="B2508" s="51">
        <v>1153.03</v>
      </c>
      <c r="C2508" s="52"/>
      <c r="D2508" s="52"/>
      <c r="E2508" s="52"/>
      <c r="F2508" s="52"/>
      <c r="G2508" s="52"/>
      <c r="H2508" s="52"/>
    </row>
    <row r="2509" spans="1:8" ht="15.75">
      <c r="A2509" s="50">
        <v>42857</v>
      </c>
      <c r="B2509" s="51">
        <v>1148.06</v>
      </c>
      <c r="C2509" s="52"/>
      <c r="D2509" s="52"/>
      <c r="E2509" s="52"/>
      <c r="F2509" s="52"/>
      <c r="G2509" s="52"/>
      <c r="H2509" s="52"/>
    </row>
    <row r="2510" spans="1:8" ht="15.75">
      <c r="A2510" s="50">
        <v>42858</v>
      </c>
      <c r="B2510" s="51">
        <v>1137.69</v>
      </c>
      <c r="C2510" s="52"/>
      <c r="D2510" s="52"/>
      <c r="E2510" s="52"/>
      <c r="F2510" s="52"/>
      <c r="G2510" s="52"/>
      <c r="H2510" s="52"/>
    </row>
    <row r="2511" spans="1:8" ht="15.75">
      <c r="A2511" s="50">
        <v>42859</v>
      </c>
      <c r="B2511" s="51">
        <v>1117.97</v>
      </c>
      <c r="C2511" s="52"/>
      <c r="D2511" s="52"/>
      <c r="E2511" s="52"/>
      <c r="F2511" s="52"/>
      <c r="G2511" s="52"/>
      <c r="H2511" s="52"/>
    </row>
    <row r="2512" spans="1:8" ht="15.75">
      <c r="A2512" s="50">
        <v>42860</v>
      </c>
      <c r="B2512" s="51">
        <v>1110.3800000000001</v>
      </c>
      <c r="C2512" s="52"/>
      <c r="D2512" s="52"/>
      <c r="E2512" s="52"/>
      <c r="F2512" s="52"/>
      <c r="G2512" s="52"/>
      <c r="H2512" s="52"/>
    </row>
    <row r="2513" spans="1:8" ht="15.75">
      <c r="A2513" s="50">
        <v>42863</v>
      </c>
      <c r="B2513" s="51">
        <v>1118.9100000000001</v>
      </c>
      <c r="C2513" s="52"/>
      <c r="D2513" s="52"/>
      <c r="E2513" s="52"/>
      <c r="F2513" s="52"/>
      <c r="G2513" s="52"/>
      <c r="H2513" s="52"/>
    </row>
    <row r="2514" spans="1:8" ht="15.75">
      <c r="A2514" s="50">
        <v>42865</v>
      </c>
      <c r="B2514" s="51">
        <v>1121.78</v>
      </c>
      <c r="C2514" s="52"/>
      <c r="D2514" s="52"/>
      <c r="E2514" s="52"/>
      <c r="F2514" s="52"/>
      <c r="G2514" s="52"/>
      <c r="H2514" s="52"/>
    </row>
    <row r="2515" spans="1:8" ht="15.75">
      <c r="A2515" s="50">
        <v>42866</v>
      </c>
      <c r="B2515" s="51">
        <v>1116.58</v>
      </c>
      <c r="C2515" s="52"/>
      <c r="D2515" s="52"/>
      <c r="E2515" s="52"/>
      <c r="F2515" s="52"/>
      <c r="G2515" s="52"/>
      <c r="H2515" s="52"/>
    </row>
    <row r="2516" spans="1:8" ht="15.75">
      <c r="A2516" s="50">
        <v>42867</v>
      </c>
      <c r="B2516" s="51">
        <v>1127.9000000000001</v>
      </c>
      <c r="C2516" s="52"/>
      <c r="D2516" s="52"/>
      <c r="E2516" s="52"/>
      <c r="F2516" s="52"/>
      <c r="G2516" s="52"/>
      <c r="H2516" s="52"/>
    </row>
    <row r="2517" spans="1:8" ht="15.75">
      <c r="A2517" s="50">
        <v>42870</v>
      </c>
      <c r="B2517" s="51">
        <v>1121.0899999999999</v>
      </c>
      <c r="C2517" s="52"/>
      <c r="D2517" s="52"/>
      <c r="E2517" s="52"/>
      <c r="F2517" s="52"/>
      <c r="G2517" s="52"/>
      <c r="H2517" s="52"/>
    </row>
    <row r="2518" spans="1:8" ht="15.75">
      <c r="A2518" s="50">
        <v>42871</v>
      </c>
      <c r="B2518" s="51">
        <v>1120.1099999999999</v>
      </c>
      <c r="C2518" s="52"/>
      <c r="D2518" s="52"/>
      <c r="E2518" s="52"/>
      <c r="F2518" s="52"/>
      <c r="G2518" s="52"/>
      <c r="H2518" s="52"/>
    </row>
    <row r="2519" spans="1:8" ht="15.75">
      <c r="A2519" s="50">
        <v>42872</v>
      </c>
      <c r="B2519" s="51">
        <v>1128.8800000000001</v>
      </c>
      <c r="C2519" s="52"/>
      <c r="D2519" s="52"/>
      <c r="E2519" s="52"/>
      <c r="F2519" s="52"/>
      <c r="G2519" s="52"/>
      <c r="H2519" s="52"/>
    </row>
    <row r="2520" spans="1:8" ht="15.75">
      <c r="A2520" s="50">
        <v>42873</v>
      </c>
      <c r="B2520" s="51">
        <v>1122.28</v>
      </c>
      <c r="C2520" s="52"/>
      <c r="D2520" s="52"/>
      <c r="E2520" s="52"/>
      <c r="F2520" s="52"/>
      <c r="G2520" s="52"/>
      <c r="H2520" s="52"/>
    </row>
    <row r="2521" spans="1:8" ht="15.75">
      <c r="A2521" s="50">
        <v>42874</v>
      </c>
      <c r="B2521" s="51">
        <v>1120.23</v>
      </c>
      <c r="C2521" s="52"/>
      <c r="D2521" s="52"/>
      <c r="E2521" s="52"/>
      <c r="F2521" s="52"/>
      <c r="G2521" s="52"/>
      <c r="H2521" s="52"/>
    </row>
    <row r="2522" spans="1:8" ht="15.75">
      <c r="A2522" s="50">
        <v>42877</v>
      </c>
      <c r="B2522" s="51">
        <v>1121.3</v>
      </c>
      <c r="C2522" s="52"/>
      <c r="D2522" s="52"/>
      <c r="E2522" s="52"/>
      <c r="F2522" s="52"/>
      <c r="G2522" s="52"/>
      <c r="H2522" s="52"/>
    </row>
    <row r="2523" spans="1:8" ht="15.75">
      <c r="A2523" s="50">
        <v>42878</v>
      </c>
      <c r="B2523" s="51">
        <v>1118.7</v>
      </c>
      <c r="C2523" s="52"/>
      <c r="D2523" s="52"/>
      <c r="E2523" s="52"/>
      <c r="F2523" s="52"/>
      <c r="G2523" s="52"/>
      <c r="H2523" s="52"/>
    </row>
    <row r="2524" spans="1:8" ht="15.75">
      <c r="A2524" s="50">
        <v>42879</v>
      </c>
      <c r="B2524" s="51">
        <v>1121.69</v>
      </c>
      <c r="C2524" s="52"/>
      <c r="D2524" s="52"/>
      <c r="E2524" s="52"/>
      <c r="F2524" s="52"/>
      <c r="G2524" s="52"/>
      <c r="H2524" s="52"/>
    </row>
    <row r="2525" spans="1:8" ht="15.75">
      <c r="A2525" s="50">
        <v>42880</v>
      </c>
      <c r="B2525" s="51">
        <v>1113.8900000000001</v>
      </c>
      <c r="C2525" s="52"/>
      <c r="D2525" s="52"/>
      <c r="E2525" s="52"/>
      <c r="F2525" s="52"/>
      <c r="G2525" s="52"/>
      <c r="H2525" s="52"/>
    </row>
    <row r="2526" spans="1:8" ht="15.75">
      <c r="A2526" s="50">
        <v>42881</v>
      </c>
      <c r="B2526" s="51">
        <v>1132.9100000000001</v>
      </c>
      <c r="C2526" s="52"/>
      <c r="D2526" s="52"/>
      <c r="E2526" s="52"/>
      <c r="F2526" s="52"/>
      <c r="G2526" s="52"/>
      <c r="H2526" s="52"/>
    </row>
    <row r="2527" spans="1:8" ht="15.75">
      <c r="A2527" s="50">
        <v>42884</v>
      </c>
      <c r="B2527" s="51">
        <v>1139.5999999999999</v>
      </c>
      <c r="C2527" s="52"/>
      <c r="D2527" s="52"/>
      <c r="E2527" s="52"/>
      <c r="F2527" s="52"/>
      <c r="G2527" s="52"/>
      <c r="H2527" s="52"/>
    </row>
    <row r="2528" spans="1:8" ht="15.75">
      <c r="A2528" s="50">
        <v>42885</v>
      </c>
      <c r="B2528" s="51">
        <v>1135.21</v>
      </c>
      <c r="C2528" s="52"/>
      <c r="D2528" s="52"/>
      <c r="E2528" s="52"/>
      <c r="F2528" s="52"/>
      <c r="G2528" s="52"/>
      <c r="H2528" s="52"/>
    </row>
    <row r="2529" spans="1:8" ht="15.75">
      <c r="A2529" s="50">
        <v>42886</v>
      </c>
      <c r="B2529" s="51">
        <v>1134.3800000000001</v>
      </c>
      <c r="C2529" s="52"/>
      <c r="D2529" s="52"/>
      <c r="E2529" s="52"/>
      <c r="F2529" s="52"/>
      <c r="G2529" s="52"/>
      <c r="H2529" s="52"/>
    </row>
    <row r="2530" spans="1:8" ht="15.75">
      <c r="A2530" s="50">
        <v>42887</v>
      </c>
      <c r="B2530" s="51">
        <v>1128.43</v>
      </c>
      <c r="C2530" s="52"/>
      <c r="D2530" s="52"/>
      <c r="E2530" s="52"/>
      <c r="F2530" s="52"/>
      <c r="G2530" s="52"/>
      <c r="H2530" s="52"/>
    </row>
    <row r="2531" spans="1:8" ht="15.75">
      <c r="A2531" s="50">
        <v>42888</v>
      </c>
      <c r="B2531" s="51">
        <v>1134.43</v>
      </c>
      <c r="C2531" s="52"/>
      <c r="D2531" s="52"/>
      <c r="E2531" s="52"/>
      <c r="F2531" s="52"/>
      <c r="G2531" s="52"/>
      <c r="H2531" s="52"/>
    </row>
    <row r="2532" spans="1:8" ht="15.75">
      <c r="A2532" s="50">
        <v>42891</v>
      </c>
      <c r="B2532" s="51">
        <v>1137.03</v>
      </c>
      <c r="C2532" s="52"/>
      <c r="D2532" s="52"/>
      <c r="E2532" s="52"/>
      <c r="F2532" s="52"/>
      <c r="G2532" s="52"/>
      <c r="H2532" s="52"/>
    </row>
    <row r="2533" spans="1:8" ht="15.75">
      <c r="A2533" s="50">
        <v>42892</v>
      </c>
      <c r="B2533" s="51">
        <v>1151.48</v>
      </c>
      <c r="C2533" s="52"/>
      <c r="D2533" s="52"/>
      <c r="E2533" s="52"/>
      <c r="F2533" s="52"/>
      <c r="G2533" s="52"/>
      <c r="H2533" s="52"/>
    </row>
    <row r="2534" spans="1:8" ht="15.75">
      <c r="A2534" s="50">
        <v>42893</v>
      </c>
      <c r="B2534" s="51">
        <v>1142.82</v>
      </c>
      <c r="C2534" s="52"/>
      <c r="D2534" s="52"/>
      <c r="E2534" s="52"/>
      <c r="F2534" s="52"/>
      <c r="G2534" s="52"/>
      <c r="H2534" s="52"/>
    </row>
    <row r="2535" spans="1:8" ht="15.75">
      <c r="A2535" s="50">
        <v>42894</v>
      </c>
      <c r="B2535" s="51">
        <v>1141.24</v>
      </c>
      <c r="C2535" s="52"/>
      <c r="D2535" s="52"/>
      <c r="E2535" s="52"/>
      <c r="F2535" s="52"/>
      <c r="G2535" s="52"/>
      <c r="H2535" s="52"/>
    </row>
    <row r="2536" spans="1:8" ht="15.75">
      <c r="A2536" s="50">
        <v>42895</v>
      </c>
      <c r="B2536" s="51">
        <v>1131.1199999999999</v>
      </c>
      <c r="C2536" s="52"/>
      <c r="D2536" s="52"/>
      <c r="E2536" s="52"/>
      <c r="F2536" s="52"/>
      <c r="G2536" s="52"/>
      <c r="H2536" s="52"/>
    </row>
    <row r="2537" spans="1:8" ht="15.75">
      <c r="A2537" s="50">
        <v>42898</v>
      </c>
      <c r="B2537" s="51">
        <v>1127.0999999999999</v>
      </c>
      <c r="C2537" s="52"/>
      <c r="D2537" s="52"/>
      <c r="E2537" s="52"/>
      <c r="F2537" s="52"/>
      <c r="G2537" s="52"/>
      <c r="H2537" s="52"/>
    </row>
    <row r="2538" spans="1:8" ht="15.75">
      <c r="A2538" s="50">
        <v>42899</v>
      </c>
      <c r="B2538" s="51">
        <v>1129.1099999999999</v>
      </c>
      <c r="C2538" s="52"/>
      <c r="D2538" s="52"/>
      <c r="E2538" s="52"/>
      <c r="F2538" s="52"/>
      <c r="G2538" s="52"/>
      <c r="H2538" s="52"/>
    </row>
    <row r="2539" spans="1:8" ht="15.75">
      <c r="A2539" s="50">
        <v>42900</v>
      </c>
      <c r="B2539" s="51">
        <v>1142.21</v>
      </c>
      <c r="C2539" s="52"/>
      <c r="D2539" s="52"/>
      <c r="E2539" s="52"/>
      <c r="F2539" s="52"/>
      <c r="G2539" s="52"/>
      <c r="H2539" s="52"/>
    </row>
    <row r="2540" spans="1:8" ht="15.75">
      <c r="A2540" s="50">
        <v>42901</v>
      </c>
      <c r="B2540" s="51">
        <v>1124.97</v>
      </c>
      <c r="C2540" s="52"/>
      <c r="D2540" s="52"/>
      <c r="E2540" s="52"/>
      <c r="F2540" s="52"/>
      <c r="G2540" s="52"/>
      <c r="H2540" s="52"/>
    </row>
    <row r="2541" spans="1:8" ht="15.75">
      <c r="A2541" s="50">
        <v>42902</v>
      </c>
      <c r="B2541" s="51">
        <v>1119.51</v>
      </c>
      <c r="C2541" s="52"/>
      <c r="D2541" s="52"/>
      <c r="E2541" s="52"/>
      <c r="F2541" s="52"/>
      <c r="G2541" s="52"/>
      <c r="H2541" s="52"/>
    </row>
    <row r="2542" spans="1:8" ht="15.75">
      <c r="A2542" s="50">
        <v>42905</v>
      </c>
      <c r="B2542" s="51">
        <v>1114.92</v>
      </c>
      <c r="C2542" s="52"/>
      <c r="D2542" s="52"/>
      <c r="E2542" s="52"/>
      <c r="F2542" s="52"/>
      <c r="G2542" s="52"/>
      <c r="H2542" s="52"/>
    </row>
    <row r="2543" spans="1:8" ht="15.75">
      <c r="A2543" s="50">
        <v>42906</v>
      </c>
      <c r="B2543" s="51">
        <v>1113.93</v>
      </c>
      <c r="C2543" s="52"/>
      <c r="D2543" s="52"/>
      <c r="E2543" s="52"/>
      <c r="F2543" s="52"/>
      <c r="G2543" s="52"/>
      <c r="H2543" s="52"/>
    </row>
    <row r="2544" spans="1:8" ht="15.75">
      <c r="A2544" s="50">
        <v>42907</v>
      </c>
      <c r="B2544" s="51">
        <v>1116.08</v>
      </c>
      <c r="C2544" s="52"/>
      <c r="D2544" s="52"/>
      <c r="E2544" s="52"/>
      <c r="F2544" s="52"/>
      <c r="G2544" s="52"/>
      <c r="H2544" s="52"/>
    </row>
    <row r="2545" spans="1:8" ht="15.75">
      <c r="A2545" s="50">
        <v>42908</v>
      </c>
      <c r="B2545" s="51">
        <v>1129.68</v>
      </c>
      <c r="C2545" s="52"/>
      <c r="D2545" s="52"/>
      <c r="E2545" s="52"/>
      <c r="F2545" s="52"/>
      <c r="G2545" s="52"/>
      <c r="H2545" s="52"/>
    </row>
    <row r="2546" spans="1:8" ht="15.75">
      <c r="A2546" s="50">
        <v>42909</v>
      </c>
      <c r="B2546" s="51">
        <v>1122.83</v>
      </c>
      <c r="C2546" s="52"/>
      <c r="D2546" s="52"/>
      <c r="E2546" s="52"/>
      <c r="F2546" s="52"/>
      <c r="G2546" s="52"/>
      <c r="H2546" s="52"/>
    </row>
    <row r="2547" spans="1:8" ht="15.75">
      <c r="A2547" s="50">
        <v>42912</v>
      </c>
      <c r="B2547" s="51">
        <v>1112.71</v>
      </c>
      <c r="C2547" s="52"/>
      <c r="D2547" s="52"/>
      <c r="E2547" s="52"/>
      <c r="F2547" s="52"/>
      <c r="G2547" s="52"/>
      <c r="H2547" s="52"/>
    </row>
    <row r="2548" spans="1:8" ht="15.75">
      <c r="A2548" s="50">
        <v>42913</v>
      </c>
      <c r="B2548" s="51">
        <v>1097.8599999999999</v>
      </c>
      <c r="C2548" s="52"/>
      <c r="D2548" s="52"/>
      <c r="E2548" s="52"/>
      <c r="F2548" s="52"/>
      <c r="G2548" s="52"/>
      <c r="H2548" s="52"/>
    </row>
    <row r="2549" spans="1:8" ht="15.75">
      <c r="A2549" s="50">
        <v>42914</v>
      </c>
      <c r="B2549" s="51">
        <v>1098.02</v>
      </c>
      <c r="C2549" s="52"/>
      <c r="D2549" s="52"/>
      <c r="E2549" s="52"/>
      <c r="F2549" s="52"/>
      <c r="G2549" s="52"/>
      <c r="H2549" s="52"/>
    </row>
    <row r="2550" spans="1:8" ht="15.75">
      <c r="A2550" s="50">
        <v>42915</v>
      </c>
      <c r="B2550" s="51">
        <v>1088.73</v>
      </c>
      <c r="C2550" s="52"/>
      <c r="D2550" s="52"/>
      <c r="E2550" s="52"/>
      <c r="F2550" s="52"/>
      <c r="G2550" s="52"/>
      <c r="H2550" s="52"/>
    </row>
    <row r="2551" spans="1:8" ht="15.75">
      <c r="A2551" s="50">
        <v>42916</v>
      </c>
      <c r="B2551" s="51">
        <v>1086.83</v>
      </c>
      <c r="C2551" s="52"/>
      <c r="D2551" s="52"/>
      <c r="E2551" s="52"/>
      <c r="F2551" s="52"/>
      <c r="G2551" s="52"/>
      <c r="H2551" s="52"/>
    </row>
    <row r="2552" spans="1:8" ht="15.75">
      <c r="A2552" s="50">
        <v>42919</v>
      </c>
      <c r="B2552" s="51">
        <v>1071.94</v>
      </c>
      <c r="C2552" s="52"/>
      <c r="D2552" s="52"/>
      <c r="E2552" s="52"/>
      <c r="F2552" s="52"/>
      <c r="G2552" s="52"/>
      <c r="H2552" s="52"/>
    </row>
    <row r="2553" spans="1:8" ht="15.75">
      <c r="A2553" s="50">
        <v>42920</v>
      </c>
      <c r="B2553" s="51">
        <v>1075.43</v>
      </c>
      <c r="C2553" s="52"/>
      <c r="D2553" s="52"/>
      <c r="E2553" s="52"/>
      <c r="F2553" s="52"/>
      <c r="G2553" s="52"/>
      <c r="H2553" s="52"/>
    </row>
    <row r="2554" spans="1:8" ht="15.75">
      <c r="A2554" s="50">
        <v>42921</v>
      </c>
      <c r="B2554" s="51">
        <v>1080.92</v>
      </c>
      <c r="C2554" s="52"/>
      <c r="D2554" s="52"/>
      <c r="E2554" s="52"/>
      <c r="F2554" s="52"/>
      <c r="G2554" s="52"/>
      <c r="H2554" s="52"/>
    </row>
    <row r="2555" spans="1:8" ht="15.75">
      <c r="A2555" s="50">
        <v>42922</v>
      </c>
      <c r="B2555" s="51">
        <v>1072.6199999999999</v>
      </c>
      <c r="C2555" s="52"/>
      <c r="D2555" s="52"/>
      <c r="E2555" s="52"/>
      <c r="F2555" s="52"/>
      <c r="G2555" s="52"/>
      <c r="H2555" s="52"/>
    </row>
    <row r="2556" spans="1:8" ht="15.75">
      <c r="A2556" s="50">
        <v>42923</v>
      </c>
      <c r="B2556" s="51">
        <v>1058.81</v>
      </c>
      <c r="C2556" s="52"/>
      <c r="D2556" s="52"/>
      <c r="E2556" s="52"/>
      <c r="F2556" s="52"/>
      <c r="G2556" s="52"/>
      <c r="H2556" s="52"/>
    </row>
    <row r="2557" spans="1:8" ht="15.75">
      <c r="A2557" s="50">
        <v>42926</v>
      </c>
      <c r="B2557" s="51">
        <v>1058.3900000000001</v>
      </c>
      <c r="C2557" s="52"/>
      <c r="D2557" s="52"/>
      <c r="E2557" s="52"/>
      <c r="F2557" s="52"/>
      <c r="G2557" s="52"/>
      <c r="H2557" s="52"/>
    </row>
    <row r="2558" spans="1:8" ht="15.75">
      <c r="A2558" s="50">
        <v>42927</v>
      </c>
      <c r="B2558" s="51">
        <v>1062.0999999999999</v>
      </c>
      <c r="C2558" s="52"/>
      <c r="D2558" s="52"/>
      <c r="E2558" s="52"/>
      <c r="F2558" s="52"/>
      <c r="G2558" s="52"/>
      <c r="H2558" s="52"/>
    </row>
    <row r="2559" spans="1:8" ht="15.75">
      <c r="A2559" s="50">
        <v>42928</v>
      </c>
      <c r="B2559" s="51">
        <v>1067.8599999999999</v>
      </c>
      <c r="C2559" s="52"/>
      <c r="D2559" s="52"/>
      <c r="E2559" s="52"/>
      <c r="F2559" s="52"/>
      <c r="G2559" s="52"/>
      <c r="H2559" s="52"/>
    </row>
    <row r="2560" spans="1:8" ht="15.75">
      <c r="A2560" s="50">
        <v>42929</v>
      </c>
      <c r="B2560" s="51">
        <v>1060.83</v>
      </c>
      <c r="C2560" s="52"/>
      <c r="D2560" s="52"/>
      <c r="E2560" s="52"/>
      <c r="F2560" s="52"/>
      <c r="G2560" s="52"/>
      <c r="H2560" s="52"/>
    </row>
    <row r="2561" spans="1:8" ht="15.75">
      <c r="A2561" s="50">
        <v>42930</v>
      </c>
      <c r="B2561" s="51">
        <v>1090.8499999999999</v>
      </c>
      <c r="C2561" s="52"/>
      <c r="D2561" s="52"/>
      <c r="E2561" s="52"/>
      <c r="F2561" s="52"/>
      <c r="G2561" s="52"/>
      <c r="H2561" s="52"/>
    </row>
    <row r="2562" spans="1:8" ht="15.75">
      <c r="A2562" s="50">
        <v>42933</v>
      </c>
      <c r="B2562" s="51">
        <v>1078.3699999999999</v>
      </c>
      <c r="C2562" s="52"/>
      <c r="D2562" s="52"/>
      <c r="E2562" s="52"/>
      <c r="F2562" s="52"/>
      <c r="G2562" s="52"/>
      <c r="H2562" s="52"/>
    </row>
    <row r="2563" spans="1:8" ht="15.75">
      <c r="A2563" s="50">
        <v>42934</v>
      </c>
      <c r="B2563" s="51">
        <v>1081.47</v>
      </c>
      <c r="C2563" s="52"/>
      <c r="D2563" s="52"/>
      <c r="E2563" s="52"/>
      <c r="F2563" s="52"/>
      <c r="G2563" s="52"/>
      <c r="H2563" s="52"/>
    </row>
    <row r="2564" spans="1:8" ht="15.75">
      <c r="A2564" s="50">
        <v>42935</v>
      </c>
      <c r="B2564" s="51">
        <v>1077.43</v>
      </c>
      <c r="C2564" s="52"/>
      <c r="D2564" s="52"/>
      <c r="E2564" s="52"/>
      <c r="F2564" s="52"/>
      <c r="G2564" s="52"/>
      <c r="H2564" s="52"/>
    </row>
    <row r="2565" spans="1:8" ht="15.75">
      <c r="A2565" s="50">
        <v>42936</v>
      </c>
      <c r="B2565" s="51">
        <v>1072.4100000000001</v>
      </c>
      <c r="C2565" s="52"/>
      <c r="D2565" s="52"/>
      <c r="E2565" s="52"/>
      <c r="F2565" s="52"/>
      <c r="G2565" s="52"/>
      <c r="H2565" s="52"/>
    </row>
    <row r="2566" spans="1:8" ht="15.75">
      <c r="A2566" s="50">
        <v>42940</v>
      </c>
      <c r="B2566" s="51">
        <v>1084.93</v>
      </c>
      <c r="C2566" s="52"/>
      <c r="D2566" s="52"/>
      <c r="E2566" s="52"/>
      <c r="F2566" s="52"/>
      <c r="G2566" s="52"/>
      <c r="H2566" s="52"/>
    </row>
    <row r="2567" spans="1:8" ht="15.75">
      <c r="A2567" s="50">
        <v>42941</v>
      </c>
      <c r="B2567" s="51">
        <v>1072.24</v>
      </c>
      <c r="C2567" s="52"/>
      <c r="D2567" s="52"/>
      <c r="E2567" s="52"/>
      <c r="F2567" s="52"/>
      <c r="G2567" s="52"/>
      <c r="H2567" s="52"/>
    </row>
    <row r="2568" spans="1:8" ht="15.75">
      <c r="A2568" s="50">
        <v>42942</v>
      </c>
      <c r="B2568" s="51">
        <v>1073.3699999999999</v>
      </c>
      <c r="C2568" s="52"/>
      <c r="D2568" s="52"/>
      <c r="E2568" s="52"/>
      <c r="F2568" s="52"/>
      <c r="G2568" s="52"/>
      <c r="H2568" s="52"/>
    </row>
    <row r="2569" spans="1:8" ht="15.75">
      <c r="A2569" s="50">
        <v>42943</v>
      </c>
      <c r="B2569" s="51">
        <v>1078.19</v>
      </c>
      <c r="C2569" s="52"/>
      <c r="D2569" s="52"/>
      <c r="E2569" s="52"/>
      <c r="F2569" s="52"/>
      <c r="G2569" s="52"/>
      <c r="H2569" s="52"/>
    </row>
    <row r="2570" spans="1:8" ht="15.75">
      <c r="A2570" s="50">
        <v>42944</v>
      </c>
      <c r="B2570" s="51">
        <v>1080.03</v>
      </c>
      <c r="C2570" s="52"/>
      <c r="D2570" s="52"/>
      <c r="E2570" s="52"/>
      <c r="F2570" s="52"/>
      <c r="G2570" s="52"/>
      <c r="H2570" s="52"/>
    </row>
    <row r="2571" spans="1:8" ht="15.75">
      <c r="A2571" s="50">
        <v>42947</v>
      </c>
      <c r="B2571" s="51">
        <v>1072.53</v>
      </c>
      <c r="C2571" s="52"/>
      <c r="D2571" s="52"/>
      <c r="E2571" s="52"/>
      <c r="F2571" s="52"/>
      <c r="G2571" s="52"/>
      <c r="H2571" s="52"/>
    </row>
    <row r="2572" spans="1:8" ht="15.75">
      <c r="A2572" s="50">
        <v>42948</v>
      </c>
      <c r="B2572" s="51">
        <v>1074.83</v>
      </c>
      <c r="C2572" s="52"/>
      <c r="D2572" s="52"/>
      <c r="E2572" s="52"/>
      <c r="F2572" s="52"/>
      <c r="G2572" s="52"/>
      <c r="H2572" s="52"/>
    </row>
    <row r="2573" spans="1:8" ht="15.75">
      <c r="A2573" s="50">
        <v>42949</v>
      </c>
      <c r="B2573" s="51">
        <v>1068.04</v>
      </c>
      <c r="C2573" s="52"/>
      <c r="D2573" s="52"/>
      <c r="E2573" s="52"/>
      <c r="F2573" s="52"/>
      <c r="G2573" s="52"/>
      <c r="H2573" s="52"/>
    </row>
    <row r="2574" spans="1:8" ht="15.75">
      <c r="A2574" s="50">
        <v>42950</v>
      </c>
      <c r="B2574" s="51">
        <v>1068.7</v>
      </c>
      <c r="C2574" s="52"/>
      <c r="D2574" s="52"/>
      <c r="E2574" s="52"/>
      <c r="F2574" s="52"/>
      <c r="G2574" s="52"/>
      <c r="H2574" s="52"/>
    </row>
    <row r="2575" spans="1:8" ht="15.75">
      <c r="A2575" s="50">
        <v>42951</v>
      </c>
      <c r="B2575" s="51">
        <v>1068.97</v>
      </c>
      <c r="C2575" s="52"/>
      <c r="D2575" s="52"/>
      <c r="E2575" s="52"/>
      <c r="F2575" s="52"/>
      <c r="G2575" s="52"/>
      <c r="H2575" s="52"/>
    </row>
    <row r="2576" spans="1:8" ht="15.75">
      <c r="A2576" s="50">
        <v>42954</v>
      </c>
      <c r="B2576" s="51">
        <v>1066.1199999999999</v>
      </c>
      <c r="C2576" s="52"/>
      <c r="D2576" s="52"/>
      <c r="E2576" s="52"/>
      <c r="F2576" s="52"/>
      <c r="G2576" s="52"/>
      <c r="H2576" s="52"/>
    </row>
    <row r="2577" spans="1:8" ht="15.75">
      <c r="A2577" s="50">
        <v>42955</v>
      </c>
      <c r="B2577" s="51">
        <v>1073.53</v>
      </c>
      <c r="C2577" s="52"/>
      <c r="D2577" s="52"/>
      <c r="E2577" s="52"/>
      <c r="F2577" s="52"/>
      <c r="G2577" s="52"/>
      <c r="H2577" s="52"/>
    </row>
    <row r="2578" spans="1:8" ht="15.75">
      <c r="A2578" s="50">
        <v>42956</v>
      </c>
      <c r="B2578" s="51">
        <v>1086.29</v>
      </c>
      <c r="C2578" s="52"/>
      <c r="D2578" s="52"/>
      <c r="E2578" s="52"/>
      <c r="F2578" s="52"/>
      <c r="G2578" s="52"/>
      <c r="H2578" s="52"/>
    </row>
    <row r="2579" spans="1:8" ht="15.75">
      <c r="A2579" s="50">
        <v>42957</v>
      </c>
      <c r="B2579" s="51">
        <v>1091.93</v>
      </c>
      <c r="C2579" s="52"/>
      <c r="D2579" s="52"/>
      <c r="E2579" s="52"/>
      <c r="F2579" s="52"/>
      <c r="G2579" s="52"/>
      <c r="H2579" s="52"/>
    </row>
    <row r="2580" spans="1:8" ht="15.75">
      <c r="A2580" s="50">
        <v>42958</v>
      </c>
      <c r="B2580" s="51">
        <v>1090.69</v>
      </c>
      <c r="C2580" s="52"/>
      <c r="D2580" s="52"/>
      <c r="E2580" s="52"/>
      <c r="F2580" s="52"/>
      <c r="G2580" s="52"/>
      <c r="H2580" s="52"/>
    </row>
    <row r="2581" spans="1:8" ht="15.75">
      <c r="A2581" s="50">
        <v>42961</v>
      </c>
      <c r="B2581" s="51">
        <v>1088.1400000000001</v>
      </c>
      <c r="C2581" s="52"/>
      <c r="D2581" s="52"/>
      <c r="E2581" s="52"/>
      <c r="F2581" s="52"/>
      <c r="G2581" s="52"/>
      <c r="H2581" s="52"/>
    </row>
    <row r="2582" spans="1:8" ht="15.75">
      <c r="A2582" s="50">
        <v>42962</v>
      </c>
      <c r="B2582" s="51">
        <v>1084.06</v>
      </c>
      <c r="C2582" s="52"/>
      <c r="D2582" s="52"/>
      <c r="E2582" s="52"/>
      <c r="F2582" s="52"/>
      <c r="G2582" s="52"/>
      <c r="H2582" s="52"/>
    </row>
    <row r="2583" spans="1:8" ht="15.75">
      <c r="A2583" s="50">
        <v>42963</v>
      </c>
      <c r="B2583" s="51">
        <v>1089.6099999999999</v>
      </c>
      <c r="C2583" s="52"/>
      <c r="D2583" s="52"/>
      <c r="E2583" s="52"/>
      <c r="F2583" s="52"/>
      <c r="G2583" s="52"/>
      <c r="H2583" s="52"/>
    </row>
    <row r="2584" spans="1:8" ht="15.75">
      <c r="A2584" s="50">
        <v>42964</v>
      </c>
      <c r="B2584" s="51">
        <v>1097.8</v>
      </c>
      <c r="C2584" s="52"/>
      <c r="D2584" s="52"/>
      <c r="E2584" s="52"/>
      <c r="F2584" s="52"/>
      <c r="G2584" s="52"/>
      <c r="H2584" s="52"/>
    </row>
    <row r="2585" spans="1:8" ht="15.75">
      <c r="A2585" s="50">
        <v>42965</v>
      </c>
      <c r="B2585" s="51">
        <v>1092.26</v>
      </c>
      <c r="C2585" s="52"/>
      <c r="D2585" s="52"/>
      <c r="E2585" s="52"/>
      <c r="F2585" s="52"/>
      <c r="G2585" s="52"/>
      <c r="H2585" s="52"/>
    </row>
    <row r="2586" spans="1:8" ht="15.75">
      <c r="A2586" s="50">
        <v>42968</v>
      </c>
      <c r="B2586" s="51">
        <v>1092.78</v>
      </c>
      <c r="C2586" s="52"/>
      <c r="D2586" s="52"/>
      <c r="E2586" s="52"/>
      <c r="F2586" s="52"/>
      <c r="G2586" s="52"/>
      <c r="H2586" s="52"/>
    </row>
    <row r="2587" spans="1:8" ht="15.75">
      <c r="A2587" s="50">
        <v>42969</v>
      </c>
      <c r="B2587" s="51">
        <v>1091.99</v>
      </c>
      <c r="C2587" s="52"/>
      <c r="D2587" s="52"/>
      <c r="E2587" s="52"/>
      <c r="F2587" s="52"/>
      <c r="G2587" s="52"/>
      <c r="H2587" s="52"/>
    </row>
    <row r="2588" spans="1:8" ht="15.75">
      <c r="A2588" s="50">
        <v>42970</v>
      </c>
      <c r="B2588" s="51">
        <v>1092.93</v>
      </c>
      <c r="C2588" s="52"/>
      <c r="D2588" s="52"/>
      <c r="E2588" s="52"/>
      <c r="F2588" s="52"/>
      <c r="G2588" s="52"/>
      <c r="H2588" s="52"/>
    </row>
    <row r="2589" spans="1:8" ht="15.75">
      <c r="A2589" s="50">
        <v>42971</v>
      </c>
      <c r="B2589" s="51">
        <v>1091.01</v>
      </c>
      <c r="C2589" s="52"/>
      <c r="D2589" s="52"/>
      <c r="E2589" s="52"/>
      <c r="F2589" s="52"/>
      <c r="G2589" s="52"/>
      <c r="H2589" s="52"/>
    </row>
    <row r="2590" spans="1:8" ht="15.75">
      <c r="A2590" s="50">
        <v>42972</v>
      </c>
      <c r="B2590" s="51">
        <v>1082.26</v>
      </c>
      <c r="C2590" s="52"/>
      <c r="D2590" s="52"/>
      <c r="E2590" s="52"/>
      <c r="F2590" s="52"/>
      <c r="G2590" s="52"/>
      <c r="H2590" s="52"/>
    </row>
    <row r="2591" spans="1:8" ht="15.75">
      <c r="A2591" s="50">
        <v>42975</v>
      </c>
      <c r="B2591" s="51">
        <v>1095.5899999999999</v>
      </c>
      <c r="C2591" s="52"/>
      <c r="D2591" s="52"/>
      <c r="E2591" s="52"/>
      <c r="F2591" s="52"/>
      <c r="G2591" s="52"/>
      <c r="H2591" s="52"/>
    </row>
    <row r="2592" spans="1:8" ht="15.75">
      <c r="A2592" s="50">
        <v>42976</v>
      </c>
      <c r="B2592" s="51">
        <v>1086.9000000000001</v>
      </c>
      <c r="C2592" s="52"/>
      <c r="D2592" s="52"/>
      <c r="E2592" s="52"/>
      <c r="F2592" s="52"/>
      <c r="G2592" s="52"/>
      <c r="H2592" s="52"/>
    </row>
    <row r="2593" spans="1:8" ht="15.75">
      <c r="A2593" s="50">
        <v>42977</v>
      </c>
      <c r="B2593" s="51">
        <v>1096.68</v>
      </c>
      <c r="C2593" s="52"/>
      <c r="D2593" s="52"/>
      <c r="E2593" s="52"/>
      <c r="F2593" s="52"/>
      <c r="G2593" s="52"/>
      <c r="H2593" s="52"/>
    </row>
    <row r="2594" spans="1:8" ht="15.75">
      <c r="A2594" s="50">
        <v>42978</v>
      </c>
      <c r="B2594" s="51">
        <v>1108.67</v>
      </c>
      <c r="C2594" s="52"/>
      <c r="D2594" s="52"/>
      <c r="E2594" s="52"/>
      <c r="F2594" s="52"/>
      <c r="G2594" s="52"/>
      <c r="H2594" s="52"/>
    </row>
    <row r="2595" spans="1:8" ht="15.75">
      <c r="A2595" s="50">
        <v>42979</v>
      </c>
      <c r="B2595" s="51">
        <v>1117.07</v>
      </c>
      <c r="C2595" s="52"/>
      <c r="D2595" s="52"/>
      <c r="E2595" s="52"/>
      <c r="F2595" s="52"/>
      <c r="G2595" s="52"/>
      <c r="H2595" s="52"/>
    </row>
    <row r="2596" spans="1:8" ht="15.75">
      <c r="A2596" s="50">
        <v>42982</v>
      </c>
      <c r="B2596" s="51">
        <v>1120.6199999999999</v>
      </c>
      <c r="C2596" s="52"/>
      <c r="D2596" s="52"/>
      <c r="E2596" s="52"/>
      <c r="F2596" s="52"/>
      <c r="G2596" s="52"/>
      <c r="H2596" s="52"/>
    </row>
    <row r="2597" spans="1:8" ht="15.75">
      <c r="A2597" s="50">
        <v>42983</v>
      </c>
      <c r="B2597" s="51">
        <v>1126.92</v>
      </c>
      <c r="C2597" s="52"/>
      <c r="D2597" s="52"/>
      <c r="E2597" s="52"/>
      <c r="F2597" s="52"/>
      <c r="G2597" s="52"/>
      <c r="H2597" s="52"/>
    </row>
    <row r="2598" spans="1:8" ht="15.75">
      <c r="A2598" s="50">
        <v>42984</v>
      </c>
      <c r="B2598" s="51">
        <v>1118.52</v>
      </c>
      <c r="C2598" s="52"/>
      <c r="D2598" s="52"/>
      <c r="E2598" s="52"/>
      <c r="F2598" s="52"/>
      <c r="G2598" s="52"/>
      <c r="H2598" s="52"/>
    </row>
    <row r="2599" spans="1:8" ht="15.75">
      <c r="A2599" s="50">
        <v>42985</v>
      </c>
      <c r="B2599" s="51">
        <v>1119.55</v>
      </c>
      <c r="C2599" s="52"/>
      <c r="D2599" s="52"/>
      <c r="E2599" s="52"/>
      <c r="F2599" s="52"/>
      <c r="G2599" s="52"/>
      <c r="H2599" s="52"/>
    </row>
    <row r="2600" spans="1:8" ht="15.75">
      <c r="A2600" s="50">
        <v>42986</v>
      </c>
      <c r="B2600" s="51">
        <v>1118.99</v>
      </c>
      <c r="C2600" s="52"/>
      <c r="D2600" s="52"/>
      <c r="E2600" s="52"/>
      <c r="F2600" s="52"/>
      <c r="G2600" s="52"/>
      <c r="H2600" s="52"/>
    </row>
    <row r="2601" spans="1:8" ht="15.75">
      <c r="A2601" s="50">
        <v>42989</v>
      </c>
      <c r="B2601" s="51">
        <v>1110.23</v>
      </c>
      <c r="C2601" s="52"/>
      <c r="D2601" s="52"/>
      <c r="E2601" s="52"/>
      <c r="F2601" s="52"/>
      <c r="G2601" s="52"/>
      <c r="H2601" s="52"/>
    </row>
    <row r="2602" spans="1:8" ht="15.75">
      <c r="A2602" s="50">
        <v>42990</v>
      </c>
      <c r="B2602" s="51">
        <v>1113</v>
      </c>
      <c r="C2602" s="52"/>
      <c r="D2602" s="52"/>
      <c r="E2602" s="52"/>
      <c r="F2602" s="52"/>
      <c r="G2602" s="52"/>
      <c r="H2602" s="52"/>
    </row>
    <row r="2603" spans="1:8" ht="15.75">
      <c r="A2603" s="50">
        <v>42991</v>
      </c>
      <c r="B2603" s="51">
        <v>1113.0999999999999</v>
      </c>
      <c r="C2603" s="52"/>
      <c r="D2603" s="52"/>
      <c r="E2603" s="52"/>
      <c r="F2603" s="52"/>
      <c r="G2603" s="52"/>
      <c r="H2603" s="52"/>
    </row>
    <row r="2604" spans="1:8" ht="15.75">
      <c r="A2604" s="50">
        <v>42992</v>
      </c>
      <c r="B2604" s="51">
        <v>1116</v>
      </c>
      <c r="C2604" s="52"/>
      <c r="D2604" s="52"/>
      <c r="E2604" s="52"/>
      <c r="F2604" s="52"/>
      <c r="G2604" s="52"/>
      <c r="H2604" s="52"/>
    </row>
    <row r="2605" spans="1:8" ht="15.75">
      <c r="A2605" s="50">
        <v>42993</v>
      </c>
      <c r="B2605" s="51">
        <v>1104.76</v>
      </c>
      <c r="C2605" s="52"/>
      <c r="D2605" s="52"/>
      <c r="E2605" s="52"/>
      <c r="F2605" s="52"/>
      <c r="G2605" s="52"/>
      <c r="H2605" s="52"/>
    </row>
    <row r="2606" spans="1:8" ht="15.75">
      <c r="A2606" s="50">
        <v>42996</v>
      </c>
      <c r="B2606" s="51">
        <v>1093.99</v>
      </c>
      <c r="C2606" s="52"/>
      <c r="D2606" s="52"/>
      <c r="E2606" s="52"/>
      <c r="F2606" s="52"/>
      <c r="G2606" s="52"/>
      <c r="H2606" s="52"/>
    </row>
    <row r="2607" spans="1:8" ht="15.75">
      <c r="A2607" s="50">
        <v>42997</v>
      </c>
      <c r="B2607" s="51">
        <v>1096.6199999999999</v>
      </c>
      <c r="C2607" s="52"/>
      <c r="D2607" s="52"/>
      <c r="E2607" s="52"/>
      <c r="F2607" s="52"/>
      <c r="G2607" s="52"/>
      <c r="H2607" s="52"/>
    </row>
    <row r="2608" spans="1:8" ht="15.75">
      <c r="A2608" s="50">
        <v>42998</v>
      </c>
      <c r="B2608" s="51">
        <v>1095.04</v>
      </c>
      <c r="C2608" s="52"/>
      <c r="D2608" s="52"/>
      <c r="E2608" s="52"/>
      <c r="F2608" s="52"/>
      <c r="G2608" s="52"/>
      <c r="H2608" s="52"/>
    </row>
    <row r="2609" spans="1:8" ht="15.75">
      <c r="A2609" s="50">
        <v>42999</v>
      </c>
      <c r="B2609" s="51">
        <v>1076.96</v>
      </c>
      <c r="C2609" s="52"/>
      <c r="D2609" s="52"/>
      <c r="E2609" s="52"/>
      <c r="F2609" s="52"/>
      <c r="G2609" s="52"/>
      <c r="H2609" s="52"/>
    </row>
    <row r="2610" spans="1:8" ht="15.75">
      <c r="A2610" s="50">
        <v>43000</v>
      </c>
      <c r="B2610" s="51">
        <v>1085.58</v>
      </c>
      <c r="C2610" s="52"/>
      <c r="D2610" s="52"/>
      <c r="E2610" s="52"/>
      <c r="F2610" s="52"/>
      <c r="G2610" s="52"/>
      <c r="H2610" s="52"/>
    </row>
    <row r="2611" spans="1:8" ht="15.75">
      <c r="A2611" s="50">
        <v>43003</v>
      </c>
      <c r="B2611" s="51">
        <v>1106.04</v>
      </c>
      <c r="C2611" s="52"/>
      <c r="D2611" s="52"/>
      <c r="E2611" s="52"/>
      <c r="F2611" s="52"/>
      <c r="G2611" s="52"/>
      <c r="H2611" s="52"/>
    </row>
    <row r="2612" spans="1:8" ht="15.75">
      <c r="A2612" s="50">
        <v>43004</v>
      </c>
      <c r="B2612" s="51">
        <v>1097.08</v>
      </c>
      <c r="C2612" s="52"/>
      <c r="D2612" s="52"/>
      <c r="E2612" s="52"/>
      <c r="F2612" s="52"/>
      <c r="G2612" s="52"/>
      <c r="H2612" s="52"/>
    </row>
    <row r="2613" spans="1:8" ht="15.75">
      <c r="A2613" s="50">
        <v>43005</v>
      </c>
      <c r="B2613" s="51">
        <v>1092.71</v>
      </c>
      <c r="C2613" s="52"/>
      <c r="D2613" s="52"/>
      <c r="E2613" s="52"/>
      <c r="F2613" s="52"/>
      <c r="G2613" s="52"/>
      <c r="H2613" s="52"/>
    </row>
    <row r="2614" spans="1:8" ht="15.75">
      <c r="A2614" s="50">
        <v>43006</v>
      </c>
      <c r="B2614" s="51">
        <v>1094.5999999999999</v>
      </c>
      <c r="C2614" s="52"/>
      <c r="D2614" s="52"/>
      <c r="E2614" s="52"/>
      <c r="F2614" s="52"/>
      <c r="G2614" s="52"/>
      <c r="H2614" s="52"/>
    </row>
    <row r="2615" spans="1:8" ht="15.75">
      <c r="A2615" s="50">
        <v>43007</v>
      </c>
      <c r="B2615" s="51">
        <v>1082.28</v>
      </c>
      <c r="C2615" s="52"/>
      <c r="D2615" s="52"/>
      <c r="E2615" s="52"/>
      <c r="F2615" s="52"/>
      <c r="G2615" s="52"/>
      <c r="H2615" s="52"/>
    </row>
    <row r="2616" spans="1:8" ht="15.75">
      <c r="A2616" s="50">
        <v>43010</v>
      </c>
      <c r="B2616" s="51">
        <v>1085.22</v>
      </c>
      <c r="C2616" s="52"/>
      <c r="D2616" s="52"/>
      <c r="E2616" s="52"/>
      <c r="F2616" s="52"/>
      <c r="G2616" s="52"/>
      <c r="H2616" s="52"/>
    </row>
    <row r="2617" spans="1:8" ht="15.75">
      <c r="A2617" s="50">
        <v>43011</v>
      </c>
      <c r="B2617" s="51">
        <v>1080.68</v>
      </c>
      <c r="C2617" s="52"/>
      <c r="D2617" s="52"/>
      <c r="E2617" s="52"/>
      <c r="F2617" s="52"/>
      <c r="G2617" s="52"/>
      <c r="H2617" s="52"/>
    </row>
    <row r="2618" spans="1:8" ht="15.75">
      <c r="A2618" s="50">
        <v>43012</v>
      </c>
      <c r="B2618" s="51">
        <v>1084.21</v>
      </c>
      <c r="C2618" s="52"/>
      <c r="D2618" s="52"/>
      <c r="E2618" s="52"/>
      <c r="F2618" s="52"/>
      <c r="G2618" s="52"/>
      <c r="H2618" s="52"/>
    </row>
    <row r="2619" spans="1:8" ht="15.75">
      <c r="A2619" s="50">
        <v>43013</v>
      </c>
      <c r="B2619" s="51">
        <v>1082.1300000000001</v>
      </c>
      <c r="C2619" s="52"/>
      <c r="D2619" s="52"/>
      <c r="E2619" s="52"/>
      <c r="F2619" s="52"/>
      <c r="G2619" s="52"/>
      <c r="H2619" s="52"/>
    </row>
    <row r="2620" spans="1:8" ht="15.75">
      <c r="A2620" s="50">
        <v>43014</v>
      </c>
      <c r="B2620" s="51">
        <v>1088.17</v>
      </c>
      <c r="C2620" s="52"/>
      <c r="D2620" s="52"/>
      <c r="E2620" s="52"/>
      <c r="F2620" s="52"/>
      <c r="G2620" s="52"/>
      <c r="H2620" s="52"/>
    </row>
    <row r="2621" spans="1:8" ht="15.75">
      <c r="A2621" s="50">
        <v>43017</v>
      </c>
      <c r="B2621" s="51">
        <v>1095.72</v>
      </c>
      <c r="C2621" s="52"/>
      <c r="D2621" s="52"/>
      <c r="E2621" s="52"/>
      <c r="F2621" s="52"/>
      <c r="G2621" s="52"/>
      <c r="H2621" s="52"/>
    </row>
    <row r="2622" spans="1:8" ht="15.75">
      <c r="A2622" s="50">
        <v>43018</v>
      </c>
      <c r="B2622" s="51">
        <v>1090.29</v>
      </c>
      <c r="C2622" s="52"/>
      <c r="D2622" s="52"/>
      <c r="E2622" s="52"/>
      <c r="F2622" s="52"/>
      <c r="G2622" s="52"/>
      <c r="H2622" s="52"/>
    </row>
    <row r="2623" spans="1:8" ht="15.75">
      <c r="A2623" s="50">
        <v>43019</v>
      </c>
      <c r="B2623" s="51">
        <v>1095.08</v>
      </c>
      <c r="C2623" s="52"/>
      <c r="D2623" s="52"/>
      <c r="E2623" s="52"/>
      <c r="F2623" s="52"/>
      <c r="G2623" s="52"/>
      <c r="H2623" s="52"/>
    </row>
    <row r="2624" spans="1:8" ht="15.75">
      <c r="A2624" s="50">
        <v>43020</v>
      </c>
      <c r="B2624" s="51">
        <v>1095.76</v>
      </c>
      <c r="C2624" s="52"/>
      <c r="D2624" s="52"/>
      <c r="E2624" s="52"/>
      <c r="F2624" s="52"/>
      <c r="G2624" s="52"/>
      <c r="H2624" s="52"/>
    </row>
    <row r="2625" spans="1:8" ht="15.75">
      <c r="A2625" s="50">
        <v>43021</v>
      </c>
      <c r="B2625" s="51">
        <v>1103.8699999999999</v>
      </c>
      <c r="C2625" s="52"/>
      <c r="D2625" s="52"/>
      <c r="E2625" s="52"/>
      <c r="F2625" s="52"/>
      <c r="G2625" s="52"/>
      <c r="H2625" s="52"/>
    </row>
    <row r="2626" spans="1:8" ht="15.75">
      <c r="A2626" s="50">
        <v>43024</v>
      </c>
      <c r="B2626" s="51">
        <v>1097.54</v>
      </c>
      <c r="C2626" s="52"/>
      <c r="D2626" s="52"/>
      <c r="E2626" s="52"/>
      <c r="F2626" s="52"/>
      <c r="G2626" s="52"/>
      <c r="H2626" s="52"/>
    </row>
    <row r="2627" spans="1:8" ht="15.75">
      <c r="A2627" s="50">
        <v>43025</v>
      </c>
      <c r="B2627" s="51">
        <v>1090.43</v>
      </c>
      <c r="C2627" s="52"/>
      <c r="D2627" s="52"/>
      <c r="E2627" s="52"/>
      <c r="F2627" s="52"/>
      <c r="G2627" s="52"/>
      <c r="H2627" s="52"/>
    </row>
    <row r="2628" spans="1:8" ht="15.75">
      <c r="A2628" s="50">
        <v>43026</v>
      </c>
      <c r="B2628" s="51">
        <v>1086.48</v>
      </c>
      <c r="C2628" s="52"/>
      <c r="D2628" s="52"/>
      <c r="E2628" s="52"/>
      <c r="F2628" s="52"/>
      <c r="G2628" s="52"/>
      <c r="H2628" s="52"/>
    </row>
    <row r="2629" spans="1:8" ht="15.75">
      <c r="A2629" s="50">
        <v>43027</v>
      </c>
      <c r="B2629" s="51">
        <v>1090.19</v>
      </c>
      <c r="C2629" s="52"/>
      <c r="D2629" s="52"/>
      <c r="E2629" s="52"/>
      <c r="F2629" s="52"/>
      <c r="G2629" s="52"/>
      <c r="H2629" s="52"/>
    </row>
    <row r="2630" spans="1:8" ht="15.75">
      <c r="A2630" s="50">
        <v>43028</v>
      </c>
      <c r="B2630" s="51">
        <v>1086.75</v>
      </c>
      <c r="C2630" s="52"/>
      <c r="D2630" s="52"/>
      <c r="E2630" s="52"/>
      <c r="F2630" s="52"/>
      <c r="G2630" s="52"/>
      <c r="H2630" s="52"/>
    </row>
    <row r="2631" spans="1:8" ht="15.75">
      <c r="A2631" s="50">
        <v>43031</v>
      </c>
      <c r="B2631" s="51">
        <v>1091.3</v>
      </c>
      <c r="C2631" s="52"/>
      <c r="D2631" s="52"/>
      <c r="E2631" s="52"/>
      <c r="F2631" s="52"/>
      <c r="G2631" s="52"/>
      <c r="H2631" s="52"/>
    </row>
    <row r="2632" spans="1:8" ht="15.75">
      <c r="A2632" s="50">
        <v>43032</v>
      </c>
      <c r="B2632" s="51">
        <v>1083.3</v>
      </c>
      <c r="C2632" s="52"/>
      <c r="D2632" s="52"/>
      <c r="E2632" s="52"/>
      <c r="F2632" s="52"/>
      <c r="G2632" s="52"/>
      <c r="H2632" s="52"/>
    </row>
    <row r="2633" spans="1:8" ht="15.75">
      <c r="A2633" s="50">
        <v>43033</v>
      </c>
      <c r="B2633" s="51">
        <v>1084.55</v>
      </c>
      <c r="C2633" s="52"/>
      <c r="D2633" s="52"/>
      <c r="E2633" s="52"/>
      <c r="F2633" s="52"/>
      <c r="G2633" s="52"/>
      <c r="H2633" s="52"/>
    </row>
    <row r="2634" spans="1:8" ht="15.75">
      <c r="A2634" s="50">
        <v>43034</v>
      </c>
      <c r="B2634" s="51">
        <v>1087.6099999999999</v>
      </c>
      <c r="C2634" s="52"/>
      <c r="D2634" s="52"/>
      <c r="E2634" s="52"/>
      <c r="F2634" s="52"/>
      <c r="G2634" s="52"/>
      <c r="H2634" s="52"/>
    </row>
    <row r="2635" spans="1:8" ht="15.75">
      <c r="A2635" s="50">
        <v>43035</v>
      </c>
      <c r="B2635" s="51">
        <v>1098.3699999999999</v>
      </c>
      <c r="C2635" s="52"/>
      <c r="D2635" s="52"/>
      <c r="E2635" s="52"/>
      <c r="F2635" s="52"/>
      <c r="G2635" s="52"/>
      <c r="H2635" s="52"/>
    </row>
    <row r="2636" spans="1:8" ht="15.75">
      <c r="A2636" s="50">
        <v>43038</v>
      </c>
      <c r="B2636" s="51">
        <v>1096.1300000000001</v>
      </c>
      <c r="C2636" s="52"/>
      <c r="D2636" s="52"/>
      <c r="E2636" s="52"/>
      <c r="F2636" s="52"/>
      <c r="G2636" s="52"/>
      <c r="H2636" s="52"/>
    </row>
    <row r="2637" spans="1:8" ht="15.75">
      <c r="A2637" s="50">
        <v>43039</v>
      </c>
      <c r="B2637" s="51">
        <v>1090.6199999999999</v>
      </c>
      <c r="C2637" s="52"/>
      <c r="D2637" s="52"/>
      <c r="E2637" s="52"/>
      <c r="F2637" s="52"/>
      <c r="G2637" s="52"/>
      <c r="H2637" s="52"/>
    </row>
    <row r="2638" spans="1:8" ht="15.75">
      <c r="A2638" s="50">
        <v>43040</v>
      </c>
      <c r="B2638" s="51">
        <v>1098.1300000000001</v>
      </c>
      <c r="C2638" s="52"/>
      <c r="D2638" s="52"/>
      <c r="E2638" s="52"/>
      <c r="F2638" s="52"/>
      <c r="G2638" s="52"/>
      <c r="H2638" s="52"/>
    </row>
    <row r="2639" spans="1:8" ht="15.75">
      <c r="A2639" s="50">
        <v>43041</v>
      </c>
      <c r="B2639" s="51">
        <v>1095.8399999999999</v>
      </c>
      <c r="C2639" s="52"/>
      <c r="D2639" s="52"/>
      <c r="E2639" s="52"/>
      <c r="F2639" s="52"/>
      <c r="G2639" s="52"/>
      <c r="H2639" s="52"/>
    </row>
    <row r="2640" spans="1:8" ht="15.75">
      <c r="A2640" s="50">
        <v>43042</v>
      </c>
      <c r="B2640" s="51">
        <v>1094.04</v>
      </c>
      <c r="C2640" s="52"/>
      <c r="D2640" s="52"/>
      <c r="E2640" s="52"/>
      <c r="F2640" s="52"/>
      <c r="G2640" s="52"/>
      <c r="H2640" s="52"/>
    </row>
    <row r="2641" spans="1:8" ht="15.75">
      <c r="A2641" s="50">
        <v>43045</v>
      </c>
      <c r="B2641" s="51">
        <v>1105.32</v>
      </c>
      <c r="C2641" s="52"/>
      <c r="D2641" s="52"/>
      <c r="E2641" s="52"/>
      <c r="F2641" s="52"/>
      <c r="G2641" s="52"/>
      <c r="H2641" s="52"/>
    </row>
    <row r="2642" spans="1:8" ht="15.75">
      <c r="A2642" s="50">
        <v>43046</v>
      </c>
      <c r="B2642" s="51">
        <v>1100.1600000000001</v>
      </c>
      <c r="C2642" s="52"/>
      <c r="D2642" s="52"/>
      <c r="E2642" s="52"/>
      <c r="F2642" s="52"/>
      <c r="G2642" s="52"/>
      <c r="H2642" s="52"/>
    </row>
    <row r="2643" spans="1:8" ht="15.75">
      <c r="A2643" s="50">
        <v>43047</v>
      </c>
      <c r="B2643" s="51">
        <v>1105.27</v>
      </c>
      <c r="C2643" s="52"/>
      <c r="D2643" s="52"/>
      <c r="E2643" s="52"/>
      <c r="F2643" s="52"/>
      <c r="G2643" s="52"/>
      <c r="H2643" s="52"/>
    </row>
    <row r="2644" spans="1:8" ht="15.75">
      <c r="A2644" s="50">
        <v>43048</v>
      </c>
      <c r="B2644" s="51">
        <v>1096.8900000000001</v>
      </c>
      <c r="C2644" s="52"/>
      <c r="D2644" s="52"/>
      <c r="E2644" s="52"/>
      <c r="F2644" s="52"/>
      <c r="G2644" s="52"/>
      <c r="H2644" s="52"/>
    </row>
    <row r="2645" spans="1:8" ht="15.75">
      <c r="A2645" s="50">
        <v>43049</v>
      </c>
      <c r="B2645" s="51">
        <v>1093.6400000000001</v>
      </c>
      <c r="C2645" s="52"/>
      <c r="D2645" s="52"/>
      <c r="E2645" s="52"/>
      <c r="F2645" s="52"/>
      <c r="G2645" s="52"/>
      <c r="H2645" s="52"/>
    </row>
    <row r="2646" spans="1:8" ht="15.75">
      <c r="A2646" s="50">
        <v>43052</v>
      </c>
      <c r="B2646" s="51">
        <v>1095.71</v>
      </c>
      <c r="C2646" s="52"/>
      <c r="D2646" s="52"/>
      <c r="E2646" s="52"/>
      <c r="F2646" s="52"/>
      <c r="G2646" s="52"/>
      <c r="H2646" s="52"/>
    </row>
    <row r="2647" spans="1:8" ht="15.75">
      <c r="A2647" s="50">
        <v>43053</v>
      </c>
      <c r="B2647" s="51">
        <v>1087.23</v>
      </c>
      <c r="C2647" s="52"/>
      <c r="D2647" s="52"/>
      <c r="E2647" s="52"/>
      <c r="F2647" s="52"/>
      <c r="G2647" s="52"/>
      <c r="H2647" s="52"/>
    </row>
    <row r="2648" spans="1:8" ht="15.75">
      <c r="A2648" s="50">
        <v>43054</v>
      </c>
      <c r="B2648" s="51">
        <v>1085.8699999999999</v>
      </c>
      <c r="C2648" s="52"/>
      <c r="D2648" s="52"/>
      <c r="E2648" s="52"/>
      <c r="F2648" s="52"/>
      <c r="G2648" s="52"/>
      <c r="H2648" s="52"/>
    </row>
    <row r="2649" spans="1:8" ht="15.75">
      <c r="A2649" s="50">
        <v>43055</v>
      </c>
      <c r="B2649" s="51">
        <v>1083.69</v>
      </c>
      <c r="C2649" s="52"/>
      <c r="D2649" s="52"/>
      <c r="E2649" s="52"/>
      <c r="F2649" s="52"/>
      <c r="G2649" s="52"/>
      <c r="H2649" s="52"/>
    </row>
    <row r="2650" spans="1:8" ht="15.75">
      <c r="A2650" s="50">
        <v>43056</v>
      </c>
      <c r="B2650" s="51">
        <v>1097.52</v>
      </c>
      <c r="C2650" s="52"/>
      <c r="D2650" s="52"/>
      <c r="E2650" s="52"/>
      <c r="F2650" s="52"/>
      <c r="G2650" s="52"/>
      <c r="H2650" s="52"/>
    </row>
    <row r="2651" spans="1:8" ht="15.75">
      <c r="A2651" s="50">
        <v>43059</v>
      </c>
      <c r="B2651" s="51">
        <v>1085.8399999999999</v>
      </c>
      <c r="C2651" s="52"/>
      <c r="D2651" s="52"/>
      <c r="E2651" s="52"/>
      <c r="F2651" s="52"/>
      <c r="G2651" s="52"/>
      <c r="H2651" s="52"/>
    </row>
    <row r="2652" spans="1:8" ht="15.75">
      <c r="A2652" s="50">
        <v>43060</v>
      </c>
      <c r="B2652" s="51">
        <v>1091.3900000000001</v>
      </c>
      <c r="C2652" s="52"/>
      <c r="D2652" s="52"/>
      <c r="E2652" s="52"/>
      <c r="F2652" s="52"/>
      <c r="G2652" s="52"/>
      <c r="H2652" s="52"/>
    </row>
    <row r="2653" spans="1:8" ht="15.75">
      <c r="A2653" s="50">
        <v>43061</v>
      </c>
      <c r="B2653" s="51">
        <v>1086.3800000000001</v>
      </c>
      <c r="C2653" s="52"/>
      <c r="D2653" s="52"/>
      <c r="E2653" s="52"/>
      <c r="F2653" s="52"/>
      <c r="G2653" s="52"/>
      <c r="H2653" s="52"/>
    </row>
    <row r="2654" spans="1:8" ht="15.75">
      <c r="A2654" s="50">
        <v>43062</v>
      </c>
      <c r="B2654" s="51">
        <v>1087.5</v>
      </c>
      <c r="C2654" s="52"/>
      <c r="D2654" s="52"/>
      <c r="E2654" s="52"/>
      <c r="F2654" s="52"/>
      <c r="G2654" s="52"/>
      <c r="H2654" s="52"/>
    </row>
    <row r="2655" spans="1:8" ht="15.75">
      <c r="A2655" s="50">
        <v>43063</v>
      </c>
      <c r="B2655" s="51">
        <v>1079.26</v>
      </c>
      <c r="C2655" s="52"/>
      <c r="D2655" s="52"/>
      <c r="E2655" s="52"/>
      <c r="F2655" s="52"/>
      <c r="G2655" s="52"/>
      <c r="H2655" s="52"/>
    </row>
    <row r="2656" spans="1:8" ht="15.75">
      <c r="A2656" s="50">
        <v>43066</v>
      </c>
      <c r="B2656" s="51">
        <v>1087.51</v>
      </c>
      <c r="C2656" s="52"/>
      <c r="D2656" s="52"/>
      <c r="E2656" s="52"/>
      <c r="F2656" s="52"/>
      <c r="G2656" s="52"/>
      <c r="H2656" s="52"/>
    </row>
    <row r="2657" spans="1:8" ht="15.75">
      <c r="A2657" s="50">
        <v>43067</v>
      </c>
      <c r="B2657" s="51">
        <v>1096.28</v>
      </c>
      <c r="C2657" s="52"/>
      <c r="D2657" s="52"/>
      <c r="E2657" s="52"/>
      <c r="F2657" s="52"/>
      <c r="G2657" s="52"/>
      <c r="H2657" s="52"/>
    </row>
    <row r="2658" spans="1:8" ht="15.75">
      <c r="A2658" s="50">
        <v>43068</v>
      </c>
      <c r="B2658" s="51">
        <v>1079.17</v>
      </c>
      <c r="C2658" s="52"/>
      <c r="D2658" s="52"/>
      <c r="E2658" s="52"/>
      <c r="F2658" s="52"/>
      <c r="G2658" s="52"/>
      <c r="H2658" s="52"/>
    </row>
    <row r="2659" spans="1:8" ht="15.75">
      <c r="A2659" s="50">
        <v>43069</v>
      </c>
      <c r="B2659" s="51">
        <v>1072.19</v>
      </c>
      <c r="C2659" s="52"/>
      <c r="D2659" s="52"/>
      <c r="E2659" s="52"/>
      <c r="F2659" s="52"/>
      <c r="G2659" s="52"/>
      <c r="H2659" s="52"/>
    </row>
    <row r="2660" spans="1:8" ht="15.75">
      <c r="A2660" s="50">
        <v>43070</v>
      </c>
      <c r="B2660" s="51">
        <v>1076.3499999999999</v>
      </c>
      <c r="C2660" s="52"/>
      <c r="D2660" s="52"/>
      <c r="E2660" s="52"/>
      <c r="F2660" s="52"/>
      <c r="G2660" s="52"/>
      <c r="H2660" s="52"/>
    </row>
    <row r="2661" spans="1:8" ht="15.75">
      <c r="A2661" s="50">
        <v>43073</v>
      </c>
      <c r="B2661" s="51">
        <v>1075.31</v>
      </c>
      <c r="C2661" s="52"/>
      <c r="D2661" s="52"/>
      <c r="E2661" s="52"/>
      <c r="F2661" s="52"/>
      <c r="G2661" s="52"/>
      <c r="H2661" s="52"/>
    </row>
    <row r="2662" spans="1:8" ht="15.75">
      <c r="A2662" s="50">
        <v>43074</v>
      </c>
      <c r="B2662" s="51">
        <v>1067.2</v>
      </c>
      <c r="C2662" s="52"/>
      <c r="D2662" s="52"/>
      <c r="E2662" s="52"/>
      <c r="F2662" s="52"/>
      <c r="G2662" s="52"/>
      <c r="H2662" s="52"/>
    </row>
    <row r="2663" spans="1:8" ht="15.75">
      <c r="A2663" s="50">
        <v>43075</v>
      </c>
      <c r="B2663" s="51">
        <v>1071.25</v>
      </c>
      <c r="C2663" s="52"/>
      <c r="D2663" s="52"/>
      <c r="E2663" s="52"/>
      <c r="F2663" s="52"/>
      <c r="G2663" s="52"/>
      <c r="H2663" s="52"/>
    </row>
    <row r="2664" spans="1:8" ht="15.75">
      <c r="A2664" s="50">
        <v>43076</v>
      </c>
      <c r="B2664" s="51">
        <v>1056.72</v>
      </c>
      <c r="C2664" s="52"/>
      <c r="D2664" s="52"/>
      <c r="E2664" s="52"/>
      <c r="F2664" s="52"/>
      <c r="G2664" s="52"/>
      <c r="H2664" s="52"/>
    </row>
    <row r="2665" spans="1:8" ht="15.75">
      <c r="A2665" s="50">
        <v>43077</v>
      </c>
      <c r="B2665" s="51">
        <v>1052.07</v>
      </c>
      <c r="C2665" s="52"/>
      <c r="D2665" s="52"/>
      <c r="E2665" s="52"/>
      <c r="F2665" s="52"/>
      <c r="G2665" s="52"/>
      <c r="H2665" s="52"/>
    </row>
    <row r="2666" spans="1:8" ht="15.75">
      <c r="A2666" s="50">
        <v>43080</v>
      </c>
      <c r="B2666" s="51">
        <v>1054.93</v>
      </c>
      <c r="C2666" s="52"/>
      <c r="D2666" s="52"/>
      <c r="E2666" s="52"/>
      <c r="F2666" s="52"/>
      <c r="G2666" s="52"/>
      <c r="H2666" s="52"/>
    </row>
    <row r="2667" spans="1:8" ht="15.75">
      <c r="A2667" s="50">
        <v>43081</v>
      </c>
      <c r="B2667" s="51">
        <v>1061.2</v>
      </c>
      <c r="C2667" s="52"/>
      <c r="D2667" s="52"/>
      <c r="E2667" s="52"/>
      <c r="F2667" s="52"/>
      <c r="G2667" s="52"/>
      <c r="H2667" s="52"/>
    </row>
    <row r="2668" spans="1:8" ht="15.75">
      <c r="A2668" s="50">
        <v>43082</v>
      </c>
      <c r="B2668" s="51">
        <v>1061.9000000000001</v>
      </c>
      <c r="C2668" s="52"/>
      <c r="D2668" s="52"/>
      <c r="E2668" s="52"/>
      <c r="F2668" s="52"/>
      <c r="G2668" s="52"/>
      <c r="H2668" s="52"/>
    </row>
    <row r="2669" spans="1:8" ht="15.75">
      <c r="A2669" s="50">
        <v>43083</v>
      </c>
      <c r="B2669" s="51">
        <v>1063.6600000000001</v>
      </c>
      <c r="C2669" s="52"/>
      <c r="D2669" s="52"/>
      <c r="E2669" s="52"/>
      <c r="F2669" s="52"/>
      <c r="G2669" s="52"/>
      <c r="H2669" s="52"/>
    </row>
    <row r="2670" spans="1:8" ht="15.75">
      <c r="A2670" s="50">
        <v>43084</v>
      </c>
      <c r="B2670" s="51">
        <v>1059.83</v>
      </c>
      <c r="C2670" s="52"/>
      <c r="D2670" s="52"/>
      <c r="E2670" s="52"/>
      <c r="F2670" s="52"/>
      <c r="G2670" s="52"/>
      <c r="H2670" s="52"/>
    </row>
    <row r="2671" spans="1:8" ht="15.75">
      <c r="A2671" s="50">
        <v>43087</v>
      </c>
      <c r="B2671" s="51">
        <v>1070.71</v>
      </c>
      <c r="C2671" s="52"/>
      <c r="D2671" s="52"/>
      <c r="E2671" s="52"/>
      <c r="F2671" s="52"/>
      <c r="G2671" s="52"/>
      <c r="H2671" s="52"/>
    </row>
    <row r="2672" spans="1:8" ht="15.75">
      <c r="A2672" s="50">
        <v>43088</v>
      </c>
      <c r="B2672" s="51">
        <v>1063.42</v>
      </c>
      <c r="C2672" s="52"/>
      <c r="D2672" s="52"/>
      <c r="E2672" s="52"/>
      <c r="F2672" s="52"/>
      <c r="G2672" s="52"/>
      <c r="H2672" s="52"/>
    </row>
    <row r="2673" spans="1:8" ht="15.75">
      <c r="A2673" s="50">
        <v>43089</v>
      </c>
      <c r="B2673" s="51">
        <v>1063.6600000000001</v>
      </c>
      <c r="C2673" s="52"/>
      <c r="D2673" s="52"/>
      <c r="E2673" s="52"/>
      <c r="F2673" s="52"/>
      <c r="G2673" s="52"/>
      <c r="H2673" s="52"/>
    </row>
    <row r="2674" spans="1:8" ht="15.75">
      <c r="A2674" s="50">
        <v>43090</v>
      </c>
      <c r="B2674" s="51">
        <v>1067.22</v>
      </c>
      <c r="C2674" s="52"/>
      <c r="D2674" s="52"/>
      <c r="E2674" s="52"/>
      <c r="F2674" s="52"/>
      <c r="G2674" s="52"/>
      <c r="H2674" s="52"/>
    </row>
    <row r="2675" spans="1:8" ht="15.75">
      <c r="A2675" s="50">
        <v>43091</v>
      </c>
      <c r="B2675" s="51">
        <v>1074.98</v>
      </c>
      <c r="C2675" s="52"/>
      <c r="D2675" s="52"/>
      <c r="E2675" s="52"/>
      <c r="F2675" s="52"/>
      <c r="G2675" s="52"/>
      <c r="H2675" s="52"/>
    </row>
    <row r="2676" spans="1:8" ht="15.75">
      <c r="A2676" s="50">
        <v>43095</v>
      </c>
      <c r="B2676" s="51">
        <v>1081.18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43096</v>
      </c>
      <c r="B2677" s="51">
        <v>1081.76</v>
      </c>
      <c r="C2677" s="52"/>
      <c r="D2677" s="52"/>
      <c r="E2677" s="52"/>
      <c r="F2677" s="52"/>
      <c r="G2677" s="52"/>
      <c r="H2677" s="52"/>
    </row>
    <row r="2678" spans="1:8" ht="15.75">
      <c r="A2678" s="50">
        <v>43097</v>
      </c>
      <c r="B2678" s="51">
        <v>1082.76</v>
      </c>
      <c r="C2678" s="52"/>
      <c r="D2678" s="52"/>
      <c r="E2678" s="52"/>
      <c r="F2678" s="52"/>
      <c r="G2678" s="52"/>
      <c r="H2678" s="52"/>
    </row>
    <row r="2679" spans="1:8" ht="15.75">
      <c r="A2679" s="50">
        <v>43098</v>
      </c>
      <c r="B2679" s="51">
        <v>1085.21</v>
      </c>
      <c r="C2679" s="52"/>
      <c r="D2679" s="52"/>
      <c r="E2679" s="52"/>
      <c r="F2679" s="52"/>
      <c r="G2679" s="52"/>
      <c r="H2679" s="52"/>
    </row>
    <row r="2680" spans="1:8" ht="15.75">
      <c r="A2680" s="50">
        <v>43102</v>
      </c>
      <c r="B2680" s="51">
        <v>1091.9000000000001</v>
      </c>
      <c r="C2680" s="52"/>
      <c r="D2680" s="52"/>
      <c r="E2680" s="52"/>
      <c r="F2680" s="52"/>
      <c r="G2680" s="52"/>
      <c r="H2680" s="52"/>
    </row>
    <row r="2681" spans="1:8" ht="15.75">
      <c r="A2681" s="50">
        <v>43103</v>
      </c>
      <c r="B2681" s="51">
        <v>1097.69</v>
      </c>
      <c r="C2681" s="52"/>
      <c r="D2681" s="52"/>
      <c r="E2681" s="52"/>
      <c r="F2681" s="52"/>
      <c r="G2681" s="52"/>
      <c r="H2681" s="52"/>
    </row>
    <row r="2682" spans="1:8" ht="15.75">
      <c r="A2682" s="50">
        <v>43104</v>
      </c>
      <c r="B2682" s="51">
        <v>1099.97</v>
      </c>
      <c r="C2682" s="52"/>
      <c r="D2682" s="52"/>
      <c r="E2682" s="52"/>
      <c r="F2682" s="52"/>
      <c r="G2682" s="52"/>
      <c r="H2682" s="52"/>
    </row>
    <row r="2683" spans="1:8" ht="15.75">
      <c r="A2683" s="50">
        <v>43105</v>
      </c>
      <c r="B2683" s="51">
        <v>1097</v>
      </c>
      <c r="C2683" s="52"/>
      <c r="D2683" s="52"/>
      <c r="E2683" s="52"/>
      <c r="F2683" s="52"/>
      <c r="G2683" s="52"/>
      <c r="H2683" s="52"/>
    </row>
    <row r="2684" spans="1:8" ht="15.75">
      <c r="A2684" s="50">
        <v>43108</v>
      </c>
      <c r="B2684" s="51">
        <v>1103.58</v>
      </c>
      <c r="C2684" s="52"/>
      <c r="D2684" s="52"/>
      <c r="E2684" s="52"/>
      <c r="F2684" s="52"/>
      <c r="G2684" s="52"/>
      <c r="H2684" s="52"/>
    </row>
    <row r="2685" spans="1:8" ht="15.75">
      <c r="A2685" s="50">
        <v>43109</v>
      </c>
      <c r="B2685" s="51">
        <v>1098.68</v>
      </c>
      <c r="C2685" s="52"/>
      <c r="D2685" s="52"/>
      <c r="E2685" s="52"/>
      <c r="F2685" s="52"/>
      <c r="G2685" s="52"/>
      <c r="H2685" s="52"/>
    </row>
    <row r="2686" spans="1:8" ht="15.75">
      <c r="A2686" s="50">
        <v>43110</v>
      </c>
      <c r="B2686" s="51">
        <v>1096.51</v>
      </c>
      <c r="C2686" s="52"/>
      <c r="D2686" s="52"/>
      <c r="E2686" s="52"/>
      <c r="F2686" s="52"/>
      <c r="G2686" s="52"/>
      <c r="H2686" s="52"/>
    </row>
    <row r="2687" spans="1:8" ht="15.75">
      <c r="A2687" s="50">
        <v>43111</v>
      </c>
      <c r="B2687" s="51">
        <v>1101.1500000000001</v>
      </c>
      <c r="C2687" s="52"/>
      <c r="D2687" s="52"/>
      <c r="E2687" s="52"/>
      <c r="F2687" s="52"/>
      <c r="G2687" s="52"/>
      <c r="H2687" s="52"/>
    </row>
    <row r="2688" spans="1:8" ht="15.75">
      <c r="A2688" s="50">
        <v>43112</v>
      </c>
      <c r="B2688" s="51">
        <v>1094.76</v>
      </c>
      <c r="C2688" s="52"/>
      <c r="D2688" s="52"/>
      <c r="E2688" s="52"/>
      <c r="F2688" s="52"/>
      <c r="G2688" s="52"/>
      <c r="H2688" s="52"/>
    </row>
    <row r="2689" spans="1:8" ht="15.75">
      <c r="A2689" s="50">
        <v>43115</v>
      </c>
      <c r="B2689" s="51">
        <v>1092.8399999999999</v>
      </c>
      <c r="C2689" s="52"/>
      <c r="D2689" s="52"/>
      <c r="E2689" s="52"/>
      <c r="F2689" s="52"/>
      <c r="G2689" s="52"/>
      <c r="H2689" s="52"/>
    </row>
    <row r="2690" spans="1:8" ht="15.75">
      <c r="A2690" s="50">
        <v>43116</v>
      </c>
      <c r="B2690" s="51">
        <v>1092.01</v>
      </c>
      <c r="C2690" s="52"/>
      <c r="D2690" s="52"/>
      <c r="E2690" s="52"/>
      <c r="F2690" s="52"/>
      <c r="G2690" s="52"/>
      <c r="H2690" s="52"/>
    </row>
    <row r="2691" spans="1:8" ht="15.75">
      <c r="A2691" s="50">
        <v>43117</v>
      </c>
      <c r="B2691" s="51">
        <v>1099.24</v>
      </c>
      <c r="C2691" s="52"/>
      <c r="D2691" s="52"/>
      <c r="E2691" s="52"/>
      <c r="F2691" s="52"/>
      <c r="G2691" s="52"/>
      <c r="H2691" s="52"/>
    </row>
    <row r="2692" spans="1:8" ht="15.75">
      <c r="A2692" s="50">
        <v>43118</v>
      </c>
      <c r="B2692" s="51">
        <v>1082.01</v>
      </c>
      <c r="C2692" s="52"/>
      <c r="D2692" s="52"/>
      <c r="E2692" s="52"/>
      <c r="F2692" s="52"/>
      <c r="G2692" s="52"/>
      <c r="H2692" s="52"/>
    </row>
    <row r="2693" spans="1:8" ht="15.75">
      <c r="A2693" s="50">
        <v>43119</v>
      </c>
      <c r="B2693" s="51">
        <v>1089.42</v>
      </c>
      <c r="C2693" s="52"/>
      <c r="D2693" s="52"/>
      <c r="E2693" s="52"/>
      <c r="F2693" s="52"/>
      <c r="G2693" s="52"/>
      <c r="H2693" s="52"/>
    </row>
    <row r="2694" spans="1:8" ht="15.75">
      <c r="A2694" s="50">
        <v>43122</v>
      </c>
      <c r="B2694" s="51">
        <v>1087.99</v>
      </c>
      <c r="C2694" s="52"/>
      <c r="D2694" s="52"/>
      <c r="E2694" s="52"/>
      <c r="F2694" s="52"/>
      <c r="G2694" s="52"/>
      <c r="H2694" s="52"/>
    </row>
    <row r="2695" spans="1:8" ht="15.75">
      <c r="A2695" s="50">
        <v>43123</v>
      </c>
      <c r="B2695" s="51">
        <v>1090.33</v>
      </c>
      <c r="C2695" s="52"/>
      <c r="D2695" s="52"/>
      <c r="E2695" s="52"/>
      <c r="F2695" s="52"/>
      <c r="G2695" s="52"/>
      <c r="H2695" s="52"/>
    </row>
    <row r="2696" spans="1:8" ht="15.75">
      <c r="A2696" s="50">
        <v>43124</v>
      </c>
      <c r="B2696" s="51">
        <v>1095.03</v>
      </c>
      <c r="C2696" s="52"/>
      <c r="D2696" s="52"/>
      <c r="E2696" s="52"/>
      <c r="F2696" s="52"/>
      <c r="G2696" s="52"/>
      <c r="H2696" s="52"/>
    </row>
    <row r="2697" spans="1:8" ht="15.75">
      <c r="A2697" s="50">
        <v>43125</v>
      </c>
      <c r="B2697" s="51">
        <v>1088.71</v>
      </c>
      <c r="C2697" s="52"/>
      <c r="D2697" s="52"/>
      <c r="E2697" s="52"/>
      <c r="F2697" s="52"/>
      <c r="G2697" s="52"/>
      <c r="H2697" s="52"/>
    </row>
    <row r="2698" spans="1:8" ht="15.75">
      <c r="A2698" s="50">
        <v>43126</v>
      </c>
      <c r="B2698" s="51">
        <v>1087.8599999999999</v>
      </c>
      <c r="C2698" s="52"/>
      <c r="D2698" s="52"/>
      <c r="E2698" s="52"/>
      <c r="F2698" s="52"/>
      <c r="G2698" s="52"/>
      <c r="H2698" s="52"/>
    </row>
    <row r="2699" spans="1:8" ht="15.75">
      <c r="A2699" s="50">
        <v>43129</v>
      </c>
      <c r="B2699" s="51">
        <v>1079.49</v>
      </c>
      <c r="C2699" s="52"/>
      <c r="D2699" s="52"/>
      <c r="E2699" s="52"/>
      <c r="F2699" s="52"/>
      <c r="G2699" s="52"/>
      <c r="H2699" s="52"/>
    </row>
    <row r="2700" spans="1:8" ht="15.75">
      <c r="A2700" s="50">
        <v>43130</v>
      </c>
      <c r="B2700" s="51">
        <v>1079.32</v>
      </c>
      <c r="C2700" s="52"/>
      <c r="D2700" s="52"/>
      <c r="E2700" s="52"/>
      <c r="F2700" s="52"/>
      <c r="G2700" s="52"/>
      <c r="H2700" s="52"/>
    </row>
    <row r="2701" spans="1:8" ht="15.75">
      <c r="A2701" s="50">
        <v>43131</v>
      </c>
      <c r="B2701" s="51">
        <v>1083.5899999999999</v>
      </c>
      <c r="C2701" s="52"/>
      <c r="D2701" s="52"/>
      <c r="E2701" s="52"/>
      <c r="F2701" s="52"/>
      <c r="G2701" s="52"/>
      <c r="H2701" s="52"/>
    </row>
    <row r="2702" spans="1:8" ht="15.75">
      <c r="A2702" s="50">
        <v>43132</v>
      </c>
      <c r="B2702" s="51">
        <v>1078.43</v>
      </c>
      <c r="C2702" s="52"/>
      <c r="D2702" s="52"/>
      <c r="E2702" s="52"/>
      <c r="F2702" s="52"/>
      <c r="G2702" s="52"/>
      <c r="H2702" s="52"/>
    </row>
    <row r="2703" spans="1:8" ht="15.75">
      <c r="A2703" s="50">
        <v>43133</v>
      </c>
      <c r="B2703" s="51">
        <v>1071.99</v>
      </c>
      <c r="C2703" s="52"/>
      <c r="D2703" s="52"/>
      <c r="E2703" s="52"/>
      <c r="F2703" s="52"/>
      <c r="G2703" s="52"/>
      <c r="H2703" s="52"/>
    </row>
    <row r="2704" spans="1:8" ht="15.75">
      <c r="A2704" s="50">
        <v>43136</v>
      </c>
      <c r="B2704" s="51">
        <v>1074.9000000000001</v>
      </c>
      <c r="C2704" s="52"/>
      <c r="D2704" s="52"/>
      <c r="E2704" s="52"/>
      <c r="F2704" s="52"/>
      <c r="G2704" s="52"/>
      <c r="H2704" s="52"/>
    </row>
    <row r="2705" spans="1:8" ht="15.75">
      <c r="A2705" s="50">
        <v>43137</v>
      </c>
      <c r="B2705" s="51">
        <v>1063.74</v>
      </c>
      <c r="C2705" s="52"/>
      <c r="D2705" s="52"/>
      <c r="E2705" s="52"/>
      <c r="F2705" s="52"/>
      <c r="G2705" s="52"/>
      <c r="H2705" s="52"/>
    </row>
    <row r="2706" spans="1:8" ht="15.75">
      <c r="A2706" s="50">
        <v>43138</v>
      </c>
      <c r="B2706" s="51">
        <v>1069.22</v>
      </c>
      <c r="C2706" s="52"/>
      <c r="D2706" s="52"/>
      <c r="E2706" s="52"/>
      <c r="F2706" s="52"/>
      <c r="G2706" s="52"/>
      <c r="H2706" s="52"/>
    </row>
    <row r="2707" spans="1:8" ht="15.75">
      <c r="A2707" s="50">
        <v>43139</v>
      </c>
      <c r="B2707" s="51">
        <v>1072.43</v>
      </c>
      <c r="C2707" s="52"/>
      <c r="D2707" s="52"/>
      <c r="E2707" s="52"/>
      <c r="F2707" s="52"/>
      <c r="G2707" s="52"/>
      <c r="H2707" s="52"/>
    </row>
    <row r="2708" spans="1:8" ht="15.75">
      <c r="A2708" s="50">
        <v>43140</v>
      </c>
      <c r="B2708" s="51">
        <v>1074.3499999999999</v>
      </c>
      <c r="C2708" s="52"/>
      <c r="D2708" s="52"/>
      <c r="E2708" s="52"/>
      <c r="F2708" s="52"/>
      <c r="G2708" s="52"/>
      <c r="H2708" s="52"/>
    </row>
    <row r="2709" spans="1:8" ht="15.75">
      <c r="A2709" s="50">
        <v>43143</v>
      </c>
      <c r="B2709" s="51">
        <v>1076.22</v>
      </c>
      <c r="C2709" s="52"/>
      <c r="D2709" s="52"/>
      <c r="E2709" s="52"/>
      <c r="F2709" s="52"/>
      <c r="G2709" s="52"/>
      <c r="H2709" s="52"/>
    </row>
    <row r="2710" spans="1:8" ht="15.75">
      <c r="A2710" s="50">
        <v>43144</v>
      </c>
      <c r="B2710" s="51">
        <v>1076.3900000000001</v>
      </c>
      <c r="C2710" s="52"/>
      <c r="D2710" s="52"/>
      <c r="E2710" s="52"/>
      <c r="F2710" s="52"/>
      <c r="G2710" s="52"/>
      <c r="H2710" s="52"/>
    </row>
    <row r="2711" spans="1:8" ht="15.75">
      <c r="A2711" s="50">
        <v>43145</v>
      </c>
      <c r="B2711" s="51">
        <v>1070.23</v>
      </c>
      <c r="C2711" s="52"/>
      <c r="D2711" s="52"/>
      <c r="E2711" s="52"/>
      <c r="F2711" s="52"/>
      <c r="G2711" s="52"/>
      <c r="H2711" s="52"/>
    </row>
    <row r="2712" spans="1:8" ht="15.75">
      <c r="A2712" s="50">
        <v>43146</v>
      </c>
      <c r="B2712" s="51">
        <v>1087.77</v>
      </c>
      <c r="C2712" s="52"/>
      <c r="D2712" s="52"/>
      <c r="E2712" s="52"/>
      <c r="F2712" s="52"/>
      <c r="G2712" s="52"/>
      <c r="H2712" s="52"/>
    </row>
    <row r="2713" spans="1:8" ht="15.75">
      <c r="A2713" s="50">
        <v>43147</v>
      </c>
      <c r="B2713" s="51">
        <v>1084.6199999999999</v>
      </c>
      <c r="C2713" s="52"/>
      <c r="D2713" s="52"/>
      <c r="E2713" s="52"/>
      <c r="F2713" s="52"/>
      <c r="G2713" s="52"/>
      <c r="H2713" s="52"/>
    </row>
    <row r="2714" spans="1:8" ht="15.75">
      <c r="A2714" s="50">
        <v>43150</v>
      </c>
      <c r="B2714" s="51">
        <v>1085.77</v>
      </c>
      <c r="C2714" s="52"/>
      <c r="D2714" s="52"/>
      <c r="E2714" s="52"/>
      <c r="F2714" s="52"/>
      <c r="G2714" s="52"/>
      <c r="H2714" s="52"/>
    </row>
    <row r="2715" spans="1:8" ht="15.75">
      <c r="A2715" s="50">
        <v>43151</v>
      </c>
      <c r="B2715" s="51">
        <v>1074</v>
      </c>
      <c r="C2715" s="52"/>
      <c r="D2715" s="52"/>
      <c r="E2715" s="52"/>
      <c r="F2715" s="52"/>
      <c r="G2715" s="52"/>
      <c r="H2715" s="52"/>
    </row>
    <row r="2716" spans="1:8" ht="15.75">
      <c r="A2716" s="50">
        <v>43152</v>
      </c>
      <c r="B2716" s="51">
        <v>1077.99</v>
      </c>
      <c r="C2716" s="52"/>
      <c r="D2716" s="52"/>
      <c r="E2716" s="52"/>
      <c r="F2716" s="52"/>
      <c r="G2716" s="52"/>
      <c r="H2716" s="52"/>
    </row>
    <row r="2717" spans="1:8" ht="15.75">
      <c r="A2717" s="50">
        <v>43153</v>
      </c>
      <c r="B2717" s="51">
        <v>1080.4100000000001</v>
      </c>
      <c r="C2717" s="52"/>
      <c r="D2717" s="52"/>
      <c r="E2717" s="52"/>
      <c r="F2717" s="52"/>
      <c r="G2717" s="52"/>
      <c r="H2717" s="52"/>
    </row>
    <row r="2718" spans="1:8" ht="15.75">
      <c r="A2718" s="50">
        <v>43154</v>
      </c>
      <c r="B2718" s="51">
        <v>1080.8599999999999</v>
      </c>
      <c r="C2718" s="52"/>
      <c r="D2718" s="52"/>
      <c r="E2718" s="52"/>
      <c r="F2718" s="52"/>
      <c r="G2718" s="52"/>
      <c r="H2718" s="52"/>
    </row>
    <row r="2719" spans="1:8" ht="15.75">
      <c r="A2719" s="50">
        <v>43157</v>
      </c>
      <c r="B2719" s="51">
        <v>1081.82</v>
      </c>
      <c r="C2719" s="52"/>
      <c r="D2719" s="52"/>
      <c r="E2719" s="52"/>
      <c r="F2719" s="52"/>
      <c r="G2719" s="52"/>
      <c r="H2719" s="52"/>
    </row>
    <row r="2720" spans="1:8" ht="15.75">
      <c r="A2720" s="50">
        <v>43158</v>
      </c>
      <c r="B2720" s="51">
        <v>1071.8399999999999</v>
      </c>
      <c r="C2720" s="52"/>
      <c r="D2720" s="52"/>
      <c r="E2720" s="52"/>
      <c r="F2720" s="52"/>
      <c r="G2720" s="52"/>
      <c r="H2720" s="52"/>
    </row>
    <row r="2721" spans="1:8" ht="15.75">
      <c r="A2721" s="50">
        <v>43159</v>
      </c>
      <c r="B2721" s="51">
        <v>1082.6300000000001</v>
      </c>
      <c r="C2721" s="52"/>
      <c r="D2721" s="52"/>
      <c r="E2721" s="52"/>
      <c r="F2721" s="52"/>
      <c r="G2721" s="52"/>
      <c r="H2721" s="52"/>
    </row>
    <row r="2722" spans="1:8" ht="15.75">
      <c r="A2722" s="50">
        <v>43160</v>
      </c>
      <c r="B2722" s="51">
        <v>1073.0999999999999</v>
      </c>
      <c r="C2722" s="52"/>
      <c r="D2722" s="52"/>
      <c r="E2722" s="52"/>
      <c r="F2722" s="52"/>
      <c r="G2722" s="52"/>
      <c r="H2722" s="52"/>
    </row>
    <row r="2723" spans="1:8" ht="15.75">
      <c r="A2723" s="50">
        <v>43161</v>
      </c>
      <c r="B2723" s="51">
        <v>1073.68</v>
      </c>
      <c r="C2723" s="52"/>
      <c r="D2723" s="52"/>
      <c r="E2723" s="52"/>
      <c r="F2723" s="52"/>
      <c r="G2723" s="52"/>
      <c r="H2723" s="52"/>
    </row>
    <row r="2724" spans="1:8" ht="15.75">
      <c r="A2724" s="50">
        <v>43164</v>
      </c>
      <c r="B2724" s="51">
        <v>1070.54</v>
      </c>
      <c r="C2724" s="52"/>
      <c r="D2724" s="52"/>
      <c r="E2724" s="52"/>
      <c r="F2724" s="52"/>
      <c r="G2724" s="52"/>
      <c r="H2724" s="52"/>
    </row>
    <row r="2725" spans="1:8" ht="15.75">
      <c r="A2725" s="50">
        <v>43165</v>
      </c>
      <c r="B2725" s="51">
        <v>1077.72</v>
      </c>
      <c r="C2725" s="52"/>
      <c r="D2725" s="52"/>
      <c r="E2725" s="52"/>
      <c r="F2725" s="52"/>
      <c r="G2725" s="52"/>
      <c r="H2725" s="52"/>
    </row>
    <row r="2726" spans="1:8" ht="15.75">
      <c r="A2726" s="50">
        <v>43166</v>
      </c>
      <c r="B2726" s="51">
        <v>1067.33</v>
      </c>
      <c r="C2726" s="52"/>
      <c r="D2726" s="52"/>
      <c r="E2726" s="52"/>
      <c r="F2726" s="52"/>
      <c r="G2726" s="52"/>
      <c r="H2726" s="52"/>
    </row>
    <row r="2727" spans="1:8" ht="15.75">
      <c r="A2727" s="50">
        <v>43167</v>
      </c>
      <c r="B2727" s="51">
        <v>1073.53</v>
      </c>
      <c r="C2727" s="52"/>
      <c r="D2727" s="52"/>
      <c r="E2727" s="52"/>
      <c r="F2727" s="52"/>
      <c r="G2727" s="52"/>
      <c r="H2727" s="52"/>
    </row>
    <row r="2728" spans="1:8" ht="15.75">
      <c r="A2728" s="50">
        <v>43168</v>
      </c>
      <c r="B2728" s="51">
        <v>1075.43</v>
      </c>
      <c r="C2728" s="52"/>
      <c r="D2728" s="52"/>
      <c r="E2728" s="52"/>
      <c r="F2728" s="52"/>
      <c r="G2728" s="52"/>
      <c r="H2728" s="52"/>
    </row>
    <row r="2729" spans="1:8" ht="15.75">
      <c r="A2729" s="50">
        <v>43171</v>
      </c>
      <c r="B2729" s="51">
        <v>1072.8599999999999</v>
      </c>
      <c r="C2729" s="52"/>
      <c r="D2729" s="52"/>
      <c r="E2729" s="52"/>
      <c r="F2729" s="52"/>
      <c r="G2729" s="52"/>
      <c r="H2729" s="52"/>
    </row>
    <row r="2730" spans="1:8" ht="15.75">
      <c r="A2730" s="50">
        <v>43172</v>
      </c>
      <c r="B2730" s="51">
        <v>1069.93</v>
      </c>
      <c r="C2730" s="52"/>
      <c r="D2730" s="52"/>
      <c r="E2730" s="52"/>
      <c r="F2730" s="52"/>
      <c r="G2730" s="52"/>
      <c r="H2730" s="52"/>
    </row>
    <row r="2731" spans="1:8" ht="15.75">
      <c r="A2731" s="50">
        <v>43173</v>
      </c>
      <c r="B2731" s="51">
        <v>1070.32</v>
      </c>
      <c r="C2731" s="52"/>
      <c r="D2731" s="52"/>
      <c r="E2731" s="52"/>
      <c r="F2731" s="52"/>
      <c r="G2731" s="52"/>
      <c r="H2731" s="52"/>
    </row>
    <row r="2732" spans="1:8" ht="15.75">
      <c r="A2732" s="50">
        <v>43174</v>
      </c>
      <c r="B2732" s="51">
        <v>1069.53</v>
      </c>
      <c r="C2732" s="52"/>
      <c r="D2732" s="52"/>
      <c r="E2732" s="52"/>
      <c r="F2732" s="52"/>
      <c r="G2732" s="52"/>
      <c r="H2732" s="52"/>
    </row>
    <row r="2733" spans="1:8" ht="15.75">
      <c r="A2733" s="50">
        <v>43175</v>
      </c>
      <c r="B2733" s="51">
        <v>1069.26</v>
      </c>
      <c r="C2733" s="52"/>
      <c r="D2733" s="52"/>
      <c r="E2733" s="52"/>
      <c r="F2733" s="52"/>
      <c r="G2733" s="52"/>
      <c r="H2733" s="52"/>
    </row>
    <row r="2734" spans="1:8" ht="15.75">
      <c r="A2734" s="50">
        <v>43178</v>
      </c>
      <c r="B2734" s="51">
        <v>1067.76</v>
      </c>
      <c r="C2734" s="52"/>
      <c r="D2734" s="52"/>
      <c r="E2734" s="52"/>
      <c r="F2734" s="52"/>
      <c r="G2734" s="52"/>
      <c r="H2734" s="52"/>
    </row>
    <row r="2735" spans="1:8" ht="15.75">
      <c r="A2735" s="50">
        <v>43179</v>
      </c>
      <c r="B2735" s="51">
        <v>1070.94</v>
      </c>
      <c r="C2735" s="52"/>
      <c r="D2735" s="52"/>
      <c r="E2735" s="52"/>
      <c r="F2735" s="52"/>
      <c r="G2735" s="52"/>
      <c r="H2735" s="52"/>
    </row>
    <row r="2736" spans="1:8" ht="15.75">
      <c r="A2736" s="50">
        <v>43180</v>
      </c>
      <c r="B2736" s="51">
        <v>1078.98</v>
      </c>
      <c r="C2736" s="52"/>
      <c r="D2736" s="52"/>
      <c r="E2736" s="52"/>
      <c r="F2736" s="52"/>
      <c r="G2736" s="52"/>
      <c r="H2736" s="52"/>
    </row>
    <row r="2737" spans="1:8" ht="15.75">
      <c r="A2737" s="50">
        <v>43181</v>
      </c>
      <c r="B2737" s="51">
        <v>1080.1300000000001</v>
      </c>
      <c r="C2737" s="52"/>
      <c r="D2737" s="52"/>
      <c r="E2737" s="52"/>
      <c r="F2737" s="52"/>
      <c r="G2737" s="52"/>
      <c r="H2737" s="52"/>
    </row>
    <row r="2738" spans="1:8" ht="15.75">
      <c r="A2738" s="50">
        <v>43182</v>
      </c>
      <c r="B2738" s="51">
        <v>1090.1400000000001</v>
      </c>
      <c r="C2738" s="52"/>
      <c r="D2738" s="52"/>
      <c r="E2738" s="52"/>
      <c r="F2738" s="52"/>
      <c r="G2738" s="52"/>
      <c r="H2738" s="52"/>
    </row>
    <row r="2739" spans="1:8" ht="15.75">
      <c r="A2739" s="50">
        <v>43185</v>
      </c>
      <c r="B2739" s="51">
        <v>1087.28</v>
      </c>
      <c r="C2739" s="52"/>
      <c r="D2739" s="52"/>
      <c r="E2739" s="52"/>
      <c r="F2739" s="52"/>
      <c r="G2739" s="52"/>
      <c r="H2739" s="52"/>
    </row>
    <row r="2740" spans="1:8" ht="15.75">
      <c r="A2740" s="50">
        <v>43186</v>
      </c>
      <c r="B2740" s="51">
        <v>1083.8</v>
      </c>
      <c r="C2740" s="52"/>
      <c r="D2740" s="52"/>
      <c r="E2740" s="52"/>
      <c r="F2740" s="52"/>
      <c r="G2740" s="52"/>
      <c r="H2740" s="52"/>
    </row>
    <row r="2741" spans="1:8" ht="15.75">
      <c r="A2741" s="50">
        <v>43187</v>
      </c>
      <c r="B2741" s="51">
        <v>1076.32</v>
      </c>
      <c r="C2741" s="52"/>
      <c r="D2741" s="52"/>
      <c r="E2741" s="52"/>
      <c r="F2741" s="52"/>
      <c r="G2741" s="52"/>
      <c r="H2741" s="52"/>
    </row>
    <row r="2742" spans="1:8" ht="15.75">
      <c r="A2742" s="50">
        <v>43188</v>
      </c>
      <c r="B2742" s="51">
        <v>1073.71</v>
      </c>
      <c r="C2742" s="52"/>
      <c r="D2742" s="52"/>
      <c r="E2742" s="52"/>
      <c r="F2742" s="52"/>
      <c r="G2742" s="52"/>
      <c r="H2742" s="52"/>
    </row>
    <row r="2743" spans="1:8" ht="15.75">
      <c r="A2743" s="50">
        <v>43192</v>
      </c>
      <c r="B2743" s="51">
        <v>1088.23</v>
      </c>
      <c r="C2743" s="52"/>
      <c r="D2743" s="52"/>
      <c r="E2743" s="52"/>
      <c r="F2743" s="52"/>
      <c r="G2743" s="52"/>
      <c r="H2743" s="52"/>
    </row>
    <row r="2744" spans="1:8" ht="15.75">
      <c r="A2744" s="50">
        <v>43193</v>
      </c>
      <c r="B2744" s="51">
        <v>1086.18</v>
      </c>
      <c r="C2744" s="52"/>
      <c r="D2744" s="52"/>
      <c r="E2744" s="52"/>
      <c r="F2744" s="52"/>
      <c r="G2744" s="52"/>
      <c r="H2744" s="52"/>
    </row>
    <row r="2745" spans="1:8" ht="15.75">
      <c r="A2745" s="50">
        <v>43194</v>
      </c>
      <c r="B2745" s="51">
        <v>1085.6600000000001</v>
      </c>
      <c r="C2745" s="52"/>
      <c r="D2745" s="52"/>
      <c r="E2745" s="52"/>
      <c r="F2745" s="52"/>
      <c r="G2745" s="52"/>
      <c r="H2745" s="52"/>
    </row>
    <row r="2746" spans="1:8" ht="15.75">
      <c r="A2746" s="50">
        <v>43195</v>
      </c>
      <c r="B2746" s="51">
        <v>1077.29</v>
      </c>
      <c r="C2746" s="52"/>
      <c r="D2746" s="52"/>
      <c r="E2746" s="52"/>
      <c r="F2746" s="52"/>
      <c r="G2746" s="52"/>
      <c r="H2746" s="52"/>
    </row>
    <row r="2747" spans="1:8" ht="15.75">
      <c r="A2747" s="50">
        <v>43196</v>
      </c>
      <c r="B2747" s="51">
        <v>1083.8699999999999</v>
      </c>
      <c r="C2747" s="52"/>
      <c r="D2747" s="52"/>
      <c r="E2747" s="52"/>
      <c r="F2747" s="52"/>
      <c r="G2747" s="52"/>
      <c r="H2747" s="52"/>
    </row>
    <row r="2748" spans="1:8" ht="15.75">
      <c r="A2748" s="50">
        <v>43199</v>
      </c>
      <c r="B2748" s="51">
        <v>1084.5899999999999</v>
      </c>
      <c r="C2748" s="52"/>
      <c r="D2748" s="52"/>
      <c r="E2748" s="52"/>
      <c r="F2748" s="52"/>
      <c r="G2748" s="52"/>
      <c r="H2748" s="52"/>
    </row>
    <row r="2749" spans="1:8" ht="15.75">
      <c r="A2749" s="50">
        <v>43200</v>
      </c>
      <c r="B2749" s="51">
        <v>1085.43</v>
      </c>
      <c r="C2749" s="52"/>
      <c r="D2749" s="52"/>
      <c r="E2749" s="52"/>
      <c r="F2749" s="52"/>
      <c r="G2749" s="52"/>
      <c r="H2749" s="52"/>
    </row>
    <row r="2750" spans="1:8" ht="15.75">
      <c r="A2750" s="50">
        <v>43201</v>
      </c>
      <c r="B2750" s="51">
        <v>1094.3</v>
      </c>
      <c r="C2750" s="52"/>
      <c r="D2750" s="52"/>
      <c r="E2750" s="52"/>
      <c r="F2750" s="52"/>
      <c r="G2750" s="52"/>
      <c r="H2750" s="52"/>
    </row>
    <row r="2751" spans="1:8" ht="15.75">
      <c r="A2751" s="50">
        <v>43202</v>
      </c>
      <c r="B2751" s="51">
        <v>1083.42</v>
      </c>
      <c r="C2751" s="52"/>
      <c r="D2751" s="52"/>
      <c r="E2751" s="52"/>
      <c r="F2751" s="52"/>
      <c r="G2751" s="52"/>
      <c r="H2751" s="52"/>
    </row>
    <row r="2752" spans="1:8" ht="15.75">
      <c r="A2752" s="50">
        <v>43203</v>
      </c>
      <c r="B2752" s="51">
        <v>1089.44</v>
      </c>
      <c r="C2752" s="52"/>
      <c r="D2752" s="52"/>
      <c r="E2752" s="52"/>
      <c r="F2752" s="52"/>
      <c r="G2752" s="52"/>
      <c r="H2752" s="52"/>
    </row>
    <row r="2753" spans="1:8" ht="15.75">
      <c r="A2753" s="50">
        <v>43206</v>
      </c>
      <c r="B2753" s="51">
        <v>1088.8800000000001</v>
      </c>
      <c r="C2753" s="52"/>
      <c r="D2753" s="52"/>
      <c r="E2753" s="52"/>
      <c r="F2753" s="52"/>
      <c r="G2753" s="52"/>
      <c r="H2753" s="52"/>
    </row>
    <row r="2754" spans="1:8" ht="15.75">
      <c r="A2754" s="50">
        <v>43207</v>
      </c>
      <c r="B2754" s="51">
        <v>1091.93</v>
      </c>
      <c r="C2754" s="52"/>
      <c r="D2754" s="52"/>
      <c r="E2754" s="52"/>
      <c r="F2754" s="52"/>
      <c r="G2754" s="52"/>
      <c r="H2754" s="52"/>
    </row>
    <row r="2755" spans="1:8" ht="15.75">
      <c r="A2755" s="50">
        <v>43208</v>
      </c>
      <c r="B2755" s="51">
        <v>1090.1500000000001</v>
      </c>
      <c r="C2755" s="52"/>
      <c r="D2755" s="52"/>
      <c r="E2755" s="52"/>
      <c r="F2755" s="52"/>
      <c r="G2755" s="52"/>
      <c r="H2755" s="52"/>
    </row>
    <row r="2756" spans="1:8" ht="15.75">
      <c r="A2756" s="50">
        <v>43209</v>
      </c>
      <c r="B2756" s="51">
        <v>1089.96</v>
      </c>
      <c r="C2756" s="52"/>
      <c r="D2756" s="52"/>
      <c r="E2756" s="52"/>
      <c r="F2756" s="52"/>
      <c r="G2756" s="52"/>
      <c r="H2756" s="52"/>
    </row>
    <row r="2757" spans="1:8" ht="15.75">
      <c r="A2757" s="50">
        <v>43210</v>
      </c>
      <c r="B2757" s="51">
        <v>1084.3699999999999</v>
      </c>
      <c r="C2757" s="52"/>
      <c r="D2757" s="52"/>
      <c r="E2757" s="52"/>
      <c r="F2757" s="52"/>
      <c r="G2757" s="52"/>
      <c r="H2757" s="52"/>
    </row>
    <row r="2758" spans="1:8" ht="15.75">
      <c r="A2758" s="50">
        <v>43213</v>
      </c>
      <c r="B2758" s="51">
        <v>1082.1099999999999</v>
      </c>
      <c r="C2758" s="52"/>
      <c r="D2758" s="52"/>
      <c r="E2758" s="52"/>
      <c r="F2758" s="52"/>
      <c r="G2758" s="52"/>
      <c r="H2758" s="52"/>
    </row>
    <row r="2759" spans="1:8" ht="15.75">
      <c r="A2759" s="50">
        <v>43214</v>
      </c>
      <c r="B2759" s="51">
        <v>1087.73</v>
      </c>
      <c r="C2759" s="52"/>
      <c r="D2759" s="52"/>
      <c r="E2759" s="52"/>
      <c r="F2759" s="52"/>
      <c r="G2759" s="52"/>
      <c r="H2759" s="52"/>
    </row>
    <row r="2760" spans="1:8" ht="15.75">
      <c r="A2760" s="50">
        <v>43215</v>
      </c>
      <c r="B2760" s="51">
        <v>1090.78</v>
      </c>
      <c r="C2760" s="52"/>
      <c r="D2760" s="52"/>
      <c r="E2760" s="52"/>
      <c r="F2760" s="52"/>
      <c r="G2760" s="52"/>
      <c r="H2760" s="52"/>
    </row>
    <row r="2761" spans="1:8" ht="15.75">
      <c r="A2761" s="50">
        <v>43216</v>
      </c>
      <c r="B2761" s="51">
        <v>1088.08</v>
      </c>
      <c r="C2761" s="52"/>
      <c r="D2761" s="52"/>
      <c r="E2761" s="52"/>
      <c r="F2761" s="52"/>
      <c r="G2761" s="52"/>
      <c r="H2761" s="52"/>
    </row>
    <row r="2762" spans="1:8" ht="15.75">
      <c r="A2762" s="50">
        <v>43217</v>
      </c>
      <c r="B2762" s="51">
        <v>1088.95</v>
      </c>
      <c r="C2762" s="52"/>
      <c r="D2762" s="52"/>
      <c r="E2762" s="52"/>
      <c r="F2762" s="52"/>
      <c r="G2762" s="52"/>
      <c r="H2762" s="52"/>
    </row>
    <row r="2763" spans="1:8" ht="15.75">
      <c r="A2763" s="50">
        <v>43220</v>
      </c>
      <c r="B2763" s="51">
        <v>1089.03</v>
      </c>
      <c r="C2763" s="52"/>
      <c r="D2763" s="52"/>
      <c r="E2763" s="52"/>
      <c r="F2763" s="52"/>
      <c r="G2763" s="52"/>
      <c r="H2763" s="52"/>
    </row>
    <row r="2764" spans="1:8" ht="15.75">
      <c r="A2764" s="50">
        <v>43221</v>
      </c>
      <c r="B2764" s="51">
        <v>1084.3599999999999</v>
      </c>
      <c r="C2764" s="52"/>
      <c r="D2764" s="52"/>
      <c r="E2764" s="52"/>
      <c r="F2764" s="52"/>
      <c r="G2764" s="52"/>
      <c r="H2764" s="52"/>
    </row>
    <row r="2765" spans="1:8" ht="15.75">
      <c r="A2765" s="50">
        <v>43222</v>
      </c>
      <c r="B2765" s="51">
        <v>1089.1500000000001</v>
      </c>
      <c r="C2765" s="52"/>
      <c r="D2765" s="52"/>
      <c r="E2765" s="52"/>
      <c r="F2765" s="52"/>
      <c r="G2765" s="52"/>
      <c r="H2765" s="52"/>
    </row>
    <row r="2766" spans="1:8" ht="15.75">
      <c r="A2766" s="50">
        <v>43223</v>
      </c>
      <c r="B2766" s="51">
        <v>1094.76</v>
      </c>
      <c r="C2766" s="52"/>
      <c r="D2766" s="52"/>
      <c r="E2766" s="52"/>
      <c r="F2766" s="52"/>
      <c r="G2766" s="52"/>
      <c r="H2766" s="52"/>
    </row>
    <row r="2767" spans="1:8" ht="15.75">
      <c r="A2767" s="50">
        <v>43224</v>
      </c>
      <c r="B2767" s="51">
        <v>1101.01</v>
      </c>
      <c r="C2767" s="52"/>
      <c r="D2767" s="52"/>
      <c r="E2767" s="52"/>
      <c r="F2767" s="52"/>
      <c r="G2767" s="52"/>
      <c r="H2767" s="52"/>
    </row>
    <row r="2768" spans="1:8" ht="15.75">
      <c r="A2768" s="50">
        <v>43226</v>
      </c>
      <c r="B2768" s="51">
        <v>1094.95</v>
      </c>
      <c r="C2768" s="52"/>
      <c r="D2768" s="52"/>
      <c r="E2768" s="52"/>
      <c r="F2768" s="52"/>
      <c r="G2768" s="52"/>
      <c r="H2768" s="52"/>
    </row>
    <row r="2769" spans="1:8" ht="15.75">
      <c r="A2769" s="50">
        <v>43227</v>
      </c>
      <c r="B2769" s="51">
        <v>1104.1300000000001</v>
      </c>
      <c r="C2769" s="52"/>
      <c r="D2769" s="52"/>
      <c r="E2769" s="52"/>
      <c r="F2769" s="52"/>
      <c r="G2769" s="52"/>
      <c r="H2769" s="52"/>
    </row>
    <row r="2770" spans="1:8" ht="15.75">
      <c r="A2770" s="50">
        <v>43228</v>
      </c>
      <c r="B2770" s="51">
        <v>1108.94</v>
      </c>
      <c r="C2770" s="52"/>
      <c r="D2770" s="52"/>
      <c r="E2770" s="52"/>
      <c r="F2770" s="52"/>
      <c r="G2770" s="52"/>
      <c r="H2770" s="52"/>
    </row>
    <row r="2771" spans="1:8" ht="15.75">
      <c r="A2771" s="50">
        <v>43229</v>
      </c>
      <c r="B2771" s="51">
        <v>1107.28</v>
      </c>
      <c r="C2771" s="52"/>
      <c r="D2771" s="52"/>
      <c r="E2771" s="52"/>
      <c r="F2771" s="52"/>
      <c r="G2771" s="52"/>
      <c r="H2771" s="52"/>
    </row>
    <row r="2772" spans="1:8" ht="15.75">
      <c r="A2772" s="50">
        <v>43230</v>
      </c>
      <c r="B2772" s="51">
        <v>1108.6600000000001</v>
      </c>
      <c r="C2772" s="52"/>
      <c r="D2772" s="52"/>
      <c r="E2772" s="52"/>
      <c r="F2772" s="52"/>
      <c r="G2772" s="52"/>
      <c r="H2772" s="52"/>
    </row>
    <row r="2773" spans="1:8" ht="15.75">
      <c r="A2773" s="50">
        <v>43231</v>
      </c>
      <c r="B2773" s="51">
        <v>1105.3599999999999</v>
      </c>
      <c r="C2773" s="52"/>
      <c r="D2773" s="52"/>
      <c r="E2773" s="52"/>
      <c r="F2773" s="52"/>
      <c r="G2773" s="52"/>
      <c r="H2773" s="52"/>
    </row>
    <row r="2774" spans="1:8" ht="15.75">
      <c r="A2774" s="50">
        <v>43233</v>
      </c>
      <c r="B2774" s="51">
        <v>1106.47</v>
      </c>
      <c r="C2774" s="52"/>
      <c r="D2774" s="52"/>
      <c r="E2774" s="52"/>
      <c r="F2774" s="52"/>
      <c r="G2774" s="52"/>
      <c r="H2774" s="52"/>
    </row>
    <row r="2775" spans="1:8" ht="15.75">
      <c r="A2775" s="50">
        <v>43234</v>
      </c>
      <c r="B2775" s="51">
        <v>1100.67</v>
      </c>
      <c r="C2775" s="52"/>
      <c r="D2775" s="52"/>
      <c r="E2775" s="52"/>
      <c r="F2775" s="52"/>
      <c r="G2775" s="52"/>
      <c r="H2775" s="52"/>
    </row>
    <row r="2776" spans="1:8" ht="15.75">
      <c r="A2776" s="50">
        <v>43235</v>
      </c>
      <c r="B2776" s="51">
        <v>1093.03</v>
      </c>
      <c r="C2776" s="52"/>
      <c r="D2776" s="52"/>
      <c r="E2776" s="52"/>
      <c r="F2776" s="52"/>
      <c r="G2776" s="52"/>
      <c r="H2776" s="52"/>
    </row>
    <row r="2777" spans="1:8" ht="15.75">
      <c r="A2777" s="50">
        <v>43236</v>
      </c>
      <c r="B2777" s="51">
        <v>1098.51</v>
      </c>
      <c r="C2777" s="52"/>
      <c r="D2777" s="52"/>
      <c r="E2777" s="52"/>
      <c r="F2777" s="52"/>
      <c r="G2777" s="52"/>
      <c r="H2777" s="52"/>
    </row>
    <row r="2778" spans="1:8" ht="15.75">
      <c r="A2778" s="50">
        <v>43237</v>
      </c>
      <c r="B2778" s="51">
        <v>1091.24</v>
      </c>
      <c r="C2778" s="52"/>
      <c r="D2778" s="52"/>
      <c r="E2778" s="52"/>
      <c r="F2778" s="52"/>
      <c r="G2778" s="52"/>
      <c r="H2778" s="52"/>
    </row>
    <row r="2779" spans="1:8" ht="15.75">
      <c r="A2779" s="50">
        <v>43238</v>
      </c>
      <c r="B2779" s="51">
        <v>1129.53</v>
      </c>
      <c r="C2779" s="52"/>
      <c r="D2779" s="52"/>
      <c r="E2779" s="52"/>
      <c r="F2779" s="52"/>
      <c r="G2779" s="52"/>
      <c r="H2779" s="52"/>
    </row>
    <row r="2780" spans="1:8" ht="15.75">
      <c r="A2780" s="50">
        <v>43240</v>
      </c>
      <c r="B2780" s="51">
        <v>1129.82</v>
      </c>
      <c r="C2780" s="52"/>
      <c r="D2780" s="52"/>
      <c r="E2780" s="52"/>
      <c r="F2780" s="52"/>
      <c r="G2780" s="52"/>
      <c r="H2780" s="52"/>
    </row>
    <row r="2781" spans="1:8" ht="15.75">
      <c r="A2781" s="50">
        <v>43241</v>
      </c>
      <c r="B2781" s="51">
        <v>1097.7</v>
      </c>
      <c r="C2781" s="52"/>
      <c r="D2781" s="52"/>
      <c r="E2781" s="52"/>
      <c r="F2781" s="52"/>
      <c r="G2781" s="52"/>
      <c r="H2781" s="52"/>
    </row>
    <row r="2782" spans="1:8" ht="15.75">
      <c r="A2782" s="50">
        <v>43242</v>
      </c>
      <c r="B2782" s="51">
        <v>1096.25</v>
      </c>
      <c r="C2782" s="52"/>
      <c r="D2782" s="52"/>
      <c r="E2782" s="52"/>
      <c r="F2782" s="52"/>
      <c r="G2782" s="52"/>
      <c r="H2782" s="52"/>
    </row>
    <row r="2783" spans="1:8" ht="15.75">
      <c r="A2783" s="50">
        <v>43243</v>
      </c>
      <c r="B2783" s="51">
        <v>1104.8599999999999</v>
      </c>
      <c r="C2783" s="52"/>
      <c r="D2783" s="52"/>
      <c r="E2783" s="52"/>
      <c r="F2783" s="52"/>
      <c r="G2783" s="52"/>
      <c r="H2783" s="52"/>
    </row>
    <row r="2784" spans="1:8" ht="15.75">
      <c r="A2784" s="50">
        <v>43244</v>
      </c>
      <c r="B2784" s="51">
        <v>1113.1400000000001</v>
      </c>
      <c r="C2784" s="52"/>
      <c r="D2784" s="52"/>
      <c r="E2784" s="52"/>
      <c r="F2784" s="52"/>
      <c r="G2784" s="52"/>
      <c r="H2784" s="52"/>
    </row>
    <row r="2785" spans="1:8" ht="15.75">
      <c r="A2785" s="50">
        <v>43245</v>
      </c>
      <c r="B2785" s="51">
        <v>1116.6099999999999</v>
      </c>
      <c r="C2785" s="52"/>
      <c r="D2785" s="52"/>
      <c r="E2785" s="52"/>
      <c r="F2785" s="52"/>
      <c r="G2785" s="52"/>
      <c r="H2785" s="52"/>
    </row>
    <row r="2786" spans="1:8" ht="15.75">
      <c r="A2786" s="50">
        <v>43247</v>
      </c>
      <c r="B2786" s="51">
        <v>1113.56</v>
      </c>
      <c r="C2786" s="52"/>
      <c r="D2786" s="52"/>
      <c r="E2786" s="52"/>
      <c r="F2786" s="52"/>
      <c r="G2786" s="52"/>
      <c r="H2786" s="52"/>
    </row>
    <row r="2787" spans="1:8" ht="15.75">
      <c r="A2787" s="50">
        <v>43248</v>
      </c>
      <c r="B2787" s="51">
        <v>1116.79</v>
      </c>
      <c r="C2787" s="52"/>
      <c r="D2787" s="52"/>
      <c r="E2787" s="52"/>
      <c r="F2787" s="52"/>
      <c r="G2787" s="52"/>
      <c r="H2787" s="52"/>
    </row>
    <row r="2788" spans="1:8" ht="15.75">
      <c r="A2788" s="50">
        <v>43249</v>
      </c>
      <c r="B2788" s="51">
        <v>1125.02</v>
      </c>
      <c r="C2788" s="52"/>
      <c r="D2788" s="52"/>
      <c r="E2788" s="52"/>
      <c r="F2788" s="52"/>
      <c r="G2788" s="52"/>
      <c r="H2788" s="52"/>
    </row>
    <row r="2789" spans="1:8" ht="15.75">
      <c r="A2789" s="50">
        <v>43250</v>
      </c>
      <c r="B2789" s="51">
        <v>1122.67</v>
      </c>
      <c r="C2789" s="52"/>
      <c r="D2789" s="52"/>
      <c r="E2789" s="52"/>
      <c r="F2789" s="52"/>
      <c r="G2789" s="52"/>
      <c r="H2789" s="52"/>
    </row>
    <row r="2790" spans="1:8" ht="15.75">
      <c r="A2790" s="50">
        <v>43251</v>
      </c>
      <c r="B2790" s="51">
        <v>1110.49</v>
      </c>
      <c r="C2790" s="52"/>
      <c r="D2790" s="52"/>
      <c r="E2790" s="52"/>
      <c r="F2790" s="52"/>
      <c r="G2790" s="52"/>
      <c r="H2790" s="52"/>
    </row>
    <row r="2791" spans="1:8" ht="15.75">
      <c r="A2791" s="50">
        <v>43252</v>
      </c>
      <c r="B2791" s="51">
        <v>1108.3699999999999</v>
      </c>
      <c r="C2791" s="52"/>
      <c r="D2791" s="52"/>
      <c r="E2791" s="52"/>
      <c r="F2791" s="52"/>
      <c r="G2791" s="52"/>
      <c r="H2791" s="52"/>
    </row>
    <row r="2792" spans="1:8" ht="15.75">
      <c r="A2792" s="50">
        <v>43254</v>
      </c>
      <c r="B2792" s="51">
        <v>1108.7</v>
      </c>
      <c r="C2792" s="52"/>
      <c r="D2792" s="52"/>
      <c r="E2792" s="52"/>
      <c r="F2792" s="52"/>
      <c r="G2792" s="52"/>
      <c r="H2792" s="52"/>
    </row>
    <row r="2793" spans="1:8" ht="15.75">
      <c r="A2793" s="50">
        <v>43255</v>
      </c>
      <c r="B2793" s="51">
        <v>1104.5899999999999</v>
      </c>
      <c r="C2793" s="52"/>
      <c r="D2793" s="52"/>
      <c r="E2793" s="52"/>
      <c r="F2793" s="52"/>
      <c r="G2793" s="52"/>
      <c r="H2793" s="52"/>
    </row>
    <row r="2794" spans="1:8" ht="15.75">
      <c r="A2794" s="50">
        <v>43256</v>
      </c>
      <c r="B2794" s="51">
        <v>1106.1500000000001</v>
      </c>
      <c r="C2794" s="52"/>
      <c r="D2794" s="52"/>
      <c r="E2794" s="52"/>
      <c r="F2794" s="52"/>
      <c r="G2794" s="52"/>
      <c r="H2794" s="52"/>
    </row>
    <row r="2795" spans="1:8" ht="15.75">
      <c r="A2795" s="50">
        <v>43257</v>
      </c>
      <c r="B2795" s="51">
        <v>1098.8</v>
      </c>
      <c r="C2795" s="52"/>
      <c r="D2795" s="52"/>
      <c r="E2795" s="52"/>
      <c r="F2795" s="52"/>
      <c r="G2795" s="52"/>
      <c r="H2795" s="52"/>
    </row>
    <row r="2796" spans="1:8" ht="15.75">
      <c r="A2796" s="50">
        <v>43258</v>
      </c>
      <c r="B2796" s="51">
        <v>1099.4000000000001</v>
      </c>
      <c r="C2796" s="52"/>
      <c r="D2796" s="52"/>
      <c r="E2796" s="52"/>
      <c r="F2796" s="52"/>
      <c r="G2796" s="52"/>
      <c r="H2796" s="52"/>
    </row>
    <row r="2797" spans="1:8" ht="15.75">
      <c r="A2797" s="50">
        <v>43259</v>
      </c>
      <c r="B2797" s="51">
        <v>1131.32</v>
      </c>
      <c r="C2797" s="52"/>
      <c r="D2797" s="52"/>
      <c r="E2797" s="52"/>
      <c r="F2797" s="52"/>
      <c r="G2797" s="52"/>
      <c r="H2797" s="52"/>
    </row>
    <row r="2798" spans="1:8" ht="15.75">
      <c r="A2798" s="50">
        <v>43261</v>
      </c>
      <c r="B2798" s="51">
        <v>1103.98</v>
      </c>
      <c r="C2798" s="52"/>
      <c r="D2798" s="52"/>
      <c r="E2798" s="52"/>
      <c r="F2798" s="52"/>
      <c r="G2798" s="52"/>
      <c r="H2798" s="52"/>
    </row>
    <row r="2799" spans="1:8" ht="15.75">
      <c r="A2799" s="50">
        <v>43262</v>
      </c>
      <c r="B2799" s="51">
        <v>1103.3499999999999</v>
      </c>
      <c r="C2799" s="52"/>
      <c r="D2799" s="52"/>
      <c r="E2799" s="52"/>
      <c r="F2799" s="52"/>
      <c r="G2799" s="52"/>
      <c r="H2799" s="52"/>
    </row>
    <row r="2800" spans="1:8" ht="15.75">
      <c r="A2800" s="50">
        <v>43263</v>
      </c>
      <c r="B2800" s="51">
        <v>1107.4100000000001</v>
      </c>
      <c r="C2800" s="52"/>
      <c r="D2800" s="52"/>
      <c r="E2800" s="52"/>
      <c r="F2800" s="52"/>
      <c r="G2800" s="52"/>
      <c r="H2800" s="52"/>
    </row>
    <row r="2801" spans="1:8" ht="15.75">
      <c r="A2801" s="50">
        <v>43264</v>
      </c>
      <c r="B2801" s="51">
        <v>1102.17</v>
      </c>
      <c r="C2801" s="52"/>
      <c r="D2801" s="52"/>
      <c r="E2801" s="52"/>
      <c r="F2801" s="52"/>
      <c r="G2801" s="52"/>
      <c r="H2801" s="52"/>
    </row>
    <row r="2802" spans="1:8" ht="15.75">
      <c r="A2802" s="50">
        <v>43265</v>
      </c>
      <c r="B2802" s="51">
        <v>1116.3599999999999</v>
      </c>
      <c r="C2802" s="52"/>
      <c r="D2802" s="52"/>
      <c r="E2802" s="52"/>
      <c r="F2802" s="52"/>
      <c r="G2802" s="52"/>
      <c r="H2802" s="52"/>
    </row>
    <row r="2803" spans="1:8" ht="15.75">
      <c r="A2803" s="50">
        <v>43266</v>
      </c>
      <c r="B2803" s="51">
        <v>1105</v>
      </c>
      <c r="C2803" s="52"/>
      <c r="D2803" s="52"/>
      <c r="E2803" s="52"/>
      <c r="F2803" s="52"/>
      <c r="G2803" s="52"/>
      <c r="H2803" s="52"/>
    </row>
    <row r="2804" spans="1:8" ht="15.75">
      <c r="A2804" s="50">
        <v>43268</v>
      </c>
      <c r="B2804" s="51">
        <v>1104.67</v>
      </c>
      <c r="C2804" s="52"/>
      <c r="D2804" s="52"/>
      <c r="E2804" s="52"/>
      <c r="F2804" s="52"/>
      <c r="G2804" s="52"/>
      <c r="H2804" s="52"/>
    </row>
    <row r="2805" spans="1:8" ht="15.75">
      <c r="A2805" s="50">
        <v>43269</v>
      </c>
      <c r="B2805" s="51">
        <v>1097.44</v>
      </c>
      <c r="C2805" s="52"/>
      <c r="D2805" s="52"/>
      <c r="E2805" s="52"/>
      <c r="F2805" s="52"/>
      <c r="G2805" s="52"/>
      <c r="H2805" s="52"/>
    </row>
    <row r="2806" spans="1:8" ht="15.75">
      <c r="A2806" s="50">
        <v>43270</v>
      </c>
      <c r="B2806" s="51">
        <v>1100.1300000000001</v>
      </c>
      <c r="C2806" s="52"/>
      <c r="D2806" s="52"/>
      <c r="E2806" s="52"/>
      <c r="F2806" s="52"/>
      <c r="G2806" s="52"/>
      <c r="H2806" s="52"/>
    </row>
    <row r="2807" spans="1:8" ht="15.75">
      <c r="A2807" s="50">
        <v>43271</v>
      </c>
      <c r="B2807" s="51">
        <v>1103.77</v>
      </c>
      <c r="C2807" s="52"/>
      <c r="D2807" s="52"/>
      <c r="E2807" s="52"/>
      <c r="F2807" s="52"/>
      <c r="G2807" s="52"/>
      <c r="H2807" s="52"/>
    </row>
    <row r="2808" spans="1:8" ht="15.75">
      <c r="A2808" s="50">
        <v>43272</v>
      </c>
      <c r="B2808" s="51">
        <v>1092.07</v>
      </c>
      <c r="C2808" s="52"/>
      <c r="D2808" s="52"/>
      <c r="E2808" s="52"/>
      <c r="F2808" s="52"/>
      <c r="G2808" s="52"/>
      <c r="H2808" s="52"/>
    </row>
    <row r="2809" spans="1:8" ht="15.75">
      <c r="A2809" s="50">
        <v>43273</v>
      </c>
      <c r="B2809" s="51">
        <v>1088.18</v>
      </c>
      <c r="C2809" s="52"/>
      <c r="D2809" s="52"/>
      <c r="E2809" s="52"/>
      <c r="F2809" s="52"/>
      <c r="G2809" s="52"/>
      <c r="H2809" s="52"/>
    </row>
    <row r="2810" spans="1:8" ht="15.75">
      <c r="A2810" s="50">
        <v>43275</v>
      </c>
      <c r="B2810" s="51">
        <v>1090.48</v>
      </c>
      <c r="C2810" s="52"/>
      <c r="D2810" s="52"/>
      <c r="E2810" s="52"/>
      <c r="F2810" s="52"/>
      <c r="G2810" s="52"/>
      <c r="H2810" s="52"/>
    </row>
    <row r="2811" spans="1:8" ht="15.75">
      <c r="A2811" s="50">
        <v>43276</v>
      </c>
      <c r="B2811" s="51">
        <v>1072.6199999999999</v>
      </c>
      <c r="C2811" s="52"/>
      <c r="D2811" s="52"/>
      <c r="E2811" s="52"/>
      <c r="F2811" s="52"/>
      <c r="G2811" s="52"/>
      <c r="H2811" s="52"/>
    </row>
    <row r="2812" spans="1:8" ht="15.75">
      <c r="A2812" s="50">
        <v>43277</v>
      </c>
      <c r="B2812" s="51">
        <v>1074.07</v>
      </c>
      <c r="C2812" s="52"/>
      <c r="D2812" s="52"/>
      <c r="E2812" s="52"/>
      <c r="F2812" s="52"/>
      <c r="G2812" s="52"/>
      <c r="H2812" s="52"/>
    </row>
    <row r="2813" spans="1:8" ht="15.75">
      <c r="A2813" s="50">
        <v>43278</v>
      </c>
      <c r="B2813" s="51">
        <v>1083.1199999999999</v>
      </c>
      <c r="C2813" s="52"/>
      <c r="D2813" s="52"/>
      <c r="E2813" s="52"/>
      <c r="F2813" s="52"/>
      <c r="G2813" s="52"/>
      <c r="H2813" s="52"/>
    </row>
    <row r="2814" spans="1:8" ht="15.75">
      <c r="A2814" s="50">
        <v>43279</v>
      </c>
      <c r="B2814" s="51">
        <v>1079.31</v>
      </c>
      <c r="C2814" s="52"/>
      <c r="D2814" s="52"/>
      <c r="E2814" s="52"/>
      <c r="F2814" s="52"/>
      <c r="G2814" s="52"/>
      <c r="H2814" s="52"/>
    </row>
    <row r="2815" spans="1:8" ht="15.75">
      <c r="A2815" s="50">
        <v>43280</v>
      </c>
      <c r="B2815" s="51">
        <v>1070.96</v>
      </c>
      <c r="C2815" s="52"/>
      <c r="D2815" s="52"/>
      <c r="E2815" s="52"/>
      <c r="F2815" s="52"/>
      <c r="G2815" s="52"/>
      <c r="H2815" s="52"/>
    </row>
    <row r="2816" spans="1:8" ht="15.75">
      <c r="A2816" s="50">
        <v>43282</v>
      </c>
      <c r="B2816" s="51">
        <v>1061.06</v>
      </c>
      <c r="C2816" s="52"/>
      <c r="D2816" s="52"/>
      <c r="E2816" s="52"/>
      <c r="F2816" s="52"/>
      <c r="G2816" s="52"/>
      <c r="H2816" s="52"/>
    </row>
    <row r="2817" spans="1:8" ht="15.75">
      <c r="A2817" s="50">
        <v>43283</v>
      </c>
      <c r="B2817" s="51">
        <v>1063.6600000000001</v>
      </c>
      <c r="C2817" s="52"/>
      <c r="D2817" s="52"/>
      <c r="E2817" s="52"/>
      <c r="F2817" s="52"/>
      <c r="G2817" s="52"/>
      <c r="H2817" s="52"/>
    </row>
    <row r="2818" spans="1:8" ht="15.75">
      <c r="A2818" s="50">
        <v>43284</v>
      </c>
      <c r="B2818" s="51">
        <v>1061.6500000000001</v>
      </c>
      <c r="C2818" s="52"/>
      <c r="D2818" s="52"/>
      <c r="E2818" s="52"/>
      <c r="F2818" s="52"/>
      <c r="G2818" s="52"/>
      <c r="H2818" s="52"/>
    </row>
    <row r="2819" spans="1:8" ht="15.75">
      <c r="A2819" s="50">
        <v>43285</v>
      </c>
      <c r="B2819" s="51">
        <v>1063.5999999999999</v>
      </c>
      <c r="C2819" s="52"/>
      <c r="D2819" s="52"/>
      <c r="E2819" s="52"/>
      <c r="F2819" s="52"/>
      <c r="G2819" s="52"/>
      <c r="H2819" s="52"/>
    </row>
    <row r="2820" spans="1:8" ht="15.75">
      <c r="A2820" s="50">
        <v>43286</v>
      </c>
      <c r="B2820" s="51">
        <v>1058.75</v>
      </c>
      <c r="C2820" s="52"/>
      <c r="D2820" s="52"/>
      <c r="E2820" s="52"/>
      <c r="F2820" s="52"/>
      <c r="G2820" s="52"/>
      <c r="H2820" s="52"/>
    </row>
    <row r="2821" spans="1:8" ht="15.75">
      <c r="A2821" s="50">
        <v>43287</v>
      </c>
      <c r="B2821" s="51">
        <v>1067.49</v>
      </c>
      <c r="C2821" s="52"/>
      <c r="D2821" s="52"/>
      <c r="E2821" s="52"/>
      <c r="F2821" s="52"/>
      <c r="G2821" s="52"/>
      <c r="H2821" s="52"/>
    </row>
    <row r="2822" spans="1:8" ht="15.75">
      <c r="A2822" s="50">
        <v>43289</v>
      </c>
      <c r="B2822" s="51">
        <v>1053.6600000000001</v>
      </c>
      <c r="C2822" s="52"/>
      <c r="D2822" s="52"/>
      <c r="E2822" s="52"/>
      <c r="F2822" s="52"/>
      <c r="G2822" s="52"/>
      <c r="H2822" s="52"/>
    </row>
    <row r="2823" spans="1:8" ht="15.75">
      <c r="A2823" s="50">
        <v>43290</v>
      </c>
      <c r="B2823" s="51">
        <v>1070.4100000000001</v>
      </c>
      <c r="C2823" s="52"/>
      <c r="D2823" s="52"/>
      <c r="E2823" s="52"/>
      <c r="F2823" s="52"/>
      <c r="G2823" s="52"/>
      <c r="H2823" s="52"/>
    </row>
    <row r="2824" spans="1:8" ht="15.75">
      <c r="A2824" s="50">
        <v>43291</v>
      </c>
      <c r="B2824" s="51">
        <v>1071.55</v>
      </c>
      <c r="C2824" s="52"/>
      <c r="D2824" s="52"/>
      <c r="E2824" s="52"/>
      <c r="F2824" s="52"/>
      <c r="G2824" s="52"/>
      <c r="H2824" s="52"/>
    </row>
    <row r="2825" spans="1:8" ht="15.75">
      <c r="A2825" s="50">
        <v>43292</v>
      </c>
      <c r="B2825" s="51">
        <v>1064.01</v>
      </c>
      <c r="C2825" s="52"/>
      <c r="D2825" s="52"/>
      <c r="E2825" s="52"/>
      <c r="F2825" s="52"/>
      <c r="G2825" s="52"/>
      <c r="H2825" s="52"/>
    </row>
    <row r="2826" spans="1:8" ht="15.75">
      <c r="A2826" s="50">
        <v>43293</v>
      </c>
      <c r="B2826" s="51">
        <v>1068.6199999999999</v>
      </c>
      <c r="C2826" s="52"/>
      <c r="D2826" s="52"/>
      <c r="E2826" s="52"/>
      <c r="F2826" s="52"/>
      <c r="G2826" s="52"/>
      <c r="H2826" s="52"/>
    </row>
    <row r="2827" spans="1:8" ht="15.75">
      <c r="A2827" s="50">
        <v>43294</v>
      </c>
      <c r="B2827" s="51">
        <v>1058.19</v>
      </c>
      <c r="C2827" s="52"/>
      <c r="D2827" s="52"/>
      <c r="E2827" s="52"/>
      <c r="F2827" s="52"/>
      <c r="G2827" s="52"/>
      <c r="H2827" s="52"/>
    </row>
    <row r="2828" spans="1:8" ht="15.75">
      <c r="A2828" s="50">
        <v>43296</v>
      </c>
      <c r="B2828" s="51">
        <v>1059.1400000000001</v>
      </c>
      <c r="C2828" s="52"/>
      <c r="D2828" s="52"/>
      <c r="E2828" s="52"/>
      <c r="F2828" s="52"/>
      <c r="G2828" s="52"/>
      <c r="H2828" s="52"/>
    </row>
    <row r="2829" spans="1:8" ht="15.75">
      <c r="A2829" s="50">
        <v>43297</v>
      </c>
      <c r="B2829" s="51">
        <v>1057.01</v>
      </c>
      <c r="C2829" s="52"/>
      <c r="D2829" s="52"/>
      <c r="E2829" s="52"/>
      <c r="F2829" s="52"/>
      <c r="G2829" s="52"/>
      <c r="H2829" s="52"/>
    </row>
    <row r="2830" spans="1:8" ht="15.75">
      <c r="A2830" s="50">
        <v>43298</v>
      </c>
      <c r="B2830" s="51">
        <v>1051.79</v>
      </c>
      <c r="C2830" s="52"/>
      <c r="D2830" s="52"/>
      <c r="E2830" s="52"/>
      <c r="F2830" s="52"/>
      <c r="G2830" s="52"/>
      <c r="H2830" s="52"/>
    </row>
    <row r="2831" spans="1:8" ht="15.75">
      <c r="A2831" s="50">
        <v>43299</v>
      </c>
      <c r="B2831" s="51">
        <v>1054.17</v>
      </c>
      <c r="C2831" s="52"/>
      <c r="D2831" s="52"/>
      <c r="E2831" s="52"/>
      <c r="F2831" s="52"/>
      <c r="G2831" s="52"/>
      <c r="H2831" s="52"/>
    </row>
    <row r="2832" spans="1:8" ht="15.75">
      <c r="A2832" s="50">
        <v>43300</v>
      </c>
      <c r="B2832" s="51">
        <v>1050.0899999999999</v>
      </c>
      <c r="C2832" s="52"/>
      <c r="D2832" s="52"/>
      <c r="E2832" s="52"/>
      <c r="F2832" s="52"/>
      <c r="G2832" s="52"/>
      <c r="H2832" s="52"/>
    </row>
    <row r="2833" spans="1:8" ht="15.75">
      <c r="A2833" s="50">
        <v>43301</v>
      </c>
      <c r="B2833" s="51">
        <v>1050.32</v>
      </c>
      <c r="C2833" s="52"/>
      <c r="D2833" s="52"/>
      <c r="E2833" s="52"/>
      <c r="F2833" s="52"/>
      <c r="G2833" s="52"/>
      <c r="H2833" s="52"/>
    </row>
    <row r="2834" spans="1:8" ht="15.75">
      <c r="A2834" s="50">
        <v>43303</v>
      </c>
      <c r="B2834" s="51">
        <v>1052.26</v>
      </c>
      <c r="C2834" s="52"/>
      <c r="D2834" s="52"/>
      <c r="E2834" s="52"/>
      <c r="F2834" s="52"/>
      <c r="G2834" s="52"/>
      <c r="H2834" s="52"/>
    </row>
    <row r="2835" spans="1:8" ht="15.75">
      <c r="A2835" s="50">
        <v>43304</v>
      </c>
      <c r="B2835" s="51">
        <v>1059.9100000000001</v>
      </c>
      <c r="C2835" s="52"/>
      <c r="D2835" s="52"/>
      <c r="E2835" s="52"/>
      <c r="F2835" s="52"/>
      <c r="G2835" s="52"/>
      <c r="H2835" s="52"/>
    </row>
    <row r="2836" spans="1:8" ht="15.75">
      <c r="A2836" s="50">
        <v>43305</v>
      </c>
      <c r="B2836" s="51">
        <v>1048.04</v>
      </c>
      <c r="C2836" s="52"/>
      <c r="D2836" s="52"/>
      <c r="E2836" s="52"/>
      <c r="F2836" s="52"/>
      <c r="G2836" s="52"/>
      <c r="H2836" s="52"/>
    </row>
    <row r="2837" spans="1:8" ht="15.75">
      <c r="A2837" s="50">
        <v>43306</v>
      </c>
      <c r="B2837" s="51">
        <v>1047.01</v>
      </c>
      <c r="C2837" s="52"/>
      <c r="D2837" s="52"/>
      <c r="E2837" s="52"/>
      <c r="F2837" s="52"/>
      <c r="G2837" s="52"/>
      <c r="H2837" s="52"/>
    </row>
    <row r="2838" spans="1:8" ht="15.75">
      <c r="A2838" s="50">
        <v>43307</v>
      </c>
      <c r="B2838" s="51">
        <v>1050.53</v>
      </c>
      <c r="C2838" s="52"/>
      <c r="D2838" s="52"/>
      <c r="E2838" s="52"/>
      <c r="F2838" s="52"/>
      <c r="G2838" s="52"/>
      <c r="H2838" s="52"/>
    </row>
    <row r="2839" spans="1:8" ht="15.75">
      <c r="A2839" s="50">
        <v>43308</v>
      </c>
      <c r="B2839" s="51">
        <v>1048.67</v>
      </c>
      <c r="C2839" s="52"/>
      <c r="D2839" s="52"/>
      <c r="E2839" s="52"/>
      <c r="F2839" s="52"/>
      <c r="G2839" s="52"/>
      <c r="H2839" s="52"/>
    </row>
    <row r="2840" spans="1:8" ht="15.75">
      <c r="A2840" s="50">
        <v>43310</v>
      </c>
      <c r="B2840" s="51">
        <v>1049.3499999999999</v>
      </c>
      <c r="C2840" s="52"/>
      <c r="D2840" s="52"/>
      <c r="E2840" s="52"/>
      <c r="F2840" s="52"/>
      <c r="G2840" s="52"/>
      <c r="H2840" s="52"/>
    </row>
    <row r="2841" spans="1:8" ht="15.75">
      <c r="A2841" s="50">
        <v>43311</v>
      </c>
      <c r="B2841" s="51">
        <v>1048.21</v>
      </c>
      <c r="C2841" s="52"/>
      <c r="D2841" s="52"/>
      <c r="E2841" s="52"/>
      <c r="F2841" s="52"/>
      <c r="G2841" s="52"/>
      <c r="H2841" s="52"/>
    </row>
    <row r="2842" spans="1:8" ht="15.75">
      <c r="A2842" s="50">
        <v>43312</v>
      </c>
      <c r="B2842" s="51">
        <v>1044</v>
      </c>
      <c r="C2842" s="52"/>
      <c r="D2842" s="52"/>
      <c r="E2842" s="52"/>
      <c r="F2842" s="52"/>
      <c r="G2842" s="52"/>
      <c r="H2842" s="52"/>
    </row>
    <row r="2843" spans="1:8" ht="15.75">
      <c r="A2843" s="50">
        <v>43313</v>
      </c>
      <c r="B2843" s="51">
        <v>1050.6300000000001</v>
      </c>
      <c r="C2843" s="52"/>
      <c r="D2843" s="52"/>
      <c r="E2843" s="52"/>
      <c r="F2843" s="52"/>
      <c r="G2843" s="52"/>
      <c r="H2843" s="52"/>
    </row>
    <row r="2844" spans="1:8" ht="15.75">
      <c r="A2844" s="50">
        <v>43314</v>
      </c>
      <c r="B2844" s="51">
        <v>1042.6199999999999</v>
      </c>
      <c r="C2844" s="52"/>
      <c r="D2844" s="52"/>
      <c r="E2844" s="52"/>
      <c r="F2844" s="52"/>
      <c r="G2844" s="52"/>
      <c r="H2844" s="52"/>
    </row>
    <row r="2845" spans="1:8" ht="15.75">
      <c r="A2845" s="50">
        <v>43315</v>
      </c>
      <c r="B2845" s="51">
        <v>1047.6400000000001</v>
      </c>
      <c r="C2845" s="52"/>
      <c r="D2845" s="52"/>
      <c r="E2845" s="52"/>
      <c r="F2845" s="52"/>
      <c r="G2845" s="52"/>
      <c r="H2845" s="52"/>
    </row>
    <row r="2846" spans="1:8" ht="15.75">
      <c r="A2846" s="50">
        <v>43317</v>
      </c>
      <c r="B2846" s="51">
        <v>1048.9100000000001</v>
      </c>
      <c r="C2846" s="52"/>
      <c r="D2846" s="52"/>
      <c r="E2846" s="52"/>
      <c r="F2846" s="52"/>
      <c r="G2846" s="52"/>
      <c r="H2846" s="52"/>
    </row>
    <row r="2847" spans="1:8" ht="15.75">
      <c r="A2847" s="50">
        <v>43318</v>
      </c>
      <c r="B2847" s="51">
        <v>1041.6600000000001</v>
      </c>
      <c r="C2847" s="52"/>
      <c r="D2847" s="52"/>
      <c r="E2847" s="52"/>
      <c r="F2847" s="52"/>
      <c r="G2847" s="52"/>
      <c r="H2847" s="52"/>
    </row>
    <row r="2848" spans="1:8" ht="15.75">
      <c r="A2848" s="50">
        <v>43319</v>
      </c>
      <c r="B2848" s="51">
        <v>1032.75</v>
      </c>
      <c r="C2848" s="52"/>
      <c r="D2848" s="52"/>
      <c r="E2848" s="52"/>
      <c r="F2848" s="52"/>
      <c r="G2848" s="52"/>
      <c r="H2848" s="52"/>
    </row>
    <row r="2849" spans="1:8" ht="15.75">
      <c r="A2849" s="50">
        <v>43320</v>
      </c>
      <c r="B2849" s="51">
        <v>1053.8399999999999</v>
      </c>
      <c r="C2849" s="52"/>
      <c r="D2849" s="52"/>
      <c r="E2849" s="52"/>
      <c r="F2849" s="52"/>
      <c r="G2849" s="52"/>
      <c r="H2849" s="52"/>
    </row>
    <row r="2850" spans="1:8" ht="15.75">
      <c r="A2850" s="50">
        <v>43321</v>
      </c>
      <c r="B2850" s="51">
        <v>1051.46</v>
      </c>
      <c r="C2850" s="52"/>
      <c r="D2850" s="52"/>
      <c r="E2850" s="52"/>
      <c r="F2850" s="52"/>
      <c r="G2850" s="52"/>
      <c r="H2850" s="52"/>
    </row>
    <row r="2851" spans="1:8" ht="15.75">
      <c r="A2851" s="50">
        <v>43322</v>
      </c>
      <c r="B2851" s="51">
        <v>1060.83</v>
      </c>
      <c r="C2851" s="52"/>
      <c r="D2851" s="52"/>
      <c r="E2851" s="52"/>
      <c r="F2851" s="52"/>
      <c r="G2851" s="52"/>
      <c r="H2851" s="52"/>
    </row>
    <row r="2852" spans="1:8" ht="15.75">
      <c r="A2852" s="50">
        <v>43324</v>
      </c>
      <c r="B2852" s="51">
        <v>1064.56</v>
      </c>
      <c r="C2852" s="52"/>
      <c r="D2852" s="52"/>
      <c r="E2852" s="52"/>
      <c r="F2852" s="52"/>
      <c r="G2852" s="52"/>
      <c r="H2852" s="52"/>
    </row>
    <row r="2853" spans="1:8" ht="15.75">
      <c r="A2853" s="50">
        <v>43325</v>
      </c>
      <c r="B2853" s="51">
        <v>1041.72</v>
      </c>
      <c r="C2853" s="52"/>
      <c r="D2853" s="52"/>
      <c r="E2853" s="52"/>
      <c r="F2853" s="52"/>
      <c r="G2853" s="52"/>
      <c r="H2853" s="52"/>
    </row>
    <row r="2854" spans="1:8" ht="15.75">
      <c r="A2854" s="50">
        <v>43326</v>
      </c>
      <c r="B2854" s="51">
        <v>1049.82</v>
      </c>
      <c r="C2854" s="52"/>
      <c r="D2854" s="52"/>
      <c r="E2854" s="52"/>
      <c r="F2854" s="52"/>
      <c r="G2854" s="52"/>
      <c r="H2854" s="52"/>
    </row>
    <row r="2855" spans="1:8" ht="15.75">
      <c r="A2855" s="50">
        <v>43327</v>
      </c>
      <c r="B2855" s="51">
        <v>1031.27</v>
      </c>
      <c r="C2855" s="52"/>
      <c r="D2855" s="52"/>
      <c r="E2855" s="52"/>
      <c r="F2855" s="52"/>
      <c r="G2855" s="52"/>
      <c r="H2855" s="52"/>
    </row>
    <row r="2856" spans="1:8" ht="15.75">
      <c r="A2856" s="50">
        <v>43328</v>
      </c>
      <c r="B2856" s="51">
        <v>1043.46</v>
      </c>
      <c r="C2856" s="52"/>
      <c r="D2856" s="52"/>
      <c r="E2856" s="52"/>
      <c r="F2856" s="52"/>
      <c r="G2856" s="52"/>
      <c r="H2856" s="52"/>
    </row>
    <row r="2857" spans="1:8" ht="15.75">
      <c r="A2857" s="50">
        <v>43329</v>
      </c>
      <c r="B2857" s="51">
        <v>1038.46</v>
      </c>
      <c r="C2857" s="52"/>
      <c r="D2857" s="52"/>
      <c r="E2857" s="52"/>
      <c r="F2857" s="52"/>
      <c r="G2857" s="52"/>
      <c r="H2857" s="52"/>
    </row>
    <row r="2858" spans="1:8" ht="15.75">
      <c r="A2858" s="50">
        <v>43331</v>
      </c>
      <c r="B2858" s="51">
        <v>1039.3699999999999</v>
      </c>
      <c r="C2858" s="52"/>
      <c r="D2858" s="52"/>
      <c r="E2858" s="52"/>
      <c r="F2858" s="52"/>
      <c r="G2858" s="52"/>
      <c r="H2858" s="52"/>
    </row>
    <row r="2859" spans="1:8" ht="15.75">
      <c r="A2859" s="50">
        <v>43332</v>
      </c>
      <c r="B2859" s="51">
        <v>1037.3599999999999</v>
      </c>
      <c r="C2859" s="52"/>
      <c r="D2859" s="52"/>
      <c r="E2859" s="52"/>
      <c r="F2859" s="52"/>
      <c r="G2859" s="52"/>
      <c r="H2859" s="52"/>
    </row>
    <row r="2860" spans="1:8" ht="15.75">
      <c r="A2860" s="50">
        <v>43333</v>
      </c>
      <c r="B2860" s="51">
        <v>1033.69</v>
      </c>
      <c r="C2860" s="52"/>
      <c r="D2860" s="52"/>
      <c r="E2860" s="52"/>
      <c r="F2860" s="52"/>
      <c r="G2860" s="52"/>
      <c r="H2860" s="52"/>
    </row>
    <row r="2861" spans="1:8" ht="15.75">
      <c r="A2861" s="50">
        <v>43334</v>
      </c>
      <c r="B2861" s="51">
        <v>1030.94</v>
      </c>
      <c r="C2861" s="52"/>
      <c r="D2861" s="52"/>
      <c r="E2861" s="52"/>
      <c r="F2861" s="52"/>
      <c r="G2861" s="52"/>
      <c r="H2861" s="52"/>
    </row>
    <row r="2862" spans="1:8" ht="15.75">
      <c r="A2862" s="50">
        <v>43335</v>
      </c>
      <c r="B2862" s="51">
        <v>1024.75</v>
      </c>
      <c r="C2862" s="52"/>
      <c r="D2862" s="52"/>
      <c r="E2862" s="52"/>
      <c r="F2862" s="52"/>
      <c r="G2862" s="52"/>
      <c r="H2862" s="52"/>
    </row>
    <row r="2863" spans="1:8" ht="15.75">
      <c r="A2863" s="50">
        <v>43336</v>
      </c>
      <c r="B2863" s="51">
        <v>1037.93</v>
      </c>
      <c r="C2863" s="52"/>
      <c r="D2863" s="52"/>
      <c r="E2863" s="52"/>
      <c r="F2863" s="52"/>
      <c r="G2863" s="52"/>
      <c r="H2863" s="52"/>
    </row>
    <row r="2864" spans="1:8" ht="15.75">
      <c r="A2864" s="50">
        <v>43338</v>
      </c>
      <c r="B2864" s="51">
        <v>1038.02</v>
      </c>
      <c r="C2864" s="52"/>
      <c r="D2864" s="52"/>
      <c r="E2864" s="52"/>
      <c r="F2864" s="52"/>
      <c r="G2864" s="52"/>
      <c r="H2864" s="52"/>
    </row>
    <row r="2865" spans="1:8" ht="15.75">
      <c r="A2865" s="50">
        <v>43339</v>
      </c>
      <c r="B2865" s="51">
        <v>1039.92</v>
      </c>
      <c r="C2865" s="52"/>
      <c r="D2865" s="52"/>
      <c r="E2865" s="52"/>
      <c r="F2865" s="52"/>
      <c r="G2865" s="52"/>
      <c r="H2865" s="52"/>
    </row>
    <row r="2866" spans="1:8" ht="15.75">
      <c r="A2866" s="50">
        <v>43340</v>
      </c>
      <c r="B2866" s="51">
        <v>1044.32</v>
      </c>
      <c r="C2866" s="52"/>
      <c r="D2866" s="52"/>
      <c r="E2866" s="52"/>
      <c r="F2866" s="52"/>
      <c r="G2866" s="52"/>
      <c r="H2866" s="52"/>
    </row>
    <row r="2867" spans="1:8" ht="15.75">
      <c r="A2867" s="50">
        <v>43341</v>
      </c>
      <c r="B2867" s="51">
        <v>1022.11</v>
      </c>
      <c r="C2867" s="52"/>
      <c r="D2867" s="52"/>
      <c r="E2867" s="52"/>
      <c r="F2867" s="52"/>
      <c r="G2867" s="52"/>
      <c r="H2867" s="52"/>
    </row>
    <row r="2868" spans="1:8" ht="15.75">
      <c r="A2868" s="50">
        <v>43342</v>
      </c>
      <c r="B2868" s="51">
        <v>1028.0999999999999</v>
      </c>
      <c r="C2868" s="52"/>
      <c r="D2868" s="52"/>
      <c r="E2868" s="52"/>
      <c r="F2868" s="52"/>
      <c r="G2868" s="52"/>
      <c r="H2868" s="52"/>
    </row>
    <row r="2869" spans="1:8" ht="15.75">
      <c r="A2869" s="50">
        <v>43343</v>
      </c>
      <c r="B2869" s="51">
        <v>1036.6500000000001</v>
      </c>
      <c r="C2869" s="52"/>
      <c r="D2869" s="52"/>
      <c r="E2869" s="52"/>
      <c r="F2869" s="52"/>
      <c r="G2869" s="52"/>
      <c r="H2869" s="52"/>
    </row>
    <row r="2870" spans="1:8" ht="15.75">
      <c r="A2870" s="50">
        <v>43345</v>
      </c>
      <c r="B2870" s="51">
        <v>1038.8800000000001</v>
      </c>
      <c r="C2870" s="52"/>
      <c r="D2870" s="52"/>
      <c r="E2870" s="52"/>
      <c r="F2870" s="52"/>
      <c r="G2870" s="52"/>
      <c r="H2870" s="52"/>
    </row>
    <row r="2871" spans="1:8" ht="15.75">
      <c r="A2871" s="50">
        <v>43346</v>
      </c>
      <c r="B2871" s="51">
        <v>1034.18</v>
      </c>
      <c r="C2871" s="52"/>
      <c r="D2871" s="52"/>
      <c r="E2871" s="52"/>
      <c r="F2871" s="52"/>
      <c r="G2871" s="52"/>
      <c r="H2871" s="52"/>
    </row>
    <row r="2872" spans="1:8" ht="15.75">
      <c r="A2872" s="50">
        <v>43347</v>
      </c>
      <c r="B2872" s="51">
        <v>1028.48</v>
      </c>
      <c r="C2872" s="52"/>
      <c r="D2872" s="52"/>
      <c r="E2872" s="52"/>
      <c r="F2872" s="52"/>
      <c r="G2872" s="52"/>
      <c r="H2872" s="52"/>
    </row>
    <row r="2873" spans="1:8" ht="15.75">
      <c r="A2873" s="50">
        <v>43348</v>
      </c>
      <c r="B2873" s="51">
        <v>1033.1199999999999</v>
      </c>
      <c r="C2873" s="52"/>
      <c r="D2873" s="52"/>
      <c r="E2873" s="52"/>
      <c r="F2873" s="52"/>
      <c r="G2873" s="52"/>
      <c r="H2873" s="52"/>
    </row>
    <row r="2874" spans="1:8" ht="15.75">
      <c r="A2874" s="50">
        <v>43349</v>
      </c>
      <c r="B2874" s="51">
        <v>1032.54</v>
      </c>
      <c r="C2874" s="52"/>
      <c r="D2874" s="52"/>
      <c r="E2874" s="52"/>
      <c r="F2874" s="52"/>
      <c r="G2874" s="52"/>
      <c r="H2874" s="52"/>
    </row>
    <row r="2875" spans="1:8" ht="15.75">
      <c r="A2875" s="50">
        <v>43352</v>
      </c>
      <c r="B2875" s="51">
        <v>1032.53</v>
      </c>
      <c r="C2875" s="52"/>
      <c r="D2875" s="52"/>
      <c r="E2875" s="52"/>
      <c r="F2875" s="52"/>
      <c r="G2875" s="52"/>
      <c r="H2875" s="52"/>
    </row>
    <row r="2876" spans="1:8" ht="15.75">
      <c r="A2876" s="50">
        <v>43353</v>
      </c>
      <c r="B2876" s="51">
        <v>1030.8399999999999</v>
      </c>
      <c r="C2876" s="52"/>
      <c r="D2876" s="52"/>
      <c r="E2876" s="52"/>
      <c r="F2876" s="52"/>
      <c r="G2876" s="52"/>
      <c r="H2876" s="52"/>
    </row>
    <row r="2877" spans="1:8" ht="15.75">
      <c r="A2877" s="50">
        <v>43354</v>
      </c>
      <c r="B2877" s="51">
        <v>1033.1199999999999</v>
      </c>
      <c r="C2877" s="52"/>
      <c r="D2877" s="52"/>
      <c r="E2877" s="52"/>
      <c r="F2877" s="52"/>
      <c r="G2877" s="52"/>
      <c r="H2877" s="52"/>
    </row>
    <row r="2878" spans="1:8" ht="15.75">
      <c r="A2878" s="50">
        <v>43355</v>
      </c>
      <c r="B2878" s="51">
        <v>1037.05</v>
      </c>
      <c r="C2878" s="52"/>
      <c r="D2878" s="52"/>
      <c r="E2878" s="52"/>
      <c r="F2878" s="52"/>
      <c r="G2878" s="52"/>
      <c r="H2878" s="52"/>
    </row>
    <row r="2879" spans="1:8" ht="15.75">
      <c r="A2879" s="50">
        <v>43356</v>
      </c>
      <c r="B2879" s="51">
        <v>1027.6500000000001</v>
      </c>
      <c r="C2879" s="52"/>
      <c r="D2879" s="52"/>
      <c r="E2879" s="52"/>
      <c r="F2879" s="52"/>
      <c r="G2879" s="52"/>
      <c r="H2879" s="52"/>
    </row>
    <row r="2880" spans="1:8" ht="15.75">
      <c r="A2880" s="50">
        <v>43357</v>
      </c>
      <c r="B2880" s="51">
        <v>1026.03</v>
      </c>
      <c r="C2880" s="52"/>
      <c r="D2880" s="52"/>
      <c r="E2880" s="52"/>
      <c r="F2880" s="52"/>
      <c r="G2880" s="52"/>
      <c r="H2880" s="52"/>
    </row>
    <row r="2881" spans="1:8" ht="15.75">
      <c r="A2881" s="50">
        <v>43359</v>
      </c>
      <c r="B2881" s="51">
        <v>1026.29</v>
      </c>
      <c r="C2881" s="52"/>
      <c r="D2881" s="52"/>
      <c r="E2881" s="52"/>
      <c r="F2881" s="52"/>
      <c r="G2881" s="52"/>
      <c r="H2881" s="52"/>
    </row>
    <row r="2882" spans="1:8" ht="15.75">
      <c r="A2882" s="50">
        <v>43360</v>
      </c>
      <c r="B2882" s="51">
        <v>1027.71</v>
      </c>
      <c r="C2882" s="52"/>
      <c r="D2882" s="52"/>
      <c r="E2882" s="52"/>
      <c r="F2882" s="52"/>
      <c r="G2882" s="52"/>
      <c r="H2882" s="52"/>
    </row>
    <row r="2883" spans="1:8" ht="15.75">
      <c r="A2883" s="50">
        <v>43361</v>
      </c>
      <c r="B2883" s="51">
        <v>1024.58</v>
      </c>
      <c r="C2883" s="52"/>
      <c r="D2883" s="52"/>
      <c r="E2883" s="52"/>
      <c r="F2883" s="52"/>
      <c r="G2883" s="52"/>
      <c r="H2883" s="52"/>
    </row>
    <row r="2884" spans="1:8" ht="15.75">
      <c r="A2884" s="50">
        <v>43362</v>
      </c>
      <c r="B2884" s="51">
        <v>1031.29</v>
      </c>
      <c r="C2884" s="52"/>
      <c r="D2884" s="52"/>
      <c r="E2884" s="52"/>
      <c r="F2884" s="52"/>
      <c r="G2884" s="52"/>
      <c r="H2884" s="52"/>
    </row>
    <row r="2885" spans="1:8" ht="15.75">
      <c r="A2885" s="50">
        <v>43363</v>
      </c>
      <c r="B2885" s="51">
        <v>1025.08</v>
      </c>
      <c r="C2885" s="52"/>
      <c r="D2885" s="52"/>
      <c r="E2885" s="52"/>
      <c r="F2885" s="52"/>
      <c r="G2885" s="52"/>
      <c r="H2885" s="52"/>
    </row>
    <row r="2886" spans="1:8" ht="15.75">
      <c r="A2886" s="50">
        <v>43364</v>
      </c>
      <c r="B2886" s="51">
        <v>1020.96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43366</v>
      </c>
      <c r="B2887" s="51">
        <v>1021.27</v>
      </c>
      <c r="C2887" s="52"/>
      <c r="D2887" s="52"/>
      <c r="E2887" s="52"/>
      <c r="F2887" s="52"/>
      <c r="G2887" s="52"/>
      <c r="H2887" s="52"/>
    </row>
    <row r="2888" spans="1:8" ht="15.75">
      <c r="A2888" s="50">
        <v>43367</v>
      </c>
      <c r="B2888" s="51">
        <v>1017.17</v>
      </c>
      <c r="C2888" s="52"/>
      <c r="D2888" s="52"/>
      <c r="E2888" s="52"/>
      <c r="F2888" s="52"/>
      <c r="G2888" s="52"/>
      <c r="H2888" s="52"/>
    </row>
    <row r="2889" spans="1:8" ht="15.75">
      <c r="A2889" s="50">
        <v>43368</v>
      </c>
      <c r="B2889" s="51">
        <v>1020.97</v>
      </c>
      <c r="C2889" s="52"/>
      <c r="D2889" s="52"/>
      <c r="E2889" s="52"/>
      <c r="F2889" s="52"/>
      <c r="G2889" s="52"/>
      <c r="H2889" s="52"/>
    </row>
    <row r="2890" spans="1:8" ht="15.75">
      <c r="A2890" s="50">
        <v>43369</v>
      </c>
      <c r="B2890" s="51">
        <v>1022.55</v>
      </c>
      <c r="C2890" s="52"/>
      <c r="D2890" s="52"/>
      <c r="E2890" s="52"/>
      <c r="F2890" s="52"/>
      <c r="G2890" s="52"/>
      <c r="H2890" s="52"/>
    </row>
    <row r="2891" spans="1:8" ht="15.75">
      <c r="A2891" s="50">
        <v>43370</v>
      </c>
      <c r="B2891" s="51">
        <v>1014.89</v>
      </c>
      <c r="C2891" s="52"/>
      <c r="D2891" s="52"/>
      <c r="E2891" s="52"/>
      <c r="F2891" s="52"/>
      <c r="G2891" s="52"/>
      <c r="H2891" s="52"/>
    </row>
    <row r="2892" spans="1:8" ht="15.75">
      <c r="A2892" s="50">
        <v>43371</v>
      </c>
      <c r="B2892" s="51">
        <v>1023.94</v>
      </c>
      <c r="C2892" s="52"/>
      <c r="D2892" s="52"/>
      <c r="E2892" s="52"/>
      <c r="F2892" s="52"/>
      <c r="G2892" s="52"/>
      <c r="H2892" s="52"/>
    </row>
    <row r="2893" spans="1:8" ht="15.75">
      <c r="A2893" s="50">
        <v>43373</v>
      </c>
      <c r="B2893" s="51">
        <v>1023.58</v>
      </c>
      <c r="C2893" s="52"/>
      <c r="D2893" s="52"/>
      <c r="E2893" s="52"/>
      <c r="F2893" s="52"/>
      <c r="G2893" s="52"/>
      <c r="H2893" s="52"/>
    </row>
    <row r="2894" spans="1:8" ht="15.75">
      <c r="A2894" s="50">
        <v>43374</v>
      </c>
      <c r="B2894" s="51">
        <v>1047.6199999999999</v>
      </c>
      <c r="C2894" s="52"/>
      <c r="D2894" s="52"/>
      <c r="E2894" s="52"/>
      <c r="F2894" s="52"/>
      <c r="G2894" s="52"/>
      <c r="H2894" s="52"/>
    </row>
    <row r="2895" spans="1:8" ht="15.75">
      <c r="A2895" s="50">
        <v>43375</v>
      </c>
      <c r="B2895" s="51">
        <v>1021.89</v>
      </c>
      <c r="C2895" s="52"/>
      <c r="D2895" s="52"/>
      <c r="E2895" s="52"/>
      <c r="F2895" s="52"/>
      <c r="G2895" s="52"/>
      <c r="H2895" s="52"/>
    </row>
    <row r="2896" spans="1:8" ht="15.75">
      <c r="A2896" s="50">
        <v>43376</v>
      </c>
      <c r="B2896" s="51">
        <v>1042.43</v>
      </c>
      <c r="C2896" s="52"/>
      <c r="D2896" s="52"/>
      <c r="E2896" s="52"/>
      <c r="F2896" s="52"/>
      <c r="G2896" s="52"/>
      <c r="H2896" s="52"/>
    </row>
    <row r="2897" spans="1:8" ht="15.75">
      <c r="A2897" s="50">
        <v>43377</v>
      </c>
      <c r="B2897" s="51">
        <v>1041.8900000000001</v>
      </c>
      <c r="C2897" s="52"/>
      <c r="D2897" s="52"/>
      <c r="E2897" s="52"/>
      <c r="F2897" s="52"/>
      <c r="G2897" s="52"/>
      <c r="H2897" s="52"/>
    </row>
    <row r="2898" spans="1:8" ht="15.75">
      <c r="A2898" s="50">
        <v>43378</v>
      </c>
      <c r="B2898" s="51">
        <v>1042.8499999999999</v>
      </c>
      <c r="C2898" s="52"/>
      <c r="D2898" s="52"/>
      <c r="E2898" s="52"/>
      <c r="F2898" s="52"/>
      <c r="G2898" s="52"/>
      <c r="H2898" s="52"/>
    </row>
    <row r="2899" spans="1:8" ht="15.75">
      <c r="A2899" s="50">
        <v>43380</v>
      </c>
      <c r="B2899" s="51">
        <v>1043.58</v>
      </c>
      <c r="C2899" s="52"/>
      <c r="D2899" s="52"/>
      <c r="E2899" s="52"/>
      <c r="F2899" s="52"/>
      <c r="G2899" s="52"/>
      <c r="H2899" s="52"/>
    </row>
    <row r="2900" spans="1:8" ht="15.75">
      <c r="A2900" s="50">
        <v>43381</v>
      </c>
      <c r="B2900" s="51">
        <v>1041.44</v>
      </c>
      <c r="C2900" s="52"/>
      <c r="D2900" s="52"/>
      <c r="E2900" s="52"/>
      <c r="F2900" s="52"/>
      <c r="G2900" s="52"/>
      <c r="H2900" s="52"/>
    </row>
    <row r="2901" spans="1:8" ht="15.75">
      <c r="A2901" s="50">
        <v>43382</v>
      </c>
      <c r="B2901" s="51">
        <v>1024.6099999999999</v>
      </c>
      <c r="C2901" s="52"/>
      <c r="D2901" s="52"/>
      <c r="E2901" s="52"/>
      <c r="F2901" s="52"/>
      <c r="G2901" s="52"/>
      <c r="H2901" s="52"/>
    </row>
    <row r="2902" spans="1:8" ht="15.75">
      <c r="A2902" s="50">
        <v>43383</v>
      </c>
      <c r="B2902" s="51">
        <v>1035.98</v>
      </c>
      <c r="C2902" s="52"/>
      <c r="D2902" s="52"/>
      <c r="E2902" s="52"/>
      <c r="F2902" s="52"/>
      <c r="G2902" s="52"/>
      <c r="H2902" s="52"/>
    </row>
    <row r="2903" spans="1:8" ht="15.75">
      <c r="A2903" s="50">
        <v>43384</v>
      </c>
      <c r="B2903" s="51">
        <v>1059.29</v>
      </c>
      <c r="C2903" s="52"/>
      <c r="D2903" s="52"/>
      <c r="E2903" s="52"/>
      <c r="F2903" s="52"/>
      <c r="G2903" s="52"/>
      <c r="H2903" s="52"/>
    </row>
    <row r="2904" spans="1:8" ht="15.75">
      <c r="A2904" s="50">
        <v>43385</v>
      </c>
      <c r="B2904" s="51">
        <v>1053.1199999999999</v>
      </c>
      <c r="C2904" s="52"/>
      <c r="D2904" s="52"/>
      <c r="E2904" s="52"/>
      <c r="F2904" s="52"/>
      <c r="G2904" s="52"/>
      <c r="H2904" s="52"/>
    </row>
    <row r="2905" spans="1:8" ht="15.75">
      <c r="A2905" s="50">
        <v>43388</v>
      </c>
      <c r="B2905" s="51">
        <v>1066.07</v>
      </c>
      <c r="C2905" s="52"/>
      <c r="D2905" s="52"/>
      <c r="E2905" s="52"/>
      <c r="F2905" s="52"/>
      <c r="G2905" s="52"/>
      <c r="H2905" s="52"/>
    </row>
    <row r="2906" spans="1:8" ht="15.75">
      <c r="A2906" s="50">
        <v>43389</v>
      </c>
      <c r="B2906" s="51">
        <v>1058.05</v>
      </c>
      <c r="C2906" s="52"/>
      <c r="D2906" s="52"/>
      <c r="E2906" s="52"/>
      <c r="F2906" s="52"/>
      <c r="G2906" s="52"/>
      <c r="H2906" s="52"/>
    </row>
    <row r="2907" spans="1:8" ht="15.75">
      <c r="A2907" s="50">
        <v>43390</v>
      </c>
      <c r="B2907" s="51">
        <v>1062.03</v>
      </c>
      <c r="C2907" s="52"/>
      <c r="D2907" s="52"/>
      <c r="E2907" s="52"/>
      <c r="F2907" s="52"/>
      <c r="G2907" s="52"/>
      <c r="H2907" s="52"/>
    </row>
    <row r="2908" spans="1:8" ht="15.75">
      <c r="A2908" s="50">
        <v>43391</v>
      </c>
      <c r="B2908" s="51">
        <v>1073.69</v>
      </c>
      <c r="C2908" s="52"/>
      <c r="D2908" s="52"/>
      <c r="E2908" s="52"/>
      <c r="F2908" s="52"/>
      <c r="G2908" s="52"/>
      <c r="H2908" s="52"/>
    </row>
    <row r="2909" spans="1:8" ht="15.75">
      <c r="A2909" s="50">
        <v>43392</v>
      </c>
      <c r="B2909" s="51">
        <v>1064.03</v>
      </c>
      <c r="C2909" s="52"/>
      <c r="D2909" s="52"/>
      <c r="E2909" s="52"/>
      <c r="F2909" s="52"/>
      <c r="G2909" s="52"/>
      <c r="H2909" s="52"/>
    </row>
    <row r="2910" spans="1:8" ht="15.75">
      <c r="A2910" s="50">
        <v>43394</v>
      </c>
      <c r="B2910" s="51">
        <v>1065.5999999999999</v>
      </c>
      <c r="C2910" s="52"/>
      <c r="D2910" s="52"/>
      <c r="E2910" s="52"/>
      <c r="F2910" s="52"/>
      <c r="G2910" s="52"/>
      <c r="H2910" s="52"/>
    </row>
    <row r="2911" spans="1:8" ht="15.75">
      <c r="A2911" s="50">
        <v>43395</v>
      </c>
      <c r="B2911" s="51">
        <v>1067.1400000000001</v>
      </c>
      <c r="C2911" s="52"/>
      <c r="D2911" s="52"/>
      <c r="E2911" s="52"/>
      <c r="F2911" s="52"/>
      <c r="G2911" s="52"/>
      <c r="H2911" s="52"/>
    </row>
    <row r="2912" spans="1:8" ht="15.75">
      <c r="A2912" s="50">
        <v>43396</v>
      </c>
      <c r="B2912" s="51">
        <v>1082.3900000000001</v>
      </c>
      <c r="C2912" s="52"/>
      <c r="D2912" s="52"/>
      <c r="E2912" s="52"/>
      <c r="F2912" s="52"/>
      <c r="G2912" s="52"/>
      <c r="H2912" s="52"/>
    </row>
    <row r="2913" spans="1:8" ht="15.75">
      <c r="A2913" s="50">
        <v>43397</v>
      </c>
      <c r="B2913" s="51">
        <v>1083.0999999999999</v>
      </c>
      <c r="C2913" s="52"/>
      <c r="D2913" s="52"/>
      <c r="E2913" s="52"/>
      <c r="F2913" s="52"/>
      <c r="G2913" s="52"/>
      <c r="H2913" s="52"/>
    </row>
    <row r="2914" spans="1:8" ht="15.75">
      <c r="A2914" s="50">
        <v>43398</v>
      </c>
      <c r="B2914" s="51">
        <v>1075.77</v>
      </c>
      <c r="C2914" s="52"/>
      <c r="D2914" s="52"/>
      <c r="E2914" s="52"/>
      <c r="F2914" s="52"/>
      <c r="G2914" s="52"/>
      <c r="H2914" s="52"/>
    </row>
    <row r="2915" spans="1:8" ht="15.75">
      <c r="A2915" s="50">
        <v>43399</v>
      </c>
      <c r="B2915" s="51">
        <v>1070.97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43401</v>
      </c>
      <c r="B2916" s="51">
        <v>1081.72</v>
      </c>
      <c r="C2916" s="52"/>
      <c r="D2916" s="52"/>
      <c r="E2916" s="52"/>
      <c r="F2916" s="52"/>
      <c r="G2916" s="52"/>
      <c r="H2916" s="52"/>
    </row>
    <row r="2917" spans="1:8" ht="15.75">
      <c r="A2917" s="50">
        <v>43402</v>
      </c>
      <c r="B2917" s="51">
        <v>1081.6199999999999</v>
      </c>
      <c r="C2917" s="52"/>
      <c r="D2917" s="52"/>
      <c r="E2917" s="52"/>
      <c r="F2917" s="52"/>
      <c r="G2917" s="52"/>
      <c r="H2917" s="52"/>
    </row>
    <row r="2918" spans="1:8" ht="15.75">
      <c r="A2918" s="50">
        <v>43403</v>
      </c>
      <c r="B2918" s="51">
        <v>1078.01</v>
      </c>
      <c r="C2918" s="52"/>
      <c r="D2918" s="52"/>
      <c r="E2918" s="52"/>
      <c r="F2918" s="52"/>
      <c r="G2918" s="52"/>
      <c r="H2918" s="52"/>
    </row>
    <row r="2919" spans="1:8" ht="15.75">
      <c r="A2919" s="50">
        <v>43404</v>
      </c>
      <c r="B2919" s="51">
        <v>1073.8499999999999</v>
      </c>
      <c r="C2919" s="52"/>
      <c r="D2919" s="52"/>
      <c r="E2919" s="52"/>
      <c r="F2919" s="52"/>
      <c r="G2919" s="52"/>
      <c r="H2919" s="52"/>
    </row>
    <row r="2920" spans="1:8" ht="15.75">
      <c r="A2920" s="50">
        <v>43405</v>
      </c>
      <c r="B2920" s="51">
        <v>1082.1400000000001</v>
      </c>
      <c r="C2920" s="52"/>
      <c r="D2920" s="52"/>
      <c r="E2920" s="52"/>
      <c r="F2920" s="52"/>
      <c r="G2920" s="52"/>
      <c r="H2920" s="52"/>
    </row>
    <row r="2921" spans="1:8" ht="15.75">
      <c r="A2921" s="50">
        <v>43406</v>
      </c>
      <c r="B2921" s="51">
        <v>1082.79</v>
      </c>
      <c r="C2921" s="52"/>
      <c r="D2921" s="52"/>
      <c r="E2921" s="52"/>
      <c r="F2921" s="52"/>
      <c r="G2921" s="52"/>
      <c r="H2921" s="52"/>
    </row>
    <row r="2922" spans="1:8" ht="15.75">
      <c r="A2922" s="50">
        <v>43408</v>
      </c>
      <c r="B2922" s="51">
        <v>1094.52</v>
      </c>
      <c r="C2922" s="52"/>
      <c r="D2922" s="52"/>
      <c r="E2922" s="52"/>
      <c r="F2922" s="52"/>
      <c r="G2922" s="52"/>
      <c r="H2922" s="52"/>
    </row>
    <row r="2923" spans="1:8" ht="15.75">
      <c r="A2923" s="50">
        <v>43409</v>
      </c>
      <c r="B2923" s="51">
        <v>1079.3800000000001</v>
      </c>
      <c r="C2923" s="52"/>
      <c r="D2923" s="52"/>
      <c r="E2923" s="52"/>
      <c r="F2923" s="52"/>
      <c r="G2923" s="52"/>
      <c r="H2923" s="52"/>
    </row>
    <row r="2924" spans="1:8" ht="15.75">
      <c r="A2924" s="50">
        <v>43410</v>
      </c>
      <c r="B2924" s="51">
        <v>1074.3699999999999</v>
      </c>
      <c r="C2924" s="52"/>
      <c r="D2924" s="52"/>
      <c r="E2924" s="52"/>
      <c r="F2924" s="52"/>
      <c r="G2924" s="52"/>
      <c r="H2924" s="52"/>
    </row>
    <row r="2925" spans="1:8" ht="15.75">
      <c r="A2925" s="50">
        <v>43411</v>
      </c>
      <c r="B2925" s="51">
        <v>1071.45</v>
      </c>
      <c r="C2925" s="52"/>
      <c r="D2925" s="52"/>
      <c r="E2925" s="52"/>
      <c r="F2925" s="52"/>
      <c r="G2925" s="52"/>
      <c r="H2925" s="52"/>
    </row>
    <row r="2926" spans="1:8" ht="15.75">
      <c r="A2926" s="50">
        <v>43412</v>
      </c>
      <c r="B2926" s="51">
        <v>1076.57</v>
      </c>
      <c r="C2926" s="52"/>
      <c r="D2926" s="52"/>
      <c r="E2926" s="52"/>
      <c r="F2926" s="52"/>
      <c r="G2926" s="52"/>
      <c r="H2926" s="52"/>
    </row>
    <row r="2927" spans="1:8" ht="15.75">
      <c r="A2927" s="50">
        <v>43413</v>
      </c>
      <c r="B2927" s="51">
        <v>1067.02</v>
      </c>
      <c r="C2927" s="52"/>
      <c r="D2927" s="52"/>
      <c r="E2927" s="52"/>
      <c r="F2927" s="52"/>
      <c r="G2927" s="52"/>
      <c r="H2927" s="52"/>
    </row>
    <row r="2928" spans="1:8" ht="15.75">
      <c r="A2928" s="50">
        <v>43415</v>
      </c>
      <c r="B2928" s="51">
        <v>1068.67</v>
      </c>
      <c r="C2928" s="52"/>
      <c r="D2928" s="52"/>
      <c r="E2928" s="52"/>
      <c r="F2928" s="52"/>
      <c r="G2928" s="52"/>
      <c r="H2928" s="52"/>
    </row>
    <row r="2929" spans="1:8" ht="15.75">
      <c r="A2929" s="50">
        <v>43416</v>
      </c>
      <c r="B2929" s="51">
        <v>1069.21</v>
      </c>
      <c r="C2929" s="52"/>
      <c r="D2929" s="52"/>
      <c r="E2929" s="52"/>
      <c r="F2929" s="52"/>
      <c r="G2929" s="52"/>
      <c r="H2929" s="52"/>
    </row>
    <row r="2930" spans="1:8" ht="15.75">
      <c r="A2930" s="50">
        <v>43417</v>
      </c>
      <c r="B2930" s="51">
        <v>1064.57</v>
      </c>
      <c r="C2930" s="52"/>
      <c r="D2930" s="52"/>
      <c r="E2930" s="52"/>
      <c r="F2930" s="52"/>
      <c r="G2930" s="52"/>
      <c r="H2930" s="52"/>
    </row>
    <row r="2931" spans="1:8" ht="15.75">
      <c r="A2931" s="50">
        <v>43418</v>
      </c>
      <c r="B2931" s="51">
        <v>1073.7</v>
      </c>
      <c r="C2931" s="52"/>
      <c r="D2931" s="52"/>
      <c r="E2931" s="52"/>
      <c r="F2931" s="52"/>
      <c r="G2931" s="52"/>
      <c r="H2931" s="52"/>
    </row>
    <row r="2932" spans="1:8" ht="15.75">
      <c r="A2932" s="50">
        <v>43419</v>
      </c>
      <c r="B2932" s="51">
        <v>1070.99</v>
      </c>
      <c r="C2932" s="52"/>
      <c r="D2932" s="52"/>
      <c r="E2932" s="52"/>
      <c r="F2932" s="52"/>
      <c r="G2932" s="52"/>
      <c r="H2932" s="52"/>
    </row>
    <row r="2933" spans="1:8" ht="15.75">
      <c r="A2933" s="50">
        <v>43420</v>
      </c>
      <c r="B2933" s="51">
        <v>1061.52</v>
      </c>
      <c r="C2933" s="52"/>
      <c r="D2933" s="52"/>
      <c r="E2933" s="52"/>
      <c r="F2933" s="52"/>
      <c r="G2933" s="52"/>
      <c r="H2933" s="52"/>
    </row>
    <row r="2934" spans="1:8" ht="15.75">
      <c r="A2934" s="50">
        <v>43422</v>
      </c>
      <c r="B2934" s="51">
        <v>1069.33</v>
      </c>
      <c r="C2934" s="52"/>
      <c r="D2934" s="52"/>
      <c r="E2934" s="52"/>
      <c r="F2934" s="52"/>
      <c r="G2934" s="52"/>
      <c r="H2934" s="52"/>
    </row>
    <row r="2935" spans="1:8" ht="15.75">
      <c r="A2935" s="50">
        <v>43423</v>
      </c>
      <c r="B2935" s="51">
        <v>1077.2</v>
      </c>
      <c r="C2935" s="52"/>
      <c r="D2935" s="52"/>
      <c r="E2935" s="52"/>
      <c r="F2935" s="52"/>
      <c r="G2935" s="52"/>
      <c r="H2935" s="52"/>
    </row>
    <row r="2936" spans="1:8" ht="15.75">
      <c r="A2936" s="50">
        <v>43424</v>
      </c>
      <c r="B2936" s="51">
        <v>1074.53</v>
      </c>
      <c r="C2936" s="52"/>
      <c r="D2936" s="52"/>
      <c r="E2936" s="52"/>
      <c r="F2936" s="52"/>
      <c r="G2936" s="52"/>
      <c r="H2936" s="52"/>
    </row>
    <row r="2937" spans="1:8" ht="15.75">
      <c r="A2937" s="50">
        <v>43425</v>
      </c>
      <c r="B2937" s="51">
        <v>1077.07</v>
      </c>
      <c r="C2937" s="52"/>
      <c r="D2937" s="52"/>
      <c r="E2937" s="52"/>
      <c r="F2937" s="52"/>
      <c r="G2937" s="52"/>
      <c r="H2937" s="52"/>
    </row>
    <row r="2938" spans="1:8" ht="15.75">
      <c r="A2938" s="50">
        <v>43426</v>
      </c>
      <c r="B2938" s="51">
        <v>1077.8</v>
      </c>
      <c r="C2938" s="52"/>
      <c r="D2938" s="52"/>
      <c r="E2938" s="52"/>
      <c r="F2938" s="52"/>
      <c r="G2938" s="52"/>
      <c r="H2938" s="52"/>
    </row>
    <row r="2939" spans="1:8" ht="15.75">
      <c r="A2939" s="50">
        <v>43427</v>
      </c>
      <c r="B2939" s="51">
        <v>1082.8</v>
      </c>
      <c r="C2939" s="52"/>
      <c r="D2939" s="52"/>
      <c r="E2939" s="52"/>
      <c r="F2939" s="52"/>
      <c r="G2939" s="52"/>
      <c r="H2939" s="52"/>
    </row>
    <row r="2940" spans="1:8" ht="15.75">
      <c r="A2940" s="50">
        <v>43430</v>
      </c>
      <c r="B2940" s="51">
        <v>1087.03</v>
      </c>
      <c r="C2940" s="52"/>
      <c r="D2940" s="52"/>
      <c r="E2940" s="52"/>
      <c r="F2940" s="52"/>
      <c r="G2940" s="52"/>
      <c r="H2940" s="52"/>
    </row>
    <row r="2941" spans="1:8" ht="15.75">
      <c r="A2941" s="50">
        <v>43431</v>
      </c>
      <c r="B2941" s="51">
        <v>1090.79</v>
      </c>
      <c r="C2941" s="52"/>
      <c r="D2941" s="52"/>
      <c r="E2941" s="52"/>
      <c r="F2941" s="52"/>
      <c r="G2941" s="52"/>
      <c r="H2941" s="52"/>
    </row>
    <row r="2942" spans="1:8" ht="15.75">
      <c r="A2942" s="50">
        <v>43432</v>
      </c>
      <c r="B2942" s="51">
        <v>1074.4100000000001</v>
      </c>
      <c r="C2942" s="52"/>
      <c r="D2942" s="52"/>
      <c r="E2942" s="52"/>
      <c r="F2942" s="52"/>
      <c r="G2942" s="52"/>
      <c r="H2942" s="52"/>
    </row>
    <row r="2943" spans="1:8" ht="15.75">
      <c r="A2943" s="50">
        <v>43433</v>
      </c>
      <c r="B2943" s="51">
        <v>1075.3800000000001</v>
      </c>
      <c r="C2943" s="52"/>
      <c r="D2943" s="52"/>
      <c r="E2943" s="52"/>
      <c r="F2943" s="52"/>
      <c r="G2943" s="52"/>
      <c r="H2943" s="52"/>
    </row>
    <row r="2944" spans="1:8" ht="15.75">
      <c r="A2944" s="50">
        <v>43434</v>
      </c>
      <c r="B2944" s="51">
        <v>1080.6099999999999</v>
      </c>
      <c r="C2944" s="52"/>
      <c r="D2944" s="52"/>
      <c r="E2944" s="52"/>
      <c r="F2944" s="52"/>
      <c r="G2944" s="52"/>
      <c r="H2944" s="52"/>
    </row>
    <row r="2945" spans="1:8" ht="15.75">
      <c r="A2945" s="50">
        <v>43436</v>
      </c>
      <c r="B2945" s="51">
        <v>1075.46</v>
      </c>
      <c r="C2945" s="52"/>
      <c r="D2945" s="52"/>
      <c r="E2945" s="52"/>
      <c r="F2945" s="52"/>
      <c r="G2945" s="52"/>
      <c r="H2945" s="52"/>
    </row>
    <row r="2946" spans="1:8" ht="15.75">
      <c r="A2946" s="50">
        <v>43437</v>
      </c>
      <c r="B2946" s="51">
        <v>1089.67</v>
      </c>
      <c r="C2946" s="52"/>
      <c r="D2946" s="52"/>
      <c r="E2946" s="52"/>
      <c r="F2946" s="52"/>
      <c r="G2946" s="52"/>
      <c r="H2946" s="52"/>
    </row>
    <row r="2947" spans="1:8" ht="15.75">
      <c r="A2947" s="50">
        <v>43438</v>
      </c>
      <c r="B2947" s="51">
        <v>1092.17</v>
      </c>
      <c r="C2947" s="52"/>
      <c r="D2947" s="52"/>
      <c r="E2947" s="52"/>
      <c r="F2947" s="52"/>
      <c r="G2947" s="52"/>
      <c r="H2947" s="52"/>
    </row>
    <row r="2948" spans="1:8" ht="15.75">
      <c r="A2948" s="50">
        <v>43439</v>
      </c>
      <c r="B2948" s="51">
        <v>1086.43</v>
      </c>
      <c r="C2948" s="52"/>
      <c r="D2948" s="52"/>
      <c r="E2948" s="52"/>
      <c r="F2948" s="52"/>
      <c r="G2948" s="52"/>
      <c r="H2948" s="52"/>
    </row>
    <row r="2949" spans="1:8" ht="15.75">
      <c r="A2949" s="50">
        <v>43440</v>
      </c>
      <c r="B2949" s="51">
        <v>1088.18</v>
      </c>
      <c r="C2949" s="52"/>
      <c r="D2949" s="52"/>
      <c r="E2949" s="52"/>
      <c r="F2949" s="52"/>
      <c r="G2949" s="52"/>
      <c r="H2949" s="52"/>
    </row>
    <row r="2950" spans="1:8" ht="15.75">
      <c r="A2950" s="50">
        <v>43441</v>
      </c>
      <c r="B2950" s="51">
        <v>1096.29</v>
      </c>
      <c r="C2950" s="52"/>
      <c r="D2950" s="52"/>
      <c r="E2950" s="52"/>
      <c r="F2950" s="52"/>
      <c r="G2950" s="52"/>
      <c r="H2950" s="52"/>
    </row>
    <row r="2951" spans="1:8" ht="15.75">
      <c r="A2951" s="50">
        <v>43443</v>
      </c>
      <c r="B2951" s="51">
        <v>1095.72</v>
      </c>
      <c r="C2951" s="52"/>
      <c r="D2951" s="52"/>
      <c r="E2951" s="52"/>
      <c r="F2951" s="52"/>
      <c r="G2951" s="52"/>
      <c r="H2951" s="52"/>
    </row>
    <row r="2952" spans="1:8" ht="15.75">
      <c r="A2952" s="50">
        <v>43444</v>
      </c>
      <c r="B2952" s="51">
        <v>1095.99</v>
      </c>
      <c r="C2952" s="52"/>
      <c r="D2952" s="52"/>
      <c r="E2952" s="52"/>
      <c r="F2952" s="52"/>
      <c r="G2952" s="52"/>
      <c r="H2952" s="52"/>
    </row>
    <row r="2953" spans="1:8" ht="15.75">
      <c r="A2953" s="50">
        <v>43445</v>
      </c>
      <c r="B2953" s="51">
        <v>1097.5899999999999</v>
      </c>
      <c r="C2953" s="52"/>
      <c r="D2953" s="52"/>
      <c r="E2953" s="52"/>
      <c r="F2953" s="52"/>
      <c r="G2953" s="52"/>
      <c r="H2953" s="52"/>
    </row>
    <row r="2954" spans="1:8" ht="15.75">
      <c r="A2954" s="50">
        <v>43446</v>
      </c>
      <c r="B2954" s="51">
        <v>1090.0999999999999</v>
      </c>
      <c r="C2954" s="52"/>
      <c r="D2954" s="52"/>
      <c r="E2954" s="52"/>
      <c r="F2954" s="52"/>
      <c r="G2954" s="52"/>
      <c r="H2954" s="52"/>
    </row>
    <row r="2955" spans="1:8" ht="15.75">
      <c r="A2955" s="50">
        <v>43447</v>
      </c>
      <c r="B2955" s="51">
        <v>1093.49</v>
      </c>
      <c r="C2955" s="52"/>
      <c r="D2955" s="52"/>
      <c r="E2955" s="52"/>
      <c r="F2955" s="52"/>
      <c r="G2955" s="52"/>
      <c r="H2955" s="52"/>
    </row>
    <row r="2956" spans="1:8" ht="15.75">
      <c r="A2956" s="50">
        <v>43448</v>
      </c>
      <c r="B2956" s="51">
        <v>1095.04</v>
      </c>
      <c r="C2956" s="52"/>
      <c r="D2956" s="52"/>
      <c r="E2956" s="52"/>
      <c r="F2956" s="52"/>
      <c r="G2956" s="52"/>
      <c r="H2956" s="52"/>
    </row>
    <row r="2957" spans="1:8" ht="15.75">
      <c r="A2957" s="50">
        <v>43450</v>
      </c>
      <c r="B2957" s="51">
        <v>1095.18</v>
      </c>
      <c r="C2957" s="52"/>
      <c r="D2957" s="52"/>
      <c r="E2957" s="52"/>
      <c r="F2957" s="52"/>
      <c r="G2957" s="52"/>
      <c r="H2957" s="52"/>
    </row>
    <row r="2958" spans="1:8" ht="15.75">
      <c r="A2958" s="50">
        <v>43451</v>
      </c>
      <c r="B2958" s="51">
        <v>1097.74</v>
      </c>
      <c r="C2958" s="52"/>
      <c r="D2958" s="52"/>
      <c r="E2958" s="52"/>
      <c r="F2958" s="52"/>
      <c r="G2958" s="52"/>
      <c r="H2958" s="52"/>
    </row>
    <row r="2959" spans="1:8" ht="15.75">
      <c r="A2959" s="50">
        <v>43452</v>
      </c>
      <c r="B2959" s="51">
        <v>1098.8</v>
      </c>
      <c r="C2959" s="52"/>
      <c r="D2959" s="52"/>
      <c r="E2959" s="52"/>
      <c r="F2959" s="52"/>
      <c r="G2959" s="52"/>
      <c r="H2959" s="52"/>
    </row>
    <row r="2960" spans="1:8" ht="15.75">
      <c r="A2960" s="50">
        <v>43453</v>
      </c>
      <c r="B2960" s="51">
        <v>1092.48</v>
      </c>
      <c r="C2960" s="52"/>
      <c r="D2960" s="52"/>
      <c r="E2960" s="52"/>
      <c r="F2960" s="52"/>
      <c r="G2960" s="52"/>
      <c r="H2960" s="52"/>
    </row>
    <row r="2961" spans="1:8" ht="15.75">
      <c r="A2961" s="50">
        <v>43454</v>
      </c>
      <c r="B2961" s="51">
        <v>1106.2</v>
      </c>
      <c r="C2961" s="52"/>
      <c r="D2961" s="52"/>
      <c r="E2961" s="52"/>
      <c r="F2961" s="52"/>
      <c r="G2961" s="52"/>
      <c r="H2961" s="52"/>
    </row>
    <row r="2962" spans="1:8" ht="15.75">
      <c r="A2962" s="50">
        <v>43455</v>
      </c>
      <c r="B2962" s="51">
        <v>1097.27</v>
      </c>
      <c r="C2962" s="52"/>
      <c r="D2962" s="52"/>
      <c r="E2962" s="52"/>
      <c r="F2962" s="52"/>
      <c r="G2962" s="52"/>
      <c r="H2962" s="52"/>
    </row>
    <row r="2963" spans="1:8" ht="15.75">
      <c r="A2963" s="50">
        <v>43457</v>
      </c>
      <c r="B2963" s="51">
        <v>1101.71</v>
      </c>
      <c r="C2963" s="52"/>
      <c r="D2963" s="52"/>
      <c r="E2963" s="52"/>
      <c r="F2963" s="52"/>
      <c r="G2963" s="52"/>
      <c r="H2963" s="52"/>
    </row>
    <row r="2964" spans="1:8" ht="15.75">
      <c r="A2964" s="50">
        <v>43458</v>
      </c>
      <c r="B2964" s="51">
        <v>1112.74</v>
      </c>
      <c r="C2964" s="52"/>
      <c r="D2964" s="52"/>
      <c r="E2964" s="52"/>
      <c r="F2964" s="52"/>
      <c r="G2964" s="52"/>
      <c r="H2964" s="52"/>
    </row>
    <row r="2965" spans="1:8" ht="15.75">
      <c r="A2965" s="50">
        <v>43459</v>
      </c>
      <c r="B2965" s="51">
        <v>1113.8</v>
      </c>
      <c r="C2965" s="52"/>
      <c r="D2965" s="52"/>
      <c r="E2965" s="52"/>
      <c r="F2965" s="52"/>
      <c r="G2965" s="52"/>
      <c r="H2965" s="52"/>
    </row>
    <row r="2966" spans="1:8" ht="15.75">
      <c r="A2966" s="50">
        <v>43460</v>
      </c>
      <c r="B2966" s="51">
        <v>1115.8</v>
      </c>
      <c r="C2966" s="52"/>
      <c r="D2966" s="52"/>
      <c r="E2966" s="52"/>
      <c r="F2966" s="52"/>
      <c r="G2966" s="52"/>
      <c r="H2966" s="52"/>
    </row>
    <row r="2967" spans="1:8" ht="15.75">
      <c r="A2967" s="50">
        <v>43461</v>
      </c>
      <c r="B2967" s="51">
        <v>1116.1400000000001</v>
      </c>
      <c r="C2967" s="52"/>
      <c r="D2967" s="52"/>
      <c r="E2967" s="52"/>
      <c r="F2967" s="52"/>
      <c r="G2967" s="52"/>
      <c r="H2967" s="52"/>
    </row>
    <row r="2968" spans="1:8" ht="15.75">
      <c r="A2968" s="50">
        <v>43462</v>
      </c>
      <c r="B2968" s="51">
        <v>1118.56</v>
      </c>
      <c r="C2968" s="52"/>
      <c r="D2968" s="52"/>
      <c r="E2968" s="52"/>
      <c r="F2968" s="52"/>
      <c r="G2968" s="52"/>
      <c r="H2968" s="52"/>
    </row>
    <row r="2969" spans="1:8" ht="15.75">
      <c r="A2969" s="50">
        <v>43464</v>
      </c>
      <c r="B2969" s="51">
        <v>1119.73</v>
      </c>
      <c r="C2969" s="52"/>
      <c r="D2969" s="52"/>
      <c r="E2969" s="52"/>
      <c r="F2969" s="52"/>
      <c r="G2969" s="52"/>
      <c r="H2969" s="52"/>
    </row>
    <row r="2970" spans="1:8" ht="15.75">
      <c r="A2970" s="50">
        <v>43465</v>
      </c>
      <c r="B2970" s="51">
        <v>1115.8599999999999</v>
      </c>
      <c r="C2970" s="52"/>
      <c r="D2970" s="52"/>
      <c r="E2970" s="52"/>
      <c r="F2970" s="52"/>
      <c r="G2970" s="52"/>
      <c r="H2970" s="52"/>
    </row>
    <row r="2971" spans="1:8" ht="15.75">
      <c r="A2971" s="50">
        <v>43467</v>
      </c>
      <c r="B2971" s="51">
        <v>1133.56</v>
      </c>
      <c r="C2971" s="52"/>
      <c r="D2971" s="52"/>
      <c r="E2971" s="52"/>
      <c r="F2971" s="52"/>
      <c r="G2971" s="52"/>
      <c r="H2971" s="52"/>
    </row>
    <row r="2972" spans="1:8" ht="15.75">
      <c r="A2972" s="50">
        <v>43468</v>
      </c>
      <c r="B2972" s="51">
        <v>1135.68</v>
      </c>
      <c r="C2972" s="52"/>
      <c r="D2972" s="52"/>
      <c r="E2972" s="52"/>
      <c r="F2972" s="52"/>
      <c r="G2972" s="52"/>
      <c r="H2972" s="52"/>
    </row>
    <row r="2973" spans="1:8" ht="15.75">
      <c r="A2973" s="50">
        <v>43469</v>
      </c>
      <c r="B2973" s="51">
        <v>1130.32</v>
      </c>
      <c r="C2973" s="52"/>
      <c r="D2973" s="52"/>
      <c r="E2973" s="52"/>
      <c r="F2973" s="52"/>
      <c r="G2973" s="52"/>
      <c r="H2973" s="52"/>
    </row>
    <row r="2974" spans="1:8" ht="15.75">
      <c r="A2974" s="50">
        <v>43471</v>
      </c>
      <c r="B2974" s="51">
        <v>1127</v>
      </c>
      <c r="C2974" s="52"/>
      <c r="D2974" s="52"/>
      <c r="E2974" s="52"/>
      <c r="F2974" s="52"/>
      <c r="G2974" s="52"/>
      <c r="H2974" s="52"/>
    </row>
    <row r="2975" spans="1:8" ht="15.75">
      <c r="A2975" s="50">
        <v>43472</v>
      </c>
      <c r="B2975" s="51">
        <v>1123.69</v>
      </c>
      <c r="C2975" s="52"/>
      <c r="D2975" s="52"/>
      <c r="E2975" s="52"/>
      <c r="F2975" s="52"/>
      <c r="G2975" s="52"/>
      <c r="H2975" s="52"/>
    </row>
    <row r="2976" spans="1:8" ht="15.75">
      <c r="A2976" s="50">
        <v>43473</v>
      </c>
      <c r="B2976" s="51">
        <v>1123.68</v>
      </c>
      <c r="C2976" s="52"/>
      <c r="D2976" s="52"/>
      <c r="E2976" s="52"/>
      <c r="F2976" s="52"/>
      <c r="G2976" s="52"/>
      <c r="H2976" s="52"/>
    </row>
    <row r="2977" spans="1:8" ht="15.75">
      <c r="A2977" s="50">
        <v>43474</v>
      </c>
      <c r="B2977" s="51">
        <v>1120.55</v>
      </c>
      <c r="C2977" s="52"/>
      <c r="D2977" s="52"/>
      <c r="E2977" s="52"/>
      <c r="F2977" s="52"/>
      <c r="G2977" s="52"/>
      <c r="H2977" s="52"/>
    </row>
    <row r="2978" spans="1:8" ht="15.75">
      <c r="A2978" s="50">
        <v>43475</v>
      </c>
      <c r="B2978" s="51">
        <v>1118.72</v>
      </c>
      <c r="C2978" s="52"/>
      <c r="D2978" s="52"/>
      <c r="E2978" s="52"/>
      <c r="F2978" s="52"/>
      <c r="G2978" s="52"/>
      <c r="H2978" s="52"/>
    </row>
    <row r="2979" spans="1:8" ht="15.75">
      <c r="A2979" s="50">
        <v>43476</v>
      </c>
      <c r="B2979" s="51">
        <v>1123.03</v>
      </c>
      <c r="C2979" s="52"/>
      <c r="D2979" s="52"/>
      <c r="E2979" s="52"/>
      <c r="F2979" s="52"/>
      <c r="G2979" s="52"/>
      <c r="H2979" s="52"/>
    </row>
    <row r="2980" spans="1:8" ht="15.75">
      <c r="A2980" s="50">
        <v>43478</v>
      </c>
      <c r="B2980" s="51">
        <v>1126.79</v>
      </c>
      <c r="C2980" s="52"/>
      <c r="D2980" s="52"/>
      <c r="E2980" s="52"/>
      <c r="F2980" s="52"/>
      <c r="G2980" s="52"/>
      <c r="H2980" s="52"/>
    </row>
    <row r="2981" spans="1:8" ht="15.75">
      <c r="A2981" s="50">
        <v>43479</v>
      </c>
      <c r="B2981" s="51">
        <v>1126.22</v>
      </c>
      <c r="C2981" s="52"/>
      <c r="D2981" s="52"/>
      <c r="E2981" s="52"/>
      <c r="F2981" s="52"/>
      <c r="G2981" s="52"/>
      <c r="H2981" s="52"/>
    </row>
    <row r="2982" spans="1:8" ht="15.75">
      <c r="A2982" s="50">
        <v>43480</v>
      </c>
      <c r="B2982" s="51">
        <v>1119.03</v>
      </c>
      <c r="C2982" s="52"/>
      <c r="D2982" s="52"/>
      <c r="E2982" s="52"/>
      <c r="F2982" s="52"/>
      <c r="G2982" s="52"/>
      <c r="H2982" s="52"/>
    </row>
    <row r="2983" spans="1:8" ht="15.75">
      <c r="A2983" s="50">
        <v>43481</v>
      </c>
      <c r="B2983" s="51">
        <v>1135.04</v>
      </c>
      <c r="C2983" s="52"/>
      <c r="D2983" s="52"/>
      <c r="E2983" s="52"/>
      <c r="F2983" s="52"/>
      <c r="G2983" s="52"/>
      <c r="H2983" s="52"/>
    </row>
    <row r="2984" spans="1:8" ht="15.75">
      <c r="A2984" s="50">
        <v>43482</v>
      </c>
      <c r="B2984" s="51">
        <v>1134.58</v>
      </c>
      <c r="C2984" s="52"/>
      <c r="D2984" s="52"/>
      <c r="E2984" s="52"/>
      <c r="F2984" s="52"/>
      <c r="G2984" s="52"/>
      <c r="H2984" s="52"/>
    </row>
    <row r="2985" spans="1:8" ht="15.75">
      <c r="A2985" s="50">
        <v>43483</v>
      </c>
      <c r="B2985" s="51">
        <v>1126.8499999999999</v>
      </c>
      <c r="C2985" s="52"/>
      <c r="D2985" s="52"/>
      <c r="E2985" s="52"/>
      <c r="F2985" s="52"/>
      <c r="G2985" s="52"/>
      <c r="H2985" s="52"/>
    </row>
    <row r="2986" spans="1:8" ht="15.75">
      <c r="A2986" s="50">
        <v>43485</v>
      </c>
      <c r="B2986" s="51">
        <v>1127.25</v>
      </c>
      <c r="C2986" s="52"/>
      <c r="D2986" s="52"/>
      <c r="E2986" s="52"/>
      <c r="F2986" s="52"/>
      <c r="G2986" s="52"/>
      <c r="H2986" s="52"/>
    </row>
    <row r="2987" spans="1:8" ht="15.75">
      <c r="A2987" s="50">
        <v>43486</v>
      </c>
      <c r="B2987" s="51">
        <v>1122.23</v>
      </c>
      <c r="C2987" s="52"/>
      <c r="D2987" s="52"/>
      <c r="E2987" s="52"/>
      <c r="F2987" s="52"/>
      <c r="G2987" s="52"/>
      <c r="H2987" s="52"/>
    </row>
    <row r="2988" spans="1:8" ht="15.75">
      <c r="A2988" s="50">
        <v>43487</v>
      </c>
      <c r="B2988" s="51">
        <v>1131.07</v>
      </c>
      <c r="C2988" s="52"/>
      <c r="D2988" s="52"/>
      <c r="E2988" s="52"/>
      <c r="F2988" s="52"/>
      <c r="G2988" s="52"/>
      <c r="H2988" s="52"/>
    </row>
    <row r="2989" spans="1:8" ht="15.75">
      <c r="A2989" s="50">
        <v>43488</v>
      </c>
      <c r="B2989" s="51">
        <v>1127.1300000000001</v>
      </c>
      <c r="C2989" s="52"/>
      <c r="D2989" s="52"/>
      <c r="E2989" s="52"/>
      <c r="F2989" s="52"/>
      <c r="G2989" s="52"/>
      <c r="H2989" s="52"/>
    </row>
    <row r="2990" spans="1:8" ht="15.75">
      <c r="A2990" s="50">
        <v>43489</v>
      </c>
      <c r="B2990" s="51">
        <v>1133.54</v>
      </c>
      <c r="C2990" s="52"/>
      <c r="D2990" s="52"/>
      <c r="E2990" s="52"/>
      <c r="F2990" s="52"/>
      <c r="G2990" s="52"/>
      <c r="H2990" s="52"/>
    </row>
    <row r="2991" spans="1:8" ht="15.75">
      <c r="A2991" s="50">
        <v>43490</v>
      </c>
      <c r="B2991" s="51">
        <v>1151.9000000000001</v>
      </c>
      <c r="C2991" s="52"/>
      <c r="D2991" s="52"/>
      <c r="E2991" s="52"/>
      <c r="F2991" s="52"/>
      <c r="G2991" s="52"/>
      <c r="H2991" s="52"/>
    </row>
    <row r="2992" spans="1:8" ht="15.75">
      <c r="A2992" s="50">
        <v>43492</v>
      </c>
      <c r="B2992" s="51">
        <v>1148.1099999999999</v>
      </c>
      <c r="C2992" s="52"/>
      <c r="D2992" s="52"/>
      <c r="E2992" s="52"/>
      <c r="F2992" s="52"/>
      <c r="G2992" s="52"/>
      <c r="H2992" s="52"/>
    </row>
    <row r="2993" spans="1:8" ht="15.75">
      <c r="A2993" s="50">
        <v>43493</v>
      </c>
      <c r="B2993" s="51">
        <v>1140.5899999999999</v>
      </c>
      <c r="C2993" s="52"/>
      <c r="D2993" s="52"/>
      <c r="E2993" s="52"/>
      <c r="F2993" s="52"/>
      <c r="G2993" s="52"/>
      <c r="H2993" s="52"/>
    </row>
    <row r="2994" spans="1:8" ht="15.75">
      <c r="A2994" s="50">
        <v>43494</v>
      </c>
      <c r="B2994" s="51">
        <v>1147.4100000000001</v>
      </c>
      <c r="C2994" s="52"/>
      <c r="D2994" s="52"/>
      <c r="E2994" s="52"/>
      <c r="F2994" s="52"/>
      <c r="G2994" s="52"/>
      <c r="H2994" s="52"/>
    </row>
    <row r="2995" spans="1:8" ht="15.75">
      <c r="A2995" s="50">
        <v>43495</v>
      </c>
      <c r="B2995" s="51">
        <v>1149.43</v>
      </c>
      <c r="C2995" s="52"/>
      <c r="D2995" s="52"/>
      <c r="E2995" s="52"/>
      <c r="F2995" s="52"/>
      <c r="G2995" s="52"/>
      <c r="H2995" s="52"/>
    </row>
    <row r="2996" spans="1:8" ht="15.75">
      <c r="A2996" s="50">
        <v>43496</v>
      </c>
      <c r="B2996" s="51">
        <v>1154.1400000000001</v>
      </c>
      <c r="C2996" s="52"/>
      <c r="D2996" s="52"/>
      <c r="E2996" s="52"/>
      <c r="F2996" s="52"/>
      <c r="G2996" s="52"/>
      <c r="H2996" s="52"/>
    </row>
    <row r="2997" spans="1:8" ht="15.75">
      <c r="A2997" s="50">
        <v>43497</v>
      </c>
      <c r="B2997" s="51">
        <v>1151.24</v>
      </c>
      <c r="C2997" s="52"/>
      <c r="D2997" s="52"/>
      <c r="E2997" s="52"/>
      <c r="F2997" s="52"/>
      <c r="G2997" s="52"/>
      <c r="H2997" s="52"/>
    </row>
    <row r="2998" spans="1:8" ht="15.75">
      <c r="A2998" s="50">
        <v>43499</v>
      </c>
      <c r="B2998" s="51">
        <v>1151.0899999999999</v>
      </c>
      <c r="C2998" s="52"/>
      <c r="D2998" s="52"/>
      <c r="E2998" s="52"/>
      <c r="F2998" s="52"/>
      <c r="G2998" s="52"/>
      <c r="H2998" s="52"/>
    </row>
    <row r="2999" spans="1:8" ht="15.75">
      <c r="A2999" s="50">
        <v>43500</v>
      </c>
      <c r="B2999" s="51">
        <v>1145.72</v>
      </c>
      <c r="C2999" s="52"/>
      <c r="D2999" s="52"/>
      <c r="E2999" s="52"/>
      <c r="F2999" s="52"/>
      <c r="G2999" s="52"/>
      <c r="H2999" s="52"/>
    </row>
    <row r="3000" spans="1:8" ht="15.75">
      <c r="A3000" s="50">
        <v>43501</v>
      </c>
      <c r="B3000" s="51">
        <v>1159.32</v>
      </c>
      <c r="C3000" s="52"/>
      <c r="D3000" s="52"/>
      <c r="E3000" s="52"/>
      <c r="F3000" s="52"/>
      <c r="G3000" s="52"/>
      <c r="H3000" s="52"/>
    </row>
    <row r="3001" spans="1:8" ht="15.75">
      <c r="A3001" s="50">
        <v>43502</v>
      </c>
      <c r="B3001" s="51">
        <v>1149.7</v>
      </c>
      <c r="C3001" s="52"/>
      <c r="D3001" s="52"/>
      <c r="E3001" s="52"/>
      <c r="F3001" s="52"/>
      <c r="G3001" s="52"/>
      <c r="H3001" s="52"/>
    </row>
    <row r="3002" spans="1:8" ht="15.75">
      <c r="A3002" s="50">
        <v>43503</v>
      </c>
      <c r="B3002" s="51">
        <v>1146.3</v>
      </c>
      <c r="C3002" s="52"/>
      <c r="D3002" s="52"/>
      <c r="E3002" s="52"/>
      <c r="F3002" s="52"/>
      <c r="G3002" s="52"/>
      <c r="H3002" s="52"/>
    </row>
    <row r="3003" spans="1:8" ht="15.75">
      <c r="A3003" s="50">
        <v>43504</v>
      </c>
      <c r="B3003" s="51">
        <v>1157.97</v>
      </c>
      <c r="C3003" s="52"/>
      <c r="D3003" s="52"/>
      <c r="E3003" s="52"/>
      <c r="F3003" s="52"/>
      <c r="G3003" s="52"/>
      <c r="H3003" s="52"/>
    </row>
    <row r="3004" spans="1:8" ht="15.75">
      <c r="A3004" s="50">
        <v>43506</v>
      </c>
      <c r="B3004" s="51">
        <v>1161.7</v>
      </c>
      <c r="C3004" s="52"/>
      <c r="D3004" s="52"/>
      <c r="E3004" s="52"/>
      <c r="F3004" s="52"/>
      <c r="G3004" s="52"/>
      <c r="H3004" s="52"/>
    </row>
    <row r="3005" spans="1:8" ht="15.75">
      <c r="A3005" s="50">
        <v>43507</v>
      </c>
      <c r="B3005" s="51">
        <v>1159.9000000000001</v>
      </c>
      <c r="C3005" s="52"/>
      <c r="D3005" s="52"/>
      <c r="E3005" s="52"/>
      <c r="F3005" s="52"/>
      <c r="G3005" s="52"/>
      <c r="H3005" s="52"/>
    </row>
    <row r="3006" spans="1:8" ht="15.75">
      <c r="A3006" s="50">
        <v>43508</v>
      </c>
      <c r="B3006" s="51">
        <v>1156.97</v>
      </c>
      <c r="C3006" s="52"/>
      <c r="D3006" s="52"/>
      <c r="E3006" s="52"/>
      <c r="F3006" s="52"/>
      <c r="G3006" s="52"/>
      <c r="H3006" s="52"/>
    </row>
    <row r="3007" spans="1:8" ht="15.75">
      <c r="A3007" s="50">
        <v>43509</v>
      </c>
      <c r="B3007" s="51">
        <v>1158.81</v>
      </c>
      <c r="C3007" s="52"/>
      <c r="D3007" s="52"/>
      <c r="E3007" s="52"/>
      <c r="F3007" s="52"/>
      <c r="G3007" s="52"/>
      <c r="H3007" s="52"/>
    </row>
    <row r="3008" spans="1:8" ht="15.75">
      <c r="A3008" s="50">
        <v>43510</v>
      </c>
      <c r="B3008" s="51">
        <v>1156.2</v>
      </c>
      <c r="C3008" s="52"/>
      <c r="D3008" s="52"/>
      <c r="E3008" s="52"/>
      <c r="F3008" s="52"/>
      <c r="G3008" s="52"/>
      <c r="H3008" s="52"/>
    </row>
    <row r="3009" spans="1:8" ht="15.75">
      <c r="A3009" s="50">
        <v>43511</v>
      </c>
      <c r="B3009" s="51">
        <v>1172.01</v>
      </c>
      <c r="C3009" s="52"/>
      <c r="D3009" s="52"/>
      <c r="E3009" s="52"/>
      <c r="F3009" s="52"/>
      <c r="G3009" s="52"/>
      <c r="H3009" s="52"/>
    </row>
    <row r="3010" spans="1:8" ht="15.75">
      <c r="A3010" s="50">
        <v>43513</v>
      </c>
      <c r="B3010" s="51">
        <v>1172.01</v>
      </c>
      <c r="C3010" s="52"/>
      <c r="D3010" s="52"/>
      <c r="E3010" s="52"/>
      <c r="F3010" s="52"/>
      <c r="G3010" s="52"/>
      <c r="H3010" s="52"/>
    </row>
    <row r="3011" spans="1:8" ht="15.75">
      <c r="A3011" s="50">
        <v>43514</v>
      </c>
      <c r="B3011" s="51">
        <v>1182.03</v>
      </c>
      <c r="C3011" s="52"/>
      <c r="D3011" s="52"/>
      <c r="E3011" s="52"/>
      <c r="F3011" s="52"/>
      <c r="G3011" s="52"/>
      <c r="H3011" s="52"/>
    </row>
    <row r="3012" spans="1:8" ht="15.75">
      <c r="A3012" s="50">
        <v>43515</v>
      </c>
      <c r="B3012" s="51">
        <v>1166.5999999999999</v>
      </c>
      <c r="C3012" s="52"/>
      <c r="D3012" s="52"/>
      <c r="E3012" s="52"/>
      <c r="F3012" s="52"/>
      <c r="G3012" s="52"/>
      <c r="H3012" s="52"/>
    </row>
    <row r="3013" spans="1:8" ht="15.75">
      <c r="A3013" s="50">
        <v>43516</v>
      </c>
      <c r="B3013" s="51">
        <v>1178.2</v>
      </c>
      <c r="C3013" s="52"/>
      <c r="D3013" s="52"/>
      <c r="E3013" s="52"/>
      <c r="F3013" s="52"/>
      <c r="G3013" s="52"/>
      <c r="H3013" s="52"/>
    </row>
    <row r="3014" spans="1:8" ht="15.75">
      <c r="A3014" s="50">
        <v>43517</v>
      </c>
      <c r="B3014" s="51">
        <v>1167.07</v>
      </c>
      <c r="C3014" s="52"/>
      <c r="D3014" s="52"/>
      <c r="E3014" s="52"/>
      <c r="F3014" s="52"/>
      <c r="G3014" s="52"/>
      <c r="H3014" s="52"/>
    </row>
    <row r="3015" spans="1:8" ht="15.75">
      <c r="A3015" s="50">
        <v>43518</v>
      </c>
      <c r="B3015" s="51">
        <v>1170.5899999999999</v>
      </c>
      <c r="C3015" s="52"/>
      <c r="D3015" s="52"/>
      <c r="E3015" s="52"/>
      <c r="F3015" s="52"/>
      <c r="G3015" s="52"/>
      <c r="H3015" s="52"/>
    </row>
    <row r="3016" spans="1:8" ht="15.75">
      <c r="A3016" s="50">
        <v>43520</v>
      </c>
      <c r="B3016" s="51">
        <v>1170.9000000000001</v>
      </c>
      <c r="C3016" s="52"/>
      <c r="D3016" s="52"/>
      <c r="E3016" s="52"/>
      <c r="F3016" s="52"/>
      <c r="G3016" s="52"/>
      <c r="H3016" s="52"/>
    </row>
    <row r="3017" spans="1:8" ht="15.75">
      <c r="A3017" s="50">
        <v>43521</v>
      </c>
      <c r="B3017" s="51">
        <v>1168.05</v>
      </c>
      <c r="C3017" s="52"/>
      <c r="D3017" s="52"/>
      <c r="E3017" s="52"/>
      <c r="F3017" s="52"/>
      <c r="G3017" s="52"/>
      <c r="H3017" s="52"/>
    </row>
    <row r="3018" spans="1:8" ht="15.75">
      <c r="A3018" s="50">
        <v>43522</v>
      </c>
      <c r="B3018" s="51">
        <v>1166.7</v>
      </c>
      <c r="C3018" s="52"/>
      <c r="D3018" s="52"/>
      <c r="E3018" s="52"/>
      <c r="F3018" s="52"/>
      <c r="G3018" s="52"/>
      <c r="H3018" s="52"/>
    </row>
    <row r="3019" spans="1:8" ht="15.75">
      <c r="A3019" s="50">
        <v>43523</v>
      </c>
      <c r="B3019" s="51">
        <v>1160.83</v>
      </c>
      <c r="C3019" s="52"/>
      <c r="D3019" s="52"/>
      <c r="E3019" s="52"/>
      <c r="F3019" s="52"/>
      <c r="G3019" s="52"/>
      <c r="H3019" s="52"/>
    </row>
    <row r="3020" spans="1:8" ht="15.75">
      <c r="A3020" s="50">
        <v>43524</v>
      </c>
      <c r="B3020" s="51">
        <v>1155.3499999999999</v>
      </c>
      <c r="C3020" s="52"/>
      <c r="D3020" s="52"/>
      <c r="E3020" s="52"/>
      <c r="F3020" s="52"/>
      <c r="G3020" s="52"/>
      <c r="H3020" s="52"/>
    </row>
    <row r="3021" spans="1:8" ht="15.75">
      <c r="A3021" s="50">
        <v>43525</v>
      </c>
      <c r="B3021" s="51">
        <v>1133.47</v>
      </c>
      <c r="C3021" s="52"/>
      <c r="D3021" s="52"/>
      <c r="E3021" s="52"/>
      <c r="F3021" s="52"/>
      <c r="G3021" s="52"/>
      <c r="H3021" s="52"/>
    </row>
    <row r="3022" spans="1:8" ht="15.75">
      <c r="A3022" s="50">
        <v>43527</v>
      </c>
      <c r="B3022" s="51">
        <v>1136.3599999999999</v>
      </c>
      <c r="C3022" s="52"/>
      <c r="D3022" s="52"/>
      <c r="E3022" s="52"/>
      <c r="F3022" s="52"/>
      <c r="G3022" s="52"/>
      <c r="H3022" s="52"/>
    </row>
    <row r="3023" spans="1:8" ht="15.75">
      <c r="A3023" s="50">
        <v>43528</v>
      </c>
      <c r="B3023" s="51">
        <v>1139.3699999999999</v>
      </c>
      <c r="C3023" s="52"/>
      <c r="D3023" s="52"/>
      <c r="E3023" s="52"/>
      <c r="F3023" s="52"/>
      <c r="G3023" s="52"/>
      <c r="H3023" s="52"/>
    </row>
    <row r="3024" spans="1:8" ht="15.75">
      <c r="A3024" s="50">
        <v>43529</v>
      </c>
      <c r="B3024" s="51">
        <v>1139.53</v>
      </c>
      <c r="C3024" s="52"/>
      <c r="D3024" s="52"/>
      <c r="E3024" s="52"/>
      <c r="F3024" s="52"/>
      <c r="G3024" s="52"/>
      <c r="H3024" s="52"/>
    </row>
    <row r="3025" spans="1:8" ht="15.75">
      <c r="A3025" s="50">
        <v>43530</v>
      </c>
      <c r="B3025" s="51">
        <v>1137.6600000000001</v>
      </c>
      <c r="C3025" s="52"/>
      <c r="D3025" s="52"/>
      <c r="E3025" s="52"/>
      <c r="F3025" s="52"/>
      <c r="G3025" s="52"/>
      <c r="H3025" s="52"/>
    </row>
    <row r="3026" spans="1:8" ht="15.75">
      <c r="A3026" s="50">
        <v>43531</v>
      </c>
      <c r="B3026" s="51">
        <v>1143.74</v>
      </c>
      <c r="C3026" s="52"/>
      <c r="D3026" s="52"/>
      <c r="E3026" s="52"/>
      <c r="F3026" s="52"/>
      <c r="G3026" s="52"/>
      <c r="H3026" s="52"/>
    </row>
    <row r="3027" spans="1:8" ht="15.75">
      <c r="A3027" s="50">
        <v>43532</v>
      </c>
      <c r="B3027" s="51">
        <v>1156.92</v>
      </c>
      <c r="C3027" s="52"/>
      <c r="D3027" s="52"/>
      <c r="E3027" s="52"/>
      <c r="F3027" s="52"/>
      <c r="G3027" s="52"/>
      <c r="H3027" s="52"/>
    </row>
    <row r="3028" spans="1:8" ht="15.75">
      <c r="A3028" s="50">
        <v>43534</v>
      </c>
      <c r="B3028" s="51">
        <v>1154.25</v>
      </c>
      <c r="C3028" s="52"/>
      <c r="D3028" s="52"/>
      <c r="E3028" s="52"/>
      <c r="F3028" s="52"/>
      <c r="G3028" s="52"/>
      <c r="H3028" s="52"/>
    </row>
    <row r="3029" spans="1:8" ht="15.75">
      <c r="A3029" s="50">
        <v>43535</v>
      </c>
      <c r="B3029" s="51">
        <v>1148.4100000000001</v>
      </c>
      <c r="C3029" s="52"/>
      <c r="D3029" s="52"/>
      <c r="E3029" s="52"/>
      <c r="F3029" s="52"/>
      <c r="G3029" s="52"/>
      <c r="H3029" s="52"/>
    </row>
    <row r="3030" spans="1:8" ht="15.75">
      <c r="A3030" s="50">
        <v>43536</v>
      </c>
      <c r="B3030" s="51">
        <v>1152.3699999999999</v>
      </c>
      <c r="C3030" s="52"/>
      <c r="D3030" s="52"/>
      <c r="E3030" s="52"/>
      <c r="F3030" s="52"/>
      <c r="G3030" s="52"/>
      <c r="H3030" s="52"/>
    </row>
    <row r="3031" spans="1:8" ht="15.75">
      <c r="A3031" s="50">
        <v>43537</v>
      </c>
      <c r="B3031" s="51">
        <v>1155.56</v>
      </c>
      <c r="C3031" s="52"/>
      <c r="D3031" s="52"/>
      <c r="E3031" s="52"/>
      <c r="F3031" s="52"/>
      <c r="G3031" s="52"/>
      <c r="H3031" s="52"/>
    </row>
    <row r="3032" spans="1:8" ht="15.75">
      <c r="A3032" s="50">
        <v>43538</v>
      </c>
      <c r="B3032" s="51">
        <v>1146.6600000000001</v>
      </c>
      <c r="C3032" s="52"/>
      <c r="D3032" s="52"/>
      <c r="E3032" s="52"/>
      <c r="F3032" s="52"/>
      <c r="G3032" s="52"/>
      <c r="H3032" s="52"/>
    </row>
    <row r="3033" spans="1:8" ht="15.75">
      <c r="A3033" s="50">
        <v>43539</v>
      </c>
      <c r="B3033" s="51">
        <v>1149.05</v>
      </c>
      <c r="C3033" s="52"/>
      <c r="D3033" s="52"/>
      <c r="E3033" s="52"/>
      <c r="F3033" s="52"/>
      <c r="G3033" s="52"/>
      <c r="H3033" s="52"/>
    </row>
    <row r="3034" spans="1:8" ht="15.75">
      <c r="A3034" s="50">
        <v>43541</v>
      </c>
      <c r="B3034" s="51">
        <v>1149.58</v>
      </c>
      <c r="C3034" s="52"/>
      <c r="D3034" s="52"/>
      <c r="E3034" s="52"/>
      <c r="F3034" s="52"/>
      <c r="G3034" s="52"/>
      <c r="H3034" s="52"/>
    </row>
    <row r="3035" spans="1:8" ht="15.75">
      <c r="A3035" s="50">
        <v>43542</v>
      </c>
      <c r="B3035" s="51">
        <v>1150.06</v>
      </c>
      <c r="C3035" s="52"/>
      <c r="D3035" s="52"/>
      <c r="E3035" s="52"/>
      <c r="F3035" s="52"/>
      <c r="G3035" s="52"/>
      <c r="H3035" s="52"/>
    </row>
    <row r="3036" spans="1:8" ht="15.75">
      <c r="A3036" s="50">
        <v>43543</v>
      </c>
      <c r="B3036" s="51">
        <v>1151</v>
      </c>
      <c r="C3036" s="52"/>
      <c r="D3036" s="52"/>
      <c r="E3036" s="52"/>
      <c r="F3036" s="52"/>
      <c r="G3036" s="52"/>
      <c r="H3036" s="52"/>
    </row>
    <row r="3037" spans="1:8" ht="15.75">
      <c r="A3037" s="50">
        <v>43544</v>
      </c>
      <c r="B3037" s="51">
        <v>1150.42</v>
      </c>
      <c r="C3037" s="52"/>
      <c r="D3037" s="52"/>
      <c r="E3037" s="52"/>
      <c r="F3037" s="52"/>
      <c r="G3037" s="52"/>
      <c r="H3037" s="52"/>
    </row>
    <row r="3038" spans="1:8" ht="15.75">
      <c r="A3038" s="50">
        <v>43545</v>
      </c>
      <c r="B3038" s="51">
        <v>1151.03</v>
      </c>
      <c r="C3038" s="52"/>
      <c r="D3038" s="52"/>
      <c r="E3038" s="52"/>
      <c r="F3038" s="52"/>
      <c r="G3038" s="52"/>
      <c r="H3038" s="52"/>
    </row>
    <row r="3039" spans="1:8" ht="15.75">
      <c r="A3039" s="50">
        <v>43546</v>
      </c>
      <c r="B3039" s="51">
        <v>1161.92</v>
      </c>
      <c r="C3039" s="52"/>
      <c r="D3039" s="52"/>
      <c r="E3039" s="52"/>
      <c r="F3039" s="52"/>
      <c r="G3039" s="52"/>
      <c r="H3039" s="52"/>
    </row>
    <row r="3040" spans="1:8" ht="15.75">
      <c r="A3040" s="50">
        <v>43548</v>
      </c>
      <c r="B3040" s="51">
        <v>1162.33</v>
      </c>
      <c r="C3040" s="52"/>
      <c r="D3040" s="52"/>
      <c r="E3040" s="52"/>
      <c r="F3040" s="52"/>
      <c r="G3040" s="52"/>
      <c r="H3040" s="52"/>
    </row>
    <row r="3041" spans="1:8" ht="15.75">
      <c r="A3041" s="50">
        <v>43549</v>
      </c>
      <c r="B3041" s="51">
        <v>1168.6199999999999</v>
      </c>
      <c r="C3041" s="52"/>
      <c r="D3041" s="52"/>
      <c r="E3041" s="52"/>
      <c r="F3041" s="52"/>
      <c r="G3041" s="52"/>
      <c r="H3041" s="52"/>
    </row>
    <row r="3042" spans="1:8" ht="15.75">
      <c r="A3042" s="50">
        <v>43550</v>
      </c>
      <c r="B3042" s="51">
        <v>1167.52</v>
      </c>
      <c r="C3042" s="52"/>
      <c r="D3042" s="52"/>
      <c r="E3042" s="52"/>
      <c r="F3042" s="52"/>
      <c r="G3042" s="52"/>
      <c r="H3042" s="52"/>
    </row>
    <row r="3043" spans="1:8" ht="15.75">
      <c r="A3043" s="50">
        <v>43551</v>
      </c>
      <c r="B3043" s="51">
        <v>1164.1500000000001</v>
      </c>
      <c r="C3043" s="52"/>
      <c r="D3043" s="52"/>
      <c r="E3043" s="52"/>
      <c r="F3043" s="52"/>
      <c r="G3043" s="52"/>
      <c r="H3043" s="52"/>
    </row>
    <row r="3044" spans="1:8" ht="15.75">
      <c r="A3044" s="50">
        <v>43552</v>
      </c>
      <c r="B3044" s="51">
        <v>1149.8800000000001</v>
      </c>
      <c r="C3044" s="52"/>
      <c r="D3044" s="52"/>
      <c r="E3044" s="52"/>
      <c r="F3044" s="52"/>
      <c r="G3044" s="52"/>
      <c r="H3044" s="52"/>
    </row>
    <row r="3045" spans="1:8" ht="15.75">
      <c r="A3045" s="50">
        <v>43553</v>
      </c>
      <c r="B3045" s="51">
        <v>1152.53</v>
      </c>
      <c r="C3045" s="52"/>
      <c r="D3045" s="52"/>
      <c r="E3045" s="52"/>
      <c r="F3045" s="52"/>
      <c r="G3045" s="52"/>
      <c r="H3045" s="52"/>
    </row>
    <row r="3046" spans="1:8" ht="15.75">
      <c r="A3046" s="50">
        <v>43555</v>
      </c>
      <c r="B3046" s="51">
        <v>1151.17</v>
      </c>
      <c r="C3046" s="52"/>
      <c r="D3046" s="52"/>
      <c r="E3046" s="52"/>
      <c r="F3046" s="52"/>
      <c r="G3046" s="52"/>
      <c r="H3046" s="52"/>
    </row>
    <row r="3047" spans="1:8" ht="15.75">
      <c r="A3047" s="50">
        <v>43556</v>
      </c>
      <c r="B3047" s="51">
        <v>1147.2</v>
      </c>
      <c r="C3047" s="52"/>
      <c r="D3047" s="52"/>
      <c r="E3047" s="52"/>
      <c r="F3047" s="52"/>
      <c r="G3047" s="52"/>
      <c r="H3047" s="52"/>
    </row>
    <row r="3048" spans="1:8" ht="15.75">
      <c r="A3048" s="50">
        <v>43557</v>
      </c>
      <c r="B3048" s="51">
        <v>1154.19</v>
      </c>
      <c r="C3048" s="52"/>
      <c r="D3048" s="52"/>
      <c r="E3048" s="52"/>
      <c r="F3048" s="52"/>
      <c r="G3048" s="52"/>
      <c r="H3048" s="52"/>
    </row>
    <row r="3049" spans="1:8" ht="15.75">
      <c r="A3049" s="50">
        <v>43558</v>
      </c>
      <c r="B3049" s="51">
        <v>1147.95</v>
      </c>
      <c r="C3049" s="52"/>
      <c r="D3049" s="52"/>
      <c r="E3049" s="52"/>
      <c r="F3049" s="52"/>
      <c r="G3049" s="52"/>
      <c r="H3049" s="52"/>
    </row>
    <row r="3050" spans="1:8" ht="15.75">
      <c r="A3050" s="50">
        <v>43559</v>
      </c>
      <c r="B3050" s="51">
        <v>1153.6600000000001</v>
      </c>
      <c r="C3050" s="52"/>
      <c r="D3050" s="52"/>
      <c r="E3050" s="52"/>
      <c r="F3050" s="52"/>
      <c r="G3050" s="52"/>
      <c r="H3050" s="52"/>
    </row>
    <row r="3051" spans="1:8" ht="15.75">
      <c r="A3051" s="50">
        <v>43560</v>
      </c>
      <c r="B3051" s="51">
        <v>1149.56</v>
      </c>
      <c r="C3051" s="52"/>
      <c r="D3051" s="52"/>
      <c r="E3051" s="52"/>
      <c r="F3051" s="52"/>
      <c r="G3051" s="52"/>
      <c r="H3051" s="52"/>
    </row>
    <row r="3052" spans="1:8" ht="15.75">
      <c r="A3052" s="50">
        <v>43562</v>
      </c>
      <c r="B3052" s="51">
        <v>1150.07</v>
      </c>
      <c r="C3052" s="52"/>
      <c r="D3052" s="52"/>
      <c r="E3052" s="52"/>
      <c r="F3052" s="52"/>
      <c r="G3052" s="52"/>
      <c r="H3052" s="52"/>
    </row>
    <row r="3053" spans="1:8" ht="15.75">
      <c r="A3053" s="50">
        <v>43563</v>
      </c>
      <c r="B3053" s="51">
        <v>1148</v>
      </c>
      <c r="C3053" s="52"/>
      <c r="D3053" s="52"/>
      <c r="E3053" s="52"/>
      <c r="F3053" s="52"/>
      <c r="G3053" s="52"/>
      <c r="H3053" s="52"/>
    </row>
    <row r="3054" spans="1:8" ht="15.75">
      <c r="A3054" s="50">
        <v>43564</v>
      </c>
      <c r="B3054" s="51">
        <v>1157.56</v>
      </c>
      <c r="C3054" s="52"/>
      <c r="D3054" s="52"/>
      <c r="E3054" s="52"/>
      <c r="F3054" s="52"/>
      <c r="G3054" s="52"/>
      <c r="H3054" s="52"/>
    </row>
    <row r="3055" spans="1:8" ht="15.75">
      <c r="A3055" s="50">
        <v>43565</v>
      </c>
      <c r="B3055" s="51">
        <v>1160.06</v>
      </c>
      <c r="C3055" s="52"/>
      <c r="D3055" s="52"/>
      <c r="E3055" s="52"/>
      <c r="F3055" s="52"/>
      <c r="G3055" s="52"/>
      <c r="H3055" s="52"/>
    </row>
    <row r="3056" spans="1:8" ht="15.75">
      <c r="A3056" s="50">
        <v>43566</v>
      </c>
      <c r="B3056" s="51">
        <v>1145.05</v>
      </c>
      <c r="C3056" s="52"/>
      <c r="D3056" s="52"/>
      <c r="E3056" s="52"/>
      <c r="F3056" s="52"/>
      <c r="G3056" s="52"/>
      <c r="H3056" s="52"/>
    </row>
    <row r="3057" spans="1:8" ht="15.75">
      <c r="A3057" s="50">
        <v>43567</v>
      </c>
      <c r="B3057" s="51">
        <v>1140.08</v>
      </c>
      <c r="C3057" s="52"/>
      <c r="D3057" s="52"/>
      <c r="E3057" s="52"/>
      <c r="F3057" s="52"/>
      <c r="G3057" s="52"/>
      <c r="H3057" s="52"/>
    </row>
    <row r="3058" spans="1:8" ht="15.75">
      <c r="A3058" s="50">
        <v>43569</v>
      </c>
      <c r="B3058" s="51">
        <v>1141.6400000000001</v>
      </c>
      <c r="C3058" s="52"/>
      <c r="D3058" s="52"/>
      <c r="E3058" s="52"/>
      <c r="F3058" s="52"/>
      <c r="G3058" s="52"/>
      <c r="H3058" s="52"/>
    </row>
    <row r="3059" spans="1:8" ht="15.75">
      <c r="A3059" s="50">
        <v>43570</v>
      </c>
      <c r="B3059" s="51">
        <v>1126.58</v>
      </c>
      <c r="C3059" s="52"/>
      <c r="D3059" s="52"/>
      <c r="E3059" s="52"/>
      <c r="F3059" s="52"/>
      <c r="G3059" s="52"/>
      <c r="H3059" s="52"/>
    </row>
    <row r="3060" spans="1:8" ht="15.75">
      <c r="A3060" s="50">
        <v>43571</v>
      </c>
      <c r="B3060" s="51">
        <v>1127.9000000000001</v>
      </c>
      <c r="C3060" s="52"/>
      <c r="D3060" s="52"/>
      <c r="E3060" s="52"/>
      <c r="F3060" s="52"/>
      <c r="G3060" s="52"/>
      <c r="H3060" s="52"/>
    </row>
    <row r="3061" spans="1:8" ht="15.75">
      <c r="A3061" s="50">
        <v>43572</v>
      </c>
      <c r="B3061" s="51">
        <v>1127.6500000000001</v>
      </c>
      <c r="C3061" s="52"/>
      <c r="D3061" s="52"/>
      <c r="E3061" s="52"/>
      <c r="F3061" s="52"/>
      <c r="G3061" s="52"/>
      <c r="H3061" s="52"/>
    </row>
    <row r="3062" spans="1:8" ht="15.75">
      <c r="A3062" s="50">
        <v>43573</v>
      </c>
      <c r="B3062" s="51">
        <v>1134.5</v>
      </c>
      <c r="C3062" s="52"/>
      <c r="D3062" s="52"/>
      <c r="E3062" s="52"/>
      <c r="F3062" s="52"/>
      <c r="G3062" s="52"/>
      <c r="H3062" s="52"/>
    </row>
    <row r="3063" spans="1:8" ht="15.75">
      <c r="A3063" s="50">
        <v>43576</v>
      </c>
      <c r="B3063" s="51">
        <v>1133.04</v>
      </c>
      <c r="C3063" s="52"/>
      <c r="D3063" s="52"/>
      <c r="E3063" s="52"/>
      <c r="F3063" s="52"/>
      <c r="G3063" s="52"/>
      <c r="H3063" s="52"/>
    </row>
    <row r="3064" spans="1:8" ht="15.75">
      <c r="A3064" s="50">
        <v>43577</v>
      </c>
      <c r="B3064" s="51">
        <v>1130.97</v>
      </c>
      <c r="C3064" s="52"/>
      <c r="D3064" s="52"/>
      <c r="E3064" s="52"/>
      <c r="F3064" s="52"/>
      <c r="G3064" s="52"/>
      <c r="H3064" s="52"/>
    </row>
    <row r="3065" spans="1:8" ht="15.75">
      <c r="A3065" s="50">
        <v>43578</v>
      </c>
      <c r="B3065" s="51">
        <v>1127.78</v>
      </c>
      <c r="C3065" s="52"/>
      <c r="D3065" s="52"/>
      <c r="E3065" s="52"/>
      <c r="F3065" s="52"/>
      <c r="G3065" s="52"/>
      <c r="H3065" s="52"/>
    </row>
    <row r="3066" spans="1:8" ht="15.75">
      <c r="A3066" s="50">
        <v>43579</v>
      </c>
      <c r="B3066" s="51">
        <v>1143.17</v>
      </c>
      <c r="C3066" s="52"/>
      <c r="D3066" s="52"/>
      <c r="E3066" s="52"/>
      <c r="F3066" s="52"/>
      <c r="G3066" s="52"/>
      <c r="H3066" s="52"/>
    </row>
    <row r="3067" spans="1:8" ht="15.75">
      <c r="A3067" s="50">
        <v>43580</v>
      </c>
      <c r="B3067" s="51">
        <v>1147.2</v>
      </c>
      <c r="C3067" s="52"/>
      <c r="D3067" s="52"/>
      <c r="E3067" s="52"/>
      <c r="F3067" s="52"/>
      <c r="G3067" s="52"/>
      <c r="H3067" s="52"/>
    </row>
    <row r="3068" spans="1:8" ht="15.75">
      <c r="A3068" s="50">
        <v>43581</v>
      </c>
      <c r="B3068" s="51">
        <v>1152.3</v>
      </c>
      <c r="C3068" s="52"/>
      <c r="D3068" s="52"/>
      <c r="E3068" s="52"/>
      <c r="F3068" s="52"/>
      <c r="G3068" s="52"/>
      <c r="H3068" s="52"/>
    </row>
    <row r="3069" spans="1:8" ht="15.75">
      <c r="A3069" s="50">
        <v>43583</v>
      </c>
      <c r="B3069" s="51">
        <v>1153.69</v>
      </c>
      <c r="C3069" s="52"/>
      <c r="D3069" s="52"/>
      <c r="E3069" s="52"/>
      <c r="F3069" s="52"/>
      <c r="G3069" s="52"/>
      <c r="H3069" s="52"/>
    </row>
    <row r="3070" spans="1:8" ht="15.75">
      <c r="A3070" s="50">
        <v>43584</v>
      </c>
      <c r="B3070" s="51">
        <v>1151.79</v>
      </c>
      <c r="C3070" s="52"/>
      <c r="D3070" s="52"/>
      <c r="E3070" s="52"/>
      <c r="F3070" s="52"/>
      <c r="G3070" s="52"/>
      <c r="H3070" s="52"/>
    </row>
    <row r="3071" spans="1:8" ht="15.75">
      <c r="A3071" s="50">
        <v>43585</v>
      </c>
      <c r="B3071" s="51">
        <v>1148.52</v>
      </c>
      <c r="C3071" s="52"/>
      <c r="D3071" s="52"/>
      <c r="E3071" s="52"/>
      <c r="F3071" s="52"/>
      <c r="G3071" s="52"/>
      <c r="H3071" s="52"/>
    </row>
    <row r="3072" spans="1:8" ht="15.75">
      <c r="A3072" s="50">
        <v>43586</v>
      </c>
      <c r="B3072" s="51">
        <v>1139.99</v>
      </c>
      <c r="C3072" s="52"/>
      <c r="D3072" s="52"/>
      <c r="E3072" s="52"/>
      <c r="F3072" s="52"/>
      <c r="G3072" s="52"/>
      <c r="H3072" s="52"/>
    </row>
    <row r="3073" spans="1:8" ht="15.75">
      <c r="A3073" s="50">
        <v>43587</v>
      </c>
      <c r="B3073" s="51">
        <v>1152.6400000000001</v>
      </c>
      <c r="C3073" s="52"/>
      <c r="D3073" s="52"/>
      <c r="E3073" s="52"/>
      <c r="F3073" s="52"/>
      <c r="G3073" s="52"/>
      <c r="H3073" s="52"/>
    </row>
    <row r="3074" spans="1:8" ht="15.75">
      <c r="A3074" s="50">
        <v>43588</v>
      </c>
      <c r="B3074" s="51">
        <v>1141.45</v>
      </c>
      <c r="C3074" s="52"/>
      <c r="D3074" s="52"/>
      <c r="E3074" s="52"/>
      <c r="F3074" s="52"/>
      <c r="G3074" s="52"/>
      <c r="H3074" s="52"/>
    </row>
    <row r="3075" spans="1:8" ht="15.75">
      <c r="A3075" s="50">
        <v>43590</v>
      </c>
      <c r="B3075" s="51">
        <v>1141.8499999999999</v>
      </c>
      <c r="C3075" s="52"/>
      <c r="D3075" s="52"/>
      <c r="E3075" s="52"/>
      <c r="F3075" s="52"/>
      <c r="G3075" s="52"/>
      <c r="H3075" s="52"/>
    </row>
    <row r="3076" spans="1:8" ht="15.75">
      <c r="A3076" s="50">
        <v>43591</v>
      </c>
      <c r="B3076" s="51">
        <v>1139.1400000000001</v>
      </c>
      <c r="C3076" s="52"/>
      <c r="D3076" s="52"/>
      <c r="E3076" s="52"/>
      <c r="F3076" s="52"/>
      <c r="G3076" s="52"/>
      <c r="H3076" s="52"/>
    </row>
    <row r="3077" spans="1:8" ht="15.75">
      <c r="A3077" s="50">
        <v>43592</v>
      </c>
      <c r="B3077" s="51">
        <v>1151.27</v>
      </c>
      <c r="C3077" s="52"/>
      <c r="D3077" s="52"/>
      <c r="E3077" s="52"/>
      <c r="F3077" s="52"/>
      <c r="G3077" s="52"/>
      <c r="H3077" s="52"/>
    </row>
    <row r="3078" spans="1:8" ht="15.75">
      <c r="A3078" s="50">
        <v>43593</v>
      </c>
      <c r="B3078" s="51">
        <v>1144.3</v>
      </c>
      <c r="C3078" s="52"/>
      <c r="D3078" s="52"/>
      <c r="E3078" s="52"/>
      <c r="F3078" s="52"/>
      <c r="G3078" s="52"/>
      <c r="H3078" s="52"/>
    </row>
    <row r="3079" spans="1:8" ht="15.75">
      <c r="A3079" s="50">
        <v>43594</v>
      </c>
      <c r="B3079" s="51">
        <v>1144.7</v>
      </c>
      <c r="C3079" s="52"/>
      <c r="D3079" s="52"/>
      <c r="E3079" s="52"/>
      <c r="F3079" s="52"/>
      <c r="G3079" s="52"/>
      <c r="H3079" s="52"/>
    </row>
    <row r="3080" spans="1:8" ht="15.75">
      <c r="A3080" s="50">
        <v>43595</v>
      </c>
      <c r="B3080" s="51">
        <v>1145.04</v>
      </c>
      <c r="C3080" s="52"/>
      <c r="D3080" s="52"/>
      <c r="E3080" s="52"/>
      <c r="F3080" s="52"/>
      <c r="G3080" s="52"/>
      <c r="H3080" s="52"/>
    </row>
    <row r="3081" spans="1:8" ht="15.75">
      <c r="A3081" s="50">
        <v>43597</v>
      </c>
      <c r="B3081" s="51">
        <v>1144.69</v>
      </c>
      <c r="C3081" s="52"/>
      <c r="D3081" s="52"/>
      <c r="E3081" s="52"/>
      <c r="F3081" s="52"/>
      <c r="G3081" s="52"/>
      <c r="H3081" s="52"/>
    </row>
    <row r="3082" spans="1:8" ht="15.75">
      <c r="A3082" s="50">
        <v>43598</v>
      </c>
      <c r="B3082" s="51">
        <v>1158.28</v>
      </c>
      <c r="C3082" s="52"/>
      <c r="D3082" s="52"/>
      <c r="E3082" s="52"/>
      <c r="F3082" s="52"/>
      <c r="G3082" s="52"/>
      <c r="H3082" s="52"/>
    </row>
    <row r="3083" spans="1:8" ht="15.75">
      <c r="A3083" s="50">
        <v>43599</v>
      </c>
      <c r="B3083" s="51">
        <v>1170.67</v>
      </c>
      <c r="C3083" s="52"/>
      <c r="D3083" s="52"/>
      <c r="E3083" s="52"/>
      <c r="F3083" s="52"/>
      <c r="G3083" s="52"/>
      <c r="H3083" s="52"/>
    </row>
    <row r="3084" spans="1:8" ht="15.75">
      <c r="A3084" s="50">
        <v>43600</v>
      </c>
      <c r="B3084" s="51">
        <v>1166.6500000000001</v>
      </c>
      <c r="C3084" s="52"/>
      <c r="D3084" s="52"/>
      <c r="E3084" s="52"/>
      <c r="F3084" s="52"/>
      <c r="G3084" s="52"/>
      <c r="H3084" s="52"/>
    </row>
    <row r="3085" spans="1:8" ht="15.75">
      <c r="A3085" s="50">
        <v>43601</v>
      </c>
      <c r="B3085" s="51">
        <v>1145.6500000000001</v>
      </c>
      <c r="C3085" s="52"/>
      <c r="D3085" s="52"/>
      <c r="E3085" s="52"/>
      <c r="F3085" s="52"/>
      <c r="G3085" s="52"/>
      <c r="H3085" s="52"/>
    </row>
    <row r="3086" spans="1:8" ht="15.75">
      <c r="A3086" s="50">
        <v>43602</v>
      </c>
      <c r="B3086" s="51">
        <v>1143.32</v>
      </c>
      <c r="C3086" s="52"/>
      <c r="D3086" s="52"/>
      <c r="E3086" s="52"/>
      <c r="F3086" s="52"/>
      <c r="G3086" s="52"/>
      <c r="H3086" s="52"/>
    </row>
    <row r="3087" spans="1:8" ht="15.75">
      <c r="A3087" s="50">
        <v>43604</v>
      </c>
      <c r="B3087" s="51">
        <v>1144.3499999999999</v>
      </c>
      <c r="C3087" s="52"/>
      <c r="D3087" s="52"/>
      <c r="E3087" s="52"/>
      <c r="F3087" s="52"/>
      <c r="G3087" s="52"/>
      <c r="H3087" s="52"/>
    </row>
    <row r="3088" spans="1:8" ht="15.75">
      <c r="A3088" s="50">
        <v>43605</v>
      </c>
      <c r="B3088" s="51">
        <v>1161.96</v>
      </c>
      <c r="C3088" s="52"/>
      <c r="D3088" s="52"/>
      <c r="E3088" s="52"/>
      <c r="F3088" s="52"/>
      <c r="G3088" s="52"/>
      <c r="H3088" s="52"/>
    </row>
    <row r="3089" spans="1:8" ht="15.75">
      <c r="A3089" s="50">
        <v>43606</v>
      </c>
      <c r="B3089" s="51">
        <v>1137.03</v>
      </c>
      <c r="C3089" s="52"/>
      <c r="D3089" s="52"/>
      <c r="E3089" s="52"/>
      <c r="F3089" s="52"/>
      <c r="G3089" s="52"/>
      <c r="H3089" s="52"/>
    </row>
    <row r="3090" spans="1:8" ht="15.75">
      <c r="A3090" s="50">
        <v>43607</v>
      </c>
      <c r="B3090" s="51">
        <v>1142.1600000000001</v>
      </c>
      <c r="C3090" s="52"/>
      <c r="D3090" s="52"/>
      <c r="E3090" s="52"/>
      <c r="F3090" s="52"/>
      <c r="G3090" s="52"/>
      <c r="H3090" s="52"/>
    </row>
    <row r="3091" spans="1:8" ht="15.75">
      <c r="A3091" s="50">
        <v>43608</v>
      </c>
      <c r="B3091" s="51">
        <v>1147.47</v>
      </c>
      <c r="C3091" s="52"/>
      <c r="D3091" s="52"/>
      <c r="E3091" s="52"/>
      <c r="F3091" s="52"/>
      <c r="G3091" s="52"/>
      <c r="H3091" s="52"/>
    </row>
    <row r="3092" spans="1:8" ht="15.75">
      <c r="A3092" s="50">
        <v>43609</v>
      </c>
      <c r="B3092" s="51">
        <v>1154.0999999999999</v>
      </c>
      <c r="C3092" s="52"/>
      <c r="D3092" s="52"/>
      <c r="E3092" s="52"/>
      <c r="F3092" s="52"/>
      <c r="G3092" s="52"/>
      <c r="H3092" s="52"/>
    </row>
    <row r="3093" spans="1:8" ht="15.75">
      <c r="A3093" s="50">
        <v>43611</v>
      </c>
      <c r="B3093" s="51">
        <v>1153.2</v>
      </c>
      <c r="C3093" s="52"/>
      <c r="D3093" s="52"/>
      <c r="E3093" s="52"/>
      <c r="F3093" s="52"/>
      <c r="G3093" s="52"/>
      <c r="H3093" s="52"/>
    </row>
    <row r="3094" spans="1:8" ht="15.75">
      <c r="A3094" s="50">
        <v>43612</v>
      </c>
      <c r="B3094" s="51">
        <v>1148.1199999999999</v>
      </c>
      <c r="C3094" s="52"/>
      <c r="D3094" s="52"/>
      <c r="E3094" s="52"/>
      <c r="F3094" s="52"/>
      <c r="G3094" s="52"/>
      <c r="H3094" s="52"/>
    </row>
    <row r="3095" spans="1:8" ht="15.75">
      <c r="A3095" s="50">
        <v>43613</v>
      </c>
      <c r="B3095" s="51">
        <v>1158</v>
      </c>
      <c r="C3095" s="52"/>
      <c r="D3095" s="52"/>
      <c r="E3095" s="52"/>
      <c r="F3095" s="52"/>
      <c r="G3095" s="52"/>
      <c r="H3095" s="52"/>
    </row>
    <row r="3096" spans="1:8" ht="15.75">
      <c r="A3096" s="50">
        <v>43614</v>
      </c>
      <c r="B3096" s="51">
        <v>1161.07</v>
      </c>
      <c r="C3096" s="52"/>
      <c r="D3096" s="52"/>
      <c r="E3096" s="52"/>
      <c r="F3096" s="52"/>
      <c r="G3096" s="52"/>
      <c r="H3096" s="52"/>
    </row>
    <row r="3097" spans="1:8" ht="15.75">
      <c r="A3097" s="50">
        <v>43615</v>
      </c>
      <c r="B3097" s="51">
        <v>1158.33</v>
      </c>
      <c r="C3097" s="52"/>
      <c r="D3097" s="52"/>
      <c r="E3097" s="52"/>
      <c r="F3097" s="52"/>
      <c r="G3097" s="52"/>
      <c r="H3097" s="52"/>
    </row>
    <row r="3098" spans="1:8" ht="15.75">
      <c r="A3098" s="50">
        <v>43616</v>
      </c>
      <c r="B3098" s="51">
        <v>1165.92</v>
      </c>
      <c r="C3098" s="52"/>
      <c r="D3098" s="52"/>
      <c r="E3098" s="52"/>
      <c r="F3098" s="52"/>
      <c r="G3098" s="52"/>
      <c r="H3098" s="52"/>
    </row>
    <row r="3099" spans="1:8" ht="15.75">
      <c r="A3099" s="50">
        <v>43618</v>
      </c>
      <c r="B3099" s="51">
        <v>1169.05</v>
      </c>
      <c r="C3099" s="52"/>
      <c r="D3099" s="52"/>
      <c r="E3099" s="52"/>
      <c r="F3099" s="52"/>
      <c r="G3099" s="52"/>
      <c r="H3099" s="52"/>
    </row>
    <row r="3100" spans="1:8" ht="15.75">
      <c r="A3100" s="50">
        <v>43619</v>
      </c>
      <c r="B3100" s="51">
        <v>1178.46</v>
      </c>
      <c r="C3100" s="52"/>
      <c r="D3100" s="52"/>
      <c r="E3100" s="52"/>
      <c r="F3100" s="52"/>
      <c r="G3100" s="52"/>
      <c r="H3100" s="52"/>
    </row>
    <row r="3101" spans="1:8" ht="15.75">
      <c r="A3101" s="50">
        <v>43620</v>
      </c>
      <c r="B3101" s="51">
        <v>1177.6099999999999</v>
      </c>
      <c r="C3101" s="52"/>
      <c r="D3101" s="52"/>
      <c r="E3101" s="52"/>
      <c r="F3101" s="52"/>
      <c r="G3101" s="52"/>
      <c r="H3101" s="52"/>
    </row>
    <row r="3102" spans="1:8" ht="15.75">
      <c r="A3102" s="50">
        <v>43621</v>
      </c>
      <c r="B3102" s="51">
        <v>1185.1199999999999</v>
      </c>
      <c r="C3102" s="52"/>
      <c r="D3102" s="52"/>
      <c r="E3102" s="52"/>
      <c r="F3102" s="52"/>
      <c r="G3102" s="52"/>
      <c r="H3102" s="52"/>
    </row>
    <row r="3103" spans="1:8" ht="15.75">
      <c r="A3103" s="50">
        <v>43622</v>
      </c>
      <c r="B3103" s="51">
        <v>1184.25</v>
      </c>
      <c r="C3103" s="52"/>
      <c r="D3103" s="52"/>
      <c r="E3103" s="52"/>
      <c r="F3103" s="52"/>
      <c r="G3103" s="52"/>
      <c r="H3103" s="52"/>
    </row>
    <row r="3104" spans="1:8" ht="15.75">
      <c r="A3104" s="50">
        <v>43623</v>
      </c>
      <c r="B3104" s="51">
        <v>1182.22</v>
      </c>
      <c r="C3104" s="52"/>
      <c r="D3104" s="52"/>
      <c r="E3104" s="52"/>
      <c r="F3104" s="52"/>
      <c r="G3104" s="52"/>
      <c r="H3104" s="52"/>
    </row>
    <row r="3105" spans="1:8" ht="15.75">
      <c r="A3105" s="50">
        <v>43625</v>
      </c>
      <c r="B3105" s="51">
        <v>1183.74</v>
      </c>
      <c r="C3105" s="52"/>
      <c r="D3105" s="52"/>
      <c r="E3105" s="52"/>
      <c r="F3105" s="52"/>
      <c r="G3105" s="52"/>
      <c r="H3105" s="52"/>
    </row>
    <row r="3106" spans="1:8" ht="15.75">
      <c r="A3106" s="50">
        <v>43626</v>
      </c>
      <c r="B3106" s="51">
        <v>1174.04</v>
      </c>
      <c r="C3106" s="52"/>
      <c r="D3106" s="52"/>
      <c r="E3106" s="52"/>
      <c r="F3106" s="52"/>
      <c r="G3106" s="52"/>
      <c r="H3106" s="52"/>
    </row>
    <row r="3107" spans="1:8" ht="15.75">
      <c r="A3107" s="50">
        <v>43627</v>
      </c>
      <c r="B3107" s="51">
        <v>1173.79</v>
      </c>
      <c r="C3107" s="52"/>
      <c r="D3107" s="52"/>
      <c r="E3107" s="52"/>
      <c r="F3107" s="52"/>
      <c r="G3107" s="52"/>
      <c r="H3107" s="52"/>
    </row>
    <row r="3108" spans="1:8" ht="15.75">
      <c r="A3108" s="50">
        <v>43628</v>
      </c>
      <c r="B3108" s="51">
        <v>1180.92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43629</v>
      </c>
      <c r="B3109" s="51">
        <v>1190.3399999999999</v>
      </c>
      <c r="C3109" s="52"/>
      <c r="D3109" s="52"/>
      <c r="E3109" s="52"/>
      <c r="F3109" s="52"/>
      <c r="G3109" s="52"/>
      <c r="H3109" s="52"/>
    </row>
    <row r="3110" spans="1:8" ht="15.75">
      <c r="A3110" s="50">
        <v>43630</v>
      </c>
      <c r="B3110" s="51">
        <v>1183.3599999999999</v>
      </c>
      <c r="C3110" s="52"/>
      <c r="D3110" s="52"/>
      <c r="E3110" s="52"/>
      <c r="F3110" s="52"/>
      <c r="G3110" s="52"/>
      <c r="H3110" s="52"/>
    </row>
    <row r="3111" spans="1:8" ht="15.75">
      <c r="A3111" s="50">
        <v>43632</v>
      </c>
      <c r="B3111" s="51">
        <v>1188.9000000000001</v>
      </c>
      <c r="C3111" s="52"/>
      <c r="D3111" s="52"/>
      <c r="E3111" s="52"/>
      <c r="F3111" s="52"/>
      <c r="G3111" s="52"/>
      <c r="H3111" s="52"/>
    </row>
    <row r="3112" spans="1:8" ht="15.75">
      <c r="A3112" s="50">
        <v>43633</v>
      </c>
      <c r="B3112" s="51">
        <v>1190.76</v>
      </c>
      <c r="C3112" s="52"/>
      <c r="D3112" s="52"/>
      <c r="E3112" s="52"/>
      <c r="F3112" s="52"/>
      <c r="G3112" s="52"/>
      <c r="H3112" s="52"/>
    </row>
    <row r="3113" spans="1:8" ht="15.75">
      <c r="A3113" s="50">
        <v>43634</v>
      </c>
      <c r="B3113" s="51">
        <v>1202.8</v>
      </c>
      <c r="C3113" s="52"/>
      <c r="D3113" s="52"/>
      <c r="E3113" s="52"/>
      <c r="F3113" s="52"/>
      <c r="G3113" s="52"/>
      <c r="H3113" s="52"/>
    </row>
    <row r="3114" spans="1:8" ht="15.75">
      <c r="A3114" s="50">
        <v>43635</v>
      </c>
      <c r="B3114" s="51">
        <v>1187.1500000000001</v>
      </c>
      <c r="C3114" s="52"/>
      <c r="D3114" s="52"/>
      <c r="E3114" s="52"/>
      <c r="F3114" s="52"/>
      <c r="G3114" s="52"/>
      <c r="H3114" s="52"/>
    </row>
    <row r="3115" spans="1:8" ht="15.75">
      <c r="A3115" s="50">
        <v>43636</v>
      </c>
      <c r="B3115" s="51">
        <v>1229.46</v>
      </c>
      <c r="C3115" s="52"/>
      <c r="D3115" s="52"/>
      <c r="E3115" s="52"/>
      <c r="F3115" s="52"/>
      <c r="G3115" s="52"/>
      <c r="H3115" s="52"/>
    </row>
    <row r="3116" spans="1:8" ht="15.75">
      <c r="A3116" s="50">
        <v>43637</v>
      </c>
      <c r="B3116" s="51">
        <v>1230.53</v>
      </c>
      <c r="C3116" s="52"/>
      <c r="D3116" s="52"/>
      <c r="E3116" s="52"/>
      <c r="F3116" s="52"/>
      <c r="G3116" s="52"/>
      <c r="H3116" s="52"/>
    </row>
    <row r="3117" spans="1:8" ht="15.75">
      <c r="A3117" s="50">
        <v>43640</v>
      </c>
      <c r="B3117" s="51">
        <v>1245.55</v>
      </c>
      <c r="C3117" s="52"/>
      <c r="D3117" s="52"/>
      <c r="E3117" s="52"/>
      <c r="F3117" s="52"/>
      <c r="G3117" s="52"/>
      <c r="H3117" s="52"/>
    </row>
    <row r="3118" spans="1:8" ht="15.75">
      <c r="A3118" s="50">
        <v>43641</v>
      </c>
      <c r="B3118" s="51">
        <v>1251.92</v>
      </c>
      <c r="C3118" s="52"/>
      <c r="D3118" s="52"/>
      <c r="E3118" s="52"/>
      <c r="F3118" s="52"/>
      <c r="G3118" s="52"/>
      <c r="H3118" s="52"/>
    </row>
    <row r="3119" spans="1:8" ht="15.75">
      <c r="A3119" s="50">
        <v>43642</v>
      </c>
      <c r="B3119" s="51">
        <v>1237.75</v>
      </c>
      <c r="C3119" s="52"/>
      <c r="D3119" s="52"/>
      <c r="E3119" s="52"/>
      <c r="F3119" s="52"/>
      <c r="G3119" s="52"/>
      <c r="H3119" s="52"/>
    </row>
    <row r="3120" spans="1:8" ht="15.75">
      <c r="A3120" s="50">
        <v>43643</v>
      </c>
      <c r="B3120" s="51">
        <v>1239.99</v>
      </c>
      <c r="C3120" s="52"/>
      <c r="D3120" s="52"/>
      <c r="E3120" s="52"/>
      <c r="F3120" s="52"/>
      <c r="G3120" s="52"/>
      <c r="H3120" s="52"/>
    </row>
    <row r="3121" spans="1:8" ht="15.75">
      <c r="A3121" s="50">
        <v>43644</v>
      </c>
      <c r="B3121" s="51">
        <v>1237.76</v>
      </c>
      <c r="C3121" s="52"/>
      <c r="D3121" s="52"/>
      <c r="E3121" s="52"/>
      <c r="F3121" s="52"/>
      <c r="G3121" s="52"/>
      <c r="H3121" s="52"/>
    </row>
    <row r="3122" spans="1:8" ht="15.75">
      <c r="A3122" s="50">
        <v>43646</v>
      </c>
      <c r="B3122" s="51">
        <v>1240.05</v>
      </c>
      <c r="C3122" s="52"/>
      <c r="D3122" s="52"/>
      <c r="E3122" s="52"/>
      <c r="F3122" s="52"/>
      <c r="G3122" s="52"/>
      <c r="H3122" s="52"/>
    </row>
    <row r="3123" spans="1:8" ht="15.75">
      <c r="A3123" s="50">
        <v>43647</v>
      </c>
      <c r="B3123" s="51">
        <v>1224.6500000000001</v>
      </c>
      <c r="C3123" s="52"/>
      <c r="D3123" s="52"/>
      <c r="E3123" s="52"/>
      <c r="F3123" s="52"/>
      <c r="G3123" s="52"/>
      <c r="H3123" s="52"/>
    </row>
    <row r="3124" spans="1:8" ht="15.75">
      <c r="A3124" s="50">
        <v>43648</v>
      </c>
      <c r="B3124" s="51">
        <v>1260.83</v>
      </c>
      <c r="C3124" s="52"/>
      <c r="D3124" s="52"/>
      <c r="E3124" s="52"/>
      <c r="F3124" s="52"/>
      <c r="G3124" s="52"/>
      <c r="H3124" s="52"/>
    </row>
    <row r="3125" spans="1:8" ht="15.75">
      <c r="A3125" s="50">
        <v>43649</v>
      </c>
      <c r="B3125" s="51">
        <v>1262.04</v>
      </c>
      <c r="C3125" s="52"/>
      <c r="D3125" s="52"/>
      <c r="E3125" s="52"/>
      <c r="F3125" s="52"/>
      <c r="G3125" s="52"/>
      <c r="H3125" s="52"/>
    </row>
    <row r="3126" spans="1:8" ht="15.75">
      <c r="A3126" s="50">
        <v>43650</v>
      </c>
      <c r="B3126" s="51">
        <v>1256.27</v>
      </c>
      <c r="C3126" s="52"/>
      <c r="D3126" s="52"/>
      <c r="E3126" s="52"/>
      <c r="F3126" s="52"/>
      <c r="G3126" s="52"/>
      <c r="H3126" s="52"/>
    </row>
    <row r="3127" spans="1:8" ht="15.75">
      <c r="A3127" s="50">
        <v>43651</v>
      </c>
      <c r="B3127" s="51">
        <v>1245.45</v>
      </c>
      <c r="C3127" s="52"/>
      <c r="D3127" s="52"/>
      <c r="E3127" s="52"/>
      <c r="F3127" s="52"/>
      <c r="G3127" s="52"/>
      <c r="H3127" s="52"/>
    </row>
    <row r="3128" spans="1:8" ht="15.75">
      <c r="A3128" s="50">
        <v>43653</v>
      </c>
      <c r="B3128" s="51">
        <v>1246.95</v>
      </c>
      <c r="C3128" s="52"/>
      <c r="D3128" s="52"/>
      <c r="E3128" s="52"/>
      <c r="F3128" s="52"/>
      <c r="G3128" s="52"/>
      <c r="H3128" s="52"/>
    </row>
    <row r="3129" spans="1:8" ht="15.75">
      <c r="A3129" s="50">
        <v>43654</v>
      </c>
      <c r="B3129" s="51">
        <v>1243.98</v>
      </c>
      <c r="C3129" s="52"/>
      <c r="D3129" s="52"/>
      <c r="E3129" s="52"/>
      <c r="F3129" s="52"/>
      <c r="G3129" s="52"/>
      <c r="H3129" s="52"/>
    </row>
    <row r="3130" spans="1:8" ht="15.75">
      <c r="A3130" s="50">
        <v>43655</v>
      </c>
      <c r="B3130" s="51">
        <v>1247.08</v>
      </c>
      <c r="C3130" s="52"/>
      <c r="D3130" s="52"/>
      <c r="E3130" s="52"/>
      <c r="F3130" s="52"/>
      <c r="G3130" s="52"/>
      <c r="H3130" s="52"/>
    </row>
    <row r="3131" spans="1:8" ht="15.75">
      <c r="A3131" s="50">
        <v>43656</v>
      </c>
      <c r="B3131" s="51">
        <v>1224.68</v>
      </c>
      <c r="C3131" s="52"/>
      <c r="D3131" s="52"/>
      <c r="E3131" s="52"/>
      <c r="F3131" s="52"/>
      <c r="G3131" s="52"/>
      <c r="H3131" s="52"/>
    </row>
    <row r="3132" spans="1:8" ht="15.75">
      <c r="A3132" s="50">
        <v>43657</v>
      </c>
      <c r="B3132" s="51">
        <v>1247.6600000000001</v>
      </c>
      <c r="C3132" s="52"/>
      <c r="D3132" s="52"/>
      <c r="E3132" s="52"/>
      <c r="F3132" s="52"/>
      <c r="G3132" s="52"/>
      <c r="H3132" s="52"/>
    </row>
    <row r="3133" spans="1:8" ht="15.75">
      <c r="A3133" s="50">
        <v>43658</v>
      </c>
      <c r="B3133" s="51">
        <v>1264.21</v>
      </c>
      <c r="C3133" s="52"/>
      <c r="D3133" s="52"/>
      <c r="E3133" s="52"/>
      <c r="F3133" s="52"/>
      <c r="G3133" s="52"/>
      <c r="H3133" s="52"/>
    </row>
    <row r="3134" spans="1:8" ht="15.75">
      <c r="A3134" s="50">
        <v>43660</v>
      </c>
      <c r="B3134" s="51">
        <v>1266.06</v>
      </c>
      <c r="C3134" s="52"/>
      <c r="D3134" s="52"/>
      <c r="E3134" s="52"/>
      <c r="F3134" s="52"/>
      <c r="G3134" s="52"/>
      <c r="H3134" s="52"/>
    </row>
    <row r="3135" spans="1:8" ht="15.75">
      <c r="A3135" s="50">
        <v>43661</v>
      </c>
      <c r="B3135" s="51">
        <v>1255.8399999999999</v>
      </c>
      <c r="C3135" s="52"/>
      <c r="D3135" s="52"/>
      <c r="E3135" s="52"/>
      <c r="F3135" s="52"/>
      <c r="G3135" s="52"/>
      <c r="H3135" s="52"/>
    </row>
    <row r="3136" spans="1:8" ht="15.75">
      <c r="A3136" s="50">
        <v>43662</v>
      </c>
      <c r="B3136" s="51">
        <v>1254.31</v>
      </c>
      <c r="C3136" s="52"/>
      <c r="D3136" s="52"/>
      <c r="E3136" s="52"/>
      <c r="F3136" s="52"/>
      <c r="G3136" s="52"/>
      <c r="H3136" s="52"/>
    </row>
    <row r="3137" spans="1:8" ht="15.75">
      <c r="A3137" s="50">
        <v>43663</v>
      </c>
      <c r="B3137" s="51">
        <v>1270.6600000000001</v>
      </c>
      <c r="C3137" s="52"/>
      <c r="D3137" s="52"/>
      <c r="E3137" s="52"/>
      <c r="F3137" s="52"/>
      <c r="G3137" s="52"/>
      <c r="H3137" s="52"/>
    </row>
    <row r="3138" spans="1:8" ht="15.75">
      <c r="A3138" s="50">
        <v>43664</v>
      </c>
      <c r="B3138" s="51">
        <v>1282.21</v>
      </c>
      <c r="C3138" s="52"/>
      <c r="D3138" s="52"/>
      <c r="E3138" s="52"/>
      <c r="F3138" s="52"/>
      <c r="G3138" s="52"/>
      <c r="H3138" s="52"/>
    </row>
    <row r="3139" spans="1:8" ht="15.75">
      <c r="A3139" s="50">
        <v>43665</v>
      </c>
      <c r="B3139" s="51">
        <v>1257.73</v>
      </c>
      <c r="C3139" s="52"/>
      <c r="D3139" s="52"/>
      <c r="E3139" s="52"/>
      <c r="F3139" s="52"/>
      <c r="G3139" s="52"/>
      <c r="H3139" s="52"/>
    </row>
    <row r="3140" spans="1:8" ht="15.75">
      <c r="A3140" s="50">
        <v>43667</v>
      </c>
      <c r="B3140" s="51">
        <v>1264.1199999999999</v>
      </c>
      <c r="C3140" s="52"/>
      <c r="D3140" s="52"/>
      <c r="E3140" s="52"/>
      <c r="F3140" s="52"/>
      <c r="G3140" s="52"/>
      <c r="H3140" s="52"/>
    </row>
    <row r="3141" spans="1:8" ht="15.75">
      <c r="A3141" s="50">
        <v>43668</v>
      </c>
      <c r="B3141" s="51">
        <v>1271.3</v>
      </c>
      <c r="C3141" s="52"/>
      <c r="D3141" s="52"/>
      <c r="E3141" s="52"/>
      <c r="F3141" s="52"/>
      <c r="G3141" s="52"/>
      <c r="H3141" s="52"/>
    </row>
    <row r="3142" spans="1:8" ht="15.75">
      <c r="A3142" s="50">
        <v>43669</v>
      </c>
      <c r="B3142" s="51">
        <v>1271.02</v>
      </c>
      <c r="C3142" s="52"/>
      <c r="D3142" s="52"/>
      <c r="E3142" s="52"/>
      <c r="F3142" s="52"/>
      <c r="G3142" s="52"/>
      <c r="H3142" s="52"/>
    </row>
    <row r="3143" spans="1:8" ht="15.75">
      <c r="A3143" s="50">
        <v>43670</v>
      </c>
      <c r="B3143" s="51">
        <v>1279.4100000000001</v>
      </c>
      <c r="C3143" s="52"/>
      <c r="D3143" s="52"/>
      <c r="E3143" s="52"/>
      <c r="F3143" s="52"/>
      <c r="G3143" s="52"/>
      <c r="H3143" s="52"/>
    </row>
    <row r="3144" spans="1:8" ht="15.75">
      <c r="A3144" s="50">
        <v>43671</v>
      </c>
      <c r="B3144" s="51">
        <v>1268.98</v>
      </c>
      <c r="C3144" s="52"/>
      <c r="D3144" s="52"/>
      <c r="E3144" s="52"/>
      <c r="F3144" s="52"/>
      <c r="G3144" s="52"/>
      <c r="H3144" s="52"/>
    </row>
    <row r="3145" spans="1:8" ht="15.75">
      <c r="A3145" s="50">
        <v>43672</v>
      </c>
      <c r="B3145" s="51">
        <v>1274.05</v>
      </c>
      <c r="C3145" s="52"/>
      <c r="D3145" s="52"/>
      <c r="E3145" s="52"/>
      <c r="F3145" s="52"/>
      <c r="G3145" s="52"/>
      <c r="H3145" s="52"/>
    </row>
    <row r="3146" spans="1:8" ht="15.75">
      <c r="A3146" s="50">
        <v>43674</v>
      </c>
      <c r="B3146" s="51">
        <v>1275.1300000000001</v>
      </c>
      <c r="C3146" s="52"/>
      <c r="D3146" s="52"/>
      <c r="E3146" s="52"/>
      <c r="F3146" s="52"/>
      <c r="G3146" s="52"/>
      <c r="H3146" s="52"/>
    </row>
    <row r="3147" spans="1:8" ht="15.75">
      <c r="A3147" s="50">
        <v>43675</v>
      </c>
      <c r="B3147" s="51">
        <v>1283.19</v>
      </c>
      <c r="C3147" s="52"/>
      <c r="D3147" s="52"/>
      <c r="E3147" s="52"/>
      <c r="F3147" s="52"/>
      <c r="G3147" s="52"/>
      <c r="H3147" s="52"/>
    </row>
    <row r="3148" spans="1:8" ht="15.75">
      <c r="A3148" s="50">
        <v>43676</v>
      </c>
      <c r="B3148" s="51">
        <v>1282.4000000000001</v>
      </c>
      <c r="C3148" s="52"/>
      <c r="D3148" s="52"/>
      <c r="E3148" s="52"/>
      <c r="F3148" s="52"/>
      <c r="G3148" s="52"/>
      <c r="H3148" s="52"/>
    </row>
    <row r="3149" spans="1:8" ht="15.75">
      <c r="A3149" s="50">
        <v>43677</v>
      </c>
      <c r="B3149" s="51">
        <v>1276.83</v>
      </c>
      <c r="C3149" s="52"/>
      <c r="D3149" s="52"/>
      <c r="E3149" s="52"/>
      <c r="F3149" s="52"/>
      <c r="G3149" s="52"/>
      <c r="H3149" s="52"/>
    </row>
    <row r="3150" spans="1:8" ht="15.75">
      <c r="A3150" s="50">
        <v>43678</v>
      </c>
      <c r="B3150" s="51">
        <v>1308.68</v>
      </c>
      <c r="C3150" s="52"/>
      <c r="D3150" s="52"/>
      <c r="E3150" s="52"/>
      <c r="F3150" s="52"/>
      <c r="G3150" s="52"/>
      <c r="H3150" s="52"/>
    </row>
    <row r="3151" spans="1:8" ht="15.75">
      <c r="A3151" s="50">
        <v>43679</v>
      </c>
      <c r="B3151" s="51">
        <v>1306.56</v>
      </c>
      <c r="C3151" s="52"/>
      <c r="D3151" s="52"/>
      <c r="E3151" s="52"/>
      <c r="F3151" s="52"/>
      <c r="G3151" s="52"/>
      <c r="H3151" s="52"/>
    </row>
    <row r="3152" spans="1:8" ht="15.75">
      <c r="A3152" s="50">
        <v>43681</v>
      </c>
      <c r="B3152" s="51">
        <v>1308.3499999999999</v>
      </c>
      <c r="C3152" s="52"/>
      <c r="D3152" s="52"/>
      <c r="E3152" s="52"/>
      <c r="F3152" s="52"/>
      <c r="G3152" s="52"/>
      <c r="H3152" s="52"/>
    </row>
    <row r="3153" spans="1:8" ht="15.75">
      <c r="A3153" s="50">
        <v>43682</v>
      </c>
      <c r="B3153" s="51">
        <v>1297.24</v>
      </c>
      <c r="C3153" s="52"/>
      <c r="D3153" s="52"/>
      <c r="E3153" s="52"/>
      <c r="F3153" s="52"/>
      <c r="G3153" s="52"/>
      <c r="H3153" s="52"/>
    </row>
    <row r="3154" spans="1:8" ht="15.75">
      <c r="A3154" s="50">
        <v>43683</v>
      </c>
      <c r="B3154" s="51">
        <v>1316.03</v>
      </c>
      <c r="C3154" s="52"/>
      <c r="D3154" s="52"/>
      <c r="E3154" s="52"/>
      <c r="F3154" s="52"/>
      <c r="G3154" s="52"/>
      <c r="H3154" s="52"/>
    </row>
    <row r="3155" spans="1:8" ht="15.75">
      <c r="A3155" s="50">
        <v>43684</v>
      </c>
      <c r="B3155" s="51">
        <v>1340.04</v>
      </c>
      <c r="C3155" s="52"/>
      <c r="D3155" s="52"/>
      <c r="E3155" s="52"/>
      <c r="F3155" s="52"/>
      <c r="G3155" s="52"/>
      <c r="H3155" s="52"/>
    </row>
    <row r="3156" spans="1:8" ht="15.75">
      <c r="A3156" s="50">
        <v>43685</v>
      </c>
      <c r="B3156" s="51">
        <v>1340.14</v>
      </c>
      <c r="C3156" s="52"/>
      <c r="D3156" s="52"/>
      <c r="E3156" s="52"/>
      <c r="F3156" s="52"/>
      <c r="G3156" s="52"/>
      <c r="H3156" s="52"/>
    </row>
    <row r="3157" spans="1:8" ht="15.75">
      <c r="A3157" s="50">
        <v>43686</v>
      </c>
      <c r="B3157" s="51">
        <v>1322.12</v>
      </c>
      <c r="C3157" s="52"/>
      <c r="D3157" s="52"/>
      <c r="E3157" s="52"/>
      <c r="F3157" s="52"/>
      <c r="G3157" s="52"/>
      <c r="H3157" s="52"/>
    </row>
    <row r="3158" spans="1:8" ht="15.75">
      <c r="A3158" s="50">
        <v>43688</v>
      </c>
      <c r="B3158" s="51">
        <v>1334.63</v>
      </c>
      <c r="C3158" s="52"/>
      <c r="D3158" s="52"/>
      <c r="E3158" s="52"/>
      <c r="F3158" s="52"/>
      <c r="G3158" s="52"/>
      <c r="H3158" s="52"/>
    </row>
    <row r="3159" spans="1:8" ht="15.75">
      <c r="A3159" s="50">
        <v>43689</v>
      </c>
      <c r="B3159" s="51">
        <v>1339.29</v>
      </c>
      <c r="C3159" s="52"/>
      <c r="D3159" s="52"/>
      <c r="E3159" s="52"/>
      <c r="F3159" s="52"/>
      <c r="G3159" s="52"/>
      <c r="H3159" s="52"/>
    </row>
    <row r="3160" spans="1:8" ht="15.75">
      <c r="A3160" s="50">
        <v>43690</v>
      </c>
      <c r="B3160" s="51">
        <v>1320.34</v>
      </c>
      <c r="C3160" s="52"/>
      <c r="D3160" s="52"/>
      <c r="E3160" s="52"/>
      <c r="F3160" s="52"/>
      <c r="G3160" s="52"/>
      <c r="H3160" s="52"/>
    </row>
    <row r="3161" spans="1:8" ht="15.75">
      <c r="A3161" s="50">
        <v>43691</v>
      </c>
      <c r="B3161" s="51">
        <v>1346.75</v>
      </c>
      <c r="C3161" s="52"/>
      <c r="D3161" s="52"/>
      <c r="E3161" s="52"/>
      <c r="F3161" s="52"/>
      <c r="G3161" s="52"/>
      <c r="H3161" s="52"/>
    </row>
    <row r="3162" spans="1:8" ht="15.75">
      <c r="A3162" s="50">
        <v>43692</v>
      </c>
      <c r="B3162" s="51">
        <v>1364.26</v>
      </c>
      <c r="C3162" s="52"/>
      <c r="D3162" s="52"/>
      <c r="E3162" s="52"/>
      <c r="F3162" s="52"/>
      <c r="G3162" s="52"/>
      <c r="H3162" s="52"/>
    </row>
    <row r="3163" spans="1:8" ht="15.75">
      <c r="A3163" s="50">
        <v>43693</v>
      </c>
      <c r="B3163" s="51">
        <v>1363.36</v>
      </c>
      <c r="C3163" s="52"/>
      <c r="D3163" s="52"/>
      <c r="E3163" s="52"/>
      <c r="F3163" s="52"/>
      <c r="G3163" s="52"/>
      <c r="H3163" s="52"/>
    </row>
    <row r="3164" spans="1:8" ht="15.75">
      <c r="A3164" s="50">
        <v>43695</v>
      </c>
      <c r="B3164" s="51">
        <v>1364.59</v>
      </c>
      <c r="C3164" s="52"/>
      <c r="D3164" s="52"/>
      <c r="E3164" s="52"/>
      <c r="F3164" s="52"/>
      <c r="G3164" s="52"/>
      <c r="H3164" s="52"/>
    </row>
    <row r="3165" spans="1:8" ht="15.75">
      <c r="A3165" s="50">
        <v>43696</v>
      </c>
      <c r="B3165" s="51">
        <v>1349.98</v>
      </c>
      <c r="C3165" s="52"/>
      <c r="D3165" s="52"/>
      <c r="E3165" s="52"/>
      <c r="F3165" s="52"/>
      <c r="G3165" s="52"/>
      <c r="H3165" s="52"/>
    </row>
    <row r="3166" spans="1:8" ht="15.75">
      <c r="A3166" s="50">
        <v>43697</v>
      </c>
      <c r="B3166" s="51">
        <v>1358.15</v>
      </c>
      <c r="C3166" s="52"/>
      <c r="D3166" s="52"/>
      <c r="E3166" s="52"/>
      <c r="F3166" s="52"/>
      <c r="G3166" s="52"/>
      <c r="H3166" s="52"/>
    </row>
    <row r="3167" spans="1:8" ht="15.75">
      <c r="A3167" s="50">
        <v>43698</v>
      </c>
      <c r="B3167" s="51">
        <v>1345.67</v>
      </c>
      <c r="C3167" s="52"/>
      <c r="D3167" s="27"/>
      <c r="E3167" s="27"/>
      <c r="F3167" s="27"/>
      <c r="G3167" s="52"/>
      <c r="H3167" s="52"/>
    </row>
    <row r="3168" spans="1:8" ht="15.75">
      <c r="A3168" s="50">
        <v>43699</v>
      </c>
      <c r="B3168" s="51">
        <v>1336.84</v>
      </c>
      <c r="C3168" s="52"/>
      <c r="D3168" s="27"/>
      <c r="E3168" s="27"/>
      <c r="F3168" s="27"/>
      <c r="G3168" s="52"/>
      <c r="H3168" s="52"/>
    </row>
    <row r="3169" spans="1:8" ht="15.75">
      <c r="A3169" s="50">
        <v>43700</v>
      </c>
      <c r="B3169" s="51">
        <v>1317.69</v>
      </c>
      <c r="C3169" s="52"/>
      <c r="D3169" s="27"/>
      <c r="E3169" s="27"/>
      <c r="F3169" s="27"/>
      <c r="G3169" s="52"/>
      <c r="H3169" s="52"/>
    </row>
    <row r="3170" spans="1:8" ht="15.75">
      <c r="A3170" s="50">
        <v>43702</v>
      </c>
      <c r="B3170" s="51">
        <v>1328.86</v>
      </c>
      <c r="C3170" s="52"/>
      <c r="D3170" s="27"/>
      <c r="E3170" s="27"/>
      <c r="F3170" s="27"/>
      <c r="G3170" s="52"/>
      <c r="H3170" s="52"/>
    </row>
    <row r="3171" spans="1:8" ht="15.75">
      <c r="A3171" s="50">
        <v>43703</v>
      </c>
      <c r="B3171" s="51">
        <v>1371.09</v>
      </c>
      <c r="C3171" s="52"/>
      <c r="D3171" s="27"/>
      <c r="E3171" s="27"/>
      <c r="F3171" s="27"/>
      <c r="G3171" s="52"/>
      <c r="H3171" s="52"/>
    </row>
    <row r="3172" spans="1:8" ht="15.75">
      <c r="A3172" s="50">
        <v>43704</v>
      </c>
      <c r="B3172" s="51">
        <v>1390.62</v>
      </c>
      <c r="C3172" s="27"/>
      <c r="D3172" s="27"/>
      <c r="E3172" s="27"/>
      <c r="F3172" s="27"/>
      <c r="G3172" s="52"/>
      <c r="H3172" s="27"/>
    </row>
    <row r="3173" spans="1:8" ht="15.75">
      <c r="A3173" s="50">
        <v>43705</v>
      </c>
      <c r="B3173" s="51">
        <v>1388.63</v>
      </c>
      <c r="C3173" s="27"/>
      <c r="G3173" s="52"/>
      <c r="H3173" s="27"/>
    </row>
    <row r="3174" spans="1:8" ht="15.75">
      <c r="A3174" s="50">
        <v>43706</v>
      </c>
      <c r="B3174" s="51">
        <v>1359.32</v>
      </c>
      <c r="C3174" s="27"/>
      <c r="G3174" s="52"/>
      <c r="H3174" s="27"/>
    </row>
    <row r="3175" spans="1:8" ht="15.75">
      <c r="A3175" s="50">
        <v>43707</v>
      </c>
      <c r="B3175" s="51">
        <v>1380.73</v>
      </c>
      <c r="C3175" s="27"/>
      <c r="G3175" s="52"/>
      <c r="H3175" s="27"/>
    </row>
    <row r="3176" spans="1:8" ht="15.75">
      <c r="A3176" s="50">
        <v>43709</v>
      </c>
      <c r="B3176" s="51">
        <v>1384</v>
      </c>
      <c r="C3176" s="27"/>
      <c r="G3176" s="52"/>
      <c r="H3176" s="27"/>
    </row>
    <row r="3177" spans="1:8" ht="15.75">
      <c r="A3177" s="50">
        <v>43710</v>
      </c>
      <c r="B3177" s="51">
        <v>1394.45</v>
      </c>
      <c r="C3177" s="27"/>
      <c r="G3177" s="52"/>
      <c r="H3177" s="27"/>
    </row>
    <row r="3178" spans="1:8" ht="15.75">
      <c r="A3178" s="50">
        <v>43711</v>
      </c>
      <c r="B3178" s="51">
        <v>1412.03</v>
      </c>
    </row>
    <row r="3179" spans="1:8" ht="15.75">
      <c r="A3179" s="50">
        <v>43712</v>
      </c>
      <c r="B3179" s="51">
        <v>1407.06</v>
      </c>
    </row>
    <row r="3180" spans="1:8" ht="15.75">
      <c r="A3180" s="50">
        <v>43713</v>
      </c>
      <c r="B3180" s="51">
        <v>1376.72</v>
      </c>
    </row>
    <row r="3181" spans="1:8" ht="15.75">
      <c r="A3181" s="50">
        <v>43714</v>
      </c>
      <c r="B3181" s="51">
        <v>1349.46</v>
      </c>
    </row>
    <row r="3182" spans="1:8" ht="15.75">
      <c r="A3182" s="50">
        <v>43716</v>
      </c>
      <c r="B3182" s="51">
        <v>1362.25</v>
      </c>
    </row>
    <row r="3183" spans="1:8" ht="15.75">
      <c r="A3183" s="50">
        <v>43717</v>
      </c>
      <c r="B3183" s="51">
        <v>1356.92</v>
      </c>
    </row>
    <row r="3184" spans="1:8" ht="15.75">
      <c r="A3184" s="50">
        <v>43718</v>
      </c>
      <c r="B3184" s="51">
        <v>1344.66</v>
      </c>
    </row>
    <row r="3185" spans="1:2" ht="15.75">
      <c r="A3185" s="50">
        <v>43719</v>
      </c>
      <c r="B3185" s="51">
        <v>1359.84</v>
      </c>
    </row>
    <row r="3186" spans="1:2" ht="15.75">
      <c r="A3186" s="50">
        <v>43720</v>
      </c>
      <c r="B3186" s="51">
        <v>1354.89</v>
      </c>
    </row>
    <row r="3187" spans="1:2" ht="15.75">
      <c r="A3187" s="50">
        <v>43721</v>
      </c>
      <c r="B3187" s="51">
        <v>1339.4</v>
      </c>
    </row>
    <row r="3188" spans="1:2" ht="15.75">
      <c r="A3188" s="50">
        <v>43724</v>
      </c>
      <c r="B3188" s="51">
        <v>1362.53</v>
      </c>
    </row>
    <row r="3189" spans="1:2" ht="15.75">
      <c r="A3189" s="50">
        <v>43725</v>
      </c>
      <c r="B3189" s="51">
        <v>1355.87</v>
      </c>
    </row>
    <row r="3190" spans="1:2" ht="15.75">
      <c r="A3190" s="50">
        <v>43726</v>
      </c>
      <c r="B3190" s="51">
        <v>1354.21</v>
      </c>
    </row>
    <row r="3191" spans="1:2" ht="15.75">
      <c r="A3191" s="50">
        <v>43727</v>
      </c>
      <c r="B3191" s="51">
        <v>1357.73</v>
      </c>
    </row>
    <row r="3192" spans="1:2" ht="15.75">
      <c r="A3192" s="50">
        <v>43728</v>
      </c>
      <c r="B3192" s="51">
        <v>1378.35</v>
      </c>
    </row>
    <row r="3193" spans="1:2" ht="15.75">
      <c r="A3193" s="50">
        <v>43731</v>
      </c>
      <c r="B3193" s="51">
        <v>1368.01</v>
      </c>
    </row>
    <row r="3194" spans="1:2" ht="15.75">
      <c r="A3194" s="50">
        <v>43732</v>
      </c>
      <c r="B3194" s="51">
        <v>1390.24</v>
      </c>
    </row>
    <row r="3195" spans="1:2" ht="15.75">
      <c r="A3195" s="50">
        <v>43733</v>
      </c>
      <c r="B3195" s="51">
        <v>1374.47</v>
      </c>
    </row>
    <row r="3196" spans="1:2" ht="15.75">
      <c r="A3196" s="50">
        <v>43734</v>
      </c>
      <c r="B3196" s="51">
        <v>1366.69</v>
      </c>
    </row>
    <row r="3197" spans="1:2" ht="15.75">
      <c r="A3197" s="50">
        <v>43735</v>
      </c>
      <c r="B3197" s="51">
        <v>1368.39</v>
      </c>
    </row>
    <row r="3198" spans="1:2" ht="15.75">
      <c r="A3198" s="50">
        <v>43738</v>
      </c>
      <c r="B3198" s="51">
        <v>1350.96</v>
      </c>
    </row>
    <row r="3199" spans="1:2" ht="15.75">
      <c r="A3199" s="50">
        <v>43739</v>
      </c>
      <c r="B3199" s="51">
        <v>1324.96</v>
      </c>
    </row>
    <row r="3200" spans="1:2" ht="15.75">
      <c r="A3200" s="50">
        <v>43740</v>
      </c>
      <c r="B3200" s="51">
        <v>1367.98</v>
      </c>
    </row>
    <row r="3201" spans="1:2" ht="15.75">
      <c r="A3201" s="50">
        <v>43741</v>
      </c>
      <c r="B3201" s="51">
        <v>1372.14</v>
      </c>
    </row>
    <row r="3202" spans="1:2" ht="15.75">
      <c r="A3202" s="50">
        <v>43742</v>
      </c>
      <c r="B3202" s="51">
        <v>1384.99</v>
      </c>
    </row>
    <row r="3203" spans="1:2" ht="15.75">
      <c r="A3203" s="50">
        <v>43745</v>
      </c>
      <c r="B3203" s="51">
        <v>1361.37</v>
      </c>
    </row>
    <row r="3204" spans="1:2" ht="15.75">
      <c r="A3204" s="50">
        <v>43746</v>
      </c>
      <c r="B3204" s="51">
        <v>1374.06</v>
      </c>
    </row>
    <row r="3205" spans="1:2" ht="15.75">
      <c r="A3205" s="50">
        <v>43747</v>
      </c>
      <c r="B3205" s="51">
        <v>1357.89</v>
      </c>
    </row>
    <row r="3206" spans="1:2" ht="15.75">
      <c r="A3206" s="50">
        <v>43748</v>
      </c>
      <c r="B3206" s="51">
        <v>1357.44</v>
      </c>
    </row>
    <row r="3207" spans="1:2" ht="15.75">
      <c r="A3207" s="50">
        <v>43749</v>
      </c>
      <c r="B3207" s="51">
        <v>1349.2</v>
      </c>
    </row>
    <row r="3208" spans="1:2" ht="15.75">
      <c r="A3208" s="50">
        <v>43752</v>
      </c>
      <c r="B3208" s="51">
        <v>1353.98</v>
      </c>
    </row>
    <row r="3209" spans="1:2" ht="15.75">
      <c r="A3209" s="50">
        <v>43753</v>
      </c>
      <c r="B3209" s="51">
        <v>1364.02</v>
      </c>
    </row>
    <row r="3210" spans="1:2" ht="15.75">
      <c r="A3210" s="50">
        <v>43754</v>
      </c>
      <c r="B3210" s="51">
        <v>1348.85</v>
      </c>
    </row>
    <row r="3211" spans="1:2" ht="15.75">
      <c r="A3211" s="50">
        <v>43755</v>
      </c>
      <c r="B3211" s="51">
        <v>1359.14</v>
      </c>
    </row>
    <row r="3212" spans="1:2" ht="15.75">
      <c r="A3212" s="50">
        <v>43756</v>
      </c>
      <c r="B3212" s="51">
        <v>1340.44</v>
      </c>
    </row>
    <row r="3213" spans="1:2" ht="15.75">
      <c r="A3213" s="50">
        <v>43759</v>
      </c>
      <c r="B3213" s="51">
        <v>1340.63</v>
      </c>
    </row>
    <row r="3214" spans="1:2" ht="15.75">
      <c r="A3214" s="50">
        <v>43760</v>
      </c>
      <c r="B3214" s="51">
        <v>1343.4</v>
      </c>
    </row>
    <row r="3215" spans="1:2" ht="15.75">
      <c r="A3215" s="50">
        <v>43761</v>
      </c>
      <c r="B3215" s="51">
        <v>1340.37</v>
      </c>
    </row>
    <row r="3216" spans="1:2" ht="15.75">
      <c r="A3216" s="50">
        <v>43762</v>
      </c>
      <c r="B3216" s="51">
        <v>1353.93</v>
      </c>
    </row>
    <row r="3217" spans="1:2" ht="15.75">
      <c r="A3217" s="50">
        <v>43763</v>
      </c>
      <c r="B3217" s="51">
        <v>1358.04</v>
      </c>
    </row>
    <row r="3218" spans="1:2" ht="15.75">
      <c r="A3218" s="50">
        <v>43766</v>
      </c>
      <c r="B3218" s="51">
        <v>1344.42</v>
      </c>
    </row>
    <row r="3219" spans="1:2" ht="15.75">
      <c r="A3219" s="50">
        <v>43767</v>
      </c>
      <c r="B3219" s="51">
        <v>1338.3</v>
      </c>
    </row>
    <row r="3220" spans="1:2" ht="15.75">
      <c r="A3220" s="50">
        <v>43768</v>
      </c>
      <c r="B3220" s="51">
        <v>1340.92</v>
      </c>
    </row>
    <row r="3221" spans="1:2" ht="15.75">
      <c r="A3221" s="50">
        <v>43769</v>
      </c>
      <c r="B3221" s="51">
        <v>1356.22</v>
      </c>
    </row>
    <row r="3222" spans="1:2" ht="15.75">
      <c r="A3222" s="50">
        <v>43770</v>
      </c>
      <c r="B3222" s="51">
        <v>1355.89</v>
      </c>
    </row>
    <row r="3223" spans="1:2" ht="15.75">
      <c r="A3223" s="50">
        <v>43772</v>
      </c>
      <c r="B3223" s="51">
        <v>1355.98</v>
      </c>
    </row>
    <row r="3224" spans="1:2" ht="15.75">
      <c r="A3224" s="50">
        <v>43773</v>
      </c>
      <c r="B3224" s="51">
        <v>1356.9</v>
      </c>
    </row>
    <row r="3225" spans="1:2" ht="15.75">
      <c r="A3225" s="50">
        <v>43774</v>
      </c>
      <c r="B3225" s="51">
        <v>1339.7</v>
      </c>
    </row>
    <row r="3226" spans="1:2" ht="15.75">
      <c r="A3226" s="50">
        <v>43775</v>
      </c>
      <c r="B3226" s="51">
        <v>1346.31</v>
      </c>
    </row>
    <row r="3227" spans="1:2" ht="15.75">
      <c r="A3227" s="50">
        <v>43776</v>
      </c>
      <c r="B3227" s="51">
        <v>1329.22</v>
      </c>
    </row>
    <row r="3228" spans="1:2" ht="15.75">
      <c r="A3228" s="50">
        <v>43777</v>
      </c>
      <c r="B3228" s="51">
        <v>1323.87</v>
      </c>
    </row>
    <row r="3229" spans="1:2" ht="15.75">
      <c r="A3229" s="50">
        <v>43779</v>
      </c>
      <c r="B3229" s="51">
        <v>1389.38</v>
      </c>
    </row>
    <row r="3230" spans="1:2" ht="15.75">
      <c r="A3230" s="50">
        <v>43780</v>
      </c>
      <c r="B3230" s="51">
        <v>1319.63</v>
      </c>
    </row>
    <row r="3231" spans="1:2" ht="15.75">
      <c r="A3231" s="50">
        <v>43781</v>
      </c>
      <c r="B3231" s="51">
        <v>1322.06</v>
      </c>
    </row>
    <row r="3232" spans="1:2" ht="15.75">
      <c r="A3232" s="50">
        <v>43782</v>
      </c>
      <c r="B3232" s="51">
        <v>1329.44</v>
      </c>
    </row>
    <row r="3233" spans="1:2" ht="15.75">
      <c r="A3233" s="50">
        <v>43783</v>
      </c>
      <c r="B3233" s="51">
        <v>1334.37</v>
      </c>
    </row>
    <row r="3234" spans="1:2" ht="15.75">
      <c r="A3234" s="50">
        <v>43784</v>
      </c>
      <c r="B3234" s="51">
        <v>1326.59</v>
      </c>
    </row>
    <row r="3235" spans="1:2" ht="15.75">
      <c r="A3235" s="50">
        <v>43786</v>
      </c>
      <c r="B3235" s="51">
        <v>1326.59</v>
      </c>
    </row>
    <row r="3236" spans="1:2" ht="15.75">
      <c r="A3236" s="50">
        <v>43787</v>
      </c>
      <c r="B3236" s="51">
        <v>1328.92</v>
      </c>
    </row>
    <row r="3237" spans="1:2" ht="15.75">
      <c r="A3237" s="50">
        <v>43788</v>
      </c>
      <c r="B3237" s="51">
        <v>1329.2</v>
      </c>
    </row>
    <row r="3238" spans="1:2" ht="15.75">
      <c r="A3238" s="50">
        <v>43789</v>
      </c>
      <c r="B3238" s="51">
        <v>1328.38</v>
      </c>
    </row>
    <row r="3239" spans="1:2" ht="15.75">
      <c r="A3239" s="50">
        <v>43790</v>
      </c>
      <c r="B3239" s="51">
        <v>1323.83</v>
      </c>
    </row>
    <row r="3240" spans="1:2" ht="15.75">
      <c r="A3240" s="50">
        <v>43791</v>
      </c>
      <c r="B3240" s="51">
        <v>1327.33</v>
      </c>
    </row>
    <row r="3241" spans="1:2" ht="15.75">
      <c r="A3241" s="50">
        <v>43793</v>
      </c>
      <c r="B3241" s="51">
        <v>1327.33</v>
      </c>
    </row>
    <row r="3242" spans="1:2" ht="15.75">
      <c r="A3242" s="50">
        <v>43794</v>
      </c>
      <c r="B3242" s="51">
        <v>1321.26</v>
      </c>
    </row>
    <row r="3243" spans="1:2" ht="15.75">
      <c r="A3243" s="50">
        <v>43795</v>
      </c>
      <c r="B3243" s="51">
        <v>1325.67</v>
      </c>
    </row>
    <row r="3244" spans="1:2" ht="15.75">
      <c r="A3244" s="50">
        <v>43796</v>
      </c>
      <c r="B3244" s="51">
        <v>1321.61</v>
      </c>
    </row>
    <row r="3245" spans="1:2" ht="15.75">
      <c r="A3245" s="50">
        <v>43797</v>
      </c>
      <c r="B3245" s="51">
        <v>1332.7</v>
      </c>
    </row>
    <row r="3246" spans="1:2" ht="15.75">
      <c r="A3246" s="50">
        <v>43798</v>
      </c>
      <c r="B3246" s="51">
        <v>1389.19</v>
      </c>
    </row>
    <row r="3247" spans="1:2" ht="15.75">
      <c r="A3247" s="50">
        <v>43800</v>
      </c>
      <c r="B3247" s="51">
        <v>1332.79</v>
      </c>
    </row>
    <row r="3248" spans="1:2" ht="15.75">
      <c r="A3248" s="50">
        <v>43801</v>
      </c>
      <c r="B3248" s="51">
        <v>1320.59</v>
      </c>
    </row>
    <row r="3249" spans="1:2" ht="15.75">
      <c r="A3249" s="50">
        <v>43802</v>
      </c>
      <c r="B3249" s="51">
        <v>1333.39</v>
      </c>
    </row>
    <row r="3250" spans="1:2" ht="15.75">
      <c r="A3250" s="50">
        <v>43803</v>
      </c>
      <c r="B3250" s="51">
        <v>1330.91</v>
      </c>
    </row>
    <row r="3251" spans="1:2" ht="15.75">
      <c r="A3251" s="50">
        <v>43804</v>
      </c>
      <c r="B3251" s="51">
        <v>1304.0999999999999</v>
      </c>
    </row>
    <row r="3252" spans="1:2" ht="15.75">
      <c r="A3252" s="50">
        <v>43805</v>
      </c>
      <c r="B3252" s="51">
        <v>1320.48</v>
      </c>
    </row>
    <row r="3253" spans="1:2" ht="15.75">
      <c r="A3253" s="50">
        <v>43806</v>
      </c>
      <c r="B3253" s="51">
        <v>1320.9</v>
      </c>
    </row>
    <row r="3254" spans="1:2" ht="15.75">
      <c r="A3254" s="50">
        <v>43807</v>
      </c>
      <c r="B3254" s="51">
        <v>1320.9</v>
      </c>
    </row>
    <row r="3255" spans="1:2" ht="15.75">
      <c r="A3255" s="50">
        <v>43808</v>
      </c>
      <c r="B3255" s="51">
        <v>1320.61</v>
      </c>
    </row>
    <row r="3256" spans="1:2" ht="15.75">
      <c r="A3256" s="50">
        <v>43809</v>
      </c>
      <c r="B3256" s="51">
        <v>1319.97</v>
      </c>
    </row>
    <row r="3257" spans="1:2" ht="15.75">
      <c r="A3257" s="50">
        <v>43810</v>
      </c>
      <c r="B3257" s="51">
        <v>1324.35</v>
      </c>
    </row>
    <row r="3258" spans="1:2" ht="15.75">
      <c r="A3258" s="50">
        <v>43811</v>
      </c>
      <c r="B3258" s="51">
        <v>1313.99</v>
      </c>
    </row>
    <row r="3259" spans="1:2" ht="15.75">
      <c r="A3259" s="50">
        <v>43812</v>
      </c>
      <c r="B3259" s="51">
        <v>1376.61</v>
      </c>
    </row>
    <row r="3260" spans="1:2" ht="15.75">
      <c r="A3260" s="50">
        <v>43815</v>
      </c>
      <c r="B3260" s="51">
        <v>1324.52</v>
      </c>
    </row>
    <row r="3261" spans="1:2" ht="15.75">
      <c r="A3261" s="50">
        <v>43816</v>
      </c>
      <c r="B3261" s="51">
        <v>1323.65</v>
      </c>
    </row>
    <row r="3262" spans="1:2" ht="15.75">
      <c r="A3262" s="50">
        <v>43817</v>
      </c>
      <c r="B3262" s="51">
        <v>1327.63</v>
      </c>
    </row>
    <row r="3263" spans="1:2" ht="15.75">
      <c r="A3263" s="50">
        <v>43818</v>
      </c>
      <c r="B3263" s="51">
        <v>1329.47</v>
      </c>
    </row>
    <row r="3264" spans="1:2" ht="15.75">
      <c r="A3264" s="50">
        <v>43819</v>
      </c>
      <c r="B3264" s="51">
        <v>1381.84</v>
      </c>
    </row>
    <row r="3265" spans="1:2" ht="15.75">
      <c r="A3265" s="50">
        <v>43822</v>
      </c>
      <c r="B3265" s="51">
        <v>1339.27</v>
      </c>
    </row>
    <row r="3266" spans="1:2" ht="15.75">
      <c r="A3266" s="50">
        <v>43823</v>
      </c>
      <c r="B3266" s="51">
        <v>1321.23</v>
      </c>
    </row>
    <row r="3267" spans="1:2" ht="15.75">
      <c r="A3267" s="50">
        <v>43824</v>
      </c>
      <c r="B3267" s="51">
        <v>1355.24</v>
      </c>
    </row>
    <row r="3268" spans="1:2" ht="15.75">
      <c r="A3268" s="50">
        <v>43825</v>
      </c>
      <c r="B3268" s="51">
        <v>1367.46</v>
      </c>
    </row>
    <row r="3269" spans="1:2" ht="15.75">
      <c r="A3269" s="50">
        <v>43826</v>
      </c>
      <c r="B3269" s="51">
        <v>1352.41</v>
      </c>
    </row>
    <row r="3270" spans="1:2" ht="15.75">
      <c r="A3270" s="50">
        <v>43829</v>
      </c>
      <c r="B3270" s="51">
        <v>1352.36</v>
      </c>
    </row>
    <row r="3271" spans="1:2" ht="15.75">
      <c r="A3271" s="50">
        <v>43830</v>
      </c>
      <c r="B3271" s="51">
        <v>1352.21</v>
      </c>
    </row>
    <row r="3272" spans="1:2" ht="15.75">
      <c r="A3272" s="50">
        <v>43832</v>
      </c>
      <c r="B3272" s="51">
        <v>1368.43</v>
      </c>
    </row>
    <row r="3273" spans="1:2" ht="15.75">
      <c r="A3273" s="50">
        <v>43833</v>
      </c>
      <c r="B3273" s="51">
        <v>1406.26</v>
      </c>
    </row>
    <row r="3274" spans="1:2" ht="15.75">
      <c r="A3274" s="50">
        <v>43836</v>
      </c>
      <c r="B3274" s="51">
        <v>1398.59</v>
      </c>
    </row>
    <row r="3275" spans="1:2" ht="15.75">
      <c r="A3275" s="50">
        <v>43837</v>
      </c>
      <c r="B3275" s="51">
        <v>1399.47</v>
      </c>
    </row>
    <row r="3276" spans="1:2" ht="15.75">
      <c r="A3276" s="50">
        <v>43838</v>
      </c>
      <c r="B3276" s="51">
        <v>1400.85</v>
      </c>
    </row>
    <row r="3277" spans="1:2" ht="15.75">
      <c r="A3277" s="50">
        <v>43839</v>
      </c>
      <c r="B3277" s="51">
        <v>1397.96</v>
      </c>
    </row>
    <row r="3278" spans="1:2" ht="15.75">
      <c r="A3278" s="50">
        <v>43840</v>
      </c>
      <c r="B3278" s="51">
        <v>1405.61</v>
      </c>
    </row>
    <row r="3279" spans="1:2" ht="15.75">
      <c r="A3279" s="50">
        <v>43843</v>
      </c>
      <c r="B3279" s="51">
        <v>1390.12</v>
      </c>
    </row>
    <row r="3280" spans="1:2" ht="15.75">
      <c r="A3280" s="50">
        <v>43844</v>
      </c>
      <c r="B3280" s="51">
        <v>1389.97</v>
      </c>
    </row>
    <row r="3281" spans="1:2" ht="15.75">
      <c r="A3281" s="50">
        <v>43845</v>
      </c>
      <c r="B3281" s="51">
        <v>1395.43</v>
      </c>
    </row>
    <row r="3282" spans="1:2" ht="15.75">
      <c r="A3282" s="50">
        <v>43846</v>
      </c>
      <c r="B3282" s="51">
        <v>1394.07</v>
      </c>
    </row>
    <row r="3283" spans="1:2" ht="15.75">
      <c r="A3283" s="50">
        <v>43847</v>
      </c>
      <c r="B3283" s="51">
        <v>1404.87</v>
      </c>
    </row>
    <row r="3284" spans="1:2" ht="15.75">
      <c r="A3284" s="50">
        <v>43850</v>
      </c>
      <c r="B3284" s="51">
        <v>1406.34</v>
      </c>
    </row>
    <row r="3285" spans="1:2" ht="15.75">
      <c r="A3285" s="50">
        <v>43851</v>
      </c>
      <c r="B3285" s="51">
        <v>1405.87</v>
      </c>
    </row>
    <row r="3286" spans="1:2" ht="15.75">
      <c r="A3286" s="50">
        <v>43852</v>
      </c>
      <c r="B3286" s="51">
        <v>1405.14</v>
      </c>
    </row>
    <row r="3287" spans="1:2" ht="15.75">
      <c r="A3287" s="50">
        <v>43853</v>
      </c>
      <c r="B3287" s="51">
        <v>1413.56</v>
      </c>
    </row>
    <row r="3288" spans="1:2" ht="15.75">
      <c r="A3288" s="50">
        <v>43854</v>
      </c>
      <c r="B3288" s="51">
        <v>1425.71</v>
      </c>
    </row>
    <row r="3289" spans="1:2" ht="15.75">
      <c r="A3289" s="50">
        <v>43857</v>
      </c>
      <c r="B3289" s="51">
        <v>1435.45</v>
      </c>
    </row>
    <row r="3290" spans="1:2" ht="15.75">
      <c r="A3290" s="50">
        <v>43858</v>
      </c>
      <c r="B3290" s="51">
        <v>1421.99</v>
      </c>
    </row>
    <row r="3291" spans="1:2" ht="15.75">
      <c r="A3291" s="50">
        <v>43859</v>
      </c>
      <c r="B3291" s="51">
        <v>1432.04</v>
      </c>
    </row>
    <row r="3292" spans="1:2" ht="15.75">
      <c r="A3292" s="50">
        <v>43860</v>
      </c>
      <c r="B3292" s="51">
        <v>1426.71</v>
      </c>
    </row>
    <row r="3293" spans="1:2" ht="15.75">
      <c r="A3293" s="50">
        <v>43861</v>
      </c>
      <c r="B3293" s="51">
        <v>1432.5</v>
      </c>
    </row>
    <row r="3294" spans="1:2" ht="15.75">
      <c r="A3294" s="50">
        <v>43863</v>
      </c>
      <c r="B3294" s="51">
        <v>1433.67</v>
      </c>
    </row>
    <row r="3295" spans="1:2" ht="15.75">
      <c r="A3295" s="50">
        <v>43864</v>
      </c>
      <c r="B3295" s="51">
        <v>1425.62</v>
      </c>
    </row>
    <row r="3296" spans="1:2" ht="15.75">
      <c r="A3296" s="50">
        <v>43865</v>
      </c>
      <c r="B3296" s="51">
        <v>1402.98</v>
      </c>
    </row>
    <row r="3297" spans="1:2" ht="15.75">
      <c r="A3297" s="50">
        <v>43866</v>
      </c>
      <c r="B3297" s="51">
        <v>1414.35</v>
      </c>
    </row>
    <row r="3298" spans="1:2" ht="15.75">
      <c r="A3298" s="50">
        <v>43867</v>
      </c>
      <c r="B3298" s="51">
        <v>1426.35</v>
      </c>
    </row>
    <row r="3299" spans="1:2" ht="15.75">
      <c r="A3299" s="50">
        <v>43868</v>
      </c>
      <c r="B3299" s="51">
        <v>1438.81</v>
      </c>
    </row>
    <row r="3300" spans="1:2" ht="15.75">
      <c r="A3300" s="50">
        <v>43870</v>
      </c>
      <c r="B3300" s="51">
        <v>1439.01</v>
      </c>
    </row>
    <row r="3301" spans="1:2" ht="15.75">
      <c r="A3301" s="50">
        <v>43871</v>
      </c>
      <c r="B3301" s="51">
        <v>1440.66</v>
      </c>
    </row>
    <row r="3302" spans="1:2" ht="15.75">
      <c r="A3302" s="50">
        <v>43872</v>
      </c>
      <c r="B3302" s="51">
        <v>1435.51</v>
      </c>
    </row>
    <row r="3303" spans="1:2" ht="15.75">
      <c r="A3303" s="50">
        <v>43873</v>
      </c>
      <c r="B3303" s="51">
        <v>1440.56</v>
      </c>
    </row>
    <row r="3304" spans="1:2" ht="15.75">
      <c r="A3304" s="50">
        <v>43874</v>
      </c>
      <c r="B3304" s="51">
        <v>1453.76</v>
      </c>
    </row>
    <row r="3305" spans="1:2" ht="15.75">
      <c r="A3305" s="50">
        <v>43875</v>
      </c>
      <c r="B3305" s="51">
        <v>1462.89</v>
      </c>
    </row>
    <row r="3306" spans="1:2" ht="15.75">
      <c r="A3306" s="50">
        <v>43878</v>
      </c>
      <c r="B3306" s="51">
        <v>1458.94</v>
      </c>
    </row>
    <row r="3307" spans="1:2" ht="15.75">
      <c r="A3307" s="50">
        <v>43879</v>
      </c>
      <c r="B3307" s="51">
        <v>1483.72</v>
      </c>
    </row>
    <row r="3308" spans="1:2" ht="15.75">
      <c r="A3308" s="50">
        <v>43880</v>
      </c>
      <c r="B3308" s="51">
        <v>1490.82</v>
      </c>
    </row>
    <row r="3309" spans="1:2" ht="15.75">
      <c r="A3309" s="50">
        <v>43881</v>
      </c>
      <c r="B3309" s="51">
        <v>1501.51</v>
      </c>
    </row>
    <row r="3310" spans="1:2" ht="15.75">
      <c r="A3310" s="50">
        <v>43882</v>
      </c>
      <c r="B3310" s="51">
        <v>1515.82</v>
      </c>
    </row>
    <row r="3311" spans="1:2" ht="15.75">
      <c r="A3311" s="50">
        <v>43884</v>
      </c>
      <c r="B3311" s="51">
        <v>1517.64</v>
      </c>
    </row>
    <row r="3312" spans="1:2" ht="15.75">
      <c r="A3312" s="50">
        <v>43885</v>
      </c>
      <c r="B3312" s="51">
        <v>1529</v>
      </c>
    </row>
    <row r="3313" spans="1:2" ht="15.75">
      <c r="A3313" s="50">
        <v>43886</v>
      </c>
      <c r="B3313" s="51">
        <v>1502.37</v>
      </c>
    </row>
    <row r="3314" spans="1:2" ht="15.75">
      <c r="A3314" s="50">
        <v>43887</v>
      </c>
      <c r="B3314" s="51">
        <v>1507.56</v>
      </c>
    </row>
    <row r="3315" spans="1:2" ht="15.75">
      <c r="A3315" s="50">
        <v>43888</v>
      </c>
      <c r="B3315" s="51">
        <v>1495.12</v>
      </c>
    </row>
    <row r="3316" spans="1:2" ht="15.75">
      <c r="A3316" s="50">
        <v>43889</v>
      </c>
      <c r="B3316" s="51">
        <v>1438.09</v>
      </c>
    </row>
    <row r="3317" spans="1:2" ht="15.75">
      <c r="A3317" s="50">
        <v>43892</v>
      </c>
      <c r="B3317" s="51">
        <v>1427.37</v>
      </c>
    </row>
    <row r="3318" spans="1:2" ht="15.75">
      <c r="A3318" s="50">
        <v>43893</v>
      </c>
      <c r="B3318" s="51">
        <v>1469</v>
      </c>
    </row>
    <row r="3319" spans="1:2" ht="15.75">
      <c r="A3319" s="50">
        <v>43894</v>
      </c>
      <c r="B3319" s="51">
        <v>1470.2</v>
      </c>
    </row>
    <row r="3320" spans="1:2" ht="15.75">
      <c r="A3320" s="50">
        <v>43895</v>
      </c>
      <c r="B3320" s="51">
        <v>1488.85</v>
      </c>
    </row>
    <row r="3321" spans="1:2" ht="15.75">
      <c r="A3321" s="50">
        <v>43896</v>
      </c>
      <c r="B3321" s="51">
        <v>1480.08</v>
      </c>
    </row>
    <row r="3322" spans="1:2" ht="15.75">
      <c r="A3322" s="50">
        <v>43898</v>
      </c>
      <c r="B3322" s="51">
        <v>1491.5</v>
      </c>
    </row>
    <row r="3323" spans="1:2" ht="15.75">
      <c r="A3323" s="50">
        <v>43899</v>
      </c>
      <c r="B3323" s="51">
        <v>1462.87</v>
      </c>
    </row>
    <row r="3324" spans="1:2" ht="15.75">
      <c r="A3324" s="50">
        <v>43900</v>
      </c>
      <c r="B3324" s="51">
        <v>1462.7</v>
      </c>
    </row>
    <row r="3325" spans="1:2" ht="15.75">
      <c r="A3325" s="50">
        <v>43901</v>
      </c>
      <c r="B3325" s="51">
        <v>1455.34</v>
      </c>
    </row>
    <row r="3326" spans="1:2" ht="15.75">
      <c r="A3326" s="50">
        <v>43902</v>
      </c>
      <c r="B3326" s="51">
        <v>1409.15</v>
      </c>
    </row>
    <row r="3327" spans="1:2" ht="15.75">
      <c r="A3327" s="50">
        <v>43903</v>
      </c>
      <c r="B3327" s="51">
        <v>1381.79</v>
      </c>
    </row>
    <row r="3328" spans="1:2" ht="15.75">
      <c r="A3328" s="50">
        <v>43906</v>
      </c>
      <c r="B3328" s="51">
        <v>1349.6</v>
      </c>
    </row>
    <row r="3329" spans="1:2" ht="15.75">
      <c r="A3329" s="50">
        <v>43907</v>
      </c>
      <c r="B3329" s="51">
        <v>1395.44</v>
      </c>
    </row>
    <row r="3330" spans="1:2" ht="15.75">
      <c r="A3330" s="50">
        <v>43908</v>
      </c>
      <c r="B3330" s="51">
        <v>1357.4</v>
      </c>
    </row>
    <row r="3331" spans="1:2" ht="15.75">
      <c r="A3331" s="50">
        <v>43909</v>
      </c>
      <c r="B3331" s="51">
        <v>1375.9</v>
      </c>
    </row>
    <row r="3332" spans="1:2" ht="15.75">
      <c r="A3332" s="50">
        <v>43910</v>
      </c>
      <c r="B3332" s="51">
        <v>1392.3</v>
      </c>
    </row>
    <row r="3333" spans="1:2" ht="15.75">
      <c r="A3333" s="50">
        <v>43912</v>
      </c>
      <c r="B3333" s="51">
        <v>1398.35</v>
      </c>
    </row>
    <row r="3334" spans="1:2" ht="15.75">
      <c r="A3334" s="50">
        <v>43913</v>
      </c>
      <c r="B3334" s="51">
        <v>1457.54</v>
      </c>
    </row>
    <row r="3335" spans="1:2" ht="15.75">
      <c r="A3335" s="50">
        <v>43914</v>
      </c>
      <c r="B3335" s="51">
        <v>1508.46</v>
      </c>
    </row>
    <row r="3336" spans="1:2" ht="15.75">
      <c r="A3336" s="50">
        <v>43915</v>
      </c>
      <c r="B3336" s="51">
        <v>1481.5</v>
      </c>
    </row>
    <row r="3337" spans="1:2" ht="15.75">
      <c r="A3337" s="50">
        <v>43916</v>
      </c>
      <c r="B3337" s="51">
        <v>1478.01</v>
      </c>
    </row>
    <row r="3338" spans="1:2" ht="15.75">
      <c r="A3338" s="50">
        <v>43917</v>
      </c>
      <c r="B3338" s="51">
        <v>1453.64</v>
      </c>
    </row>
    <row r="3339" spans="1:2" ht="15.75">
      <c r="A3339" s="50">
        <v>43919</v>
      </c>
      <c r="B3339" s="51">
        <v>1458.04</v>
      </c>
    </row>
    <row r="3340" spans="1:2" ht="15.75">
      <c r="A3340" s="50">
        <v>43920</v>
      </c>
      <c r="B3340" s="51">
        <v>1469.77</v>
      </c>
    </row>
    <row r="3341" spans="1:2" ht="15.75">
      <c r="A3341" s="50">
        <v>43921</v>
      </c>
      <c r="B3341" s="51">
        <v>1424.1</v>
      </c>
    </row>
    <row r="3342" spans="1:2" ht="15.75">
      <c r="A3342" s="50">
        <v>43922</v>
      </c>
      <c r="B3342" s="51">
        <v>1457.67</v>
      </c>
    </row>
    <row r="3343" spans="1:2" ht="15.75">
      <c r="A3343" s="50">
        <v>43923</v>
      </c>
      <c r="B3343" s="51">
        <v>1487.08</v>
      </c>
    </row>
    <row r="3344" spans="1:2" ht="15.75">
      <c r="A3344" s="50">
        <v>43924</v>
      </c>
      <c r="B3344" s="51">
        <v>1497.11</v>
      </c>
    </row>
    <row r="3345" spans="1:2" ht="15.75">
      <c r="A3345" s="50">
        <v>43926</v>
      </c>
      <c r="B3345" s="51">
        <v>1496.76</v>
      </c>
    </row>
    <row r="3346" spans="1:2" ht="15.75">
      <c r="A3346" s="50">
        <v>43927</v>
      </c>
      <c r="B3346" s="51">
        <v>1542.03</v>
      </c>
    </row>
    <row r="3347" spans="1:2" ht="15.75">
      <c r="A3347" s="50">
        <v>43928</v>
      </c>
      <c r="B3347" s="51">
        <v>1514.13</v>
      </c>
    </row>
    <row r="3348" spans="1:2" ht="15.75">
      <c r="A3348" s="50">
        <v>43929</v>
      </c>
      <c r="B3348" s="51">
        <v>1516.14</v>
      </c>
    </row>
    <row r="3349" spans="1:2" ht="15.75">
      <c r="A3349" s="50">
        <v>43930</v>
      </c>
      <c r="B3349" s="51">
        <v>1540.82</v>
      </c>
    </row>
    <row r="3350" spans="1:2" ht="15.75">
      <c r="A3350" s="50">
        <v>43931</v>
      </c>
      <c r="B3350" s="51">
        <v>1551.59</v>
      </c>
    </row>
    <row r="3351" spans="1:2" ht="15.75">
      <c r="A3351" s="50">
        <v>43934</v>
      </c>
      <c r="B3351" s="51">
        <v>1571.53</v>
      </c>
    </row>
    <row r="3352" spans="1:2" ht="15.75">
      <c r="A3352" s="50">
        <v>43935</v>
      </c>
      <c r="B3352" s="51">
        <v>1574.85</v>
      </c>
    </row>
    <row r="3353" spans="1:2" ht="15.75">
      <c r="A3353" s="50">
        <v>43936</v>
      </c>
      <c r="B3353" s="51">
        <v>1573.77</v>
      </c>
    </row>
    <row r="3354" spans="1:2" ht="15.75">
      <c r="A3354" s="50">
        <v>43937</v>
      </c>
      <c r="B3354" s="51">
        <v>1581.6</v>
      </c>
    </row>
    <row r="3355" spans="1:2" ht="15.75">
      <c r="A3355" s="50">
        <v>43938</v>
      </c>
      <c r="B3355" s="51">
        <v>1548.94</v>
      </c>
    </row>
    <row r="3356" spans="1:2" ht="15.75">
      <c r="A3356" s="50">
        <v>43941</v>
      </c>
      <c r="B3356" s="51">
        <v>1558.61</v>
      </c>
    </row>
    <row r="3357" spans="1:2" ht="15.75">
      <c r="A3357" s="50">
        <v>43942</v>
      </c>
      <c r="B3357" s="51">
        <v>1554.3</v>
      </c>
    </row>
    <row r="3358" spans="1:2" ht="15.75">
      <c r="A3358" s="50">
        <v>43943</v>
      </c>
      <c r="B3358" s="51">
        <v>1584.85</v>
      </c>
    </row>
    <row r="3359" spans="1:2" ht="15.75">
      <c r="A3359" s="50">
        <v>43944</v>
      </c>
      <c r="B3359" s="51">
        <v>1607.25</v>
      </c>
    </row>
    <row r="3360" spans="1:2" ht="15.75">
      <c r="A3360" s="50">
        <v>43945</v>
      </c>
      <c r="B3360" s="51">
        <v>1602.88</v>
      </c>
    </row>
    <row r="3361" spans="1:2" ht="15.75">
      <c r="A3361" s="50">
        <v>43947</v>
      </c>
      <c r="B3361" s="51">
        <v>1602.37</v>
      </c>
    </row>
    <row r="3362" spans="1:2" ht="15.75">
      <c r="A3362" s="50">
        <v>43948</v>
      </c>
      <c r="B3362" s="51">
        <v>1583.25</v>
      </c>
    </row>
    <row r="3363" spans="1:2" ht="15.75">
      <c r="A3363" s="50">
        <v>43949</v>
      </c>
      <c r="B3363" s="51">
        <v>1579.01</v>
      </c>
    </row>
    <row r="3364" spans="1:2" ht="15.75">
      <c r="A3364" s="50">
        <v>43950</v>
      </c>
      <c r="B3364" s="51">
        <v>1574.57</v>
      </c>
    </row>
    <row r="3365" spans="1:2" ht="21.75">
      <c r="A3365" s="103"/>
      <c r="B3365" s="104"/>
    </row>
  </sheetData>
  <mergeCells count="9">
    <mergeCell ref="AE3:AJ3"/>
    <mergeCell ref="AL3:AQ3"/>
    <mergeCell ref="J5:N5"/>
    <mergeCell ref="A2:E2"/>
    <mergeCell ref="A3:B3"/>
    <mergeCell ref="D3:H3"/>
    <mergeCell ref="J3:O3"/>
    <mergeCell ref="Q3:V3"/>
    <mergeCell ref="X3:AC3"/>
  </mergeCells>
  <conditionalFormatting sqref="M54 M106 F6:F147 M6:M52">
    <cfRule type="cellIs" dxfId="148" priority="27" operator="lessThan">
      <formula>0</formula>
    </cfRule>
    <cfRule type="cellIs" dxfId="147" priority="28" operator="greaterThan">
      <formula>0</formula>
    </cfRule>
  </conditionalFormatting>
  <conditionalFormatting sqref="H7:H155">
    <cfRule type="cellIs" dxfId="146" priority="25" operator="lessThan">
      <formula>0</formula>
    </cfRule>
    <cfRule type="cellIs" dxfId="145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44" priority="23" operator="lessThan">
      <formula>0</formula>
    </cfRule>
    <cfRule type="cellIs" dxfId="143" priority="24" operator="greaterThan">
      <formula>0</formula>
    </cfRule>
  </conditionalFormatting>
  <conditionalFormatting sqref="G6:H6">
    <cfRule type="cellIs" dxfId="142" priority="21" operator="lessThan">
      <formula>0</formula>
    </cfRule>
    <cfRule type="cellIs" dxfId="141" priority="22" operator="greaterThan">
      <formula>0</formula>
    </cfRule>
  </conditionalFormatting>
  <conditionalFormatting sqref="F148:F150">
    <cfRule type="cellIs" dxfId="140" priority="19" operator="lessThan">
      <formula>0</formula>
    </cfRule>
    <cfRule type="cellIs" dxfId="139" priority="20" operator="greaterThan">
      <formula>0</formula>
    </cfRule>
  </conditionalFormatting>
  <conditionalFormatting sqref="N6:O6">
    <cfRule type="cellIs" dxfId="138" priority="17" operator="lessThan">
      <formula>0</formula>
    </cfRule>
    <cfRule type="cellIs" dxfId="137" priority="18" operator="greaterThan">
      <formula>0</formula>
    </cfRule>
  </conditionalFormatting>
  <conditionalFormatting sqref="U6:V6">
    <cfRule type="cellIs" dxfId="136" priority="15" operator="lessThan">
      <formula>0</formula>
    </cfRule>
    <cfRule type="cellIs" dxfId="135" priority="16" operator="greaterThan">
      <formula>0</formula>
    </cfRule>
  </conditionalFormatting>
  <conditionalFormatting sqref="T6:T17">
    <cfRule type="cellIs" dxfId="134" priority="14" operator="greaterThan">
      <formula>0</formula>
    </cfRule>
  </conditionalFormatting>
  <conditionalFormatting sqref="T6:T17">
    <cfRule type="cellIs" dxfId="133" priority="13" operator="lessThan">
      <formula>0</formula>
    </cfRule>
  </conditionalFormatting>
  <conditionalFormatting sqref="M53">
    <cfRule type="cellIs" dxfId="132" priority="11" operator="lessThan">
      <formula>0</formula>
    </cfRule>
    <cfRule type="cellIs" dxfId="131" priority="12" operator="greaterThan">
      <formula>0</formula>
    </cfRule>
  </conditionalFormatting>
  <conditionalFormatting sqref="AH6:AH15 AI6:AJ6 AO6:AO13 AP6:AQ6 AT6:AT8 AU6:AV6">
    <cfRule type="cellIs" dxfId="130" priority="10" operator="greaterThan">
      <formula>0</formula>
    </cfRule>
  </conditionalFormatting>
  <conditionalFormatting sqref="AH6:AH15 AI6:AJ6 AO6:AO13 AP6:AQ6 AT6:AT8 AU6:AV6">
    <cfRule type="cellIs" dxfId="129" priority="9" operator="lessThan">
      <formula>0</formula>
    </cfRule>
  </conditionalFormatting>
  <conditionalFormatting sqref="M107">
    <cfRule type="cellIs" dxfId="128" priority="5" operator="lessThan">
      <formula>0</formula>
    </cfRule>
    <cfRule type="cellIs" dxfId="127" priority="6" operator="greaterThan">
      <formula>0</formula>
    </cfRule>
  </conditionalFormatting>
  <conditionalFormatting sqref="M110:M157">
    <cfRule type="cellIs" dxfId="126" priority="3" operator="lessThan">
      <formula>0</formula>
    </cfRule>
    <cfRule type="cellIs" dxfId="125" priority="4" operator="greaterThan">
      <formula>0</formula>
    </cfRule>
  </conditionalFormatting>
  <conditionalFormatting sqref="M58:M105">
    <cfRule type="cellIs" dxfId="124" priority="7" operator="lessThan">
      <formula>0</formula>
    </cfRule>
    <cfRule type="cellIs" dxfId="123" priority="8" operator="greaterThan">
      <formula>0</formula>
    </cfRule>
  </conditionalFormatting>
  <conditionalFormatting sqref="N59:O59 N111:O111">
    <cfRule type="cellIs" dxfId="122" priority="1" operator="lessThan">
      <formula>0</formula>
    </cfRule>
    <cfRule type="cellIs" dxfId="121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B1AF-ED57-415F-AD57-008CAD3EE477}">
  <dimension ref="A1:AV3177"/>
  <sheetViews>
    <sheetView topLeftCell="A7"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48" ht="15.75">
      <c r="A2" s="105" t="s">
        <v>50</v>
      </c>
      <c r="B2" s="105"/>
      <c r="C2" s="105"/>
      <c r="D2" s="105"/>
      <c r="E2" s="105"/>
      <c r="F2" s="105"/>
      <c r="G2" s="27"/>
      <c r="H2" s="27"/>
      <c r="I2" s="27"/>
      <c r="J2" s="27"/>
      <c r="K2" s="2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06">
        <v>39449</v>
      </c>
      <c r="B6" s="107">
        <v>114.85</v>
      </c>
      <c r="C6" s="52"/>
      <c r="D6" s="53">
        <v>39448</v>
      </c>
      <c r="E6" s="54">
        <f t="shared" ref="E6:E69" si="0">AVERAGEIFS($B$6:$B$3131,$A$6:$A$3131,"&gt;="&amp;D6,$A$6:$A$3131,"&lt;="&amp;EOMONTH(D6,0))</f>
        <v>116.78863636363631</v>
      </c>
      <c r="F6" s="55"/>
      <c r="G6" s="56">
        <f>AVERAGE(F6:F150)</f>
        <v>1.4854544813292776E-3</v>
      </c>
      <c r="H6" s="56">
        <f>_xlfn.STDEV.P(F6:F150)</f>
        <v>6.9602124775070429E-3</v>
      </c>
      <c r="J6" s="57">
        <v>39448</v>
      </c>
      <c r="K6" s="58" t="s">
        <v>46</v>
      </c>
      <c r="L6" s="59">
        <v>39539</v>
      </c>
      <c r="M6" s="60">
        <f>$E$9/$E$6-1</f>
        <v>1.2816471091910753E-2</v>
      </c>
      <c r="N6" s="61">
        <f>AVERAGE(M6:M53)</f>
        <v>4.5004674887935761E-3</v>
      </c>
      <c r="O6" s="62">
        <f>_xlfn.STDEV.P(M6:M53)</f>
        <v>1.4862522690441761E-2</v>
      </c>
      <c r="Q6" s="63">
        <v>39448</v>
      </c>
      <c r="R6" s="64" t="s">
        <v>46</v>
      </c>
      <c r="S6" s="65">
        <v>39814</v>
      </c>
      <c r="T6" s="66">
        <f>E18/E6-1</f>
        <v>4.3272571254356906E-2</v>
      </c>
      <c r="U6" s="67">
        <f>AVERAGE(T6:T17)</f>
        <v>1.7905284010185429E-2</v>
      </c>
      <c r="V6" s="66">
        <f>_xlfn.STDEV.P(T6:T17)</f>
        <v>2.1669226729894082E-2</v>
      </c>
      <c r="X6" s="68">
        <v>39448</v>
      </c>
      <c r="Y6" s="68" t="s">
        <v>46</v>
      </c>
      <c r="Z6" s="69">
        <v>40179</v>
      </c>
      <c r="AA6" s="70">
        <f>E30/E6-1</f>
        <v>5.5676338373519263E-2</v>
      </c>
      <c r="AB6" s="71">
        <f>AVERAGE(AA6:AA11)</f>
        <v>3.5964938027437755E-2</v>
      </c>
      <c r="AC6" s="70">
        <f>_xlfn.STDEV.P(AA6:AA11)</f>
        <v>2.4810304972996165E-2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06">
        <v>39450</v>
      </c>
      <c r="B7" s="107">
        <v>115.61</v>
      </c>
      <c r="C7" s="52"/>
      <c r="D7" s="53">
        <v>39479</v>
      </c>
      <c r="E7" s="54">
        <f t="shared" si="0"/>
        <v>117.79190476190475</v>
      </c>
      <c r="F7" s="55">
        <f t="shared" ref="F7:F70" si="1">E7/E6-1</f>
        <v>8.5904624756867332E-3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-3.606803665815439E-2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1.1889287096131351E-2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6.4329697441602995E-2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06">
        <v>39451</v>
      </c>
      <c r="B8" s="107">
        <v>116.01</v>
      </c>
      <c r="C8" s="52"/>
      <c r="D8" s="53">
        <v>39508</v>
      </c>
      <c r="E8" s="54">
        <f t="shared" si="0"/>
        <v>119.47526315789474</v>
      </c>
      <c r="F8" s="55">
        <f t="shared" si="1"/>
        <v>1.4290951482553993E-2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4.0313601073809213E-2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3.9044289719518677E-3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1.4008154103551052E-2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06">
        <v>39454</v>
      </c>
      <c r="B9" s="107">
        <v>116.23</v>
      </c>
      <c r="C9" s="52"/>
      <c r="D9" s="53">
        <v>39539</v>
      </c>
      <c r="E9" s="54">
        <f t="shared" si="0"/>
        <v>118.28545454545453</v>
      </c>
      <c r="F9" s="55">
        <f t="shared" si="1"/>
        <v>-9.9586188888975968E-3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2.7203229247830363E-2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6.0190259875165131E-2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5.6008717841855793E-2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06">
        <v>39455</v>
      </c>
      <c r="B10" s="107">
        <v>116.18</v>
      </c>
      <c r="C10" s="52"/>
      <c r="D10" s="53">
        <v>39569</v>
      </c>
      <c r="E10" s="54">
        <f t="shared" si="0"/>
        <v>116.79428571428573</v>
      </c>
      <c r="F10" s="55">
        <f t="shared" si="1"/>
        <v>-1.2606527462730166E-2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8.8074366179569097E-3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1.8944261818081287E-2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-3.7123708385440324E-3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06">
        <v>39456</v>
      </c>
      <c r="B11" s="107">
        <v>116.37</v>
      </c>
      <c r="C11" s="52"/>
      <c r="D11" s="53">
        <v>39600</v>
      </c>
      <c r="E11" s="54">
        <f t="shared" si="0"/>
        <v>114.23095238095237</v>
      </c>
      <c r="F11" s="55">
        <f t="shared" si="1"/>
        <v>-2.1947420780534133E-2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-8.7003920862566142E-3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-4.844335357189089E-3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2.9479091242641475E-2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06">
        <v>39457</v>
      </c>
      <c r="B12" s="107">
        <v>116.36</v>
      </c>
      <c r="C12" s="52"/>
      <c r="D12" s="53">
        <v>39630</v>
      </c>
      <c r="E12" s="54">
        <f t="shared" si="0"/>
        <v>114.01913043478262</v>
      </c>
      <c r="F12" s="55">
        <f t="shared" si="1"/>
        <v>-1.8543305623798245E-3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8.1310056813723719E-3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5.2096067389867606E-2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06">
        <v>39458</v>
      </c>
      <c r="B13" s="107">
        <v>116.1</v>
      </c>
      <c r="C13" s="52"/>
      <c r="D13" s="53">
        <v>39661</v>
      </c>
      <c r="E13" s="54">
        <f t="shared" si="0"/>
        <v>115.96238095238093</v>
      </c>
      <c r="F13" s="55">
        <f t="shared" si="1"/>
        <v>1.7043197138832955E-2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3.6974404327991817E-3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3.7189098726460035E-3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06">
        <v>39461</v>
      </c>
      <c r="B14" s="107">
        <v>116.6</v>
      </c>
      <c r="C14" s="52"/>
      <c r="D14" s="53">
        <v>39692</v>
      </c>
      <c r="E14" s="54">
        <f t="shared" si="0"/>
        <v>116.85090909090906</v>
      </c>
      <c r="F14" s="55">
        <f t="shared" si="1"/>
        <v>7.6622102032641859E-3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1.3423526453674617E-2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1.0145939262818038E-2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06">
        <v>39462</v>
      </c>
      <c r="B15" s="107">
        <v>116.57</v>
      </c>
      <c r="C15" s="52"/>
      <c r="D15" s="53">
        <v>39722</v>
      </c>
      <c r="E15" s="54">
        <f t="shared" si="0"/>
        <v>118.61565217391308</v>
      </c>
      <c r="F15" s="55">
        <f t="shared" si="1"/>
        <v>1.5102519070956166E-2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1.3583322540791976E-2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-1.3719116775815166E-2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06">
        <v>39463</v>
      </c>
      <c r="B16" s="107">
        <v>116.83</v>
      </c>
      <c r="C16" s="52"/>
      <c r="D16" s="53">
        <v>39753</v>
      </c>
      <c r="E16" s="54">
        <f t="shared" si="0"/>
        <v>119.94300000000001</v>
      </c>
      <c r="F16" s="55">
        <f t="shared" si="1"/>
        <v>1.1190326080581681E-2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1.0021851283090077E-2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1.502690101012738E-2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06">
        <v>39464</v>
      </c>
      <c r="B17" s="107">
        <v>116.84</v>
      </c>
      <c r="C17" s="52"/>
      <c r="D17" s="53">
        <v>39783</v>
      </c>
      <c r="E17" s="54">
        <f t="shared" si="0"/>
        <v>121.32789473684208</v>
      </c>
      <c r="F17" s="55">
        <f t="shared" si="1"/>
        <v>1.1546273953811914E-2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-3.2365905232748848E-2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1.4238233704083836E-2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06">
        <v>39465</v>
      </c>
      <c r="B18" s="107">
        <v>117.3</v>
      </c>
      <c r="C18" s="52"/>
      <c r="D18" s="53">
        <v>39814</v>
      </c>
      <c r="E18" s="54">
        <f t="shared" si="0"/>
        <v>121.84238095238095</v>
      </c>
      <c r="F18" s="55">
        <f t="shared" si="1"/>
        <v>4.2404610799089415E-3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-2.0455731861258597E-2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06">
        <v>39468</v>
      </c>
      <c r="B19" s="107">
        <v>117.32</v>
      </c>
      <c r="C19" s="52"/>
      <c r="D19" s="53">
        <v>39845</v>
      </c>
      <c r="E19" s="54">
        <f t="shared" si="0"/>
        <v>121.57849999999996</v>
      </c>
      <c r="F19" s="55">
        <f t="shared" si="1"/>
        <v>-2.1657566958094288E-3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2.9955780851130376E-2</v>
      </c>
      <c r="N19" s="78"/>
      <c r="O19" s="78"/>
    </row>
    <row r="20" spans="1:48" ht="15.75">
      <c r="A20" s="106">
        <v>39469</v>
      </c>
      <c r="B20" s="107">
        <v>118.02</v>
      </c>
      <c r="C20" s="52"/>
      <c r="D20" s="53">
        <v>39873</v>
      </c>
      <c r="E20" s="54">
        <f t="shared" si="0"/>
        <v>122.63136363636364</v>
      </c>
      <c r="F20" s="55">
        <f t="shared" si="1"/>
        <v>8.6599492209862294E-3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3.7047347387046292E-2</v>
      </c>
      <c r="N20" s="78"/>
      <c r="O20" s="78"/>
    </row>
    <row r="21" spans="1:48" ht="15.75">
      <c r="A21" s="106">
        <v>39470</v>
      </c>
      <c r="B21" s="107">
        <v>117.48</v>
      </c>
      <c r="C21" s="52"/>
      <c r="D21" s="53">
        <v>39904</v>
      </c>
      <c r="E21" s="54">
        <f t="shared" si="0"/>
        <v>122.91549999999999</v>
      </c>
      <c r="F21" s="55">
        <f t="shared" si="1"/>
        <v>2.3169958745536956E-3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1.3310581573882763E-2</v>
      </c>
      <c r="N21" s="78"/>
      <c r="O21" s="78"/>
    </row>
    <row r="22" spans="1:48" ht="15.75">
      <c r="A22" s="106">
        <v>39471</v>
      </c>
      <c r="B22" s="107">
        <v>117.78</v>
      </c>
      <c r="C22" s="52"/>
      <c r="D22" s="53">
        <v>39934</v>
      </c>
      <c r="E22" s="54">
        <f t="shared" si="0"/>
        <v>122.0675</v>
      </c>
      <c r="F22" s="55">
        <f t="shared" si="1"/>
        <v>-6.8990485333420004E-3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7.0297830974910269E-3</v>
      </c>
      <c r="N22" s="78"/>
      <c r="O22" s="78"/>
    </row>
    <row r="23" spans="1:48" ht="15.75">
      <c r="A23" s="106">
        <v>39472</v>
      </c>
      <c r="B23" s="107">
        <v>117.24</v>
      </c>
      <c r="C23" s="52"/>
      <c r="D23" s="53">
        <v>39965</v>
      </c>
      <c r="E23" s="54">
        <f t="shared" si="0"/>
        <v>121.14272727272727</v>
      </c>
      <c r="F23" s="55">
        <f t="shared" si="1"/>
        <v>-7.5759127308474561E-3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1.9137345776796266E-2</v>
      </c>
      <c r="N23" s="78"/>
      <c r="O23" s="78"/>
    </row>
    <row r="24" spans="1:48" ht="15.75">
      <c r="A24" s="106">
        <v>39475</v>
      </c>
      <c r="B24" s="107">
        <v>117.49</v>
      </c>
      <c r="C24" s="52"/>
      <c r="D24" s="53">
        <v>39995</v>
      </c>
      <c r="E24" s="54">
        <f t="shared" si="0"/>
        <v>121.84608695652172</v>
      </c>
      <c r="F24" s="55">
        <f t="shared" si="1"/>
        <v>5.8060413499769759E-3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-5.0181334292858093E-3</v>
      </c>
      <c r="N24" s="78"/>
      <c r="O24" s="78"/>
    </row>
    <row r="25" spans="1:48" ht="15.75">
      <c r="A25" s="106">
        <v>39476</v>
      </c>
      <c r="B25" s="107">
        <v>117.29</v>
      </c>
      <c r="C25" s="52"/>
      <c r="D25" s="53">
        <v>40026</v>
      </c>
      <c r="E25" s="54">
        <f t="shared" si="0"/>
        <v>121.97857142857144</v>
      </c>
      <c r="F25" s="55">
        <f t="shared" si="1"/>
        <v>1.0873100265993418E-3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-2.1615594613207945E-3</v>
      </c>
      <c r="N25" s="78"/>
      <c r="O25" s="78"/>
    </row>
    <row r="26" spans="1:48" ht="15.75">
      <c r="A26" s="106">
        <v>39477</v>
      </c>
      <c r="B26" s="107">
        <v>117.43</v>
      </c>
      <c r="C26" s="52"/>
      <c r="D26" s="53">
        <v>40057</v>
      </c>
      <c r="E26" s="54">
        <f t="shared" si="0"/>
        <v>122.64318181818182</v>
      </c>
      <c r="F26" s="55">
        <f t="shared" si="1"/>
        <v>5.4485831554402786E-3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1.4579790128984804E-2</v>
      </c>
      <c r="N26" s="78"/>
      <c r="O26" s="78"/>
    </row>
    <row r="27" spans="1:48" ht="15.75">
      <c r="A27" s="106">
        <v>39478</v>
      </c>
      <c r="B27" s="107">
        <v>117.45</v>
      </c>
      <c r="C27" s="52"/>
      <c r="D27" s="53">
        <v>40087</v>
      </c>
      <c r="E27" s="54">
        <f t="shared" si="0"/>
        <v>122.83681818181817</v>
      </c>
      <c r="F27" s="55">
        <f t="shared" si="1"/>
        <v>1.5788595889776325E-3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-1.1908252156545229E-2</v>
      </c>
      <c r="N27" s="78"/>
      <c r="O27" s="78"/>
    </row>
    <row r="28" spans="1:48" ht="15.75">
      <c r="A28" s="106">
        <v>39479</v>
      </c>
      <c r="B28" s="107">
        <v>117.56</v>
      </c>
      <c r="C28" s="52"/>
      <c r="D28" s="53">
        <v>40118</v>
      </c>
      <c r="E28" s="54">
        <f t="shared" si="0"/>
        <v>123.71095238095235</v>
      </c>
      <c r="F28" s="55">
        <f t="shared" si="1"/>
        <v>7.1162230679104876E-3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-4.3172654939876987E-3</v>
      </c>
      <c r="N28" s="78"/>
      <c r="O28" s="78"/>
    </row>
    <row r="29" spans="1:48" ht="15.75">
      <c r="A29" s="106">
        <v>39482</v>
      </c>
      <c r="B29" s="107">
        <v>117.66</v>
      </c>
      <c r="C29" s="52"/>
      <c r="D29" s="53">
        <v>40148</v>
      </c>
      <c r="E29" s="54">
        <f t="shared" si="0"/>
        <v>124.29399999999998</v>
      </c>
      <c r="F29" s="55">
        <f t="shared" si="1"/>
        <v>4.7129830287961916E-3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-3.0197303462096148E-3</v>
      </c>
      <c r="N29" s="78"/>
      <c r="O29" s="78"/>
    </row>
    <row r="30" spans="1:48" ht="15.75">
      <c r="A30" s="106">
        <v>39483</v>
      </c>
      <c r="B30" s="107">
        <v>117.74</v>
      </c>
      <c r="C30" s="52"/>
      <c r="D30" s="53">
        <v>40179</v>
      </c>
      <c r="E30" s="54">
        <f t="shared" si="0"/>
        <v>123.29100000000003</v>
      </c>
      <c r="F30" s="55">
        <f t="shared" si="1"/>
        <v>-8.0695769707302967E-3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1.274642763200573E-2</v>
      </c>
      <c r="N30" s="78"/>
      <c r="O30" s="78"/>
    </row>
    <row r="31" spans="1:48" ht="15.75">
      <c r="A31" s="106">
        <v>39484</v>
      </c>
      <c r="B31" s="107">
        <v>118.25</v>
      </c>
      <c r="C31" s="52"/>
      <c r="D31" s="53">
        <v>40210</v>
      </c>
      <c r="E31" s="54">
        <f t="shared" si="0"/>
        <v>124.19249999999997</v>
      </c>
      <c r="F31" s="55">
        <f t="shared" si="1"/>
        <v>7.311969243496641E-3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1.4425536301467368E-2</v>
      </c>
      <c r="N31" s="78"/>
      <c r="O31" s="78"/>
    </row>
    <row r="32" spans="1:48" ht="15.75">
      <c r="A32" s="106">
        <v>39485</v>
      </c>
      <c r="B32" s="107">
        <v>117.8</v>
      </c>
      <c r="C32" s="52"/>
      <c r="D32" s="53">
        <v>40238</v>
      </c>
      <c r="E32" s="54">
        <f t="shared" si="0"/>
        <v>124.72521739130438</v>
      </c>
      <c r="F32" s="55">
        <f t="shared" si="1"/>
        <v>4.2894489707865358E-3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9.3237832009698263E-3</v>
      </c>
      <c r="N32" s="78"/>
      <c r="O32" s="78"/>
    </row>
    <row r="33" spans="1:15" ht="15.75">
      <c r="A33" s="106">
        <v>39486</v>
      </c>
      <c r="B33" s="107">
        <v>117.8</v>
      </c>
      <c r="C33" s="52"/>
      <c r="D33" s="53">
        <v>40269</v>
      </c>
      <c r="E33" s="54">
        <f t="shared" si="0"/>
        <v>124.94600000000003</v>
      </c>
      <c r="F33" s="55">
        <f t="shared" si="1"/>
        <v>1.7701521257162955E-3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1.4621351349019207E-2</v>
      </c>
      <c r="N33" s="78"/>
      <c r="O33" s="78"/>
    </row>
    <row r="34" spans="1:15" ht="15.75">
      <c r="A34" s="106">
        <v>39489</v>
      </c>
      <c r="B34" s="107">
        <v>118.31</v>
      </c>
      <c r="C34" s="52"/>
      <c r="D34" s="53">
        <v>40299</v>
      </c>
      <c r="E34" s="54">
        <f t="shared" si="0"/>
        <v>126.84761904761908</v>
      </c>
      <c r="F34" s="55">
        <f t="shared" si="1"/>
        <v>1.5219527216709938E-2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5.8225957875257528E-3</v>
      </c>
      <c r="N34" s="78"/>
      <c r="O34" s="78"/>
    </row>
    <row r="35" spans="1:15" ht="15.75">
      <c r="A35" s="106">
        <v>39490</v>
      </c>
      <c r="B35" s="107">
        <v>118.4</v>
      </c>
      <c r="C35" s="52"/>
      <c r="D35" s="53">
        <v>40330</v>
      </c>
      <c r="E35" s="54">
        <f t="shared" si="0"/>
        <v>127.64363636363636</v>
      </c>
      <c r="F35" s="55">
        <f t="shared" si="1"/>
        <v>6.275382399715701E-3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-1.4985769193062493E-2</v>
      </c>
      <c r="N35" s="78"/>
      <c r="O35" s="78"/>
    </row>
    <row r="36" spans="1:15" ht="15.75">
      <c r="A36" s="106">
        <v>39491</v>
      </c>
      <c r="B36" s="107">
        <v>117.87</v>
      </c>
      <c r="C36" s="52"/>
      <c r="D36" s="53">
        <v>40360</v>
      </c>
      <c r="E36" s="54">
        <f t="shared" si="0"/>
        <v>126.64318181818182</v>
      </c>
      <c r="F36" s="55">
        <f t="shared" si="1"/>
        <v>-7.8378724858982896E-3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8.7788867851186225E-3</v>
      </c>
      <c r="N36" s="78"/>
      <c r="O36" s="78"/>
    </row>
    <row r="37" spans="1:15" ht="15.75">
      <c r="A37" s="106">
        <v>39492</v>
      </c>
      <c r="B37" s="107">
        <v>117.8</v>
      </c>
      <c r="C37" s="52"/>
      <c r="D37" s="53">
        <v>40391</v>
      </c>
      <c r="E37" s="54">
        <f t="shared" si="0"/>
        <v>127.80045454545451</v>
      </c>
      <c r="F37" s="55">
        <f t="shared" si="1"/>
        <v>9.1380578935087442E-3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4.2740235142764149E-3</v>
      </c>
      <c r="N37" s="78"/>
      <c r="O37" s="78"/>
    </row>
    <row r="38" spans="1:15" ht="15.75">
      <c r="A38" s="106">
        <v>39493</v>
      </c>
      <c r="B38" s="107">
        <v>117.55</v>
      </c>
      <c r="C38" s="52"/>
      <c r="D38" s="53">
        <v>40422</v>
      </c>
      <c r="E38" s="54">
        <f t="shared" si="0"/>
        <v>128.25863636363636</v>
      </c>
      <c r="F38" s="55">
        <f t="shared" si="1"/>
        <v>3.5851344958939269E-3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1.2077174353974485E-2</v>
      </c>
      <c r="N38" s="78"/>
      <c r="O38" s="78"/>
    </row>
    <row r="39" spans="1:15" ht="15.75">
      <c r="A39" s="106">
        <v>39496</v>
      </c>
      <c r="B39" s="107">
        <v>117.73</v>
      </c>
      <c r="C39" s="52"/>
      <c r="D39" s="53">
        <v>40452</v>
      </c>
      <c r="E39" s="54">
        <f t="shared" si="0"/>
        <v>127.91238095238097</v>
      </c>
      <c r="F39" s="55">
        <f t="shared" si="1"/>
        <v>-2.6996654655963015E-3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1.3129476528675355E-2</v>
      </c>
      <c r="N39" s="78"/>
      <c r="O39" s="78"/>
    </row>
    <row r="40" spans="1:15" ht="15.75">
      <c r="A40" s="106">
        <v>39497</v>
      </c>
      <c r="B40" s="107">
        <v>117.89</v>
      </c>
      <c r="C40" s="52"/>
      <c r="D40" s="53">
        <v>40483</v>
      </c>
      <c r="E40" s="54">
        <f t="shared" si="0"/>
        <v>126.97590909090908</v>
      </c>
      <c r="F40" s="55">
        <f t="shared" si="1"/>
        <v>-7.3211979520615422E-3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-5.1753029131219597E-3</v>
      </c>
      <c r="N40" s="78"/>
      <c r="O40" s="78"/>
    </row>
    <row r="41" spans="1:15" ht="15.75">
      <c r="A41" s="106">
        <v>39498</v>
      </c>
      <c r="B41" s="107">
        <v>117.55</v>
      </c>
      <c r="C41" s="52"/>
      <c r="D41" s="53">
        <v>40513</v>
      </c>
      <c r="E41" s="54">
        <f t="shared" si="0"/>
        <v>124.94523809523811</v>
      </c>
      <c r="F41" s="55">
        <f t="shared" si="1"/>
        <v>-1.5992569064554596E-2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-9.717777574111075E-3</v>
      </c>
      <c r="N41" s="78"/>
      <c r="O41" s="78"/>
    </row>
    <row r="42" spans="1:15" ht="15.75">
      <c r="A42" s="106">
        <v>39499</v>
      </c>
      <c r="B42" s="107">
        <v>117.58</v>
      </c>
      <c r="C42" s="52"/>
      <c r="D42" s="53">
        <v>40544</v>
      </c>
      <c r="E42" s="54">
        <f t="shared" si="0"/>
        <v>123.77238095238094</v>
      </c>
      <c r="F42" s="55">
        <f t="shared" si="1"/>
        <v>-9.3869695295083488E-3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2.5889691270060133E-3</v>
      </c>
      <c r="N42" s="78"/>
      <c r="O42" s="78"/>
    </row>
    <row r="43" spans="1:15" ht="15.75">
      <c r="A43" s="106">
        <v>39500</v>
      </c>
      <c r="B43" s="107">
        <v>117.6</v>
      </c>
      <c r="C43" s="52"/>
      <c r="D43" s="53">
        <v>40575</v>
      </c>
      <c r="E43" s="54">
        <f t="shared" si="0"/>
        <v>122.34649999999999</v>
      </c>
      <c r="F43" s="55">
        <f t="shared" si="1"/>
        <v>-1.1520186825278333E-2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-1.194886721392574E-2</v>
      </c>
      <c r="N43" s="78"/>
      <c r="O43" s="78"/>
    </row>
    <row r="44" spans="1:15" ht="15.75">
      <c r="A44" s="106">
        <v>39503</v>
      </c>
      <c r="B44" s="107">
        <v>117.46</v>
      </c>
      <c r="C44" s="52"/>
      <c r="D44" s="53">
        <v>40603</v>
      </c>
      <c r="E44" s="54">
        <f t="shared" si="0"/>
        <v>122.08434782608698</v>
      </c>
      <c r="F44" s="55">
        <f t="shared" si="1"/>
        <v>-2.1427026838773955E-3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4.9591563033406505E-3</v>
      </c>
      <c r="N44" s="78"/>
      <c r="O44" s="78"/>
    </row>
    <row r="45" spans="1:15" ht="15.75">
      <c r="A45" s="106">
        <v>39504</v>
      </c>
      <c r="B45" s="107">
        <v>117.47</v>
      </c>
      <c r="C45" s="52"/>
      <c r="D45" s="53">
        <v>40634</v>
      </c>
      <c r="E45" s="54">
        <f t="shared" si="0"/>
        <v>121.24052631578948</v>
      </c>
      <c r="F45" s="55">
        <f t="shared" si="1"/>
        <v>-6.9117911126457265E-3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-9.2824381905294295E-3</v>
      </c>
      <c r="N45" s="78"/>
      <c r="O45" s="78"/>
    </row>
    <row r="46" spans="1:15" ht="15.75">
      <c r="A46" s="106">
        <v>39505</v>
      </c>
      <c r="B46" s="107">
        <v>117.69</v>
      </c>
      <c r="C46" s="52"/>
      <c r="D46" s="53">
        <v>40664</v>
      </c>
      <c r="E46" s="54">
        <f t="shared" si="0"/>
        <v>122.81090909090909</v>
      </c>
      <c r="F46" s="55">
        <f t="shared" si="1"/>
        <v>1.2952622549899706E-2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3.6171062500578444E-4</v>
      </c>
      <c r="N46" s="78"/>
      <c r="O46" s="78"/>
    </row>
    <row r="47" spans="1:15" ht="15.75">
      <c r="A47" s="106">
        <v>39506</v>
      </c>
      <c r="B47" s="107">
        <v>117.48</v>
      </c>
      <c r="C47" s="52"/>
      <c r="D47" s="53">
        <v>40695</v>
      </c>
      <c r="E47" s="54">
        <f t="shared" si="0"/>
        <v>123.98818181818181</v>
      </c>
      <c r="F47" s="55">
        <f t="shared" si="1"/>
        <v>9.5860598703105815E-3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9.3270720082678782E-3</v>
      </c>
      <c r="N47" s="78"/>
      <c r="O47" s="78"/>
    </row>
    <row r="48" spans="1:15" ht="15.75">
      <c r="A48" s="106">
        <v>39507</v>
      </c>
      <c r="B48" s="107">
        <v>118.44</v>
      </c>
      <c r="C48" s="52"/>
      <c r="D48" s="53">
        <v>40725</v>
      </c>
      <c r="E48" s="54">
        <f t="shared" si="0"/>
        <v>124.87238095238098</v>
      </c>
      <c r="F48" s="55">
        <f t="shared" si="1"/>
        <v>7.1313178500815866E-3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-5.7208826688448511E-3</v>
      </c>
      <c r="N48" s="78"/>
      <c r="O48" s="78"/>
    </row>
    <row r="49" spans="1:15" ht="15.75">
      <c r="A49" s="106">
        <v>39510</v>
      </c>
      <c r="B49" s="107">
        <v>118.82</v>
      </c>
      <c r="C49" s="52"/>
      <c r="D49" s="53">
        <v>40756</v>
      </c>
      <c r="E49" s="54">
        <f t="shared" si="0"/>
        <v>128.23652173913047</v>
      </c>
      <c r="F49" s="55">
        <f t="shared" si="1"/>
        <v>2.6940631395763859E-2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1.1067735706870252E-2</v>
      </c>
      <c r="N49" s="78"/>
      <c r="O49" s="78"/>
    </row>
    <row r="50" spans="1:15" ht="15.75">
      <c r="A50" s="106">
        <v>39511</v>
      </c>
      <c r="B50" s="107">
        <v>119.1</v>
      </c>
      <c r="C50" s="52"/>
      <c r="D50" s="53">
        <v>40787</v>
      </c>
      <c r="E50" s="54">
        <f t="shared" si="0"/>
        <v>130.15772727272724</v>
      </c>
      <c r="F50" s="55">
        <f t="shared" si="1"/>
        <v>1.498173459121932E-2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5.0001759386324451E-3</v>
      </c>
      <c r="N50" s="78"/>
      <c r="O50" s="78"/>
    </row>
    <row r="51" spans="1:15" ht="15.75">
      <c r="A51" s="106">
        <v>39512</v>
      </c>
      <c r="B51" s="107">
        <v>118.91</v>
      </c>
      <c r="C51" s="52"/>
      <c r="D51" s="53">
        <v>40817</v>
      </c>
      <c r="E51" s="54">
        <f t="shared" si="0"/>
        <v>129.49857142857141</v>
      </c>
      <c r="F51" s="55">
        <f t="shared" si="1"/>
        <v>-5.064285140556124E-3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1.5701958866826127E-2</v>
      </c>
      <c r="N51" s="78"/>
      <c r="O51" s="78"/>
    </row>
    <row r="52" spans="1:15" ht="15.75">
      <c r="A52" s="106">
        <v>39513</v>
      </c>
      <c r="B52" s="107">
        <v>119.73</v>
      </c>
      <c r="C52" s="52"/>
      <c r="D52" s="53">
        <v>40848</v>
      </c>
      <c r="E52" s="54">
        <f t="shared" si="0"/>
        <v>130.57045454545451</v>
      </c>
      <c r="F52" s="55">
        <f t="shared" si="1"/>
        <v>8.2771810148833946E-3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1.638276594062793E-3</v>
      </c>
      <c r="N52" s="78"/>
      <c r="O52" s="78"/>
    </row>
    <row r="53" spans="1:15" ht="15.75">
      <c r="A53" s="106">
        <v>39514</v>
      </c>
      <c r="B53" s="107">
        <v>119.9</v>
      </c>
      <c r="C53" s="52"/>
      <c r="D53" s="53">
        <v>40878</v>
      </c>
      <c r="E53" s="54">
        <f t="shared" si="0"/>
        <v>130.6</v>
      </c>
      <c r="F53" s="55">
        <f t="shared" si="1"/>
        <v>2.2627978625289202E-4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-8.0343399201568966E-3</v>
      </c>
      <c r="N53" s="78"/>
      <c r="O53" s="78"/>
    </row>
    <row r="54" spans="1:15" ht="15.75">
      <c r="A54" s="106">
        <v>39517</v>
      </c>
      <c r="B54" s="107">
        <v>119.87</v>
      </c>
      <c r="C54" s="52"/>
      <c r="D54" s="53">
        <v>40909</v>
      </c>
      <c r="E54" s="54">
        <f t="shared" si="0"/>
        <v>131.2222727272727</v>
      </c>
      <c r="F54" s="55">
        <f t="shared" si="1"/>
        <v>4.764722260893528E-3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06">
        <v>39518</v>
      </c>
      <c r="B55" s="107">
        <v>119.56</v>
      </c>
      <c r="C55" s="52"/>
      <c r="D55" s="53">
        <v>40940</v>
      </c>
      <c r="E55" s="54">
        <f t="shared" si="0"/>
        <v>130.97047619047621</v>
      </c>
      <c r="F55" s="55">
        <f t="shared" si="1"/>
        <v>-1.918855172702405E-3</v>
      </c>
      <c r="G55" s="81"/>
      <c r="H55" s="55"/>
      <c r="J55" s="87"/>
      <c r="K55" s="88"/>
      <c r="L55" s="89"/>
    </row>
    <row r="56" spans="1:15" ht="15.75">
      <c r="A56" s="106">
        <v>39519</v>
      </c>
      <c r="B56" s="107">
        <v>118.97</v>
      </c>
      <c r="C56" s="52"/>
      <c r="D56" s="53">
        <v>40969</v>
      </c>
      <c r="E56" s="54">
        <f t="shared" si="0"/>
        <v>130.89454545454547</v>
      </c>
      <c r="F56" s="55">
        <f t="shared" si="1"/>
        <v>-5.7975459919923367E-4</v>
      </c>
      <c r="G56" s="76"/>
      <c r="H56" s="77"/>
      <c r="J56" s="90"/>
      <c r="K56" s="90"/>
      <c r="L56" s="90"/>
      <c r="M56" s="90"/>
    </row>
    <row r="57" spans="1:15" ht="18">
      <c r="A57" s="106">
        <v>39520</v>
      </c>
      <c r="B57" s="107">
        <v>119.62</v>
      </c>
      <c r="C57" s="52"/>
      <c r="D57" s="53">
        <v>41000</v>
      </c>
      <c r="E57" s="54">
        <f t="shared" si="0"/>
        <v>132.14473684210523</v>
      </c>
      <c r="F57" s="55">
        <f t="shared" si="1"/>
        <v>9.5511343365632939E-3</v>
      </c>
      <c r="G57" s="76"/>
      <c r="H57" s="77"/>
      <c r="J57" s="33"/>
      <c r="K57" s="33"/>
      <c r="L57" s="91"/>
      <c r="M57" s="33"/>
      <c r="N57" s="90"/>
    </row>
    <row r="58" spans="1:15" ht="18">
      <c r="A58" s="106">
        <v>39521</v>
      </c>
      <c r="B58" s="107">
        <v>119.77</v>
      </c>
      <c r="C58" s="52"/>
      <c r="D58" s="53">
        <v>41030</v>
      </c>
      <c r="E58" s="54">
        <f t="shared" si="0"/>
        <v>133.74590909090909</v>
      </c>
      <c r="F58" s="55">
        <f t="shared" si="1"/>
        <v>1.2116806821576676E-2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06">
        <v>39524</v>
      </c>
      <c r="B59" s="107">
        <v>120.81</v>
      </c>
      <c r="C59" s="52"/>
      <c r="D59" s="53">
        <v>41061</v>
      </c>
      <c r="E59" s="54">
        <f t="shared" si="0"/>
        <v>133.75142857142859</v>
      </c>
      <c r="F59" s="55">
        <f t="shared" si="1"/>
        <v>4.1268406316241624E-5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06">
        <v>39525</v>
      </c>
      <c r="B60" s="107">
        <v>120.75</v>
      </c>
      <c r="C60" s="52"/>
      <c r="D60" s="53">
        <v>41091</v>
      </c>
      <c r="E60" s="54">
        <f t="shared" si="0"/>
        <v>134.67363636363635</v>
      </c>
      <c r="F60" s="55">
        <f t="shared" si="1"/>
        <v>6.8949378863290001E-3</v>
      </c>
      <c r="G60" s="76"/>
      <c r="H60" s="77"/>
      <c r="J60" s="87"/>
      <c r="K60" s="88"/>
      <c r="L60" s="89"/>
      <c r="M60" s="92"/>
    </row>
    <row r="61" spans="1:15" ht="15.75">
      <c r="A61" s="106">
        <v>39526</v>
      </c>
      <c r="B61" s="107">
        <v>120.65</v>
      </c>
      <c r="C61" s="52"/>
      <c r="D61" s="53">
        <v>41122</v>
      </c>
      <c r="E61" s="54">
        <f t="shared" si="0"/>
        <v>134.55391304347827</v>
      </c>
      <c r="F61" s="55">
        <f t="shared" si="1"/>
        <v>-8.8898854587105003E-4</v>
      </c>
      <c r="G61" s="81"/>
      <c r="H61" s="55"/>
      <c r="J61" s="95"/>
      <c r="K61" s="88"/>
      <c r="L61" s="96"/>
      <c r="M61" s="92"/>
    </row>
    <row r="62" spans="1:15" ht="15.75">
      <c r="A62" s="106">
        <v>39527</v>
      </c>
      <c r="B62" s="107">
        <v>120.03</v>
      </c>
      <c r="C62" s="52"/>
      <c r="D62" s="53">
        <v>41153</v>
      </c>
      <c r="E62" s="54">
        <f t="shared" si="0"/>
        <v>133.96000000000004</v>
      </c>
      <c r="F62" s="55">
        <f t="shared" si="1"/>
        <v>-4.4139410742096707E-3</v>
      </c>
      <c r="G62" s="76"/>
      <c r="H62" s="77"/>
      <c r="J62" s="87"/>
      <c r="K62" s="88"/>
      <c r="L62" s="89"/>
      <c r="M62" s="92"/>
    </row>
    <row r="63" spans="1:15" ht="15.75">
      <c r="A63" s="106">
        <v>39532</v>
      </c>
      <c r="B63" s="107">
        <v>118.84</v>
      </c>
      <c r="C63" s="52"/>
      <c r="D63" s="53">
        <v>41183</v>
      </c>
      <c r="E63" s="54">
        <f t="shared" si="0"/>
        <v>133.99782608695651</v>
      </c>
      <c r="F63" s="55">
        <f t="shared" si="1"/>
        <v>2.8236852012897273E-4</v>
      </c>
      <c r="G63" s="76"/>
      <c r="H63" s="77"/>
      <c r="J63" s="87"/>
      <c r="K63" s="88"/>
      <c r="L63" s="89"/>
      <c r="M63" s="92"/>
    </row>
    <row r="64" spans="1:15" ht="15.75">
      <c r="A64" s="106">
        <v>39533</v>
      </c>
      <c r="B64" s="107">
        <v>118.46</v>
      </c>
      <c r="C64" s="52"/>
      <c r="D64" s="53">
        <v>41214</v>
      </c>
      <c r="E64" s="54">
        <f t="shared" si="0"/>
        <v>134.78227272727273</v>
      </c>
      <c r="F64" s="55">
        <f t="shared" si="1"/>
        <v>5.8541743789721767E-3</v>
      </c>
      <c r="G64" s="81"/>
      <c r="H64" s="55"/>
      <c r="J64" s="87"/>
      <c r="K64" s="88"/>
      <c r="L64" s="89"/>
      <c r="M64" s="92"/>
    </row>
    <row r="65" spans="1:13" ht="15.75">
      <c r="A65" s="106">
        <v>39534</v>
      </c>
      <c r="B65" s="107">
        <v>118.95</v>
      </c>
      <c r="C65" s="52"/>
      <c r="D65" s="53">
        <v>41244</v>
      </c>
      <c r="E65" s="54">
        <f t="shared" si="0"/>
        <v>134.95823529411763</v>
      </c>
      <c r="F65" s="55">
        <f t="shared" si="1"/>
        <v>1.3055319760111317E-3</v>
      </c>
      <c r="G65" s="76"/>
      <c r="H65" s="77"/>
      <c r="J65" s="87"/>
      <c r="K65" s="88"/>
      <c r="L65" s="96"/>
      <c r="M65" s="92"/>
    </row>
    <row r="66" spans="1:13" ht="15.75">
      <c r="A66" s="106">
        <v>39535</v>
      </c>
      <c r="B66" s="107">
        <v>118.49</v>
      </c>
      <c r="C66" s="52"/>
      <c r="D66" s="53">
        <v>41275</v>
      </c>
      <c r="E66" s="54">
        <f t="shared" si="0"/>
        <v>133.70818181818183</v>
      </c>
      <c r="F66" s="55">
        <f t="shared" si="1"/>
        <v>-9.2625209066459213E-3</v>
      </c>
      <c r="G66" s="76"/>
      <c r="H66" s="77"/>
      <c r="J66" s="95"/>
      <c r="K66" s="88"/>
      <c r="L66" s="89"/>
      <c r="M66" s="92"/>
    </row>
    <row r="67" spans="1:13" ht="15.75">
      <c r="A67" s="106">
        <v>39538</v>
      </c>
      <c r="B67" s="107">
        <v>118.8</v>
      </c>
      <c r="C67" s="52"/>
      <c r="D67" s="53">
        <v>41306</v>
      </c>
      <c r="E67" s="54">
        <f t="shared" si="0"/>
        <v>133.7235</v>
      </c>
      <c r="F67" s="55">
        <f t="shared" si="1"/>
        <v>1.1456428178058253E-4</v>
      </c>
      <c r="G67" s="81"/>
      <c r="H67" s="55"/>
      <c r="J67" s="87"/>
      <c r="K67" s="88"/>
      <c r="L67" s="89"/>
      <c r="M67" s="92"/>
    </row>
    <row r="68" spans="1:13" ht="15.75">
      <c r="A68" s="106">
        <v>39539</v>
      </c>
      <c r="B68" s="107">
        <v>118.64</v>
      </c>
      <c r="C68" s="52"/>
      <c r="D68" s="53">
        <v>41334</v>
      </c>
      <c r="E68" s="54">
        <f t="shared" si="0"/>
        <v>134.91649999999998</v>
      </c>
      <c r="F68" s="55">
        <f t="shared" si="1"/>
        <v>8.9213937714760494E-3</v>
      </c>
      <c r="G68" s="76"/>
      <c r="H68" s="77"/>
      <c r="J68" s="87"/>
      <c r="K68" s="88"/>
      <c r="L68" s="89"/>
      <c r="M68" s="92"/>
    </row>
    <row r="69" spans="1:13" ht="15.75">
      <c r="A69" s="106">
        <v>39540</v>
      </c>
      <c r="B69" s="107">
        <v>118.81</v>
      </c>
      <c r="C69" s="52"/>
      <c r="D69" s="53">
        <v>41365</v>
      </c>
      <c r="E69" s="54">
        <f t="shared" si="0"/>
        <v>135.65761904761905</v>
      </c>
      <c r="F69" s="55">
        <f t="shared" si="1"/>
        <v>5.4931683494536809E-3</v>
      </c>
      <c r="G69" s="76"/>
      <c r="H69" s="77"/>
      <c r="J69" s="87"/>
      <c r="K69" s="88"/>
      <c r="L69" s="96"/>
      <c r="M69" s="92"/>
    </row>
    <row r="70" spans="1:13" ht="15.75">
      <c r="A70" s="106">
        <v>39541</v>
      </c>
      <c r="B70" s="107">
        <v>118.94</v>
      </c>
      <c r="C70" s="52"/>
      <c r="D70" s="53">
        <v>41395</v>
      </c>
      <c r="E70" s="54">
        <f t="shared" ref="E70:E133" si="2">AVERAGEIFS($B$6:$B$3131,$A$6:$A$3131,"&gt;="&amp;D70,$A$6:$A$3131,"&lt;="&amp;EOMONTH(D70,0))</f>
        <v>135.00681818181818</v>
      </c>
      <c r="F70" s="55">
        <f t="shared" si="1"/>
        <v>-4.7973779163293928E-3</v>
      </c>
      <c r="G70" s="81"/>
      <c r="H70" s="55"/>
      <c r="J70" s="87"/>
      <c r="K70" s="88"/>
      <c r="L70" s="89"/>
      <c r="M70" s="92"/>
    </row>
    <row r="71" spans="1:13" ht="15.75">
      <c r="A71" s="106">
        <v>39542</v>
      </c>
      <c r="B71" s="107">
        <v>118.57</v>
      </c>
      <c r="C71" s="52"/>
      <c r="D71" s="53">
        <v>41426</v>
      </c>
      <c r="E71" s="54">
        <f t="shared" si="2"/>
        <v>133.60750000000002</v>
      </c>
      <c r="F71" s="55">
        <f t="shared" ref="F71:F134" si="3">E71/E70-1</f>
        <v>-1.0364796390754494E-2</v>
      </c>
      <c r="G71" s="76"/>
      <c r="H71" s="77"/>
      <c r="J71" s="95"/>
      <c r="K71" s="88"/>
      <c r="L71" s="89"/>
      <c r="M71" s="92"/>
    </row>
    <row r="72" spans="1:13" ht="15.75">
      <c r="A72" s="106">
        <v>39545</v>
      </c>
      <c r="B72" s="107">
        <v>118.56</v>
      </c>
      <c r="C72" s="52"/>
      <c r="D72" s="53">
        <v>41456</v>
      </c>
      <c r="E72" s="54">
        <f t="shared" si="2"/>
        <v>134.04217391304346</v>
      </c>
      <c r="F72" s="55">
        <f t="shared" si="3"/>
        <v>3.2533646168324548E-3</v>
      </c>
      <c r="G72" s="76"/>
      <c r="H72" s="77"/>
      <c r="J72" s="87"/>
      <c r="K72" s="88"/>
      <c r="L72" s="89"/>
      <c r="M72" s="92"/>
    </row>
    <row r="73" spans="1:13" ht="15.75">
      <c r="A73" s="106">
        <v>39546</v>
      </c>
      <c r="B73" s="107">
        <v>118.58</v>
      </c>
      <c r="C73" s="52"/>
      <c r="D73" s="53">
        <v>41487</v>
      </c>
      <c r="E73" s="54">
        <f t="shared" si="2"/>
        <v>133.00590909090911</v>
      </c>
      <c r="F73" s="55">
        <f t="shared" si="3"/>
        <v>-7.7308864209154615E-3</v>
      </c>
      <c r="G73" s="81"/>
      <c r="H73" s="55"/>
      <c r="J73" s="87"/>
      <c r="K73" s="88"/>
      <c r="L73" s="96"/>
      <c r="M73" s="92"/>
    </row>
    <row r="74" spans="1:13" ht="15.75">
      <c r="A74" s="106">
        <v>39547</v>
      </c>
      <c r="B74" s="107">
        <v>118.84</v>
      </c>
      <c r="C74" s="52"/>
      <c r="D74" s="53">
        <v>41518</v>
      </c>
      <c r="E74" s="54">
        <f t="shared" si="2"/>
        <v>132.63571428571427</v>
      </c>
      <c r="F74" s="55">
        <f t="shared" si="3"/>
        <v>-2.7832959281667291E-3</v>
      </c>
      <c r="G74" s="76"/>
      <c r="H74" s="77"/>
      <c r="J74" s="87"/>
      <c r="K74" s="88"/>
      <c r="L74" s="89"/>
      <c r="M74" s="92"/>
    </row>
    <row r="75" spans="1:13" ht="15.75">
      <c r="A75" s="106">
        <v>39548</v>
      </c>
      <c r="B75" s="107">
        <v>118.66</v>
      </c>
      <c r="C75" s="52"/>
      <c r="D75" s="53">
        <v>41548</v>
      </c>
      <c r="E75" s="54">
        <f t="shared" si="2"/>
        <v>133.46347826086958</v>
      </c>
      <c r="F75" s="55">
        <f t="shared" si="3"/>
        <v>6.2408830051021713E-3</v>
      </c>
      <c r="G75" s="76"/>
      <c r="H75" s="77"/>
      <c r="J75" s="87"/>
      <c r="K75" s="88"/>
      <c r="L75" s="89"/>
      <c r="M75" s="92"/>
    </row>
    <row r="76" spans="1:13" ht="15.75">
      <c r="A76" s="106">
        <v>39549</v>
      </c>
      <c r="B76" s="107">
        <v>118.95</v>
      </c>
      <c r="C76" s="52"/>
      <c r="D76" s="53">
        <v>41579</v>
      </c>
      <c r="E76" s="54">
        <f t="shared" si="2"/>
        <v>133.94190476190474</v>
      </c>
      <c r="F76" s="55">
        <f t="shared" si="3"/>
        <v>3.5846997790662805E-3</v>
      </c>
      <c r="G76" s="81"/>
      <c r="H76" s="55"/>
      <c r="J76" s="95"/>
      <c r="K76" s="88"/>
      <c r="L76" s="89"/>
      <c r="M76" s="92"/>
    </row>
    <row r="77" spans="1:13" ht="15.75">
      <c r="A77" s="106">
        <v>39552</v>
      </c>
      <c r="B77" s="107">
        <v>119.59</v>
      </c>
      <c r="C77" s="52"/>
      <c r="D77" s="53">
        <v>41609</v>
      </c>
      <c r="E77" s="54">
        <f t="shared" si="2"/>
        <v>133.03833333333333</v>
      </c>
      <c r="F77" s="55">
        <f t="shared" si="3"/>
        <v>-6.7459950653799838E-3</v>
      </c>
      <c r="G77" s="76"/>
      <c r="H77" s="77"/>
      <c r="J77" s="87"/>
      <c r="K77" s="88"/>
      <c r="L77" s="96"/>
      <c r="M77" s="92"/>
    </row>
    <row r="78" spans="1:13" ht="15.75">
      <c r="A78" s="106">
        <v>39553</v>
      </c>
      <c r="B78" s="107">
        <v>119.38</v>
      </c>
      <c r="C78" s="52"/>
      <c r="D78" s="53">
        <v>41640</v>
      </c>
      <c r="E78" s="54">
        <f t="shared" si="2"/>
        <v>133.06045454545455</v>
      </c>
      <c r="F78" s="55">
        <f t="shared" si="3"/>
        <v>1.6627697872451108E-4</v>
      </c>
      <c r="G78" s="76"/>
      <c r="H78" s="77"/>
      <c r="J78" s="87"/>
      <c r="K78" s="88"/>
      <c r="L78" s="89"/>
      <c r="M78" s="92"/>
    </row>
    <row r="79" spans="1:13" ht="15.75">
      <c r="A79" s="106">
        <v>39554</v>
      </c>
      <c r="B79" s="107">
        <v>118.97</v>
      </c>
      <c r="C79" s="52"/>
      <c r="D79" s="53">
        <v>41671</v>
      </c>
      <c r="E79" s="54">
        <f t="shared" si="2"/>
        <v>134.41799999999998</v>
      </c>
      <c r="F79" s="55">
        <f t="shared" si="3"/>
        <v>1.0202471193886398E-2</v>
      </c>
      <c r="G79" s="81"/>
      <c r="H79" s="55"/>
      <c r="J79" s="87"/>
      <c r="K79" s="88"/>
      <c r="L79" s="89"/>
      <c r="M79" s="92"/>
    </row>
    <row r="80" spans="1:13" ht="15.75">
      <c r="A80" s="106">
        <v>39555</v>
      </c>
      <c r="B80" s="107">
        <v>118.59</v>
      </c>
      <c r="C80" s="52"/>
      <c r="D80" s="53">
        <v>41699</v>
      </c>
      <c r="E80" s="54">
        <f t="shared" si="2"/>
        <v>134.61571428571426</v>
      </c>
      <c r="F80" s="55">
        <f t="shared" si="3"/>
        <v>1.4708914409846674E-3</v>
      </c>
      <c r="G80" s="76"/>
      <c r="H80" s="77"/>
      <c r="J80" s="87"/>
      <c r="K80" s="88"/>
      <c r="L80" s="89"/>
      <c r="M80" s="92"/>
    </row>
    <row r="81" spans="1:13" ht="15.75">
      <c r="A81" s="106">
        <v>39556</v>
      </c>
      <c r="B81" s="107">
        <v>118.05</v>
      </c>
      <c r="C81" s="52"/>
      <c r="D81" s="53">
        <v>41730</v>
      </c>
      <c r="E81" s="54">
        <f t="shared" si="2"/>
        <v>134.75649999999996</v>
      </c>
      <c r="F81" s="55">
        <f t="shared" si="3"/>
        <v>1.0458341734671528E-3</v>
      </c>
      <c r="G81" s="76"/>
      <c r="H81" s="77"/>
      <c r="J81" s="95"/>
      <c r="K81" s="88"/>
      <c r="L81" s="96"/>
      <c r="M81" s="92"/>
    </row>
    <row r="82" spans="1:13" ht="15.75">
      <c r="A82" s="106">
        <v>39559</v>
      </c>
      <c r="B82" s="107">
        <v>118.02</v>
      </c>
      <c r="C82" s="52"/>
      <c r="D82" s="53">
        <v>41760</v>
      </c>
      <c r="E82" s="54">
        <f t="shared" si="2"/>
        <v>135.59952380952379</v>
      </c>
      <c r="F82" s="55">
        <f t="shared" si="3"/>
        <v>6.2559046096020143E-3</v>
      </c>
      <c r="G82" s="81"/>
      <c r="H82" s="55"/>
      <c r="J82" s="87"/>
      <c r="K82" s="88"/>
      <c r="L82" s="89"/>
      <c r="M82" s="92"/>
    </row>
    <row r="83" spans="1:13" ht="15.75">
      <c r="A83" s="106">
        <v>39560</v>
      </c>
      <c r="B83" s="107">
        <v>117.22</v>
      </c>
      <c r="C83" s="52"/>
      <c r="D83" s="53">
        <v>41791</v>
      </c>
      <c r="E83" s="54">
        <f t="shared" si="2"/>
        <v>136.06238095238092</v>
      </c>
      <c r="F83" s="55">
        <f t="shared" si="3"/>
        <v>3.4134127455145435E-3</v>
      </c>
      <c r="G83" s="76"/>
      <c r="H83" s="77"/>
      <c r="J83" s="87"/>
      <c r="K83" s="88"/>
      <c r="L83" s="89"/>
      <c r="M83" s="92"/>
    </row>
    <row r="84" spans="1:13" ht="15.75">
      <c r="A84" s="106">
        <v>39561</v>
      </c>
      <c r="B84" s="107">
        <v>117.21</v>
      </c>
      <c r="C84" s="52"/>
      <c r="D84" s="53">
        <v>41821</v>
      </c>
      <c r="E84" s="54">
        <f t="shared" si="2"/>
        <v>136.70043478260865</v>
      </c>
      <c r="F84" s="55">
        <f t="shared" si="3"/>
        <v>4.6894213210264546E-3</v>
      </c>
      <c r="G84" s="76"/>
      <c r="H84" s="77"/>
      <c r="J84" s="87"/>
      <c r="K84" s="88"/>
      <c r="L84" s="89"/>
      <c r="M84" s="92"/>
    </row>
    <row r="85" spans="1:13" ht="15.75">
      <c r="A85" s="106">
        <v>39562</v>
      </c>
      <c r="B85" s="107">
        <v>117.89</v>
      </c>
      <c r="C85" s="52"/>
      <c r="D85" s="53">
        <v>41852</v>
      </c>
      <c r="E85" s="54">
        <f t="shared" si="2"/>
        <v>137.48428571428568</v>
      </c>
      <c r="F85" s="55">
        <f t="shared" si="3"/>
        <v>5.7340778244310275E-3</v>
      </c>
      <c r="G85" s="81"/>
      <c r="H85" s="55"/>
      <c r="J85" s="87"/>
      <c r="K85" s="88"/>
      <c r="L85" s="96"/>
      <c r="M85" s="92"/>
    </row>
    <row r="86" spans="1:13" ht="15.75">
      <c r="A86" s="106">
        <v>39563</v>
      </c>
      <c r="B86" s="107">
        <v>116.98</v>
      </c>
      <c r="C86" s="52"/>
      <c r="D86" s="53">
        <v>41883</v>
      </c>
      <c r="E86" s="54">
        <f t="shared" si="2"/>
        <v>137.73681818181819</v>
      </c>
      <c r="F86" s="55">
        <f t="shared" si="3"/>
        <v>1.8368096849796789E-3</v>
      </c>
      <c r="G86" s="76"/>
      <c r="H86" s="77"/>
      <c r="J86" s="95"/>
      <c r="K86" s="88"/>
      <c r="L86" s="89"/>
      <c r="M86" s="92"/>
    </row>
    <row r="87" spans="1:13" ht="15.75">
      <c r="A87" s="106">
        <v>39566</v>
      </c>
      <c r="B87" s="107">
        <v>117.1</v>
      </c>
      <c r="C87" s="52"/>
      <c r="D87" s="53">
        <v>41913</v>
      </c>
      <c r="E87" s="54">
        <f t="shared" si="2"/>
        <v>137.97500000000002</v>
      </c>
      <c r="F87" s="55">
        <f t="shared" si="3"/>
        <v>1.7292530880699264E-3</v>
      </c>
      <c r="G87" s="76"/>
      <c r="H87" s="77"/>
      <c r="J87" s="87"/>
      <c r="K87" s="88"/>
      <c r="L87" s="89"/>
      <c r="M87" s="92"/>
    </row>
    <row r="88" spans="1:13" ht="15.75">
      <c r="A88" s="106">
        <v>39567</v>
      </c>
      <c r="B88" s="107">
        <v>117.21</v>
      </c>
      <c r="C88" s="52"/>
      <c r="D88" s="53">
        <v>41944</v>
      </c>
      <c r="E88" s="54">
        <f t="shared" si="2"/>
        <v>138.2345</v>
      </c>
      <c r="F88" s="55">
        <f t="shared" si="3"/>
        <v>1.8807755028082962E-3</v>
      </c>
      <c r="G88" s="81"/>
      <c r="H88" s="55"/>
      <c r="J88" s="87"/>
      <c r="K88" s="88"/>
      <c r="L88" s="89"/>
      <c r="M88" s="92"/>
    </row>
    <row r="89" spans="1:13" ht="15.75">
      <c r="A89" s="106">
        <v>39568</v>
      </c>
      <c r="B89" s="107">
        <v>117.52</v>
      </c>
      <c r="C89" s="52"/>
      <c r="D89" s="53">
        <v>41974</v>
      </c>
      <c r="E89" s="54">
        <f t="shared" si="2"/>
        <v>138.9363157894737</v>
      </c>
      <c r="F89" s="55">
        <f t="shared" si="3"/>
        <v>5.0769944512671916E-3</v>
      </c>
      <c r="G89" s="76"/>
      <c r="H89" s="77"/>
      <c r="J89" s="87"/>
      <c r="K89" s="88"/>
      <c r="L89" s="96"/>
      <c r="M89" s="92"/>
    </row>
    <row r="90" spans="1:13" ht="15.75">
      <c r="A90" s="106">
        <v>39570</v>
      </c>
      <c r="B90" s="107">
        <v>117.56</v>
      </c>
      <c r="C90" s="52"/>
      <c r="D90" s="53">
        <v>42005</v>
      </c>
      <c r="E90" s="54">
        <f t="shared" si="2"/>
        <v>139.99238095238096</v>
      </c>
      <c r="F90" s="55">
        <f t="shared" si="3"/>
        <v>7.6010736063238937E-3</v>
      </c>
      <c r="G90" s="76"/>
      <c r="H90" s="77"/>
      <c r="J90" s="87"/>
      <c r="K90" s="88"/>
      <c r="L90" s="89"/>
      <c r="M90" s="92"/>
    </row>
    <row r="91" spans="1:13" ht="15.75">
      <c r="A91" s="106">
        <v>39573</v>
      </c>
      <c r="B91" s="107">
        <v>117.4</v>
      </c>
      <c r="C91" s="52"/>
      <c r="D91" s="53">
        <v>42036</v>
      </c>
      <c r="E91" s="54">
        <f t="shared" si="2"/>
        <v>140.20599999999999</v>
      </c>
      <c r="F91" s="55">
        <f t="shared" si="3"/>
        <v>1.5259333841295408E-3</v>
      </c>
      <c r="G91" s="81"/>
      <c r="H91" s="55"/>
      <c r="J91" s="95"/>
      <c r="K91" s="88"/>
      <c r="L91" s="89"/>
      <c r="M91" s="92"/>
    </row>
    <row r="92" spans="1:13" ht="15.75">
      <c r="A92" s="106">
        <v>39574</v>
      </c>
      <c r="B92" s="107">
        <v>117.31</v>
      </c>
      <c r="C92" s="52"/>
      <c r="D92" s="53">
        <v>42064</v>
      </c>
      <c r="E92" s="54">
        <f t="shared" si="2"/>
        <v>140.37363636363634</v>
      </c>
      <c r="F92" s="55">
        <f t="shared" si="3"/>
        <v>1.1956432936988115E-3</v>
      </c>
      <c r="G92" s="76"/>
      <c r="H92" s="77"/>
      <c r="J92" s="87"/>
      <c r="K92" s="88"/>
      <c r="L92" s="89"/>
      <c r="M92" s="92"/>
    </row>
    <row r="93" spans="1:13" ht="15.75">
      <c r="A93" s="106">
        <v>39575</v>
      </c>
      <c r="B93" s="107">
        <v>117.13</v>
      </c>
      <c r="C93" s="52"/>
      <c r="D93" s="53">
        <v>42095</v>
      </c>
      <c r="E93" s="54">
        <f t="shared" si="2"/>
        <v>140.80749999999998</v>
      </c>
      <c r="F93" s="55">
        <f t="shared" si="3"/>
        <v>3.0907772114681098E-3</v>
      </c>
      <c r="G93" s="76"/>
      <c r="H93" s="77"/>
      <c r="J93" s="87"/>
      <c r="K93" s="88"/>
      <c r="L93" s="96"/>
      <c r="M93" s="92"/>
    </row>
    <row r="94" spans="1:13" ht="15.75">
      <c r="A94" s="106">
        <v>39576</v>
      </c>
      <c r="B94" s="107">
        <v>117.54</v>
      </c>
      <c r="C94" s="52"/>
      <c r="D94" s="53">
        <v>42125</v>
      </c>
      <c r="E94" s="54">
        <f t="shared" si="2"/>
        <v>138.82210526315788</v>
      </c>
      <c r="F94" s="55">
        <f t="shared" si="3"/>
        <v>-1.4100063823603848E-2</v>
      </c>
      <c r="G94" s="81"/>
      <c r="H94" s="55"/>
      <c r="J94" s="87"/>
      <c r="K94" s="88"/>
      <c r="L94" s="89"/>
      <c r="M94" s="92"/>
    </row>
    <row r="95" spans="1:13" ht="15.75">
      <c r="A95" s="106">
        <v>39577</v>
      </c>
      <c r="B95" s="107">
        <v>118.16</v>
      </c>
      <c r="C95" s="52"/>
      <c r="D95" s="53">
        <v>42156</v>
      </c>
      <c r="E95" s="54">
        <f t="shared" si="2"/>
        <v>138.14590909090907</v>
      </c>
      <c r="F95" s="55">
        <f t="shared" si="3"/>
        <v>-4.8709546002559945E-3</v>
      </c>
      <c r="G95" s="76"/>
      <c r="H95" s="77"/>
      <c r="J95" s="87"/>
      <c r="K95" s="88"/>
      <c r="L95" s="89"/>
      <c r="M95" s="92"/>
    </row>
    <row r="96" spans="1:13" ht="15.75">
      <c r="A96" s="106">
        <v>39580</v>
      </c>
      <c r="B96" s="107">
        <v>118.23</v>
      </c>
      <c r="C96" s="52"/>
      <c r="D96" s="53">
        <v>42186</v>
      </c>
      <c r="E96" s="54">
        <f t="shared" si="2"/>
        <v>138.69739130434783</v>
      </c>
      <c r="F96" s="55">
        <f t="shared" si="3"/>
        <v>3.9920271042976907E-3</v>
      </c>
      <c r="G96" s="76"/>
      <c r="H96" s="77"/>
      <c r="J96" s="95"/>
      <c r="K96" s="88"/>
      <c r="L96" s="89"/>
      <c r="M96" s="92"/>
    </row>
    <row r="97" spans="1:15" ht="15.75">
      <c r="A97" s="106">
        <v>39581</v>
      </c>
      <c r="B97" s="107">
        <v>118.25</v>
      </c>
      <c r="C97" s="52"/>
      <c r="D97" s="53">
        <v>42217</v>
      </c>
      <c r="E97" s="54">
        <f t="shared" si="2"/>
        <v>139.24952380952382</v>
      </c>
      <c r="F97" s="55">
        <f t="shared" si="3"/>
        <v>3.9808427540244384E-3</v>
      </c>
      <c r="G97" s="81"/>
      <c r="H97" s="55"/>
      <c r="J97" s="87"/>
      <c r="K97" s="88"/>
      <c r="L97" s="96"/>
      <c r="M97" s="92"/>
    </row>
    <row r="98" spans="1:15" ht="15.75">
      <c r="A98" s="106">
        <v>39582</v>
      </c>
      <c r="B98" s="107">
        <v>117.48</v>
      </c>
      <c r="C98" s="52"/>
      <c r="D98" s="53">
        <v>42248</v>
      </c>
      <c r="E98" s="54">
        <f t="shared" si="2"/>
        <v>139.07590909090908</v>
      </c>
      <c r="F98" s="55">
        <f t="shared" si="3"/>
        <v>-1.2467885983741267E-3</v>
      </c>
      <c r="G98" s="76"/>
      <c r="H98" s="77"/>
      <c r="J98" s="87"/>
      <c r="K98" s="88"/>
      <c r="L98" s="89"/>
      <c r="M98" s="92"/>
    </row>
    <row r="99" spans="1:15" ht="15.75">
      <c r="A99" s="106">
        <v>39583</v>
      </c>
      <c r="B99" s="107">
        <v>116.66</v>
      </c>
      <c r="C99" s="52"/>
      <c r="D99" s="53">
        <v>42278</v>
      </c>
      <c r="E99" s="54">
        <f t="shared" si="2"/>
        <v>139.91499999999999</v>
      </c>
      <c r="F99" s="55">
        <f t="shared" si="3"/>
        <v>6.0333303918396197E-3</v>
      </c>
      <c r="G99" s="76"/>
      <c r="H99" s="77"/>
      <c r="J99" s="87"/>
      <c r="K99" s="88"/>
      <c r="L99" s="89"/>
      <c r="M99" s="92"/>
    </row>
    <row r="100" spans="1:15" ht="15.75">
      <c r="A100" s="106">
        <v>39584</v>
      </c>
      <c r="B100" s="107">
        <v>116.93</v>
      </c>
      <c r="C100" s="52"/>
      <c r="D100" s="53">
        <v>42309</v>
      </c>
      <c r="E100" s="54">
        <f t="shared" si="2"/>
        <v>140.00952380952381</v>
      </c>
      <c r="F100" s="55">
        <f t="shared" si="3"/>
        <v>6.7558024174552145E-4</v>
      </c>
      <c r="G100" s="81"/>
      <c r="H100" s="55"/>
      <c r="J100" s="87"/>
      <c r="K100" s="88"/>
      <c r="L100" s="89"/>
      <c r="M100" s="92"/>
    </row>
    <row r="101" spans="1:15" ht="15.75">
      <c r="A101" s="106">
        <v>39587</v>
      </c>
      <c r="B101" s="107">
        <v>117</v>
      </c>
      <c r="C101" s="52"/>
      <c r="D101" s="53">
        <v>42339</v>
      </c>
      <c r="E101" s="54">
        <f t="shared" si="2"/>
        <v>139.85249999999999</v>
      </c>
      <c r="F101" s="55">
        <f t="shared" si="3"/>
        <v>-1.1215223454187351E-3</v>
      </c>
      <c r="G101" s="76"/>
      <c r="H101" s="77"/>
      <c r="J101" s="87"/>
      <c r="K101" s="88"/>
      <c r="L101" s="96"/>
      <c r="M101" s="92"/>
    </row>
    <row r="102" spans="1:15" ht="15.75">
      <c r="A102" s="106">
        <v>39588</v>
      </c>
      <c r="B102" s="107">
        <v>116.95</v>
      </c>
      <c r="C102" s="52"/>
      <c r="D102" s="53">
        <v>42370</v>
      </c>
      <c r="E102" s="54">
        <f t="shared" si="2"/>
        <v>140.51299999999998</v>
      </c>
      <c r="F102" s="55">
        <f t="shared" si="3"/>
        <v>4.7228329847517347E-3</v>
      </c>
      <c r="G102" s="76"/>
      <c r="H102" s="77"/>
      <c r="J102" s="87"/>
      <c r="K102" s="88"/>
      <c r="L102" s="89"/>
      <c r="M102" s="92"/>
    </row>
    <row r="103" spans="1:15" ht="15.75">
      <c r="A103" s="106">
        <v>39589</v>
      </c>
      <c r="B103" s="107">
        <v>116.29</v>
      </c>
      <c r="C103" s="52"/>
      <c r="D103" s="53">
        <v>42401</v>
      </c>
      <c r="E103" s="54">
        <f t="shared" si="2"/>
        <v>142.04714285714289</v>
      </c>
      <c r="F103" s="55">
        <f t="shared" si="3"/>
        <v>1.0918156022168057E-2</v>
      </c>
      <c r="G103" s="81"/>
      <c r="H103" s="55"/>
      <c r="J103" s="95"/>
      <c r="K103" s="88"/>
      <c r="L103" s="89"/>
      <c r="M103" s="92"/>
    </row>
    <row r="104" spans="1:15" ht="15.75">
      <c r="A104" s="106">
        <v>39590</v>
      </c>
      <c r="B104" s="107">
        <v>116.14</v>
      </c>
      <c r="C104" s="52"/>
      <c r="D104" s="53">
        <v>42430</v>
      </c>
      <c r="E104" s="54">
        <f t="shared" si="2"/>
        <v>141.94857142857146</v>
      </c>
      <c r="F104" s="55">
        <f t="shared" si="3"/>
        <v>-6.9393460923439232E-4</v>
      </c>
      <c r="G104" s="76"/>
      <c r="H104" s="77"/>
      <c r="J104" s="87"/>
      <c r="K104" s="88"/>
      <c r="L104" s="89"/>
      <c r="M104" s="92"/>
    </row>
    <row r="105" spans="1:15" ht="15.75">
      <c r="A105" s="106">
        <v>39591</v>
      </c>
      <c r="B105" s="107">
        <v>115.94</v>
      </c>
      <c r="C105" s="52"/>
      <c r="D105" s="53">
        <v>42461</v>
      </c>
      <c r="E105" s="54">
        <f t="shared" si="2"/>
        <v>142.20999999999998</v>
      </c>
      <c r="F105" s="55">
        <f t="shared" si="3"/>
        <v>1.8417132965657945E-3</v>
      </c>
      <c r="G105" s="76"/>
      <c r="H105" s="77"/>
      <c r="J105" s="87"/>
      <c r="K105" s="88"/>
      <c r="L105" s="96"/>
      <c r="M105" s="92"/>
    </row>
    <row r="106" spans="1:15" ht="15.75">
      <c r="A106" s="106">
        <v>39594</v>
      </c>
      <c r="B106" s="107">
        <v>115.76</v>
      </c>
      <c r="C106" s="52"/>
      <c r="D106" s="53">
        <v>42491</v>
      </c>
      <c r="E106" s="54">
        <f t="shared" si="2"/>
        <v>142.26142857142858</v>
      </c>
      <c r="F106" s="55">
        <f t="shared" si="3"/>
        <v>3.6163822114199107E-4</v>
      </c>
      <c r="G106" s="81"/>
      <c r="H106" s="55"/>
      <c r="J106" s="87"/>
      <c r="K106" s="88"/>
      <c r="L106" s="96"/>
      <c r="M106" s="92"/>
    </row>
    <row r="107" spans="1:15" ht="15.75">
      <c r="A107" s="106">
        <v>39595</v>
      </c>
      <c r="B107" s="107">
        <v>115.72</v>
      </c>
      <c r="C107" s="52"/>
      <c r="D107" s="53">
        <v>42522</v>
      </c>
      <c r="E107" s="54">
        <f t="shared" si="2"/>
        <v>143.05545454545452</v>
      </c>
      <c r="F107" s="55">
        <f t="shared" si="3"/>
        <v>5.5814564917522347E-3</v>
      </c>
      <c r="G107" s="76"/>
      <c r="H107" s="77"/>
      <c r="J107" s="87"/>
      <c r="K107" s="88"/>
      <c r="L107" s="89"/>
      <c r="M107" s="94"/>
    </row>
    <row r="108" spans="1:15" ht="15.75">
      <c r="A108" s="106">
        <v>39596</v>
      </c>
      <c r="B108" s="107">
        <v>115.62</v>
      </c>
      <c r="C108" s="52"/>
      <c r="D108" s="53">
        <v>42552</v>
      </c>
      <c r="E108" s="54">
        <f t="shared" si="2"/>
        <v>144.07714285714289</v>
      </c>
      <c r="F108" s="55">
        <f t="shared" si="3"/>
        <v>7.1419039206486179E-3</v>
      </c>
      <c r="G108" s="76"/>
      <c r="H108" s="77"/>
      <c r="J108" s="90"/>
      <c r="K108" s="90"/>
      <c r="L108" s="90"/>
      <c r="M108" s="90"/>
    </row>
    <row r="109" spans="1:15" ht="18">
      <c r="A109" s="106">
        <v>39597</v>
      </c>
      <c r="B109" s="107">
        <v>115.31</v>
      </c>
      <c r="C109" s="52"/>
      <c r="D109" s="53">
        <v>42583</v>
      </c>
      <c r="E109" s="54">
        <f t="shared" si="2"/>
        <v>144.21</v>
      </c>
      <c r="F109" s="55">
        <f t="shared" si="3"/>
        <v>9.2212505205524486E-4</v>
      </c>
      <c r="G109" s="81"/>
      <c r="H109" s="55"/>
      <c r="J109" s="33"/>
      <c r="K109" s="33"/>
      <c r="L109" s="91"/>
      <c r="M109" s="33"/>
      <c r="N109" s="90"/>
    </row>
    <row r="110" spans="1:15" ht="18">
      <c r="A110" s="106">
        <v>39598</v>
      </c>
      <c r="B110" s="107">
        <v>115.3</v>
      </c>
      <c r="C110" s="52"/>
      <c r="D110" s="53">
        <v>42614</v>
      </c>
      <c r="E110" s="54">
        <f t="shared" si="2"/>
        <v>143.95590909090913</v>
      </c>
      <c r="F110" s="55">
        <f t="shared" si="3"/>
        <v>-1.761950690596148E-3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06">
        <v>39601</v>
      </c>
      <c r="B111" s="107">
        <v>115.74</v>
      </c>
      <c r="C111" s="52"/>
      <c r="D111" s="53">
        <v>42644</v>
      </c>
      <c r="E111" s="54">
        <f t="shared" si="2"/>
        <v>143.33150000000003</v>
      </c>
      <c r="F111" s="55">
        <f t="shared" si="3"/>
        <v>-4.3375023286802428E-3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06">
        <v>39602</v>
      </c>
      <c r="B112" s="107">
        <v>115.91</v>
      </c>
      <c r="C112" s="52"/>
      <c r="D112" s="53">
        <v>42675</v>
      </c>
      <c r="E112" s="54">
        <f t="shared" si="2"/>
        <v>142.17090909090908</v>
      </c>
      <c r="F112" s="55">
        <f t="shared" si="3"/>
        <v>-8.0972494468484202E-3</v>
      </c>
      <c r="G112" s="81"/>
      <c r="H112" s="55"/>
      <c r="J112" s="87"/>
      <c r="K112" s="88"/>
      <c r="L112" s="87"/>
      <c r="M112" s="92"/>
    </row>
    <row r="113" spans="1:13" ht="15.75">
      <c r="A113" s="106">
        <v>39603</v>
      </c>
      <c r="B113" s="107">
        <v>115.63</v>
      </c>
      <c r="C113" s="52"/>
      <c r="D113" s="53">
        <v>42705</v>
      </c>
      <c r="E113" s="54">
        <f t="shared" si="2"/>
        <v>141.92333333333335</v>
      </c>
      <c r="F113" s="55">
        <f t="shared" si="3"/>
        <v>-1.7413953329750154E-3</v>
      </c>
      <c r="G113" s="76"/>
      <c r="H113" s="77"/>
      <c r="J113" s="87"/>
      <c r="K113" s="88"/>
      <c r="L113" s="87"/>
      <c r="M113" s="92"/>
    </row>
    <row r="114" spans="1:13" ht="15.75">
      <c r="A114" s="106">
        <v>39604</v>
      </c>
      <c r="B114" s="107">
        <v>115.52</v>
      </c>
      <c r="C114" s="52"/>
      <c r="D114" s="53">
        <v>42736</v>
      </c>
      <c r="E114" s="54">
        <f t="shared" si="2"/>
        <v>141.93863636363633</v>
      </c>
      <c r="F114" s="55">
        <f t="shared" si="3"/>
        <v>1.078260349693938E-4</v>
      </c>
      <c r="G114" s="76"/>
      <c r="H114" s="77"/>
      <c r="J114" s="95"/>
      <c r="K114" s="88"/>
      <c r="L114" s="87"/>
      <c r="M114" s="92"/>
    </row>
    <row r="115" spans="1:13" ht="15.75">
      <c r="A115" s="106">
        <v>39605</v>
      </c>
      <c r="B115" s="107">
        <v>114.89</v>
      </c>
      <c r="C115" s="52"/>
      <c r="D115" s="53">
        <v>42767</v>
      </c>
      <c r="E115" s="54">
        <f t="shared" si="2"/>
        <v>142.45049999999998</v>
      </c>
      <c r="F115" s="55">
        <f t="shared" si="3"/>
        <v>3.6062318863785414E-3</v>
      </c>
      <c r="G115" s="81"/>
      <c r="H115" s="55"/>
      <c r="J115" s="87"/>
      <c r="K115" s="88"/>
      <c r="L115" s="87"/>
      <c r="M115" s="92"/>
    </row>
    <row r="116" spans="1:13" ht="15.75">
      <c r="A116" s="106">
        <v>39608</v>
      </c>
      <c r="B116" s="107">
        <v>114.8</v>
      </c>
      <c r="C116" s="52"/>
      <c r="D116" s="53">
        <v>42795</v>
      </c>
      <c r="E116" s="54">
        <f t="shared" si="2"/>
        <v>141.91260869565218</v>
      </c>
      <c r="F116" s="55">
        <f t="shared" si="3"/>
        <v>-3.7759874787929304E-3</v>
      </c>
      <c r="G116" s="76"/>
      <c r="H116" s="77"/>
      <c r="J116" s="87"/>
      <c r="K116" s="88"/>
      <c r="L116" s="87"/>
      <c r="M116" s="92"/>
    </row>
    <row r="117" spans="1:13" ht="15.75">
      <c r="A117" s="106">
        <v>39609</v>
      </c>
      <c r="B117" s="107">
        <v>114.29</v>
      </c>
      <c r="C117" s="52"/>
      <c r="D117" s="53">
        <v>42826</v>
      </c>
      <c r="E117" s="54">
        <f t="shared" si="2"/>
        <v>142.30611111111114</v>
      </c>
      <c r="F117" s="55">
        <f t="shared" si="3"/>
        <v>2.7728502708512792E-3</v>
      </c>
      <c r="G117" s="76"/>
      <c r="H117" s="77"/>
      <c r="J117" s="87"/>
      <c r="K117" s="88"/>
      <c r="L117" s="87"/>
      <c r="M117" s="92"/>
    </row>
    <row r="118" spans="1:13" ht="15.75">
      <c r="A118" s="106">
        <v>39610</v>
      </c>
      <c r="B118" s="107">
        <v>114.31</v>
      </c>
      <c r="C118" s="52"/>
      <c r="D118" s="53">
        <v>42856</v>
      </c>
      <c r="E118" s="54">
        <f t="shared" si="2"/>
        <v>141.47863636363635</v>
      </c>
      <c r="F118" s="55">
        <f t="shared" si="3"/>
        <v>-5.8147520230434901E-3</v>
      </c>
      <c r="G118" s="81"/>
      <c r="H118" s="55"/>
      <c r="J118" s="95"/>
      <c r="K118" s="88"/>
      <c r="L118" s="87"/>
      <c r="M118" s="92"/>
    </row>
    <row r="119" spans="1:13" ht="15.75">
      <c r="A119" s="106">
        <v>39611</v>
      </c>
      <c r="B119" s="107">
        <v>113.99</v>
      </c>
      <c r="C119" s="52"/>
      <c r="D119" s="53">
        <v>42887</v>
      </c>
      <c r="E119" s="54">
        <f t="shared" si="2"/>
        <v>141.77523809523814</v>
      </c>
      <c r="F119" s="55">
        <f t="shared" si="3"/>
        <v>2.0964418319628919E-3</v>
      </c>
      <c r="G119" s="76"/>
      <c r="H119" s="77"/>
      <c r="J119" s="87"/>
      <c r="K119" s="88"/>
      <c r="L119" s="87"/>
      <c r="M119" s="92"/>
    </row>
    <row r="120" spans="1:13" ht="15.75">
      <c r="A120" s="106">
        <v>39612</v>
      </c>
      <c r="B120" s="107">
        <v>113.53</v>
      </c>
      <c r="C120" s="52"/>
      <c r="D120" s="53">
        <v>42917</v>
      </c>
      <c r="E120" s="54">
        <f t="shared" si="2"/>
        <v>140.6057142857143</v>
      </c>
      <c r="F120" s="55">
        <f t="shared" si="3"/>
        <v>-8.2491401547722942E-3</v>
      </c>
      <c r="G120" s="76"/>
      <c r="H120" s="77"/>
      <c r="J120" s="87"/>
      <c r="K120" s="88"/>
      <c r="L120" s="87"/>
      <c r="M120" s="92"/>
    </row>
    <row r="121" spans="1:13" ht="15.75">
      <c r="A121" s="106">
        <v>39615</v>
      </c>
      <c r="B121" s="107">
        <v>113.78</v>
      </c>
      <c r="C121" s="52"/>
      <c r="D121" s="53">
        <v>42948</v>
      </c>
      <c r="E121" s="54">
        <f t="shared" si="2"/>
        <v>141.41652173913045</v>
      </c>
      <c r="F121" s="55">
        <f t="shared" si="3"/>
        <v>5.7665327297335978E-3</v>
      </c>
      <c r="G121" s="81"/>
      <c r="H121" s="55"/>
      <c r="J121" s="87"/>
      <c r="K121" s="88"/>
      <c r="L121" s="87"/>
      <c r="M121" s="92"/>
    </row>
    <row r="122" spans="1:13" ht="15.75">
      <c r="A122" s="106">
        <v>39616</v>
      </c>
      <c r="B122" s="107">
        <v>113.57</v>
      </c>
      <c r="C122" s="52"/>
      <c r="D122" s="53">
        <v>42979</v>
      </c>
      <c r="E122" s="54">
        <f t="shared" si="2"/>
        <v>141.52523809523808</v>
      </c>
      <c r="F122" s="55">
        <f t="shared" si="3"/>
        <v>7.6876700664563202E-4</v>
      </c>
      <c r="G122" s="76"/>
      <c r="H122" s="77"/>
      <c r="J122" s="95"/>
      <c r="K122" s="88"/>
      <c r="L122" s="87"/>
      <c r="M122" s="92"/>
    </row>
    <row r="123" spans="1:13" ht="15.75">
      <c r="A123" s="106">
        <v>39617</v>
      </c>
      <c r="B123" s="107">
        <v>113.14</v>
      </c>
      <c r="C123" s="52"/>
      <c r="D123" s="53">
        <v>43009</v>
      </c>
      <c r="E123" s="54">
        <f t="shared" si="2"/>
        <v>141.30300000000003</v>
      </c>
      <c r="F123" s="55">
        <f t="shared" si="3"/>
        <v>-1.5703071637901411E-3</v>
      </c>
      <c r="G123" s="76"/>
      <c r="H123" s="77"/>
      <c r="J123" s="95"/>
      <c r="K123" s="88"/>
      <c r="L123" s="87"/>
      <c r="M123" s="92"/>
    </row>
    <row r="124" spans="1:13" ht="15.75">
      <c r="A124" s="106">
        <v>39618</v>
      </c>
      <c r="B124" s="107">
        <v>113.2</v>
      </c>
      <c r="C124" s="52"/>
      <c r="D124" s="53">
        <v>43040</v>
      </c>
      <c r="E124" s="54">
        <f t="shared" si="2"/>
        <v>141.53727272727272</v>
      </c>
      <c r="F124" s="55">
        <f t="shared" si="3"/>
        <v>1.6579458841829986E-3</v>
      </c>
      <c r="G124" s="81"/>
      <c r="H124" s="55"/>
      <c r="J124" s="87"/>
      <c r="K124" s="88"/>
      <c r="L124" s="87"/>
      <c r="M124" s="92"/>
    </row>
    <row r="125" spans="1:13" ht="15.75">
      <c r="A125" s="106">
        <v>39619</v>
      </c>
      <c r="B125" s="107">
        <v>113.22</v>
      </c>
      <c r="C125" s="52"/>
      <c r="D125" s="53">
        <v>43070</v>
      </c>
      <c r="E125" s="54">
        <f t="shared" si="2"/>
        <v>141.28894736842108</v>
      </c>
      <c r="F125" s="55">
        <f t="shared" si="3"/>
        <v>-1.754487380367542E-3</v>
      </c>
      <c r="G125" s="76"/>
      <c r="H125" s="77"/>
      <c r="J125" s="87"/>
      <c r="K125" s="88"/>
      <c r="L125" s="87"/>
      <c r="M125" s="92"/>
    </row>
    <row r="126" spans="1:13" ht="15.75">
      <c r="A126" s="106">
        <v>39622</v>
      </c>
      <c r="B126" s="107">
        <v>113.89</v>
      </c>
      <c r="C126" s="52"/>
      <c r="D126" s="53">
        <v>43101</v>
      </c>
      <c r="E126" s="54">
        <f t="shared" si="2"/>
        <v>139.99136363636364</v>
      </c>
      <c r="F126" s="55">
        <f t="shared" si="3"/>
        <v>-9.1839011913217306E-3</v>
      </c>
      <c r="G126" s="76"/>
      <c r="H126" s="77"/>
      <c r="J126" s="87"/>
      <c r="K126" s="88"/>
      <c r="L126" s="87"/>
      <c r="M126" s="92"/>
    </row>
    <row r="127" spans="1:13" ht="15.75">
      <c r="A127" s="106">
        <v>39623</v>
      </c>
      <c r="B127" s="107">
        <v>113.69</v>
      </c>
      <c r="C127" s="52"/>
      <c r="D127" s="53">
        <v>43132</v>
      </c>
      <c r="E127" s="54">
        <f t="shared" si="2"/>
        <v>138.95650000000001</v>
      </c>
      <c r="F127" s="55">
        <f t="shared" si="3"/>
        <v>-7.392339137804016E-3</v>
      </c>
      <c r="G127" s="81"/>
      <c r="H127" s="55"/>
      <c r="J127" s="95"/>
      <c r="K127" s="88"/>
      <c r="L127" s="87"/>
      <c r="M127" s="92"/>
    </row>
    <row r="128" spans="1:13" ht="15.75">
      <c r="A128" s="106">
        <v>39624</v>
      </c>
      <c r="B128" s="107">
        <v>113.8</v>
      </c>
      <c r="C128" s="52"/>
      <c r="D128" s="53">
        <v>43160</v>
      </c>
      <c r="E128" s="54">
        <f t="shared" si="2"/>
        <v>139.82095238095241</v>
      </c>
      <c r="F128" s="55">
        <f t="shared" si="3"/>
        <v>6.2210287460637836E-3</v>
      </c>
      <c r="G128" s="76"/>
      <c r="H128" s="77"/>
      <c r="J128" s="87"/>
      <c r="K128" s="88"/>
      <c r="L128" s="87"/>
      <c r="M128" s="92"/>
    </row>
    <row r="129" spans="1:13" ht="15.75">
      <c r="A129" s="106">
        <v>39625</v>
      </c>
      <c r="B129" s="107">
        <v>113.7</v>
      </c>
      <c r="C129" s="52"/>
      <c r="D129" s="53">
        <v>43191</v>
      </c>
      <c r="E129" s="54">
        <f t="shared" si="2"/>
        <v>140.04199999999997</v>
      </c>
      <c r="F129" s="55">
        <f t="shared" si="3"/>
        <v>1.5809334386831519E-3</v>
      </c>
      <c r="G129" s="76"/>
      <c r="H129" s="77"/>
      <c r="J129" s="87"/>
      <c r="K129" s="88"/>
      <c r="L129" s="87"/>
      <c r="M129" s="92"/>
    </row>
    <row r="130" spans="1:13" ht="15.75">
      <c r="A130" s="106">
        <v>39626</v>
      </c>
      <c r="B130" s="107">
        <v>114.32</v>
      </c>
      <c r="C130" s="52"/>
      <c r="D130" s="53">
        <v>43221</v>
      </c>
      <c r="E130" s="54">
        <f t="shared" si="2"/>
        <v>140.24380952380952</v>
      </c>
      <c r="F130" s="55">
        <f t="shared" si="3"/>
        <v>1.4410642793558637E-3</v>
      </c>
      <c r="G130" s="81"/>
      <c r="H130" s="55"/>
      <c r="J130" s="87"/>
      <c r="K130" s="88"/>
      <c r="L130" s="87"/>
      <c r="M130" s="92"/>
    </row>
    <row r="131" spans="1:13" ht="15.75">
      <c r="A131" s="106">
        <v>39629</v>
      </c>
      <c r="B131" s="107">
        <v>113.93</v>
      </c>
      <c r="C131" s="52"/>
      <c r="D131" s="53">
        <v>43252</v>
      </c>
      <c r="E131" s="54">
        <f t="shared" si="2"/>
        <v>140.98857142857142</v>
      </c>
      <c r="F131" s="55">
        <f t="shared" si="3"/>
        <v>5.3104797088063815E-3</v>
      </c>
      <c r="G131" s="76"/>
      <c r="H131" s="77"/>
      <c r="J131" s="95"/>
      <c r="K131" s="88"/>
      <c r="L131" s="87"/>
      <c r="M131" s="92"/>
    </row>
    <row r="132" spans="1:13" ht="15.75">
      <c r="A132" s="106">
        <v>39630</v>
      </c>
      <c r="B132" s="107">
        <v>113.88</v>
      </c>
      <c r="C132" s="52"/>
      <c r="D132" s="53">
        <v>43282</v>
      </c>
      <c r="E132" s="54">
        <f t="shared" si="2"/>
        <v>141.34818181818181</v>
      </c>
      <c r="F132" s="55">
        <f t="shared" si="3"/>
        <v>2.5506350335111616E-3</v>
      </c>
      <c r="G132" s="76"/>
      <c r="H132" s="77"/>
      <c r="J132" s="87"/>
      <c r="K132" s="88"/>
      <c r="L132" s="87"/>
      <c r="M132" s="92"/>
    </row>
    <row r="133" spans="1:13" ht="15.75">
      <c r="A133" s="106">
        <v>39631</v>
      </c>
      <c r="B133" s="107">
        <v>113.52</v>
      </c>
      <c r="C133" s="52"/>
      <c r="D133" s="53">
        <v>43313</v>
      </c>
      <c r="E133" s="54">
        <f t="shared" si="2"/>
        <v>141.27391304347827</v>
      </c>
      <c r="F133" s="55">
        <f t="shared" si="3"/>
        <v>-5.2543141162630924E-4</v>
      </c>
      <c r="G133" s="81"/>
      <c r="H133" s="55"/>
      <c r="J133" s="95"/>
      <c r="K133" s="88"/>
      <c r="L133" s="87"/>
      <c r="M133" s="92"/>
    </row>
    <row r="134" spans="1:13" ht="15.75">
      <c r="A134" s="106">
        <v>39632</v>
      </c>
      <c r="B134" s="107">
        <v>112.83</v>
      </c>
      <c r="C134" s="52"/>
      <c r="D134" s="53">
        <v>43344</v>
      </c>
      <c r="E134" s="54">
        <f t="shared" ref="E134:E150" si="4">AVERAGEIFS($B$6:$B$3131,$A$6:$A$3131,"&gt;="&amp;D134,$A$6:$A$3131,"&lt;="&amp;EOMONTH(D134,0))</f>
        <v>140.71100000000001</v>
      </c>
      <c r="F134" s="55">
        <f t="shared" si="3"/>
        <v>-3.984550518573271E-3</v>
      </c>
      <c r="G134" s="76"/>
      <c r="H134" s="77"/>
      <c r="J134" s="87"/>
      <c r="K134" s="88"/>
      <c r="L134" s="87"/>
      <c r="M134" s="92"/>
    </row>
    <row r="135" spans="1:13" ht="15.75">
      <c r="A135" s="106">
        <v>39633</v>
      </c>
      <c r="B135" s="107">
        <v>113.83</v>
      </c>
      <c r="C135" s="52"/>
      <c r="D135" s="53">
        <v>43374</v>
      </c>
      <c r="E135" s="54">
        <f t="shared" si="4"/>
        <v>140.53954545454545</v>
      </c>
      <c r="F135" s="55">
        <f t="shared" ref="F135:F150" si="5">E135/E134-1</f>
        <v>-1.218487150646097E-3</v>
      </c>
      <c r="G135" s="76"/>
      <c r="H135" s="77"/>
      <c r="J135" s="87"/>
      <c r="K135" s="88"/>
      <c r="L135" s="87"/>
      <c r="M135" s="92"/>
    </row>
    <row r="136" spans="1:13" ht="15.75">
      <c r="A136" s="106">
        <v>39636</v>
      </c>
      <c r="B136" s="107">
        <v>114.12</v>
      </c>
      <c r="C136" s="52"/>
      <c r="D136" s="53">
        <v>43405</v>
      </c>
      <c r="E136" s="54">
        <f t="shared" si="4"/>
        <v>141.07590909090908</v>
      </c>
      <c r="F136" s="55">
        <f t="shared" si="5"/>
        <v>3.8164605885757652E-3</v>
      </c>
      <c r="G136" s="81"/>
      <c r="H136" s="55"/>
      <c r="J136" s="87"/>
      <c r="K136" s="88"/>
      <c r="L136" s="87"/>
      <c r="M136" s="92"/>
    </row>
    <row r="137" spans="1:13" ht="15.75">
      <c r="A137" s="106">
        <v>39637</v>
      </c>
      <c r="B137" s="107">
        <v>114.41</v>
      </c>
      <c r="C137" s="52"/>
      <c r="D137" s="53">
        <v>43435</v>
      </c>
      <c r="E137" s="54">
        <f t="shared" si="4"/>
        <v>141.68411764705883</v>
      </c>
      <c r="F137" s="55">
        <f t="shared" si="5"/>
        <v>4.3112148634663061E-3</v>
      </c>
      <c r="G137" s="76"/>
      <c r="H137" s="77"/>
      <c r="J137" s="95"/>
      <c r="K137" s="88"/>
      <c r="L137" s="87"/>
      <c r="M137" s="92"/>
    </row>
    <row r="138" spans="1:13" ht="15.75">
      <c r="A138" s="106">
        <v>39638</v>
      </c>
      <c r="B138" s="107">
        <v>114.04</v>
      </c>
      <c r="C138" s="52"/>
      <c r="D138" s="53">
        <v>43466</v>
      </c>
      <c r="E138" s="54">
        <f t="shared" si="4"/>
        <v>142.09500000000003</v>
      </c>
      <c r="F138" s="55">
        <f t="shared" si="5"/>
        <v>2.8999887903082833E-3</v>
      </c>
      <c r="G138" s="76"/>
      <c r="H138" s="77"/>
      <c r="J138" s="87"/>
      <c r="K138" s="88"/>
      <c r="L138" s="87"/>
      <c r="M138" s="92"/>
    </row>
    <row r="139" spans="1:13" ht="15.75">
      <c r="A139" s="106">
        <v>39639</v>
      </c>
      <c r="B139" s="107">
        <v>114.23</v>
      </c>
      <c r="C139" s="52"/>
      <c r="D139" s="53">
        <v>43497</v>
      </c>
      <c r="E139" s="54">
        <f t="shared" si="4"/>
        <v>142.36350000000002</v>
      </c>
      <c r="F139" s="55">
        <f t="shared" si="5"/>
        <v>1.8895809141770137E-3</v>
      </c>
      <c r="G139" s="81"/>
      <c r="H139" s="55"/>
      <c r="J139" s="95"/>
      <c r="K139" s="88"/>
      <c r="L139" s="87"/>
      <c r="M139" s="92"/>
    </row>
    <row r="140" spans="1:13" ht="15.75">
      <c r="A140" s="106">
        <v>39640</v>
      </c>
      <c r="B140" s="107">
        <v>114.17</v>
      </c>
      <c r="C140" s="52"/>
      <c r="D140" s="53">
        <v>43525</v>
      </c>
      <c r="E140" s="54">
        <f t="shared" si="4"/>
        <v>142.48142857142861</v>
      </c>
      <c r="F140" s="55">
        <f t="shared" si="5"/>
        <v>8.2836240629502456E-4</v>
      </c>
      <c r="G140" s="76"/>
      <c r="H140" s="77"/>
      <c r="J140" s="87"/>
      <c r="K140" s="88"/>
      <c r="L140" s="87"/>
      <c r="M140" s="92"/>
    </row>
    <row r="141" spans="1:13" ht="15.75">
      <c r="A141" s="106">
        <v>39643</v>
      </c>
      <c r="B141" s="107">
        <v>113.8</v>
      </c>
      <c r="C141" s="52"/>
      <c r="D141" s="53">
        <v>43556</v>
      </c>
      <c r="E141" s="54">
        <f t="shared" si="4"/>
        <v>142.80549999999999</v>
      </c>
      <c r="F141" s="55">
        <f t="shared" si="5"/>
        <v>2.2744818873634554E-3</v>
      </c>
      <c r="G141" s="76"/>
      <c r="H141" s="77"/>
      <c r="J141" s="87"/>
      <c r="K141" s="88"/>
      <c r="L141" s="87"/>
      <c r="M141" s="92"/>
    </row>
    <row r="142" spans="1:13" ht="15.75">
      <c r="A142" s="106">
        <v>39644</v>
      </c>
      <c r="B142" s="107">
        <v>114.58</v>
      </c>
      <c r="C142" s="52"/>
      <c r="D142" s="53">
        <v>43586</v>
      </c>
      <c r="E142" s="54">
        <f t="shared" si="4"/>
        <v>143.41999999999996</v>
      </c>
      <c r="F142" s="55">
        <f t="shared" si="5"/>
        <v>4.3030555545826576E-3</v>
      </c>
      <c r="G142" s="81"/>
      <c r="H142" s="55"/>
      <c r="J142" s="87"/>
      <c r="K142" s="88"/>
      <c r="L142" s="87"/>
      <c r="M142" s="92"/>
    </row>
    <row r="143" spans="1:13" ht="15.75">
      <c r="A143" s="106">
        <v>39645</v>
      </c>
      <c r="B143" s="107">
        <v>114.77</v>
      </c>
      <c r="C143" s="52"/>
      <c r="D143" s="53">
        <v>43617</v>
      </c>
      <c r="E143" s="54">
        <f t="shared" si="4"/>
        <v>144.47105263157897</v>
      </c>
      <c r="F143" s="55">
        <f t="shared" si="5"/>
        <v>7.3284941540858739E-3</v>
      </c>
      <c r="G143" s="76"/>
      <c r="H143" s="77"/>
      <c r="J143" s="95"/>
      <c r="K143" s="88"/>
      <c r="L143" s="87"/>
      <c r="M143" s="92"/>
    </row>
    <row r="144" spans="1:13" ht="15.75">
      <c r="A144" s="106">
        <v>39646</v>
      </c>
      <c r="B144" s="107">
        <v>114.34</v>
      </c>
      <c r="C144" s="52"/>
      <c r="D144" s="53">
        <v>43647</v>
      </c>
      <c r="E144" s="54">
        <f t="shared" si="4"/>
        <v>145.04782608695655</v>
      </c>
      <c r="F144" s="55">
        <f t="shared" si="5"/>
        <v>3.9923115729518788E-3</v>
      </c>
      <c r="G144" s="76"/>
      <c r="H144" s="77"/>
      <c r="J144" s="95"/>
      <c r="K144" s="88"/>
      <c r="L144" s="87"/>
      <c r="M144" s="92"/>
    </row>
    <row r="145" spans="1:13" ht="15.75">
      <c r="A145" s="106">
        <v>39647</v>
      </c>
      <c r="B145" s="107">
        <v>114.45</v>
      </c>
      <c r="C145" s="52"/>
      <c r="D145" s="53">
        <v>43678</v>
      </c>
      <c r="E145" s="54">
        <f t="shared" si="4"/>
        <v>146.69090909090912</v>
      </c>
      <c r="F145" s="55">
        <f t="shared" si="5"/>
        <v>1.1327870594679101E-2</v>
      </c>
      <c r="G145" s="81"/>
      <c r="H145" s="55"/>
      <c r="J145" s="87"/>
      <c r="K145" s="88"/>
      <c r="L145" s="87"/>
      <c r="M145" s="92"/>
    </row>
    <row r="146" spans="1:13" ht="15.75">
      <c r="A146" s="106">
        <v>39650</v>
      </c>
      <c r="B146" s="107">
        <v>113.38</v>
      </c>
      <c r="C146" s="52"/>
      <c r="D146" s="53">
        <v>43709</v>
      </c>
      <c r="E146" s="54">
        <f t="shared" si="4"/>
        <v>146.20904761904762</v>
      </c>
      <c r="F146" s="55">
        <f t="shared" si="5"/>
        <v>-3.2848761715892349E-3</v>
      </c>
      <c r="G146" s="76"/>
      <c r="H146" s="77"/>
      <c r="J146" s="87"/>
      <c r="K146" s="88"/>
      <c r="L146" s="87"/>
      <c r="M146" s="92"/>
    </row>
    <row r="147" spans="1:13" ht="15.75">
      <c r="A147" s="106">
        <v>39651</v>
      </c>
      <c r="B147" s="107">
        <v>113.39</v>
      </c>
      <c r="C147" s="52"/>
      <c r="D147" s="53">
        <v>43739</v>
      </c>
      <c r="E147" s="54">
        <f t="shared" si="4"/>
        <v>145.28545454545451</v>
      </c>
      <c r="F147" s="55">
        <f t="shared" si="5"/>
        <v>-6.3169351598511003E-3</v>
      </c>
      <c r="G147" s="76"/>
      <c r="H147" s="77"/>
      <c r="J147" s="87"/>
      <c r="K147" s="88"/>
      <c r="L147" s="87"/>
      <c r="M147" s="92"/>
    </row>
    <row r="148" spans="1:13" ht="15.75">
      <c r="A148" s="106">
        <v>39652</v>
      </c>
      <c r="B148" s="107">
        <v>113.25</v>
      </c>
      <c r="C148" s="52"/>
      <c r="D148" s="53">
        <v>43770</v>
      </c>
      <c r="E148" s="54">
        <f t="shared" si="4"/>
        <v>144.47047619047621</v>
      </c>
      <c r="F148" s="55">
        <f t="shared" si="5"/>
        <v>-5.6094972310068991E-3</v>
      </c>
      <c r="G148" s="81"/>
      <c r="H148" s="55"/>
      <c r="J148" s="95"/>
      <c r="K148" s="88"/>
      <c r="L148" s="87"/>
      <c r="M148" s="92"/>
    </row>
    <row r="149" spans="1:13" ht="15.75">
      <c r="A149" s="106">
        <v>39653</v>
      </c>
      <c r="B149" s="107">
        <v>113.74</v>
      </c>
      <c r="C149" s="52"/>
      <c r="D149" s="53">
        <v>43800</v>
      </c>
      <c r="E149" s="54">
        <f t="shared" si="4"/>
        <v>144.16722222222222</v>
      </c>
      <c r="F149" s="55">
        <f t="shared" si="5"/>
        <v>-2.0990722551101904E-3</v>
      </c>
      <c r="G149" s="76"/>
      <c r="H149" s="77"/>
      <c r="J149" s="87"/>
      <c r="K149" s="88"/>
      <c r="L149" s="87"/>
      <c r="M149" s="92"/>
    </row>
    <row r="150" spans="1:13" ht="15.75">
      <c r="A150" s="106">
        <v>39654</v>
      </c>
      <c r="B150" s="107">
        <v>114.55</v>
      </c>
      <c r="C150" s="52"/>
      <c r="D150" s="53">
        <v>43831</v>
      </c>
      <c r="E150" s="54">
        <f t="shared" si="4"/>
        <v>144.11818181818182</v>
      </c>
      <c r="F150" s="55">
        <f t="shared" si="5"/>
        <v>-3.4016334146191873E-4</v>
      </c>
      <c r="G150" s="76"/>
      <c r="H150" s="77"/>
      <c r="J150" s="87"/>
      <c r="K150" s="88"/>
      <c r="L150" s="87"/>
      <c r="M150" s="92"/>
    </row>
    <row r="151" spans="1:13" ht="15.75">
      <c r="A151" s="106">
        <v>39657</v>
      </c>
      <c r="B151" s="107">
        <v>114.1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06">
        <v>39658</v>
      </c>
      <c r="B152" s="107">
        <v>114.11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06">
        <v>39659</v>
      </c>
      <c r="B153" s="107">
        <v>114.69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06">
        <v>39660</v>
      </c>
      <c r="B154" s="107">
        <v>114.26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06">
        <v>39661</v>
      </c>
      <c r="B155" s="107">
        <v>114.85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06">
        <v>39664</v>
      </c>
      <c r="B156" s="107">
        <v>115.02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06">
        <v>39665</v>
      </c>
      <c r="B157" s="107">
        <v>115.22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06">
        <v>39666</v>
      </c>
      <c r="B158" s="107">
        <v>115.12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06">
        <v>39667</v>
      </c>
      <c r="B159" s="107">
        <v>114.87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06">
        <v>39668</v>
      </c>
      <c r="B160" s="107">
        <v>115.48</v>
      </c>
      <c r="C160" s="52"/>
      <c r="D160" s="95"/>
      <c r="E160" s="52"/>
      <c r="F160" s="52"/>
      <c r="G160" s="52"/>
      <c r="H160" s="52"/>
    </row>
    <row r="161" spans="1:8" ht="15.75">
      <c r="A161" s="106">
        <v>39671</v>
      </c>
      <c r="B161" s="107">
        <v>115.69</v>
      </c>
      <c r="C161" s="52"/>
      <c r="D161" s="95"/>
      <c r="E161" s="52"/>
      <c r="F161" s="52"/>
      <c r="G161" s="52"/>
      <c r="H161" s="52"/>
    </row>
    <row r="162" spans="1:8" ht="15.75">
      <c r="A162" s="106">
        <v>39672</v>
      </c>
      <c r="B162" s="107">
        <v>115.7</v>
      </c>
      <c r="C162" s="52"/>
      <c r="D162" s="95"/>
      <c r="E162" s="52"/>
      <c r="F162" s="52"/>
      <c r="G162" s="52"/>
      <c r="H162" s="52"/>
    </row>
    <row r="163" spans="1:8" ht="15.75">
      <c r="A163" s="106">
        <v>39673</v>
      </c>
      <c r="B163" s="107">
        <v>115.81</v>
      </c>
      <c r="C163" s="52"/>
      <c r="D163" s="95"/>
      <c r="E163" s="52"/>
      <c r="F163" s="52"/>
      <c r="G163" s="52"/>
      <c r="H163" s="52"/>
    </row>
    <row r="164" spans="1:8" ht="15.75">
      <c r="A164" s="106">
        <v>39674</v>
      </c>
      <c r="B164" s="107">
        <v>116.01</v>
      </c>
      <c r="C164" s="52"/>
      <c r="D164" s="52"/>
      <c r="E164" s="52"/>
      <c r="F164" s="52"/>
      <c r="G164" s="52"/>
      <c r="H164" s="52"/>
    </row>
    <row r="165" spans="1:8" ht="15.75">
      <c r="A165" s="106">
        <v>39675</v>
      </c>
      <c r="B165" s="107">
        <v>116.04</v>
      </c>
      <c r="C165" s="52"/>
      <c r="D165" s="52"/>
      <c r="E165" s="52"/>
      <c r="F165" s="52"/>
      <c r="G165" s="52"/>
      <c r="H165" s="52"/>
    </row>
    <row r="166" spans="1:8" ht="15.75">
      <c r="A166" s="106">
        <v>39678</v>
      </c>
      <c r="B166" s="107">
        <v>116.43</v>
      </c>
      <c r="C166" s="52"/>
      <c r="D166" s="52"/>
      <c r="E166" s="52"/>
      <c r="F166" s="52"/>
      <c r="G166" s="52"/>
      <c r="H166" s="52"/>
    </row>
    <row r="167" spans="1:8" ht="15.75">
      <c r="A167" s="106">
        <v>39679</v>
      </c>
      <c r="B167" s="107">
        <v>116.65</v>
      </c>
      <c r="C167" s="52"/>
      <c r="D167" s="52"/>
      <c r="E167" s="52"/>
      <c r="F167" s="52"/>
      <c r="G167" s="52"/>
      <c r="H167" s="52"/>
    </row>
    <row r="168" spans="1:8" ht="15.75">
      <c r="A168" s="106">
        <v>39680</v>
      </c>
      <c r="B168" s="107">
        <v>116.35</v>
      </c>
      <c r="C168" s="52"/>
      <c r="D168" s="52"/>
      <c r="E168" s="52"/>
      <c r="F168" s="52"/>
      <c r="G168" s="52"/>
      <c r="H168" s="52"/>
    </row>
    <row r="169" spans="1:8" ht="15.75">
      <c r="A169" s="106">
        <v>39681</v>
      </c>
      <c r="B169" s="107">
        <v>116.28</v>
      </c>
      <c r="C169" s="52"/>
      <c r="D169" s="52"/>
      <c r="E169" s="52"/>
      <c r="F169" s="52"/>
      <c r="G169" s="52"/>
      <c r="H169" s="52"/>
    </row>
    <row r="170" spans="1:8" ht="15.75">
      <c r="A170" s="106">
        <v>39682</v>
      </c>
      <c r="B170" s="107">
        <v>116.24</v>
      </c>
      <c r="C170" s="52"/>
      <c r="D170" s="52"/>
      <c r="E170" s="52"/>
      <c r="F170" s="52"/>
      <c r="G170" s="52"/>
      <c r="H170" s="52"/>
    </row>
    <row r="171" spans="1:8" ht="15.75">
      <c r="A171" s="106">
        <v>39685</v>
      </c>
      <c r="B171" s="107">
        <v>116.54</v>
      </c>
      <c r="C171" s="52"/>
      <c r="D171" s="52"/>
      <c r="E171" s="52"/>
      <c r="F171" s="52"/>
      <c r="G171" s="52"/>
      <c r="H171" s="52"/>
    </row>
    <row r="172" spans="1:8" ht="15.75">
      <c r="A172" s="106">
        <v>39686</v>
      </c>
      <c r="B172" s="107">
        <v>117.03</v>
      </c>
      <c r="C172" s="52"/>
      <c r="D172" s="52"/>
      <c r="E172" s="52"/>
      <c r="F172" s="52"/>
      <c r="G172" s="52"/>
      <c r="H172" s="52"/>
    </row>
    <row r="173" spans="1:8" ht="15.75">
      <c r="A173" s="106">
        <v>39687</v>
      </c>
      <c r="B173" s="107">
        <v>116.91</v>
      </c>
      <c r="C173" s="52"/>
      <c r="D173" s="52"/>
      <c r="E173" s="52"/>
      <c r="F173" s="52"/>
      <c r="G173" s="52"/>
      <c r="H173" s="52"/>
    </row>
    <row r="174" spans="1:8" ht="15.75">
      <c r="A174" s="106">
        <v>39688</v>
      </c>
      <c r="B174" s="107">
        <v>116.62</v>
      </c>
      <c r="C174" s="52"/>
      <c r="D174" s="52"/>
      <c r="E174" s="52"/>
      <c r="F174" s="52"/>
      <c r="G174" s="52"/>
      <c r="H174" s="52"/>
    </row>
    <row r="175" spans="1:8" ht="15.75">
      <c r="A175" s="106">
        <v>39689</v>
      </c>
      <c r="B175" s="107">
        <v>116.35</v>
      </c>
      <c r="C175" s="52"/>
      <c r="D175" s="52"/>
      <c r="E175" s="52"/>
      <c r="F175" s="52"/>
      <c r="G175" s="52"/>
      <c r="H175" s="52"/>
    </row>
    <row r="176" spans="1:8" ht="15.75">
      <c r="A176" s="106">
        <v>39692</v>
      </c>
      <c r="B176" s="107">
        <v>116.61</v>
      </c>
      <c r="C176" s="52"/>
      <c r="D176" s="52"/>
      <c r="E176" s="52"/>
      <c r="F176" s="52"/>
      <c r="G176" s="52"/>
      <c r="H176" s="52"/>
    </row>
    <row r="177" spans="1:8" ht="15.75">
      <c r="A177" s="106">
        <v>39693</v>
      </c>
      <c r="B177" s="107">
        <v>116.25</v>
      </c>
      <c r="C177" s="52"/>
      <c r="D177" s="52"/>
      <c r="E177" s="52"/>
      <c r="F177" s="52"/>
      <c r="G177" s="52"/>
      <c r="H177" s="52"/>
    </row>
    <row r="178" spans="1:8" ht="15.75">
      <c r="A178" s="106">
        <v>39694</v>
      </c>
      <c r="B178" s="107">
        <v>116.66</v>
      </c>
      <c r="C178" s="52"/>
      <c r="D178" s="52"/>
      <c r="E178" s="52"/>
      <c r="F178" s="52"/>
      <c r="G178" s="52"/>
      <c r="H178" s="52"/>
    </row>
    <row r="179" spans="1:8" ht="15.75">
      <c r="A179" s="106">
        <v>39695</v>
      </c>
      <c r="B179" s="107">
        <v>116.46</v>
      </c>
      <c r="C179" s="52"/>
      <c r="D179" s="52"/>
      <c r="E179" s="52"/>
      <c r="F179" s="52"/>
      <c r="G179" s="52"/>
      <c r="H179" s="52"/>
    </row>
    <row r="180" spans="1:8" ht="15.75">
      <c r="A180" s="106">
        <v>39696</v>
      </c>
      <c r="B180" s="107">
        <v>117.74</v>
      </c>
      <c r="C180" s="52"/>
      <c r="D180" s="52"/>
      <c r="E180" s="52"/>
      <c r="F180" s="52"/>
      <c r="G180" s="52"/>
      <c r="H180" s="52"/>
    </row>
    <row r="181" spans="1:8" ht="15.75">
      <c r="A181" s="106">
        <v>39699</v>
      </c>
      <c r="B181" s="107">
        <v>116.61</v>
      </c>
      <c r="C181" s="52"/>
      <c r="D181" s="52"/>
      <c r="E181" s="52"/>
      <c r="F181" s="52"/>
      <c r="G181" s="52"/>
      <c r="H181" s="52"/>
    </row>
    <row r="182" spans="1:8" ht="15.75">
      <c r="A182" s="106">
        <v>39700</v>
      </c>
      <c r="B182" s="107">
        <v>116.95</v>
      </c>
      <c r="C182" s="52"/>
      <c r="D182" s="52"/>
      <c r="E182" s="52"/>
      <c r="F182" s="52"/>
      <c r="G182" s="52"/>
      <c r="H182" s="52"/>
    </row>
    <row r="183" spans="1:8" ht="15.75">
      <c r="A183" s="106">
        <v>39701</v>
      </c>
      <c r="B183" s="107">
        <v>117.07</v>
      </c>
      <c r="C183" s="52"/>
      <c r="D183" s="52"/>
      <c r="E183" s="52"/>
      <c r="F183" s="52"/>
      <c r="G183" s="52"/>
      <c r="H183" s="52"/>
    </row>
    <row r="184" spans="1:8" ht="15.75">
      <c r="A184" s="106">
        <v>39702</v>
      </c>
      <c r="B184" s="107">
        <v>117.21</v>
      </c>
      <c r="C184" s="52"/>
      <c r="D184" s="52"/>
      <c r="E184" s="52"/>
      <c r="F184" s="52"/>
      <c r="G184" s="52"/>
      <c r="H184" s="52"/>
    </row>
    <row r="185" spans="1:8" ht="15.75">
      <c r="A185" s="106">
        <v>39703</v>
      </c>
      <c r="B185" s="107">
        <v>116.74</v>
      </c>
      <c r="C185" s="52"/>
      <c r="D185" s="52"/>
      <c r="E185" s="52"/>
      <c r="F185" s="52"/>
      <c r="G185" s="52"/>
      <c r="H185" s="52"/>
    </row>
    <row r="186" spans="1:8" ht="15.75">
      <c r="A186" s="106">
        <v>39706</v>
      </c>
      <c r="B186" s="107">
        <v>117.26</v>
      </c>
      <c r="C186" s="52"/>
      <c r="D186" s="52"/>
      <c r="E186" s="52"/>
      <c r="F186" s="52"/>
      <c r="G186" s="52"/>
      <c r="H186" s="52"/>
    </row>
    <row r="187" spans="1:8" ht="15.75">
      <c r="A187" s="106">
        <v>39707</v>
      </c>
      <c r="B187" s="107">
        <v>117.42</v>
      </c>
      <c r="C187" s="52"/>
      <c r="D187" s="52"/>
      <c r="E187" s="52"/>
      <c r="F187" s="52"/>
      <c r="G187" s="52"/>
      <c r="H187" s="52"/>
    </row>
    <row r="188" spans="1:8" ht="15.75">
      <c r="A188" s="106">
        <v>39708</v>
      </c>
      <c r="B188" s="107">
        <v>117.04</v>
      </c>
      <c r="C188" s="52"/>
      <c r="D188" s="52"/>
      <c r="E188" s="52"/>
      <c r="F188" s="52"/>
      <c r="G188" s="52"/>
      <c r="H188" s="52"/>
    </row>
    <row r="189" spans="1:8" ht="15.75">
      <c r="A189" s="106">
        <v>39709</v>
      </c>
      <c r="B189" s="107">
        <v>117.46</v>
      </c>
      <c r="C189" s="52"/>
      <c r="D189" s="52"/>
      <c r="E189" s="52"/>
      <c r="F189" s="52"/>
      <c r="G189" s="52"/>
      <c r="H189" s="52"/>
    </row>
    <row r="190" spans="1:8" ht="15.75">
      <c r="A190" s="106">
        <v>39710</v>
      </c>
      <c r="B190" s="107">
        <v>116.53</v>
      </c>
      <c r="C190" s="52"/>
      <c r="D190" s="52"/>
      <c r="E190" s="52"/>
      <c r="F190" s="52"/>
      <c r="G190" s="52"/>
      <c r="H190" s="52"/>
    </row>
    <row r="191" spans="1:8" ht="15.75">
      <c r="A191" s="106">
        <v>39713</v>
      </c>
      <c r="B191" s="107">
        <v>115.58</v>
      </c>
      <c r="C191" s="52"/>
      <c r="D191" s="52"/>
      <c r="E191" s="52"/>
      <c r="F191" s="52"/>
      <c r="G191" s="52"/>
      <c r="H191" s="52"/>
    </row>
    <row r="192" spans="1:8" ht="15.75">
      <c r="A192" s="106">
        <v>39714</v>
      </c>
      <c r="B192" s="107">
        <v>116.5</v>
      </c>
      <c r="C192" s="52"/>
      <c r="D192" s="52"/>
      <c r="E192" s="52"/>
      <c r="F192" s="52"/>
      <c r="G192" s="52"/>
      <c r="H192" s="52"/>
    </row>
    <row r="193" spans="1:8" ht="15.75">
      <c r="A193" s="106">
        <v>39715</v>
      </c>
      <c r="B193" s="107">
        <v>116.72</v>
      </c>
      <c r="C193" s="52"/>
      <c r="D193" s="52"/>
      <c r="E193" s="52"/>
      <c r="F193" s="52"/>
      <c r="G193" s="52"/>
      <c r="H193" s="52"/>
    </row>
    <row r="194" spans="1:8" ht="15.75">
      <c r="A194" s="106">
        <v>39716</v>
      </c>
      <c r="B194" s="107">
        <v>116.49</v>
      </c>
      <c r="C194" s="52"/>
      <c r="D194" s="52"/>
      <c r="E194" s="52"/>
      <c r="F194" s="52"/>
      <c r="G194" s="52"/>
      <c r="H194" s="52"/>
    </row>
    <row r="195" spans="1:8" ht="15.75">
      <c r="A195" s="106">
        <v>39717</v>
      </c>
      <c r="B195" s="107">
        <v>116.58</v>
      </c>
      <c r="C195" s="52"/>
      <c r="D195" s="52"/>
      <c r="E195" s="52"/>
      <c r="F195" s="52"/>
      <c r="G195" s="52"/>
      <c r="H195" s="52"/>
    </row>
    <row r="196" spans="1:8" ht="15.75">
      <c r="A196" s="106">
        <v>39720</v>
      </c>
      <c r="B196" s="107">
        <v>117.97</v>
      </c>
      <c r="C196" s="52"/>
      <c r="D196" s="52"/>
      <c r="E196" s="52"/>
      <c r="F196" s="52"/>
      <c r="G196" s="52"/>
      <c r="H196" s="52"/>
    </row>
    <row r="197" spans="1:8" ht="15.75">
      <c r="A197" s="106">
        <v>39721</v>
      </c>
      <c r="B197" s="107">
        <v>116.87</v>
      </c>
      <c r="C197" s="52"/>
      <c r="D197" s="52"/>
      <c r="E197" s="52"/>
      <c r="F197" s="52"/>
      <c r="G197" s="52"/>
      <c r="H197" s="52"/>
    </row>
    <row r="198" spans="1:8" ht="15.75">
      <c r="A198" s="106">
        <v>39722</v>
      </c>
      <c r="B198" s="107">
        <v>117.63</v>
      </c>
      <c r="C198" s="52"/>
      <c r="D198" s="52"/>
      <c r="E198" s="52"/>
      <c r="F198" s="52"/>
      <c r="G198" s="52"/>
      <c r="H198" s="52"/>
    </row>
    <row r="199" spans="1:8" ht="15.75">
      <c r="A199" s="106">
        <v>39723</v>
      </c>
      <c r="B199" s="107">
        <v>117.23</v>
      </c>
      <c r="C199" s="52"/>
      <c r="D199" s="52"/>
      <c r="E199" s="52"/>
      <c r="F199" s="52"/>
      <c r="G199" s="52"/>
      <c r="H199" s="52"/>
    </row>
    <row r="200" spans="1:8" ht="15.75">
      <c r="A200" s="106">
        <v>39724</v>
      </c>
      <c r="B200" s="107">
        <v>119.51</v>
      </c>
      <c r="C200" s="52"/>
      <c r="D200" s="52"/>
      <c r="E200" s="52"/>
      <c r="F200" s="52"/>
      <c r="G200" s="52"/>
      <c r="H200" s="52"/>
    </row>
    <row r="201" spans="1:8" ht="15.75">
      <c r="A201" s="106">
        <v>39727</v>
      </c>
      <c r="B201" s="107">
        <v>120.25</v>
      </c>
      <c r="C201" s="52"/>
      <c r="D201" s="52"/>
      <c r="E201" s="52"/>
      <c r="F201" s="52"/>
      <c r="G201" s="52"/>
      <c r="H201" s="52"/>
    </row>
    <row r="202" spans="1:8" ht="15.75">
      <c r="A202" s="106">
        <v>39728</v>
      </c>
      <c r="B202" s="107">
        <v>118.99</v>
      </c>
      <c r="C202" s="52"/>
      <c r="D202" s="52"/>
      <c r="E202" s="52"/>
      <c r="F202" s="52"/>
      <c r="G202" s="52"/>
      <c r="H202" s="52"/>
    </row>
    <row r="203" spans="1:8" ht="15.75">
      <c r="A203" s="106">
        <v>39729</v>
      </c>
      <c r="B203" s="107">
        <v>120.19</v>
      </c>
      <c r="C203" s="52"/>
      <c r="D203" s="52"/>
      <c r="E203" s="52"/>
      <c r="F203" s="52"/>
      <c r="G203" s="52"/>
      <c r="H203" s="52"/>
    </row>
    <row r="204" spans="1:8" ht="15.75">
      <c r="A204" s="106">
        <v>39730</v>
      </c>
      <c r="B204" s="107">
        <v>119.91</v>
      </c>
      <c r="C204" s="52"/>
      <c r="D204" s="52"/>
      <c r="E204" s="52"/>
      <c r="F204" s="52"/>
      <c r="G204" s="52"/>
      <c r="H204" s="52"/>
    </row>
    <row r="205" spans="1:8" ht="15.75">
      <c r="A205" s="106">
        <v>39731</v>
      </c>
      <c r="B205" s="107">
        <v>120.62</v>
      </c>
      <c r="C205" s="52"/>
      <c r="D205" s="52"/>
      <c r="E205" s="52"/>
      <c r="F205" s="52"/>
      <c r="G205" s="52"/>
      <c r="H205" s="52"/>
    </row>
    <row r="206" spans="1:8" ht="15.75">
      <c r="A206" s="106">
        <v>39734</v>
      </c>
      <c r="B206" s="107">
        <v>118.34</v>
      </c>
      <c r="C206" s="52"/>
      <c r="D206" s="52"/>
      <c r="E206" s="52"/>
      <c r="F206" s="52"/>
      <c r="G206" s="52"/>
      <c r="H206" s="52"/>
    </row>
    <row r="207" spans="1:8" ht="15.75">
      <c r="A207" s="106">
        <v>39735</v>
      </c>
      <c r="B207" s="107">
        <v>117.01</v>
      </c>
      <c r="C207" s="52"/>
      <c r="D207" s="52"/>
      <c r="E207" s="52"/>
      <c r="F207" s="52"/>
      <c r="G207" s="52"/>
      <c r="H207" s="52"/>
    </row>
    <row r="208" spans="1:8" ht="15.75">
      <c r="A208" s="106">
        <v>39736</v>
      </c>
      <c r="B208" s="107">
        <v>117.18</v>
      </c>
      <c r="C208" s="52"/>
      <c r="D208" s="52"/>
      <c r="E208" s="52"/>
      <c r="F208" s="52"/>
      <c r="G208" s="52"/>
      <c r="H208" s="52"/>
    </row>
    <row r="209" spans="1:8" ht="15.75">
      <c r="A209" s="106">
        <v>39737</v>
      </c>
      <c r="B209" s="107">
        <v>117.23</v>
      </c>
      <c r="C209" s="52"/>
      <c r="D209" s="52"/>
      <c r="E209" s="52"/>
      <c r="F209" s="52"/>
      <c r="G209" s="52"/>
      <c r="H209" s="52"/>
    </row>
    <row r="210" spans="1:8" ht="15.75">
      <c r="A210" s="106">
        <v>39738</v>
      </c>
      <c r="B210" s="107">
        <v>117.68</v>
      </c>
      <c r="C210" s="52"/>
      <c r="D210" s="52"/>
      <c r="E210" s="52"/>
      <c r="F210" s="52"/>
      <c r="G210" s="52"/>
      <c r="H210" s="52"/>
    </row>
    <row r="211" spans="1:8" ht="15.75">
      <c r="A211" s="106">
        <v>39741</v>
      </c>
      <c r="B211" s="107">
        <v>117.58</v>
      </c>
      <c r="C211" s="52"/>
      <c r="D211" s="52"/>
      <c r="E211" s="52"/>
      <c r="F211" s="52"/>
      <c r="G211" s="52"/>
      <c r="H211" s="52"/>
    </row>
    <row r="212" spans="1:8" ht="15.75">
      <c r="A212" s="106">
        <v>39742</v>
      </c>
      <c r="B212" s="107">
        <v>118.18</v>
      </c>
      <c r="C212" s="52"/>
      <c r="D212" s="52"/>
      <c r="E212" s="52"/>
      <c r="F212" s="52"/>
      <c r="G212" s="52"/>
      <c r="H212" s="52"/>
    </row>
    <row r="213" spans="1:8" ht="15.75">
      <c r="A213" s="106">
        <v>39743</v>
      </c>
      <c r="B213" s="107">
        <v>118.45</v>
      </c>
      <c r="C213" s="52"/>
      <c r="D213" s="52"/>
      <c r="E213" s="52"/>
      <c r="F213" s="52"/>
      <c r="G213" s="52"/>
      <c r="H213" s="52"/>
    </row>
    <row r="214" spans="1:8" ht="15.75">
      <c r="A214" s="106">
        <v>39744</v>
      </c>
      <c r="B214" s="107">
        <v>118.74</v>
      </c>
      <c r="C214" s="52"/>
      <c r="D214" s="52"/>
      <c r="E214" s="52"/>
      <c r="F214" s="52"/>
      <c r="G214" s="52"/>
      <c r="H214" s="52"/>
    </row>
    <row r="215" spans="1:8" ht="15.75">
      <c r="A215" s="106">
        <v>39745</v>
      </c>
      <c r="B215" s="107">
        <v>119.56</v>
      </c>
      <c r="C215" s="52"/>
      <c r="D215" s="52"/>
      <c r="E215" s="52"/>
      <c r="F215" s="52"/>
      <c r="G215" s="52"/>
      <c r="H215" s="52"/>
    </row>
    <row r="216" spans="1:8" ht="15.75">
      <c r="A216" s="106">
        <v>39748</v>
      </c>
      <c r="B216" s="107">
        <v>119.11</v>
      </c>
      <c r="C216" s="52"/>
      <c r="D216" s="52"/>
      <c r="E216" s="52"/>
      <c r="F216" s="52"/>
      <c r="G216" s="52"/>
      <c r="H216" s="52"/>
    </row>
    <row r="217" spans="1:8" ht="15.75">
      <c r="A217" s="106">
        <v>39749</v>
      </c>
      <c r="B217" s="107">
        <v>118.51</v>
      </c>
      <c r="C217" s="52"/>
      <c r="D217" s="52"/>
      <c r="E217" s="52"/>
      <c r="F217" s="52"/>
      <c r="G217" s="52"/>
      <c r="H217" s="52"/>
    </row>
    <row r="218" spans="1:8" ht="15.75">
      <c r="A218" s="106">
        <v>39750</v>
      </c>
      <c r="B218" s="107">
        <v>119.32</v>
      </c>
      <c r="C218" s="52"/>
      <c r="D218" s="52"/>
      <c r="E218" s="52"/>
      <c r="F218" s="52"/>
      <c r="G218" s="52"/>
      <c r="H218" s="52"/>
    </row>
    <row r="219" spans="1:8" ht="15.75">
      <c r="A219" s="106">
        <v>39751</v>
      </c>
      <c r="B219" s="107">
        <v>118.37</v>
      </c>
      <c r="C219" s="52"/>
      <c r="D219" s="52"/>
      <c r="E219" s="52"/>
      <c r="F219" s="52"/>
      <c r="G219" s="52"/>
      <c r="H219" s="52"/>
    </row>
    <row r="220" spans="1:8" ht="15.75">
      <c r="A220" s="106">
        <v>39752</v>
      </c>
      <c r="B220" s="107">
        <v>118.57</v>
      </c>
      <c r="C220" s="52"/>
      <c r="D220" s="52"/>
      <c r="E220" s="52"/>
      <c r="F220" s="52"/>
      <c r="G220" s="52"/>
      <c r="H220" s="52"/>
    </row>
    <row r="221" spans="1:8" ht="15.75">
      <c r="A221" s="106">
        <v>39755</v>
      </c>
      <c r="B221" s="107">
        <v>118.43</v>
      </c>
      <c r="C221" s="52"/>
      <c r="D221" s="52"/>
      <c r="E221" s="52"/>
      <c r="F221" s="52"/>
      <c r="G221" s="52"/>
      <c r="H221" s="52"/>
    </row>
    <row r="222" spans="1:8" ht="15.75">
      <c r="A222" s="106">
        <v>39756</v>
      </c>
      <c r="B222" s="107">
        <v>118.56</v>
      </c>
      <c r="C222" s="52"/>
      <c r="D222" s="52"/>
      <c r="E222" s="52"/>
      <c r="F222" s="52"/>
      <c r="G222" s="52"/>
      <c r="H222" s="52"/>
    </row>
    <row r="223" spans="1:8" ht="15.75">
      <c r="A223" s="106">
        <v>39757</v>
      </c>
      <c r="B223" s="107">
        <v>118.66</v>
      </c>
      <c r="C223" s="52"/>
      <c r="D223" s="52"/>
      <c r="E223" s="52"/>
      <c r="F223" s="52"/>
      <c r="G223" s="52"/>
      <c r="H223" s="52"/>
    </row>
    <row r="224" spans="1:8" ht="15.75">
      <c r="A224" s="106">
        <v>39758</v>
      </c>
      <c r="B224" s="107">
        <v>119.02</v>
      </c>
      <c r="C224" s="52"/>
      <c r="D224" s="52"/>
      <c r="E224" s="52"/>
      <c r="F224" s="52"/>
      <c r="G224" s="52"/>
      <c r="H224" s="52"/>
    </row>
    <row r="225" spans="1:8" ht="15.75">
      <c r="A225" s="106">
        <v>39759</v>
      </c>
      <c r="B225" s="107">
        <v>119.26</v>
      </c>
      <c r="C225" s="52"/>
      <c r="D225" s="52"/>
      <c r="E225" s="52"/>
      <c r="F225" s="52"/>
      <c r="G225" s="52"/>
      <c r="H225" s="52"/>
    </row>
    <row r="226" spans="1:8" ht="15.75">
      <c r="A226" s="106">
        <v>39762</v>
      </c>
      <c r="B226" s="107">
        <v>119.1</v>
      </c>
      <c r="C226" s="52"/>
      <c r="D226" s="52"/>
      <c r="E226" s="52"/>
      <c r="F226" s="52"/>
      <c r="G226" s="52"/>
      <c r="H226" s="52"/>
    </row>
    <row r="227" spans="1:8" ht="15.75">
      <c r="A227" s="106">
        <v>39763</v>
      </c>
      <c r="B227" s="107">
        <v>119.81</v>
      </c>
      <c r="C227" s="52"/>
      <c r="D227" s="52"/>
      <c r="E227" s="52"/>
      <c r="F227" s="52"/>
      <c r="G227" s="52"/>
      <c r="H227" s="52"/>
    </row>
    <row r="228" spans="1:8" ht="15.75">
      <c r="A228" s="106">
        <v>39764</v>
      </c>
      <c r="B228" s="107">
        <v>119.6</v>
      </c>
      <c r="C228" s="52"/>
      <c r="D228" s="52"/>
      <c r="E228" s="52"/>
      <c r="F228" s="52"/>
      <c r="G228" s="52"/>
      <c r="H228" s="52"/>
    </row>
    <row r="229" spans="1:8" ht="15.75">
      <c r="A229" s="106">
        <v>39765</v>
      </c>
      <c r="B229" s="107">
        <v>120.17</v>
      </c>
      <c r="C229" s="52"/>
      <c r="D229" s="52"/>
      <c r="E229" s="52"/>
      <c r="F229" s="52"/>
      <c r="G229" s="52"/>
      <c r="H229" s="52"/>
    </row>
    <row r="230" spans="1:8" ht="15.75">
      <c r="A230" s="106">
        <v>39766</v>
      </c>
      <c r="B230" s="107">
        <v>120.3</v>
      </c>
      <c r="C230" s="52"/>
      <c r="D230" s="52"/>
      <c r="E230" s="52"/>
      <c r="F230" s="52"/>
      <c r="G230" s="52"/>
      <c r="H230" s="52"/>
    </row>
    <row r="231" spans="1:8" ht="15.75">
      <c r="A231" s="106">
        <v>39769</v>
      </c>
      <c r="B231" s="107">
        <v>120.39</v>
      </c>
      <c r="C231" s="52"/>
      <c r="D231" s="52"/>
      <c r="E231" s="52"/>
      <c r="F231" s="52"/>
      <c r="G231" s="52"/>
      <c r="H231" s="52"/>
    </row>
    <row r="232" spans="1:8" ht="15.75">
      <c r="A232" s="106">
        <v>39770</v>
      </c>
      <c r="B232" s="107">
        <v>120.5</v>
      </c>
      <c r="C232" s="52"/>
      <c r="D232" s="52"/>
      <c r="E232" s="52"/>
      <c r="F232" s="52"/>
      <c r="G232" s="52"/>
      <c r="H232" s="52"/>
    </row>
    <row r="233" spans="1:8" ht="15.75">
      <c r="A233" s="106">
        <v>39771</v>
      </c>
      <c r="B233" s="107">
        <v>120.52</v>
      </c>
      <c r="C233" s="52"/>
      <c r="D233" s="52"/>
      <c r="E233" s="52"/>
      <c r="F233" s="52"/>
      <c r="G233" s="52"/>
      <c r="H233" s="52"/>
    </row>
    <row r="234" spans="1:8" ht="15.75">
      <c r="A234" s="106">
        <v>39772</v>
      </c>
      <c r="B234" s="107">
        <v>120.52</v>
      </c>
      <c r="C234" s="52"/>
      <c r="D234" s="52"/>
      <c r="E234" s="52"/>
      <c r="F234" s="52"/>
      <c r="G234" s="52"/>
      <c r="H234" s="52"/>
    </row>
    <row r="235" spans="1:8" ht="15.75">
      <c r="A235" s="106">
        <v>39773</v>
      </c>
      <c r="B235" s="107">
        <v>120.14</v>
      </c>
      <c r="C235" s="52"/>
      <c r="D235" s="52"/>
      <c r="E235" s="52"/>
      <c r="F235" s="52"/>
      <c r="G235" s="52"/>
      <c r="H235" s="52"/>
    </row>
    <row r="236" spans="1:8" ht="15.75">
      <c r="A236" s="106">
        <v>39776</v>
      </c>
      <c r="B236" s="107">
        <v>120.71</v>
      </c>
      <c r="C236" s="52"/>
      <c r="D236" s="52"/>
      <c r="E236" s="52"/>
      <c r="F236" s="52"/>
      <c r="G236" s="52"/>
      <c r="H236" s="52"/>
    </row>
    <row r="237" spans="1:8" ht="15.75">
      <c r="A237" s="106">
        <v>39777</v>
      </c>
      <c r="B237" s="107">
        <v>120.67</v>
      </c>
      <c r="C237" s="52"/>
      <c r="D237" s="52"/>
      <c r="E237" s="52"/>
      <c r="F237" s="52"/>
      <c r="G237" s="52"/>
      <c r="H237" s="52"/>
    </row>
    <row r="238" spans="1:8" ht="15.75">
      <c r="A238" s="106">
        <v>39778</v>
      </c>
      <c r="B238" s="107">
        <v>120.65</v>
      </c>
      <c r="C238" s="52"/>
      <c r="D238" s="52"/>
      <c r="E238" s="52"/>
      <c r="F238" s="52"/>
      <c r="G238" s="52"/>
      <c r="H238" s="52"/>
    </row>
    <row r="239" spans="1:8" ht="15.75">
      <c r="A239" s="106">
        <v>39779</v>
      </c>
      <c r="B239" s="107">
        <v>120.94</v>
      </c>
      <c r="C239" s="52"/>
      <c r="D239" s="52"/>
      <c r="E239" s="52"/>
      <c r="F239" s="52"/>
      <c r="G239" s="52"/>
      <c r="H239" s="52"/>
    </row>
    <row r="240" spans="1:8" ht="15.75">
      <c r="A240" s="106">
        <v>39780</v>
      </c>
      <c r="B240" s="107">
        <v>120.91</v>
      </c>
      <c r="C240" s="52"/>
      <c r="D240" s="52"/>
      <c r="E240" s="52"/>
      <c r="F240" s="52"/>
      <c r="G240" s="52"/>
      <c r="H240" s="52"/>
    </row>
    <row r="241" spans="1:8" ht="15.75">
      <c r="A241" s="106">
        <v>39783</v>
      </c>
      <c r="B241" s="107">
        <v>121.55</v>
      </c>
      <c r="C241" s="52"/>
      <c r="D241" s="52"/>
      <c r="E241" s="52"/>
      <c r="F241" s="52"/>
      <c r="G241" s="52"/>
      <c r="H241" s="52"/>
    </row>
    <row r="242" spans="1:8" ht="15.75">
      <c r="A242" s="106">
        <v>39784</v>
      </c>
      <c r="B242" s="107">
        <v>121.71</v>
      </c>
      <c r="C242" s="52"/>
      <c r="D242" s="52"/>
      <c r="E242" s="52"/>
      <c r="F242" s="52"/>
      <c r="G242" s="52"/>
      <c r="H242" s="52"/>
    </row>
    <row r="243" spans="1:8" ht="15.75">
      <c r="A243" s="106">
        <v>39785</v>
      </c>
      <c r="B243" s="107">
        <v>122.11</v>
      </c>
      <c r="C243" s="52"/>
      <c r="D243" s="52"/>
      <c r="E243" s="52"/>
      <c r="F243" s="52"/>
      <c r="G243" s="52"/>
      <c r="H243" s="52"/>
    </row>
    <row r="244" spans="1:8" ht="15.75">
      <c r="A244" s="106">
        <v>39786</v>
      </c>
      <c r="B244" s="107">
        <v>122.54</v>
      </c>
      <c r="C244" s="52"/>
      <c r="D244" s="52"/>
      <c r="E244" s="52"/>
      <c r="F244" s="52"/>
      <c r="G244" s="52"/>
      <c r="H244" s="52"/>
    </row>
    <row r="245" spans="1:8" ht="15.75">
      <c r="A245" s="106">
        <v>39787</v>
      </c>
      <c r="B245" s="107">
        <v>121.87</v>
      </c>
      <c r="C245" s="52"/>
      <c r="D245" s="52"/>
      <c r="E245" s="52"/>
      <c r="F245" s="52"/>
      <c r="G245" s="52"/>
      <c r="H245" s="52"/>
    </row>
    <row r="246" spans="1:8" ht="15.75">
      <c r="A246" s="106">
        <v>39790</v>
      </c>
      <c r="B246" s="107">
        <v>120.89</v>
      </c>
      <c r="C246" s="52"/>
      <c r="D246" s="52"/>
      <c r="E246" s="52"/>
      <c r="F246" s="52"/>
      <c r="G246" s="52"/>
      <c r="H246" s="52"/>
    </row>
    <row r="247" spans="1:8" ht="15.75">
      <c r="A247" s="106">
        <v>39791</v>
      </c>
      <c r="B247" s="107">
        <v>119.67</v>
      </c>
      <c r="C247" s="52"/>
      <c r="D247" s="52"/>
      <c r="E247" s="52"/>
      <c r="F247" s="52"/>
      <c r="G247" s="52"/>
      <c r="H247" s="52"/>
    </row>
    <row r="248" spans="1:8" ht="15.75">
      <c r="A248" s="106">
        <v>39792</v>
      </c>
      <c r="B248" s="107">
        <v>119.62</v>
      </c>
      <c r="C248" s="52"/>
      <c r="D248" s="52"/>
      <c r="E248" s="52"/>
      <c r="F248" s="52"/>
      <c r="G248" s="52"/>
      <c r="H248" s="52"/>
    </row>
    <row r="249" spans="1:8" ht="15.75">
      <c r="A249" s="106">
        <v>39793</v>
      </c>
      <c r="B249" s="107">
        <v>120.17</v>
      </c>
      <c r="C249" s="52"/>
      <c r="D249" s="52"/>
      <c r="E249" s="52"/>
      <c r="F249" s="52"/>
      <c r="G249" s="52"/>
      <c r="H249" s="52"/>
    </row>
    <row r="250" spans="1:8" ht="15.75">
      <c r="A250" s="106">
        <v>39794</v>
      </c>
      <c r="B250" s="107">
        <v>119.7</v>
      </c>
      <c r="C250" s="52"/>
      <c r="D250" s="52"/>
      <c r="E250" s="52"/>
      <c r="F250" s="52"/>
      <c r="G250" s="52"/>
      <c r="H250" s="52"/>
    </row>
    <row r="251" spans="1:8" ht="15.75">
      <c r="A251" s="106">
        <v>39797</v>
      </c>
      <c r="B251" s="107">
        <v>120.36</v>
      </c>
      <c r="C251" s="52"/>
      <c r="D251" s="52"/>
      <c r="E251" s="52"/>
      <c r="F251" s="52"/>
      <c r="G251" s="52"/>
      <c r="H251" s="52"/>
    </row>
    <row r="252" spans="1:8" ht="15.75">
      <c r="A252" s="106">
        <v>39798</v>
      </c>
      <c r="B252" s="107">
        <v>119.98</v>
      </c>
      <c r="C252" s="52"/>
      <c r="D252" s="52"/>
      <c r="E252" s="52"/>
      <c r="F252" s="52"/>
      <c r="G252" s="52"/>
      <c r="H252" s="52"/>
    </row>
    <row r="253" spans="1:8" ht="15.75">
      <c r="A253" s="106">
        <v>39799</v>
      </c>
      <c r="B253" s="107">
        <v>121.39</v>
      </c>
      <c r="C253" s="52"/>
      <c r="D253" s="52"/>
      <c r="E253" s="52"/>
      <c r="F253" s="52"/>
      <c r="G253" s="52"/>
      <c r="H253" s="52"/>
    </row>
    <row r="254" spans="1:8" ht="15.75">
      <c r="A254" s="106">
        <v>39800</v>
      </c>
      <c r="B254" s="107">
        <v>122.51</v>
      </c>
      <c r="C254" s="52"/>
      <c r="D254" s="52"/>
      <c r="E254" s="52"/>
      <c r="F254" s="52"/>
      <c r="G254" s="52"/>
      <c r="H254" s="52"/>
    </row>
    <row r="255" spans="1:8" ht="15.75">
      <c r="A255" s="106">
        <v>39801</v>
      </c>
      <c r="B255" s="107">
        <v>122.33</v>
      </c>
      <c r="C255" s="52"/>
      <c r="D255" s="52"/>
      <c r="E255" s="52"/>
      <c r="F255" s="52"/>
      <c r="G255" s="52"/>
      <c r="H255" s="52"/>
    </row>
    <row r="256" spans="1:8" ht="15.75">
      <c r="A256" s="106">
        <v>39804</v>
      </c>
      <c r="B256" s="107">
        <v>122.2</v>
      </c>
      <c r="C256" s="52"/>
      <c r="D256" s="52"/>
      <c r="E256" s="52"/>
      <c r="F256" s="52"/>
      <c r="G256" s="52"/>
      <c r="H256" s="52"/>
    </row>
    <row r="257" spans="1:8" ht="15.75">
      <c r="A257" s="106">
        <v>39805</v>
      </c>
      <c r="B257" s="107">
        <v>122.33</v>
      </c>
      <c r="C257" s="52"/>
      <c r="D257" s="52"/>
      <c r="E257" s="52"/>
      <c r="F257" s="52"/>
      <c r="G257" s="52"/>
      <c r="H257" s="52"/>
    </row>
    <row r="258" spans="1:8" ht="15.75">
      <c r="A258" s="106">
        <v>39811</v>
      </c>
      <c r="B258" s="107">
        <v>122.62</v>
      </c>
      <c r="C258" s="52"/>
      <c r="D258" s="52"/>
      <c r="E258" s="52"/>
      <c r="F258" s="52"/>
      <c r="G258" s="52"/>
      <c r="H258" s="52"/>
    </row>
    <row r="259" spans="1:8" ht="15.75">
      <c r="A259" s="106">
        <v>39812</v>
      </c>
      <c r="B259" s="107">
        <v>121.68</v>
      </c>
      <c r="C259" s="52"/>
      <c r="D259" s="52"/>
      <c r="E259" s="52"/>
      <c r="F259" s="52"/>
      <c r="G259" s="52"/>
      <c r="H259" s="52"/>
    </row>
    <row r="260" spans="1:8" ht="15.75">
      <c r="A260" s="106">
        <v>39815</v>
      </c>
      <c r="B260" s="107">
        <v>122.12</v>
      </c>
      <c r="C260" s="52"/>
      <c r="D260" s="52"/>
      <c r="E260" s="52"/>
      <c r="F260" s="52"/>
      <c r="G260" s="52"/>
      <c r="H260" s="52"/>
    </row>
    <row r="261" spans="1:8" ht="15.75">
      <c r="A261" s="106">
        <v>39818</v>
      </c>
      <c r="B261" s="107">
        <v>121.58</v>
      </c>
      <c r="C261" s="52"/>
      <c r="D261" s="52"/>
      <c r="E261" s="52"/>
      <c r="F261" s="52"/>
      <c r="G261" s="52"/>
      <c r="H261" s="52"/>
    </row>
    <row r="262" spans="1:8" ht="15.75">
      <c r="A262" s="106">
        <v>39819</v>
      </c>
      <c r="B262" s="107">
        <v>121.59</v>
      </c>
      <c r="C262" s="52"/>
      <c r="D262" s="52"/>
      <c r="E262" s="52"/>
      <c r="F262" s="52"/>
      <c r="G262" s="52"/>
      <c r="H262" s="52"/>
    </row>
    <row r="263" spans="1:8" ht="15.75">
      <c r="A263" s="106">
        <v>39820</v>
      </c>
      <c r="B263" s="107">
        <v>121.44</v>
      </c>
      <c r="C263" s="52"/>
      <c r="D263" s="52"/>
      <c r="E263" s="52"/>
      <c r="F263" s="52"/>
      <c r="G263" s="52"/>
      <c r="H263" s="52"/>
    </row>
    <row r="264" spans="1:8" ht="15.75">
      <c r="A264" s="106">
        <v>39821</v>
      </c>
      <c r="B264" s="107">
        <v>121.71</v>
      </c>
      <c r="C264" s="52"/>
      <c r="D264" s="52"/>
      <c r="E264" s="52"/>
      <c r="F264" s="52"/>
      <c r="G264" s="52"/>
      <c r="H264" s="52"/>
    </row>
    <row r="265" spans="1:8" ht="15.75">
      <c r="A265" s="106">
        <v>39822</v>
      </c>
      <c r="B265" s="107">
        <v>122.12</v>
      </c>
      <c r="C265" s="52"/>
      <c r="D265" s="52"/>
      <c r="E265" s="52"/>
      <c r="F265" s="52"/>
      <c r="G265" s="52"/>
      <c r="H265" s="52"/>
    </row>
    <row r="266" spans="1:8" ht="15.75">
      <c r="A266" s="106">
        <v>39825</v>
      </c>
      <c r="B266" s="107">
        <v>121.99</v>
      </c>
      <c r="C266" s="52"/>
      <c r="D266" s="52"/>
      <c r="E266" s="52"/>
      <c r="F266" s="52"/>
      <c r="G266" s="52"/>
      <c r="H266" s="52"/>
    </row>
    <row r="267" spans="1:8" ht="15.75">
      <c r="A267" s="106">
        <v>39826</v>
      </c>
      <c r="B267" s="107">
        <v>122.09</v>
      </c>
      <c r="C267" s="52"/>
      <c r="D267" s="52"/>
      <c r="E267" s="52"/>
      <c r="F267" s="52"/>
      <c r="G267" s="52"/>
      <c r="H267" s="52"/>
    </row>
    <row r="268" spans="1:8" ht="15.75">
      <c r="A268" s="106">
        <v>39827</v>
      </c>
      <c r="B268" s="107">
        <v>122.01</v>
      </c>
      <c r="C268" s="52"/>
      <c r="D268" s="52"/>
      <c r="E268" s="52"/>
      <c r="F268" s="52"/>
      <c r="G268" s="52"/>
      <c r="H268" s="52"/>
    </row>
    <row r="269" spans="1:8" ht="15.75">
      <c r="A269" s="106">
        <v>39828</v>
      </c>
      <c r="B269" s="107">
        <v>122</v>
      </c>
      <c r="C269" s="52"/>
      <c r="D269" s="52"/>
      <c r="E269" s="52"/>
      <c r="F269" s="52"/>
      <c r="G269" s="52"/>
      <c r="H269" s="52"/>
    </row>
    <row r="270" spans="1:8" ht="15.75">
      <c r="A270" s="106">
        <v>39829</v>
      </c>
      <c r="B270" s="107">
        <v>122.29</v>
      </c>
      <c r="C270" s="52"/>
      <c r="D270" s="52"/>
      <c r="E270" s="52"/>
      <c r="F270" s="52"/>
      <c r="G270" s="52"/>
      <c r="H270" s="52"/>
    </row>
    <row r="271" spans="1:8" ht="15.75">
      <c r="A271" s="106">
        <v>39832</v>
      </c>
      <c r="B271" s="107">
        <v>122.19</v>
      </c>
      <c r="C271" s="52"/>
      <c r="D271" s="52"/>
      <c r="E271" s="52"/>
      <c r="F271" s="52"/>
      <c r="G271" s="52"/>
      <c r="H271" s="52"/>
    </row>
    <row r="272" spans="1:8" ht="15.75">
      <c r="A272" s="106">
        <v>39833</v>
      </c>
      <c r="B272" s="107">
        <v>122.39</v>
      </c>
      <c r="C272" s="52"/>
      <c r="D272" s="52"/>
      <c r="E272" s="52"/>
      <c r="F272" s="52"/>
      <c r="G272" s="52"/>
      <c r="H272" s="52"/>
    </row>
    <row r="273" spans="1:8" ht="15.75">
      <c r="A273" s="106">
        <v>39834</v>
      </c>
      <c r="B273" s="107">
        <v>122.59</v>
      </c>
      <c r="C273" s="52"/>
      <c r="D273" s="52"/>
      <c r="E273" s="52"/>
      <c r="F273" s="52"/>
      <c r="G273" s="52"/>
      <c r="H273" s="52"/>
    </row>
    <row r="274" spans="1:8" ht="15.75">
      <c r="A274" s="106">
        <v>39835</v>
      </c>
      <c r="B274" s="107">
        <v>122.51</v>
      </c>
      <c r="C274" s="52"/>
      <c r="D274" s="52"/>
      <c r="E274" s="52"/>
      <c r="F274" s="52"/>
      <c r="G274" s="52"/>
      <c r="H274" s="52"/>
    </row>
    <row r="275" spans="1:8" ht="15.75">
      <c r="A275" s="106">
        <v>39836</v>
      </c>
      <c r="B275" s="107">
        <v>122.83</v>
      </c>
      <c r="C275" s="52"/>
      <c r="D275" s="52"/>
      <c r="E275" s="52"/>
      <c r="F275" s="52"/>
      <c r="G275" s="52"/>
      <c r="H275" s="52"/>
    </row>
    <row r="276" spans="1:8" ht="15.75">
      <c r="A276" s="106">
        <v>39839</v>
      </c>
      <c r="B276" s="107">
        <v>121.48</v>
      </c>
      <c r="C276" s="52"/>
      <c r="D276" s="52"/>
      <c r="E276" s="52"/>
      <c r="F276" s="52"/>
      <c r="G276" s="52"/>
      <c r="H276" s="52"/>
    </row>
    <row r="277" spans="1:8" ht="15.75">
      <c r="A277" s="106">
        <v>39840</v>
      </c>
      <c r="B277" s="107">
        <v>120.83</v>
      </c>
      <c r="C277" s="52"/>
      <c r="D277" s="52"/>
      <c r="E277" s="52"/>
      <c r="F277" s="52"/>
      <c r="G277" s="52"/>
      <c r="H277" s="52"/>
    </row>
    <row r="278" spans="1:8" ht="15.75">
      <c r="A278" s="106">
        <v>39841</v>
      </c>
      <c r="B278" s="107">
        <v>121.26</v>
      </c>
      <c r="C278" s="52"/>
      <c r="D278" s="52"/>
      <c r="E278" s="52"/>
      <c r="F278" s="52"/>
      <c r="G278" s="52"/>
      <c r="H278" s="52"/>
    </row>
    <row r="279" spans="1:8" ht="15.75">
      <c r="A279" s="106">
        <v>39842</v>
      </c>
      <c r="B279" s="107">
        <v>120.9</v>
      </c>
      <c r="C279" s="52"/>
      <c r="D279" s="52"/>
      <c r="E279" s="52"/>
      <c r="F279" s="52"/>
      <c r="G279" s="52"/>
      <c r="H279" s="52"/>
    </row>
    <row r="280" spans="1:8" ht="15.75">
      <c r="A280" s="106">
        <v>39843</v>
      </c>
      <c r="B280" s="107">
        <v>120.77</v>
      </c>
      <c r="C280" s="52"/>
      <c r="D280" s="52"/>
      <c r="E280" s="52"/>
      <c r="F280" s="52"/>
      <c r="G280" s="52"/>
      <c r="H280" s="52"/>
    </row>
    <row r="281" spans="1:8" ht="15.75">
      <c r="A281" s="106">
        <v>39846</v>
      </c>
      <c r="B281" s="107">
        <v>121.13</v>
      </c>
      <c r="C281" s="52"/>
      <c r="D281" s="52"/>
      <c r="E281" s="52"/>
      <c r="F281" s="52"/>
      <c r="G281" s="52"/>
      <c r="H281" s="52"/>
    </row>
    <row r="282" spans="1:8" ht="15.75">
      <c r="A282" s="106">
        <v>39847</v>
      </c>
      <c r="B282" s="107">
        <v>121.3</v>
      </c>
      <c r="C282" s="52"/>
      <c r="D282" s="52"/>
      <c r="E282" s="52"/>
      <c r="F282" s="52"/>
      <c r="G282" s="52"/>
      <c r="H282" s="52"/>
    </row>
    <row r="283" spans="1:8" ht="15.75">
      <c r="A283" s="106">
        <v>39848</v>
      </c>
      <c r="B283" s="107">
        <v>121.14</v>
      </c>
      <c r="C283" s="52"/>
      <c r="D283" s="52"/>
      <c r="E283" s="52"/>
      <c r="F283" s="52"/>
      <c r="G283" s="52"/>
      <c r="H283" s="52"/>
    </row>
    <row r="284" spans="1:8" ht="15.75">
      <c r="A284" s="106">
        <v>39849</v>
      </c>
      <c r="B284" s="107">
        <v>121.18</v>
      </c>
      <c r="C284" s="52"/>
      <c r="D284" s="52"/>
      <c r="E284" s="52"/>
      <c r="F284" s="52"/>
      <c r="G284" s="52"/>
      <c r="H284" s="52"/>
    </row>
    <row r="285" spans="1:8" ht="15.75">
      <c r="A285" s="106">
        <v>39850</v>
      </c>
      <c r="B285" s="107">
        <v>121.31</v>
      </c>
      <c r="C285" s="52"/>
      <c r="D285" s="52"/>
      <c r="E285" s="52"/>
      <c r="F285" s="52"/>
      <c r="G285" s="52"/>
      <c r="H285" s="52"/>
    </row>
    <row r="286" spans="1:8" ht="15.75">
      <c r="A286" s="106">
        <v>39853</v>
      </c>
      <c r="B286" s="107">
        <v>120.71</v>
      </c>
      <c r="C286" s="52"/>
      <c r="D286" s="52"/>
      <c r="E286" s="52"/>
      <c r="F286" s="52"/>
      <c r="G286" s="52"/>
      <c r="H286" s="52"/>
    </row>
    <row r="287" spans="1:8" ht="15.75">
      <c r="A287" s="106">
        <v>39854</v>
      </c>
      <c r="B287" s="107">
        <v>120.77</v>
      </c>
      <c r="C287" s="52"/>
      <c r="D287" s="52"/>
      <c r="E287" s="52"/>
      <c r="F287" s="52"/>
      <c r="G287" s="52"/>
      <c r="H287" s="52"/>
    </row>
    <row r="288" spans="1:8" ht="15.75">
      <c r="A288" s="106">
        <v>39855</v>
      </c>
      <c r="B288" s="107">
        <v>120.51</v>
      </c>
      <c r="C288" s="52"/>
      <c r="D288" s="52"/>
      <c r="E288" s="52"/>
      <c r="F288" s="52"/>
      <c r="G288" s="52"/>
      <c r="H288" s="52"/>
    </row>
    <row r="289" spans="1:8" ht="15.75">
      <c r="A289" s="106">
        <v>39856</v>
      </c>
      <c r="B289" s="107">
        <v>121.43</v>
      </c>
      <c r="C289" s="52"/>
      <c r="D289" s="52"/>
      <c r="E289" s="52"/>
      <c r="F289" s="52"/>
      <c r="G289" s="52"/>
      <c r="H289" s="52"/>
    </row>
    <row r="290" spans="1:8" ht="15.75">
      <c r="A290" s="106">
        <v>39857</v>
      </c>
      <c r="B290" s="107">
        <v>121.61</v>
      </c>
      <c r="C290" s="52"/>
      <c r="D290" s="52"/>
      <c r="E290" s="52"/>
      <c r="F290" s="52"/>
      <c r="G290" s="52"/>
      <c r="H290" s="52"/>
    </row>
    <row r="291" spans="1:8" ht="15.75">
      <c r="A291" s="106">
        <v>39860</v>
      </c>
      <c r="B291" s="107">
        <v>121.8</v>
      </c>
      <c r="C291" s="52"/>
      <c r="D291" s="52"/>
      <c r="E291" s="52"/>
      <c r="F291" s="52"/>
      <c r="G291" s="52"/>
      <c r="H291" s="52"/>
    </row>
    <row r="292" spans="1:8" ht="15.75">
      <c r="A292" s="106">
        <v>39861</v>
      </c>
      <c r="B292" s="107">
        <v>121.99</v>
      </c>
      <c r="C292" s="52"/>
      <c r="D292" s="52"/>
      <c r="E292" s="52"/>
      <c r="F292" s="52"/>
      <c r="G292" s="52"/>
      <c r="H292" s="52"/>
    </row>
    <row r="293" spans="1:8" ht="15.75">
      <c r="A293" s="106">
        <v>39862</v>
      </c>
      <c r="B293" s="107">
        <v>122.08</v>
      </c>
      <c r="C293" s="52"/>
      <c r="D293" s="52"/>
      <c r="E293" s="52"/>
      <c r="F293" s="52"/>
      <c r="G293" s="52"/>
      <c r="H293" s="52"/>
    </row>
    <row r="294" spans="1:8" ht="15.75">
      <c r="A294" s="106">
        <v>39863</v>
      </c>
      <c r="B294" s="107">
        <v>121.75</v>
      </c>
      <c r="C294" s="52"/>
      <c r="D294" s="52"/>
      <c r="E294" s="52"/>
      <c r="F294" s="52"/>
      <c r="G294" s="52"/>
      <c r="H294" s="52"/>
    </row>
    <row r="295" spans="1:8" ht="15.75">
      <c r="A295" s="106">
        <v>39864</v>
      </c>
      <c r="B295" s="107">
        <v>121.98</v>
      </c>
      <c r="C295" s="52"/>
      <c r="D295" s="52"/>
      <c r="E295" s="52"/>
      <c r="F295" s="52"/>
      <c r="G295" s="52"/>
      <c r="H295" s="52"/>
    </row>
    <row r="296" spans="1:8" ht="15.75">
      <c r="A296" s="106">
        <v>39867</v>
      </c>
      <c r="B296" s="107">
        <v>121.61</v>
      </c>
      <c r="C296" s="52"/>
      <c r="D296" s="52"/>
      <c r="E296" s="52"/>
      <c r="F296" s="52"/>
      <c r="G296" s="52"/>
      <c r="H296" s="52"/>
    </row>
    <row r="297" spans="1:8" ht="15.75">
      <c r="A297" s="106">
        <v>39868</v>
      </c>
      <c r="B297" s="107">
        <v>122.39</v>
      </c>
      <c r="C297" s="52"/>
      <c r="D297" s="52"/>
      <c r="E297" s="52"/>
      <c r="F297" s="52"/>
      <c r="G297" s="52"/>
      <c r="H297" s="52"/>
    </row>
    <row r="298" spans="1:8" ht="15.75">
      <c r="A298" s="106">
        <v>39869</v>
      </c>
      <c r="B298" s="107">
        <v>122.39</v>
      </c>
      <c r="C298" s="52"/>
      <c r="D298" s="52"/>
      <c r="E298" s="52"/>
      <c r="F298" s="52"/>
      <c r="G298" s="52"/>
      <c r="H298" s="52"/>
    </row>
    <row r="299" spans="1:8" ht="15.75">
      <c r="A299" s="106">
        <v>39870</v>
      </c>
      <c r="B299" s="107">
        <v>122.27</v>
      </c>
      <c r="C299" s="52"/>
      <c r="D299" s="52"/>
      <c r="E299" s="52"/>
      <c r="F299" s="52"/>
      <c r="G299" s="52"/>
      <c r="H299" s="52"/>
    </row>
    <row r="300" spans="1:8" ht="15.75">
      <c r="A300" s="106">
        <v>39871</v>
      </c>
      <c r="B300" s="107">
        <v>122.22</v>
      </c>
      <c r="C300" s="52"/>
      <c r="D300" s="52"/>
      <c r="E300" s="52"/>
      <c r="F300" s="52"/>
      <c r="G300" s="52"/>
      <c r="H300" s="52"/>
    </row>
    <row r="301" spans="1:8" ht="15.75">
      <c r="A301" s="106">
        <v>39874</v>
      </c>
      <c r="B301" s="107">
        <v>122.51</v>
      </c>
      <c r="C301" s="52"/>
      <c r="D301" s="52"/>
      <c r="E301" s="52"/>
      <c r="F301" s="52"/>
      <c r="G301" s="52"/>
      <c r="H301" s="52"/>
    </row>
    <row r="302" spans="1:8" ht="15.75">
      <c r="A302" s="106">
        <v>39875</v>
      </c>
      <c r="B302" s="107">
        <v>122.59</v>
      </c>
      <c r="C302" s="52"/>
      <c r="D302" s="52"/>
      <c r="E302" s="52"/>
      <c r="F302" s="52"/>
      <c r="G302" s="52"/>
      <c r="H302" s="52"/>
    </row>
    <row r="303" spans="1:8" ht="15.75">
      <c r="A303" s="106">
        <v>39876</v>
      </c>
      <c r="B303" s="107">
        <v>122.82</v>
      </c>
      <c r="C303" s="52"/>
      <c r="D303" s="52"/>
      <c r="E303" s="52"/>
      <c r="F303" s="52"/>
      <c r="G303" s="52"/>
      <c r="H303" s="52"/>
    </row>
    <row r="304" spans="1:8" ht="15.75">
      <c r="A304" s="106">
        <v>39877</v>
      </c>
      <c r="B304" s="107">
        <v>122.63</v>
      </c>
      <c r="C304" s="52"/>
      <c r="D304" s="52"/>
      <c r="E304" s="52"/>
      <c r="F304" s="52"/>
      <c r="G304" s="52"/>
      <c r="H304" s="52"/>
    </row>
    <row r="305" spans="1:8" ht="15.75">
      <c r="A305" s="106">
        <v>39878</v>
      </c>
      <c r="B305" s="107">
        <v>122.98</v>
      </c>
      <c r="C305" s="52"/>
      <c r="D305" s="52"/>
      <c r="E305" s="52"/>
      <c r="F305" s="52"/>
      <c r="G305" s="52"/>
      <c r="H305" s="52"/>
    </row>
    <row r="306" spans="1:8" ht="15.75">
      <c r="A306" s="106">
        <v>39881</v>
      </c>
      <c r="B306" s="107">
        <v>122.62</v>
      </c>
      <c r="C306" s="52"/>
      <c r="D306" s="52"/>
      <c r="E306" s="52"/>
      <c r="F306" s="52"/>
      <c r="G306" s="52"/>
      <c r="H306" s="52"/>
    </row>
    <row r="307" spans="1:8" ht="15.75">
      <c r="A307" s="106">
        <v>39882</v>
      </c>
      <c r="B307" s="107">
        <v>122.39</v>
      </c>
      <c r="C307" s="52"/>
      <c r="D307" s="52"/>
      <c r="E307" s="52"/>
      <c r="F307" s="52"/>
      <c r="G307" s="52"/>
      <c r="H307" s="52"/>
    </row>
    <row r="308" spans="1:8" ht="15.75">
      <c r="A308" s="106">
        <v>39883</v>
      </c>
      <c r="B308" s="107">
        <v>122.06</v>
      </c>
      <c r="C308" s="52"/>
      <c r="D308" s="52"/>
      <c r="E308" s="52"/>
      <c r="F308" s="52"/>
      <c r="G308" s="52"/>
      <c r="H308" s="52"/>
    </row>
    <row r="309" spans="1:8" ht="15.75">
      <c r="A309" s="106">
        <v>39884</v>
      </c>
      <c r="B309" s="107">
        <v>122.52</v>
      </c>
      <c r="C309" s="52"/>
      <c r="D309" s="52"/>
      <c r="E309" s="52"/>
      <c r="F309" s="52"/>
      <c r="G309" s="52"/>
      <c r="H309" s="52"/>
    </row>
    <row r="310" spans="1:8" ht="15.75">
      <c r="A310" s="106">
        <v>39885</v>
      </c>
      <c r="B310" s="107">
        <v>122.15</v>
      </c>
      <c r="C310" s="52"/>
      <c r="D310" s="52"/>
      <c r="E310" s="52"/>
      <c r="F310" s="52"/>
      <c r="G310" s="52"/>
      <c r="H310" s="52"/>
    </row>
    <row r="311" spans="1:8" ht="15.75">
      <c r="A311" s="106">
        <v>39888</v>
      </c>
      <c r="B311" s="107">
        <v>122.68</v>
      </c>
      <c r="C311" s="52"/>
      <c r="D311" s="52"/>
      <c r="E311" s="52"/>
      <c r="F311" s="52"/>
      <c r="G311" s="52"/>
      <c r="H311" s="52"/>
    </row>
    <row r="312" spans="1:8" ht="15.75">
      <c r="A312" s="106">
        <v>39889</v>
      </c>
      <c r="B312" s="107">
        <v>122.81</v>
      </c>
      <c r="C312" s="52"/>
      <c r="D312" s="52"/>
      <c r="E312" s="52"/>
      <c r="F312" s="52"/>
      <c r="G312" s="52"/>
      <c r="H312" s="52"/>
    </row>
    <row r="313" spans="1:8" ht="15.75">
      <c r="A313" s="106">
        <v>39890</v>
      </c>
      <c r="B313" s="107">
        <v>122.21</v>
      </c>
      <c r="C313" s="52"/>
      <c r="D313" s="52"/>
      <c r="E313" s="52"/>
      <c r="F313" s="52"/>
      <c r="G313" s="52"/>
      <c r="H313" s="52"/>
    </row>
    <row r="314" spans="1:8" ht="15.75">
      <c r="A314" s="106">
        <v>39891</v>
      </c>
      <c r="B314" s="107">
        <v>122.91</v>
      </c>
      <c r="C314" s="52"/>
      <c r="D314" s="52"/>
      <c r="E314" s="52"/>
      <c r="F314" s="52"/>
      <c r="G314" s="52"/>
      <c r="H314" s="52"/>
    </row>
    <row r="315" spans="1:8" ht="15.75">
      <c r="A315" s="106">
        <v>39892</v>
      </c>
      <c r="B315" s="107">
        <v>122.89</v>
      </c>
      <c r="C315" s="52"/>
      <c r="D315" s="52"/>
      <c r="E315" s="52"/>
      <c r="F315" s="52"/>
      <c r="G315" s="52"/>
      <c r="H315" s="52"/>
    </row>
    <row r="316" spans="1:8" ht="15.75">
      <c r="A316" s="106">
        <v>39895</v>
      </c>
      <c r="B316" s="107">
        <v>122.74</v>
      </c>
      <c r="C316" s="52"/>
      <c r="D316" s="52"/>
      <c r="E316" s="52"/>
      <c r="F316" s="52"/>
      <c r="G316" s="52"/>
      <c r="H316" s="52"/>
    </row>
    <row r="317" spans="1:8" ht="15.75">
      <c r="A317" s="106">
        <v>39896</v>
      </c>
      <c r="B317" s="107">
        <v>122.37</v>
      </c>
      <c r="C317" s="52"/>
      <c r="D317" s="52"/>
      <c r="E317" s="52"/>
      <c r="F317" s="52"/>
      <c r="G317" s="52"/>
      <c r="H317" s="52"/>
    </row>
    <row r="318" spans="1:8" ht="15.75">
      <c r="A318" s="106">
        <v>39897</v>
      </c>
      <c r="B318" s="107">
        <v>122.42</v>
      </c>
      <c r="C318" s="52"/>
      <c r="D318" s="52"/>
      <c r="E318" s="52"/>
      <c r="F318" s="52"/>
      <c r="G318" s="52"/>
      <c r="H318" s="52"/>
    </row>
    <row r="319" spans="1:8" ht="15.75">
      <c r="A319" s="106">
        <v>39898</v>
      </c>
      <c r="B319" s="107">
        <v>122.09</v>
      </c>
      <c r="C319" s="52"/>
      <c r="D319" s="52"/>
      <c r="E319" s="52"/>
      <c r="F319" s="52"/>
      <c r="G319" s="52"/>
      <c r="H319" s="52"/>
    </row>
    <row r="320" spans="1:8" ht="15.75">
      <c r="A320" s="106">
        <v>39899</v>
      </c>
      <c r="B320" s="107">
        <v>122.8</v>
      </c>
      <c r="C320" s="52"/>
      <c r="D320" s="52"/>
      <c r="E320" s="52"/>
      <c r="F320" s="52"/>
      <c r="G320" s="52"/>
      <c r="H320" s="52"/>
    </row>
    <row r="321" spans="1:8" ht="15.75">
      <c r="A321" s="106">
        <v>39902</v>
      </c>
      <c r="B321" s="107">
        <v>123.29</v>
      </c>
      <c r="C321" s="52"/>
      <c r="D321" s="52"/>
      <c r="E321" s="52"/>
      <c r="F321" s="52"/>
      <c r="G321" s="52"/>
      <c r="H321" s="52"/>
    </row>
    <row r="322" spans="1:8" ht="15.75">
      <c r="A322" s="106">
        <v>39903</v>
      </c>
      <c r="B322" s="107">
        <v>123.41</v>
      </c>
      <c r="C322" s="52"/>
      <c r="D322" s="52"/>
      <c r="E322" s="52"/>
      <c r="F322" s="52"/>
      <c r="G322" s="52"/>
      <c r="H322" s="52"/>
    </row>
    <row r="323" spans="1:8" ht="15.75">
      <c r="A323" s="106">
        <v>39904</v>
      </c>
      <c r="B323" s="107">
        <v>123.68</v>
      </c>
      <c r="C323" s="52"/>
      <c r="D323" s="52"/>
      <c r="E323" s="52"/>
      <c r="F323" s="52"/>
      <c r="G323" s="52"/>
      <c r="H323" s="52"/>
    </row>
    <row r="324" spans="1:8" ht="15.75">
      <c r="A324" s="106">
        <v>39905</v>
      </c>
      <c r="B324" s="107">
        <v>123.77</v>
      </c>
      <c r="C324" s="52"/>
      <c r="D324" s="52"/>
      <c r="E324" s="52"/>
      <c r="F324" s="52"/>
      <c r="G324" s="52"/>
      <c r="H324" s="52"/>
    </row>
    <row r="325" spans="1:8" ht="15.75">
      <c r="A325" s="106">
        <v>39906</v>
      </c>
      <c r="B325" s="107">
        <v>122.95</v>
      </c>
      <c r="C325" s="52"/>
      <c r="D325" s="52"/>
      <c r="E325" s="52"/>
      <c r="F325" s="52"/>
      <c r="G325" s="52"/>
      <c r="H325" s="52"/>
    </row>
    <row r="326" spans="1:8" ht="15.75">
      <c r="A326" s="106">
        <v>39909</v>
      </c>
      <c r="B326" s="107">
        <v>122.68</v>
      </c>
      <c r="C326" s="52"/>
      <c r="D326" s="52"/>
      <c r="E326" s="52"/>
      <c r="F326" s="52"/>
      <c r="G326" s="52"/>
      <c r="H326" s="52"/>
    </row>
    <row r="327" spans="1:8" ht="15.75">
      <c r="A327" s="106">
        <v>39910</v>
      </c>
      <c r="B327" s="107">
        <v>122.77</v>
      </c>
      <c r="C327" s="52"/>
      <c r="D327" s="52"/>
      <c r="E327" s="52"/>
      <c r="F327" s="52"/>
      <c r="G327" s="52"/>
      <c r="H327" s="52"/>
    </row>
    <row r="328" spans="1:8" ht="15.75">
      <c r="A328" s="106">
        <v>39911</v>
      </c>
      <c r="B328" s="107">
        <v>122.74</v>
      </c>
      <c r="C328" s="52"/>
      <c r="D328" s="52"/>
      <c r="E328" s="52"/>
      <c r="F328" s="52"/>
      <c r="G328" s="52"/>
      <c r="H328" s="52"/>
    </row>
    <row r="329" spans="1:8" ht="15.75">
      <c r="A329" s="106">
        <v>39912</v>
      </c>
      <c r="B329" s="107">
        <v>122.33</v>
      </c>
      <c r="C329" s="52"/>
      <c r="D329" s="52"/>
      <c r="E329" s="52"/>
      <c r="F329" s="52"/>
      <c r="G329" s="52"/>
      <c r="H329" s="52"/>
    </row>
    <row r="330" spans="1:8" ht="15.75">
      <c r="A330" s="106">
        <v>39917</v>
      </c>
      <c r="B330" s="107">
        <v>122.79</v>
      </c>
      <c r="C330" s="52"/>
      <c r="D330" s="52"/>
      <c r="E330" s="52"/>
      <c r="F330" s="52"/>
      <c r="G330" s="52"/>
      <c r="H330" s="52"/>
    </row>
    <row r="331" spans="1:8" ht="15.75">
      <c r="A331" s="106">
        <v>39918</v>
      </c>
      <c r="B331" s="107">
        <v>122.95</v>
      </c>
      <c r="C331" s="52"/>
      <c r="D331" s="52"/>
      <c r="E331" s="52"/>
      <c r="F331" s="52"/>
      <c r="G331" s="52"/>
      <c r="H331" s="52"/>
    </row>
    <row r="332" spans="1:8" ht="15.75">
      <c r="A332" s="106">
        <v>39919</v>
      </c>
      <c r="B332" s="107">
        <v>122.95</v>
      </c>
      <c r="C332" s="52"/>
      <c r="D332" s="52"/>
      <c r="E332" s="52"/>
      <c r="F332" s="52"/>
      <c r="G332" s="52"/>
      <c r="H332" s="52"/>
    </row>
    <row r="333" spans="1:8" ht="15.75">
      <c r="A333" s="106">
        <v>39920</v>
      </c>
      <c r="B333" s="107">
        <v>123.03</v>
      </c>
      <c r="C333" s="52"/>
      <c r="D333" s="52"/>
      <c r="E333" s="52"/>
      <c r="F333" s="52"/>
      <c r="G333" s="52"/>
      <c r="H333" s="52"/>
    </row>
    <row r="334" spans="1:8" ht="15.75">
      <c r="A334" s="106">
        <v>39923</v>
      </c>
      <c r="B334" s="107">
        <v>122.95</v>
      </c>
      <c r="C334" s="52"/>
      <c r="D334" s="52"/>
      <c r="E334" s="52"/>
      <c r="F334" s="52"/>
      <c r="G334" s="52"/>
      <c r="H334" s="52"/>
    </row>
    <row r="335" spans="1:8" ht="15.75">
      <c r="A335" s="106">
        <v>39924</v>
      </c>
      <c r="B335" s="107">
        <v>123.09</v>
      </c>
      <c r="C335" s="52"/>
      <c r="D335" s="52"/>
      <c r="E335" s="52"/>
      <c r="F335" s="52"/>
      <c r="G335" s="52"/>
      <c r="H335" s="52"/>
    </row>
    <row r="336" spans="1:8" ht="15.75">
      <c r="A336" s="106">
        <v>39925</v>
      </c>
      <c r="B336" s="107">
        <v>123.16</v>
      </c>
      <c r="C336" s="52"/>
      <c r="D336" s="52"/>
      <c r="E336" s="52"/>
      <c r="F336" s="52"/>
      <c r="G336" s="52"/>
      <c r="H336" s="52"/>
    </row>
    <row r="337" spans="1:8" ht="15.75">
      <c r="A337" s="106">
        <v>39926</v>
      </c>
      <c r="B337" s="107">
        <v>122.86</v>
      </c>
      <c r="C337" s="52"/>
      <c r="D337" s="52"/>
      <c r="E337" s="52"/>
      <c r="F337" s="52"/>
      <c r="G337" s="52"/>
      <c r="H337" s="52"/>
    </row>
    <row r="338" spans="1:8" ht="15.75">
      <c r="A338" s="106">
        <v>39927</v>
      </c>
      <c r="B338" s="107">
        <v>122.68</v>
      </c>
      <c r="C338" s="52"/>
      <c r="D338" s="52"/>
      <c r="E338" s="52"/>
      <c r="F338" s="52"/>
      <c r="G338" s="52"/>
      <c r="H338" s="52"/>
    </row>
    <row r="339" spans="1:8" ht="15.75">
      <c r="A339" s="106">
        <v>39930</v>
      </c>
      <c r="B339" s="107">
        <v>122.9</v>
      </c>
      <c r="C339" s="52"/>
      <c r="D339" s="52"/>
      <c r="E339" s="52"/>
      <c r="F339" s="52"/>
      <c r="G339" s="52"/>
      <c r="H339" s="52"/>
    </row>
    <row r="340" spans="1:8" ht="15.75">
      <c r="A340" s="106">
        <v>39931</v>
      </c>
      <c r="B340" s="107">
        <v>122.81</v>
      </c>
      <c r="C340" s="52"/>
      <c r="D340" s="52"/>
      <c r="E340" s="52"/>
      <c r="F340" s="52"/>
      <c r="G340" s="52"/>
      <c r="H340" s="52"/>
    </row>
    <row r="341" spans="1:8" ht="15.75">
      <c r="A341" s="106">
        <v>39932</v>
      </c>
      <c r="B341" s="107">
        <v>122.66</v>
      </c>
      <c r="C341" s="52"/>
      <c r="D341" s="52"/>
      <c r="E341" s="52"/>
      <c r="F341" s="52"/>
      <c r="G341" s="52"/>
      <c r="H341" s="52"/>
    </row>
    <row r="342" spans="1:8" ht="15.75">
      <c r="A342" s="106">
        <v>39933</v>
      </c>
      <c r="B342" s="107">
        <v>122.56</v>
      </c>
      <c r="C342" s="52"/>
      <c r="D342" s="52"/>
      <c r="E342" s="52"/>
      <c r="F342" s="52"/>
      <c r="G342" s="52"/>
      <c r="H342" s="52"/>
    </row>
    <row r="343" spans="1:8" ht="15.75">
      <c r="A343" s="106">
        <v>39937</v>
      </c>
      <c r="B343" s="107">
        <v>122.73</v>
      </c>
      <c r="C343" s="52"/>
      <c r="D343" s="52"/>
      <c r="E343" s="52"/>
      <c r="F343" s="52"/>
      <c r="G343" s="52"/>
      <c r="H343" s="52"/>
    </row>
    <row r="344" spans="1:8" ht="15.75">
      <c r="A344" s="106">
        <v>39938</v>
      </c>
      <c r="B344" s="107">
        <v>122.33</v>
      </c>
      <c r="C344" s="52"/>
      <c r="D344" s="52"/>
      <c r="E344" s="52"/>
      <c r="F344" s="52"/>
      <c r="G344" s="52"/>
      <c r="H344" s="52"/>
    </row>
    <row r="345" spans="1:8" ht="15.75">
      <c r="A345" s="106">
        <v>39939</v>
      </c>
      <c r="B345" s="107">
        <v>122.42</v>
      </c>
      <c r="C345" s="52"/>
      <c r="D345" s="52"/>
      <c r="E345" s="52"/>
      <c r="F345" s="52"/>
      <c r="G345" s="52"/>
      <c r="H345" s="52"/>
    </row>
    <row r="346" spans="1:8" ht="15.75">
      <c r="A346" s="106">
        <v>39940</v>
      </c>
      <c r="B346" s="107">
        <v>122.22</v>
      </c>
      <c r="C346" s="52"/>
      <c r="D346" s="52"/>
      <c r="E346" s="52"/>
      <c r="F346" s="52"/>
      <c r="G346" s="52"/>
      <c r="H346" s="52"/>
    </row>
    <row r="347" spans="1:8" ht="15.75">
      <c r="A347" s="106">
        <v>39941</v>
      </c>
      <c r="B347" s="107">
        <v>121.8</v>
      </c>
      <c r="C347" s="52"/>
      <c r="D347" s="52"/>
      <c r="E347" s="52"/>
      <c r="F347" s="52"/>
      <c r="G347" s="52"/>
      <c r="H347" s="52"/>
    </row>
    <row r="348" spans="1:8" ht="15.75">
      <c r="A348" s="106">
        <v>39944</v>
      </c>
      <c r="B348" s="107">
        <v>122.2</v>
      </c>
      <c r="C348" s="52"/>
      <c r="D348" s="52"/>
      <c r="E348" s="52"/>
      <c r="F348" s="52"/>
      <c r="G348" s="52"/>
      <c r="H348" s="52"/>
    </row>
    <row r="349" spans="1:8" ht="15.75">
      <c r="A349" s="106">
        <v>39945</v>
      </c>
      <c r="B349" s="107">
        <v>121.7</v>
      </c>
      <c r="C349" s="52"/>
      <c r="D349" s="52"/>
      <c r="E349" s="52"/>
      <c r="F349" s="52"/>
      <c r="G349" s="52"/>
      <c r="H349" s="52"/>
    </row>
    <row r="350" spans="1:8" ht="15.75">
      <c r="A350" s="106">
        <v>39946</v>
      </c>
      <c r="B350" s="107">
        <v>122.15</v>
      </c>
      <c r="C350" s="52"/>
      <c r="D350" s="52"/>
      <c r="E350" s="52"/>
      <c r="F350" s="52"/>
      <c r="G350" s="52"/>
      <c r="H350" s="52"/>
    </row>
    <row r="351" spans="1:8" ht="15.75">
      <c r="A351" s="106">
        <v>39947</v>
      </c>
      <c r="B351" s="107">
        <v>122.59</v>
      </c>
      <c r="C351" s="52"/>
      <c r="D351" s="52"/>
      <c r="E351" s="52"/>
      <c r="F351" s="52"/>
      <c r="G351" s="52"/>
      <c r="H351" s="52"/>
    </row>
    <row r="352" spans="1:8" ht="15.75">
      <c r="A352" s="106">
        <v>39948</v>
      </c>
      <c r="B352" s="107">
        <v>122.94</v>
      </c>
      <c r="C352" s="52"/>
      <c r="D352" s="52"/>
      <c r="E352" s="52"/>
      <c r="F352" s="52"/>
      <c r="G352" s="52"/>
      <c r="H352" s="52"/>
    </row>
    <row r="353" spans="1:8" ht="15.75">
      <c r="A353" s="106">
        <v>39951</v>
      </c>
      <c r="B353" s="107">
        <v>122.66</v>
      </c>
      <c r="C353" s="52"/>
      <c r="D353" s="52"/>
      <c r="E353" s="52"/>
      <c r="F353" s="52"/>
      <c r="G353" s="52"/>
      <c r="H353" s="52"/>
    </row>
    <row r="354" spans="1:8" ht="15.75">
      <c r="A354" s="106">
        <v>39952</v>
      </c>
      <c r="B354" s="107">
        <v>122.44</v>
      </c>
      <c r="C354" s="52"/>
      <c r="D354" s="52"/>
      <c r="E354" s="52"/>
      <c r="F354" s="52"/>
      <c r="G354" s="52"/>
      <c r="H354" s="52"/>
    </row>
    <row r="355" spans="1:8" ht="15.75">
      <c r="A355" s="106">
        <v>39953</v>
      </c>
      <c r="B355" s="107">
        <v>122.37</v>
      </c>
      <c r="C355" s="52"/>
      <c r="D355" s="52"/>
      <c r="E355" s="52"/>
      <c r="F355" s="52"/>
      <c r="G355" s="52"/>
      <c r="H355" s="52"/>
    </row>
    <row r="356" spans="1:8" ht="15.75">
      <c r="A356" s="106">
        <v>39954</v>
      </c>
      <c r="B356" s="107">
        <v>122.49</v>
      </c>
      <c r="C356" s="52"/>
      <c r="D356" s="52"/>
      <c r="E356" s="52"/>
      <c r="F356" s="52"/>
      <c r="G356" s="52"/>
      <c r="H356" s="52"/>
    </row>
    <row r="357" spans="1:8" ht="15.75">
      <c r="A357" s="106">
        <v>39955</v>
      </c>
      <c r="B357" s="107">
        <v>122.56</v>
      </c>
      <c r="C357" s="52"/>
      <c r="D357" s="52"/>
      <c r="E357" s="52"/>
      <c r="F357" s="52"/>
      <c r="G357" s="52"/>
      <c r="H357" s="52"/>
    </row>
    <row r="358" spans="1:8" ht="15.75">
      <c r="A358" s="106">
        <v>39958</v>
      </c>
      <c r="B358" s="107">
        <v>121.22</v>
      </c>
      <c r="C358" s="52"/>
      <c r="D358" s="52"/>
      <c r="E358" s="52"/>
      <c r="F358" s="52"/>
      <c r="G358" s="52"/>
      <c r="H358" s="52"/>
    </row>
    <row r="359" spans="1:8" ht="15.75">
      <c r="A359" s="106">
        <v>39959</v>
      </c>
      <c r="B359" s="107">
        <v>121.37</v>
      </c>
      <c r="C359" s="52"/>
      <c r="D359" s="52"/>
      <c r="E359" s="52"/>
      <c r="F359" s="52"/>
      <c r="G359" s="52"/>
      <c r="H359" s="52"/>
    </row>
    <row r="360" spans="1:8" ht="15.75">
      <c r="A360" s="106">
        <v>39960</v>
      </c>
      <c r="B360" s="107">
        <v>121.08</v>
      </c>
      <c r="C360" s="52"/>
      <c r="D360" s="52"/>
      <c r="E360" s="52"/>
      <c r="F360" s="52"/>
      <c r="G360" s="52"/>
      <c r="H360" s="52"/>
    </row>
    <row r="361" spans="1:8" ht="15.75">
      <c r="A361" s="106">
        <v>39961</v>
      </c>
      <c r="B361" s="107">
        <v>120.96</v>
      </c>
      <c r="C361" s="52"/>
      <c r="D361" s="52"/>
      <c r="E361" s="52"/>
      <c r="F361" s="52"/>
      <c r="G361" s="52"/>
      <c r="H361" s="52"/>
    </row>
    <row r="362" spans="1:8" ht="15.75">
      <c r="A362" s="106">
        <v>39962</v>
      </c>
      <c r="B362" s="107">
        <v>121.12</v>
      </c>
      <c r="C362" s="52"/>
      <c r="D362" s="52"/>
      <c r="E362" s="52"/>
      <c r="F362" s="52"/>
      <c r="G362" s="52"/>
      <c r="H362" s="52"/>
    </row>
    <row r="363" spans="1:8" ht="15.75">
      <c r="A363" s="106">
        <v>39965</v>
      </c>
      <c r="B363" s="107">
        <v>121.25</v>
      </c>
      <c r="C363" s="52"/>
      <c r="D363" s="52"/>
      <c r="E363" s="52"/>
      <c r="F363" s="52"/>
      <c r="G363" s="52"/>
      <c r="H363" s="52"/>
    </row>
    <row r="364" spans="1:8" ht="15.75">
      <c r="A364" s="106">
        <v>39966</v>
      </c>
      <c r="B364" s="107">
        <v>121.17</v>
      </c>
      <c r="C364" s="52"/>
      <c r="D364" s="52"/>
      <c r="E364" s="52"/>
      <c r="F364" s="52"/>
      <c r="G364" s="52"/>
      <c r="H364" s="52"/>
    </row>
    <row r="365" spans="1:8" ht="15.75">
      <c r="A365" s="106">
        <v>39967</v>
      </c>
      <c r="B365" s="107">
        <v>121.33</v>
      </c>
      <c r="C365" s="52"/>
      <c r="D365" s="52"/>
      <c r="E365" s="52"/>
      <c r="F365" s="52"/>
      <c r="G365" s="52"/>
      <c r="H365" s="52"/>
    </row>
    <row r="366" spans="1:8" ht="15.75">
      <c r="A366" s="106">
        <v>39968</v>
      </c>
      <c r="B366" s="107">
        <v>121.18</v>
      </c>
      <c r="C366" s="52"/>
      <c r="D366" s="52"/>
      <c r="E366" s="52"/>
      <c r="F366" s="52"/>
      <c r="G366" s="52"/>
      <c r="H366" s="52"/>
    </row>
    <row r="367" spans="1:8" ht="15.75">
      <c r="A367" s="106">
        <v>39969</v>
      </c>
      <c r="B367" s="107">
        <v>120.8</v>
      </c>
      <c r="C367" s="52"/>
      <c r="D367" s="52"/>
      <c r="E367" s="52"/>
      <c r="F367" s="52"/>
      <c r="G367" s="52"/>
      <c r="H367" s="52"/>
    </row>
    <row r="368" spans="1:8" ht="15.75">
      <c r="A368" s="106">
        <v>39972</v>
      </c>
      <c r="B368" s="107">
        <v>120.33</v>
      </c>
      <c r="C368" s="52"/>
      <c r="D368" s="52"/>
      <c r="E368" s="52"/>
      <c r="F368" s="52"/>
      <c r="G368" s="52"/>
      <c r="H368" s="52"/>
    </row>
    <row r="369" spans="1:8" ht="15.75">
      <c r="A369" s="106">
        <v>39973</v>
      </c>
      <c r="B369" s="107">
        <v>120.31</v>
      </c>
      <c r="C369" s="52"/>
      <c r="D369" s="52"/>
      <c r="E369" s="52"/>
      <c r="F369" s="52"/>
      <c r="G369" s="52"/>
      <c r="H369" s="52"/>
    </row>
    <row r="370" spans="1:8" ht="15.75">
      <c r="A370" s="106">
        <v>39974</v>
      </c>
      <c r="B370" s="107">
        <v>120.37</v>
      </c>
      <c r="C370" s="52"/>
      <c r="D370" s="52"/>
      <c r="E370" s="52"/>
      <c r="F370" s="52"/>
      <c r="G370" s="52"/>
      <c r="H370" s="52"/>
    </row>
    <row r="371" spans="1:8" ht="15.75">
      <c r="A371" s="106">
        <v>39975</v>
      </c>
      <c r="B371" s="107">
        <v>120.07</v>
      </c>
      <c r="C371" s="52"/>
      <c r="D371" s="52"/>
      <c r="E371" s="52"/>
      <c r="F371" s="52"/>
      <c r="G371" s="52"/>
      <c r="H371" s="52"/>
    </row>
    <row r="372" spans="1:8" ht="15.75">
      <c r="A372" s="106">
        <v>39976</v>
      </c>
      <c r="B372" s="107">
        <v>120.28</v>
      </c>
      <c r="C372" s="52"/>
      <c r="D372" s="52"/>
      <c r="E372" s="52"/>
      <c r="F372" s="52"/>
      <c r="G372" s="52"/>
      <c r="H372" s="52"/>
    </row>
    <row r="373" spans="1:8" ht="15.75">
      <c r="A373" s="106">
        <v>39979</v>
      </c>
      <c r="B373" s="107">
        <v>120.76</v>
      </c>
      <c r="C373" s="52"/>
      <c r="D373" s="52"/>
      <c r="E373" s="52"/>
      <c r="F373" s="52"/>
      <c r="G373" s="52"/>
      <c r="H373" s="52"/>
    </row>
    <row r="374" spans="1:8" ht="15.75">
      <c r="A374" s="106">
        <v>39980</v>
      </c>
      <c r="B374" s="107">
        <v>120.95</v>
      </c>
      <c r="C374" s="52"/>
      <c r="D374" s="52"/>
      <c r="E374" s="52"/>
      <c r="F374" s="52"/>
      <c r="G374" s="52"/>
      <c r="H374" s="52"/>
    </row>
    <row r="375" spans="1:8" ht="15.75">
      <c r="A375" s="106">
        <v>39981</v>
      </c>
      <c r="B375" s="107">
        <v>121.23</v>
      </c>
      <c r="C375" s="52"/>
      <c r="D375" s="52"/>
      <c r="E375" s="52"/>
      <c r="F375" s="52"/>
      <c r="G375" s="52"/>
      <c r="H375" s="52"/>
    </row>
    <row r="376" spans="1:8" ht="15.75">
      <c r="A376" s="106">
        <v>39982</v>
      </c>
      <c r="B376" s="107">
        <v>121.32</v>
      </c>
      <c r="C376" s="52"/>
      <c r="D376" s="52"/>
      <c r="E376" s="52"/>
      <c r="F376" s="52"/>
      <c r="G376" s="52"/>
      <c r="H376" s="52"/>
    </row>
    <row r="377" spans="1:8" ht="15.75">
      <c r="A377" s="106">
        <v>39983</v>
      </c>
      <c r="B377" s="107">
        <v>121.24</v>
      </c>
      <c r="C377" s="52"/>
      <c r="D377" s="52"/>
      <c r="E377" s="52"/>
      <c r="F377" s="52"/>
      <c r="G377" s="52"/>
      <c r="H377" s="52"/>
    </row>
    <row r="378" spans="1:8" ht="15.75">
      <c r="A378" s="106">
        <v>39986</v>
      </c>
      <c r="B378" s="107">
        <v>121.47</v>
      </c>
      <c r="C378" s="52"/>
      <c r="D378" s="52"/>
      <c r="E378" s="52"/>
      <c r="F378" s="52"/>
      <c r="G378" s="52"/>
      <c r="H378" s="52"/>
    </row>
    <row r="379" spans="1:8" ht="15.75">
      <c r="A379" s="106">
        <v>39987</v>
      </c>
      <c r="B379" s="107">
        <v>121.39</v>
      </c>
      <c r="C379" s="52"/>
      <c r="D379" s="52"/>
      <c r="E379" s="52"/>
      <c r="F379" s="52"/>
      <c r="G379" s="52"/>
      <c r="H379" s="52"/>
    </row>
    <row r="380" spans="1:8" ht="15.75">
      <c r="A380" s="106">
        <v>39988</v>
      </c>
      <c r="B380" s="107">
        <v>121.49</v>
      </c>
      <c r="C380" s="52"/>
      <c r="D380" s="52"/>
      <c r="E380" s="52"/>
      <c r="F380" s="52"/>
      <c r="G380" s="52"/>
      <c r="H380" s="52"/>
    </row>
    <row r="381" spans="1:8" ht="15.75">
      <c r="A381" s="106">
        <v>39989</v>
      </c>
      <c r="B381" s="107">
        <v>121.77</v>
      </c>
      <c r="C381" s="52"/>
      <c r="D381" s="52"/>
      <c r="E381" s="52"/>
      <c r="F381" s="52"/>
      <c r="G381" s="52"/>
      <c r="H381" s="52"/>
    </row>
    <row r="382" spans="1:8" ht="15.75">
      <c r="A382" s="106">
        <v>39990</v>
      </c>
      <c r="B382" s="107">
        <v>121.99</v>
      </c>
      <c r="C382" s="52"/>
      <c r="D382" s="52"/>
      <c r="E382" s="52"/>
      <c r="F382" s="52"/>
      <c r="G382" s="52"/>
      <c r="H382" s="52"/>
    </row>
    <row r="383" spans="1:8" ht="15.75">
      <c r="A383" s="106">
        <v>39993</v>
      </c>
      <c r="B383" s="107">
        <v>122.27</v>
      </c>
      <c r="C383" s="52"/>
      <c r="D383" s="52"/>
      <c r="E383" s="52"/>
      <c r="F383" s="52"/>
      <c r="G383" s="52"/>
      <c r="H383" s="52"/>
    </row>
    <row r="384" spans="1:8" ht="15.75">
      <c r="A384" s="106">
        <v>39994</v>
      </c>
      <c r="B384" s="107">
        <v>122.17</v>
      </c>
      <c r="C384" s="52"/>
      <c r="D384" s="52"/>
      <c r="E384" s="52"/>
      <c r="F384" s="52"/>
      <c r="G384" s="52"/>
      <c r="H384" s="52"/>
    </row>
    <row r="385" spans="1:8" ht="15.75">
      <c r="A385" s="106">
        <v>39995</v>
      </c>
      <c r="B385" s="107">
        <v>122.22</v>
      </c>
      <c r="C385" s="52"/>
      <c r="D385" s="52"/>
      <c r="E385" s="52"/>
      <c r="F385" s="52"/>
      <c r="G385" s="52"/>
      <c r="H385" s="52"/>
    </row>
    <row r="386" spans="1:8" ht="15.75">
      <c r="A386" s="106">
        <v>39996</v>
      </c>
      <c r="B386" s="107">
        <v>121.9</v>
      </c>
      <c r="C386" s="52"/>
      <c r="D386" s="52"/>
      <c r="E386" s="52"/>
      <c r="F386" s="52"/>
      <c r="G386" s="52"/>
      <c r="H386" s="52"/>
    </row>
    <row r="387" spans="1:8" ht="15.75">
      <c r="A387" s="106">
        <v>39997</v>
      </c>
      <c r="B387" s="107">
        <v>122.14</v>
      </c>
      <c r="C387" s="52"/>
      <c r="D387" s="52"/>
      <c r="E387" s="52"/>
      <c r="F387" s="52"/>
      <c r="G387" s="52"/>
      <c r="H387" s="52"/>
    </row>
    <row r="388" spans="1:8" ht="15.75">
      <c r="A388" s="106">
        <v>40000</v>
      </c>
      <c r="B388" s="107">
        <v>122.36</v>
      </c>
      <c r="C388" s="52"/>
      <c r="D388" s="52"/>
      <c r="E388" s="52"/>
      <c r="F388" s="52"/>
      <c r="G388" s="52"/>
      <c r="H388" s="52"/>
    </row>
    <row r="389" spans="1:8" ht="15.75">
      <c r="A389" s="106">
        <v>40001</v>
      </c>
      <c r="B389" s="107">
        <v>122.08</v>
      </c>
      <c r="C389" s="52"/>
      <c r="D389" s="52"/>
      <c r="E389" s="52"/>
      <c r="F389" s="52"/>
      <c r="G389" s="52"/>
      <c r="H389" s="52"/>
    </row>
    <row r="390" spans="1:8" ht="15.75">
      <c r="A390" s="106">
        <v>40002</v>
      </c>
      <c r="B390" s="107">
        <v>122.31</v>
      </c>
      <c r="C390" s="52"/>
      <c r="D390" s="52"/>
      <c r="E390" s="52"/>
      <c r="F390" s="52"/>
      <c r="G390" s="52"/>
      <c r="H390" s="52"/>
    </row>
    <row r="391" spans="1:8" ht="15.75">
      <c r="A391" s="106">
        <v>40003</v>
      </c>
      <c r="B391" s="107">
        <v>122.34</v>
      </c>
      <c r="C391" s="52"/>
      <c r="D391" s="52"/>
      <c r="E391" s="52"/>
      <c r="F391" s="52"/>
      <c r="G391" s="52"/>
      <c r="H391" s="52"/>
    </row>
    <row r="392" spans="1:8" ht="15.75">
      <c r="A392" s="106">
        <v>40004</v>
      </c>
      <c r="B392" s="107">
        <v>122.2</v>
      </c>
      <c r="C392" s="52"/>
      <c r="D392" s="52"/>
      <c r="E392" s="52"/>
      <c r="F392" s="52"/>
      <c r="G392" s="52"/>
      <c r="H392" s="52"/>
    </row>
    <row r="393" spans="1:8" ht="15.75">
      <c r="A393" s="106">
        <v>40007</v>
      </c>
      <c r="B393" s="107">
        <v>122.34</v>
      </c>
      <c r="C393" s="52"/>
      <c r="D393" s="52"/>
      <c r="E393" s="52"/>
      <c r="F393" s="52"/>
      <c r="G393" s="52"/>
      <c r="H393" s="52"/>
    </row>
    <row r="394" spans="1:8" ht="15.75">
      <c r="A394" s="106">
        <v>40008</v>
      </c>
      <c r="B394" s="107">
        <v>121.83</v>
      </c>
      <c r="C394" s="52"/>
      <c r="D394" s="52"/>
      <c r="E394" s="52"/>
      <c r="F394" s="52"/>
      <c r="G394" s="52"/>
      <c r="H394" s="52"/>
    </row>
    <row r="395" spans="1:8" ht="15.75">
      <c r="A395" s="106">
        <v>40009</v>
      </c>
      <c r="B395" s="107">
        <v>121.95</v>
      </c>
      <c r="C395" s="52"/>
      <c r="D395" s="52"/>
      <c r="E395" s="52"/>
      <c r="F395" s="52"/>
      <c r="G395" s="52"/>
      <c r="H395" s="52"/>
    </row>
    <row r="396" spans="1:8" ht="15.75">
      <c r="A396" s="106">
        <v>40010</v>
      </c>
      <c r="B396" s="107">
        <v>121.56</v>
      </c>
      <c r="C396" s="52"/>
      <c r="D396" s="52"/>
      <c r="E396" s="52"/>
      <c r="F396" s="52"/>
      <c r="G396" s="52"/>
      <c r="H396" s="52"/>
    </row>
    <row r="397" spans="1:8" ht="15.75">
      <c r="A397" s="106">
        <v>40011</v>
      </c>
      <c r="B397" s="107">
        <v>121.92</v>
      </c>
      <c r="C397" s="52"/>
      <c r="D397" s="52"/>
      <c r="E397" s="52"/>
      <c r="F397" s="52"/>
      <c r="G397" s="52"/>
      <c r="H397" s="52"/>
    </row>
    <row r="398" spans="1:8" ht="15.75">
      <c r="A398" s="106">
        <v>40014</v>
      </c>
      <c r="B398" s="107">
        <v>121.33</v>
      </c>
      <c r="C398" s="52"/>
      <c r="D398" s="52"/>
      <c r="E398" s="52"/>
      <c r="F398" s="52"/>
      <c r="G398" s="52"/>
      <c r="H398" s="52"/>
    </row>
    <row r="399" spans="1:8" ht="15.75">
      <c r="A399" s="106">
        <v>40015</v>
      </c>
      <c r="B399" s="107">
        <v>121.49</v>
      </c>
      <c r="C399" s="52"/>
      <c r="D399" s="52"/>
      <c r="E399" s="52"/>
      <c r="F399" s="52"/>
      <c r="G399" s="52"/>
      <c r="H399" s="52"/>
    </row>
    <row r="400" spans="1:8" ht="15.75">
      <c r="A400" s="106">
        <v>40016</v>
      </c>
      <c r="B400" s="107">
        <v>121.7</v>
      </c>
      <c r="C400" s="52"/>
      <c r="D400" s="52"/>
      <c r="E400" s="52"/>
      <c r="F400" s="52"/>
      <c r="G400" s="52"/>
      <c r="H400" s="52"/>
    </row>
    <row r="401" spans="1:8" ht="15.75">
      <c r="A401" s="106">
        <v>40017</v>
      </c>
      <c r="B401" s="107">
        <v>121.52</v>
      </c>
      <c r="C401" s="52"/>
      <c r="D401" s="52"/>
      <c r="E401" s="52"/>
      <c r="F401" s="52"/>
      <c r="G401" s="52"/>
      <c r="H401" s="52"/>
    </row>
    <row r="402" spans="1:8" ht="15.75">
      <c r="A402" s="106">
        <v>40018</v>
      </c>
      <c r="B402" s="107">
        <v>121.64</v>
      </c>
      <c r="C402" s="52"/>
      <c r="D402" s="52"/>
      <c r="E402" s="52"/>
      <c r="F402" s="52"/>
      <c r="G402" s="52"/>
      <c r="H402" s="52"/>
    </row>
    <row r="403" spans="1:8" ht="15.75">
      <c r="A403" s="106">
        <v>40021</v>
      </c>
      <c r="B403" s="107">
        <v>121.47</v>
      </c>
      <c r="C403" s="52"/>
      <c r="D403" s="52"/>
      <c r="E403" s="52"/>
      <c r="F403" s="52"/>
      <c r="G403" s="52"/>
      <c r="H403" s="52"/>
    </row>
    <row r="404" spans="1:8" ht="15.75">
      <c r="A404" s="106">
        <v>40022</v>
      </c>
      <c r="B404" s="107">
        <v>121.45</v>
      </c>
      <c r="C404" s="52"/>
      <c r="D404" s="52"/>
      <c r="E404" s="52"/>
      <c r="F404" s="52"/>
      <c r="G404" s="52"/>
      <c r="H404" s="52"/>
    </row>
    <row r="405" spans="1:8" ht="15.75">
      <c r="A405" s="106">
        <v>40023</v>
      </c>
      <c r="B405" s="107">
        <v>121.55</v>
      </c>
      <c r="C405" s="52"/>
      <c r="D405" s="52"/>
      <c r="E405" s="52"/>
      <c r="F405" s="52"/>
      <c r="G405" s="52"/>
      <c r="H405" s="52"/>
    </row>
    <row r="406" spans="1:8" ht="15.75">
      <c r="A406" s="106">
        <v>40024</v>
      </c>
      <c r="B406" s="107">
        <v>121.47</v>
      </c>
      <c r="C406" s="52"/>
      <c r="D406" s="52"/>
      <c r="E406" s="52"/>
      <c r="F406" s="52"/>
      <c r="G406" s="52"/>
      <c r="H406" s="52"/>
    </row>
    <row r="407" spans="1:8" ht="15.75">
      <c r="A407" s="106">
        <v>40025</v>
      </c>
      <c r="B407" s="107">
        <v>121.69</v>
      </c>
      <c r="C407" s="52"/>
      <c r="D407" s="52"/>
      <c r="E407" s="52"/>
      <c r="F407" s="52"/>
      <c r="G407" s="52"/>
      <c r="H407" s="52"/>
    </row>
    <row r="408" spans="1:8" ht="15.75">
      <c r="A408" s="106">
        <v>40028</v>
      </c>
      <c r="B408" s="107">
        <v>122.03</v>
      </c>
      <c r="C408" s="52"/>
      <c r="D408" s="52"/>
      <c r="E408" s="52"/>
      <c r="F408" s="52"/>
      <c r="G408" s="52"/>
      <c r="H408" s="52"/>
    </row>
    <row r="409" spans="1:8" ht="15.75">
      <c r="A409" s="106">
        <v>40029</v>
      </c>
      <c r="B409" s="107">
        <v>121.85</v>
      </c>
      <c r="C409" s="52"/>
      <c r="D409" s="52"/>
      <c r="E409" s="52"/>
      <c r="F409" s="52"/>
      <c r="G409" s="52"/>
      <c r="H409" s="52"/>
    </row>
    <row r="410" spans="1:8" ht="15.75">
      <c r="A410" s="106">
        <v>40030</v>
      </c>
      <c r="B410" s="107">
        <v>121.7</v>
      </c>
      <c r="C410" s="52"/>
      <c r="D410" s="52"/>
      <c r="E410" s="52"/>
      <c r="F410" s="52"/>
      <c r="G410" s="52"/>
      <c r="H410" s="52"/>
    </row>
    <row r="411" spans="1:8" ht="15.75">
      <c r="A411" s="106">
        <v>40031</v>
      </c>
      <c r="B411" s="107">
        <v>121.85</v>
      </c>
      <c r="C411" s="52"/>
      <c r="D411" s="52"/>
      <c r="E411" s="52"/>
      <c r="F411" s="52"/>
      <c r="G411" s="52"/>
      <c r="H411" s="52"/>
    </row>
    <row r="412" spans="1:8" ht="15.75">
      <c r="A412" s="106">
        <v>40032</v>
      </c>
      <c r="B412" s="107">
        <v>121.74</v>
      </c>
      <c r="C412" s="52"/>
      <c r="D412" s="52"/>
      <c r="E412" s="52"/>
      <c r="F412" s="52"/>
      <c r="G412" s="52"/>
      <c r="H412" s="52"/>
    </row>
    <row r="413" spans="1:8" ht="15.75">
      <c r="A413" s="106">
        <v>40035</v>
      </c>
      <c r="B413" s="107">
        <v>121.62</v>
      </c>
      <c r="C413" s="52"/>
      <c r="D413" s="52"/>
      <c r="E413" s="52"/>
      <c r="F413" s="52"/>
      <c r="G413" s="52"/>
      <c r="H413" s="52"/>
    </row>
    <row r="414" spans="1:8" ht="15.75">
      <c r="A414" s="106">
        <v>40036</v>
      </c>
      <c r="B414" s="107">
        <v>121.34</v>
      </c>
      <c r="C414" s="52"/>
      <c r="D414" s="52"/>
      <c r="E414" s="52"/>
      <c r="F414" s="52"/>
      <c r="G414" s="52"/>
      <c r="H414" s="52"/>
    </row>
    <row r="415" spans="1:8" ht="15.75">
      <c r="A415" s="106">
        <v>40037</v>
      </c>
      <c r="B415" s="107">
        <v>121.69</v>
      </c>
      <c r="C415" s="52"/>
      <c r="D415" s="52"/>
      <c r="E415" s="52"/>
      <c r="F415" s="52"/>
      <c r="G415" s="52"/>
      <c r="H415" s="52"/>
    </row>
    <row r="416" spans="1:8" ht="15.75">
      <c r="A416" s="106">
        <v>40038</v>
      </c>
      <c r="B416" s="107">
        <v>121.52</v>
      </c>
      <c r="C416" s="52"/>
      <c r="D416" s="52"/>
      <c r="E416" s="52"/>
      <c r="F416" s="52"/>
      <c r="G416" s="52"/>
      <c r="H416" s="52"/>
    </row>
    <row r="417" spans="1:8" ht="15.75">
      <c r="A417" s="106">
        <v>40039</v>
      </c>
      <c r="B417" s="107">
        <v>121.85</v>
      </c>
      <c r="C417" s="52"/>
      <c r="D417" s="52"/>
      <c r="E417" s="52"/>
      <c r="F417" s="52"/>
      <c r="G417" s="52"/>
      <c r="H417" s="52"/>
    </row>
    <row r="418" spans="1:8" ht="15.75">
      <c r="A418" s="106">
        <v>40042</v>
      </c>
      <c r="B418" s="107">
        <v>122.06</v>
      </c>
      <c r="C418" s="52"/>
      <c r="D418" s="52"/>
      <c r="E418" s="52"/>
      <c r="F418" s="52"/>
      <c r="G418" s="52"/>
      <c r="H418" s="52"/>
    </row>
    <row r="419" spans="1:8" ht="15.75">
      <c r="A419" s="106">
        <v>40043</v>
      </c>
      <c r="B419" s="107">
        <v>121.93</v>
      </c>
      <c r="C419" s="52"/>
      <c r="D419" s="52"/>
      <c r="E419" s="52"/>
      <c r="F419" s="52"/>
      <c r="G419" s="52"/>
      <c r="H419" s="52"/>
    </row>
    <row r="420" spans="1:8" ht="15.75">
      <c r="A420" s="106">
        <v>40044</v>
      </c>
      <c r="B420" s="107">
        <v>122.05</v>
      </c>
      <c r="C420" s="52"/>
      <c r="D420" s="52"/>
      <c r="E420" s="52"/>
      <c r="F420" s="52"/>
      <c r="G420" s="52"/>
      <c r="H420" s="52"/>
    </row>
    <row r="421" spans="1:8" ht="15.75">
      <c r="A421" s="106">
        <v>40045</v>
      </c>
      <c r="B421" s="107">
        <v>122.27</v>
      </c>
      <c r="C421" s="52"/>
      <c r="D421" s="52"/>
      <c r="E421" s="52"/>
      <c r="F421" s="52"/>
      <c r="G421" s="52"/>
      <c r="H421" s="52"/>
    </row>
    <row r="422" spans="1:8" ht="15.75">
      <c r="A422" s="106">
        <v>40046</v>
      </c>
      <c r="B422" s="107">
        <v>122.29</v>
      </c>
      <c r="C422" s="52"/>
      <c r="D422" s="52"/>
      <c r="E422" s="52"/>
      <c r="F422" s="52"/>
      <c r="G422" s="52"/>
      <c r="H422" s="52"/>
    </row>
    <row r="423" spans="1:8" ht="15.75">
      <c r="A423" s="106">
        <v>40049</v>
      </c>
      <c r="B423" s="107">
        <v>122.07</v>
      </c>
      <c r="C423" s="52"/>
      <c r="D423" s="52"/>
      <c r="E423" s="52"/>
      <c r="F423" s="52"/>
      <c r="G423" s="52"/>
      <c r="H423" s="52"/>
    </row>
    <row r="424" spans="1:8" ht="15.75">
      <c r="A424" s="106">
        <v>40050</v>
      </c>
      <c r="B424" s="107">
        <v>122.28</v>
      </c>
      <c r="C424" s="52"/>
      <c r="D424" s="52"/>
      <c r="E424" s="52"/>
      <c r="F424" s="52"/>
      <c r="G424" s="52"/>
      <c r="H424" s="52"/>
    </row>
    <row r="425" spans="1:8" ht="15.75">
      <c r="A425" s="106">
        <v>40051</v>
      </c>
      <c r="B425" s="107">
        <v>122.17</v>
      </c>
      <c r="C425" s="52"/>
      <c r="D425" s="52"/>
      <c r="E425" s="52"/>
      <c r="F425" s="52"/>
      <c r="G425" s="52"/>
      <c r="H425" s="52"/>
    </row>
    <row r="426" spans="1:8" ht="15.75">
      <c r="A426" s="106">
        <v>40052</v>
      </c>
      <c r="B426" s="107">
        <v>122.46</v>
      </c>
      <c r="C426" s="52"/>
      <c r="D426" s="52"/>
      <c r="E426" s="52"/>
      <c r="F426" s="52"/>
      <c r="G426" s="52"/>
      <c r="H426" s="52"/>
    </row>
    <row r="427" spans="1:8" ht="15.75">
      <c r="A427" s="106">
        <v>40053</v>
      </c>
      <c r="B427" s="107">
        <v>122.28</v>
      </c>
      <c r="C427" s="52"/>
      <c r="D427" s="52"/>
      <c r="E427" s="52"/>
      <c r="F427" s="52"/>
      <c r="G427" s="52"/>
      <c r="H427" s="52"/>
    </row>
    <row r="428" spans="1:8" ht="15.75">
      <c r="A428" s="106">
        <v>40056</v>
      </c>
      <c r="B428" s="107">
        <v>122.5</v>
      </c>
      <c r="C428" s="52"/>
      <c r="D428" s="52"/>
      <c r="E428" s="52"/>
      <c r="F428" s="52"/>
      <c r="G428" s="52"/>
      <c r="H428" s="52"/>
    </row>
    <row r="429" spans="1:8" ht="15.75">
      <c r="A429" s="106">
        <v>40057</v>
      </c>
      <c r="B429" s="107">
        <v>122.61</v>
      </c>
      <c r="C429" s="52"/>
      <c r="D429" s="52"/>
      <c r="E429" s="52"/>
      <c r="F429" s="52"/>
      <c r="G429" s="52"/>
      <c r="H429" s="52"/>
    </row>
    <row r="430" spans="1:8" ht="15.75">
      <c r="A430" s="106">
        <v>40058</v>
      </c>
      <c r="B430" s="107">
        <v>122.76</v>
      </c>
      <c r="C430" s="52"/>
      <c r="D430" s="52"/>
      <c r="E430" s="52"/>
      <c r="F430" s="52"/>
      <c r="G430" s="52"/>
      <c r="H430" s="52"/>
    </row>
    <row r="431" spans="1:8" ht="15.75">
      <c r="A431" s="106">
        <v>40059</v>
      </c>
      <c r="B431" s="107">
        <v>122.73</v>
      </c>
      <c r="C431" s="52"/>
      <c r="D431" s="52"/>
      <c r="E431" s="52"/>
      <c r="F431" s="52"/>
      <c r="G431" s="52"/>
      <c r="H431" s="52"/>
    </row>
    <row r="432" spans="1:8" ht="15.75">
      <c r="A432" s="106">
        <v>40060</v>
      </c>
      <c r="B432" s="107">
        <v>122.75</v>
      </c>
      <c r="C432" s="52"/>
      <c r="D432" s="52"/>
      <c r="E432" s="52"/>
      <c r="F432" s="52"/>
      <c r="G432" s="52"/>
      <c r="H432" s="52"/>
    </row>
    <row r="433" spans="1:8" ht="15.75">
      <c r="A433" s="106">
        <v>40063</v>
      </c>
      <c r="B433" s="107">
        <v>122.96</v>
      </c>
      <c r="C433" s="52"/>
      <c r="D433" s="52"/>
      <c r="E433" s="52"/>
      <c r="F433" s="52"/>
      <c r="G433" s="52"/>
      <c r="H433" s="52"/>
    </row>
    <row r="434" spans="1:8" ht="15.75">
      <c r="A434" s="106">
        <v>40064</v>
      </c>
      <c r="B434" s="107">
        <v>123</v>
      </c>
      <c r="C434" s="52"/>
      <c r="D434" s="52"/>
      <c r="E434" s="52"/>
      <c r="F434" s="52"/>
      <c r="G434" s="52"/>
      <c r="H434" s="52"/>
    </row>
    <row r="435" spans="1:8" ht="15.75">
      <c r="A435" s="106">
        <v>40065</v>
      </c>
      <c r="B435" s="107">
        <v>122.59</v>
      </c>
      <c r="C435" s="52"/>
      <c r="D435" s="52"/>
      <c r="E435" s="52"/>
      <c r="F435" s="52"/>
      <c r="G435" s="52"/>
      <c r="H435" s="52"/>
    </row>
    <row r="436" spans="1:8" ht="15.75">
      <c r="A436" s="106">
        <v>40066</v>
      </c>
      <c r="B436" s="107">
        <v>122.58</v>
      </c>
      <c r="C436" s="52"/>
      <c r="D436" s="52"/>
      <c r="E436" s="52"/>
      <c r="F436" s="52"/>
      <c r="G436" s="52"/>
      <c r="H436" s="52"/>
    </row>
    <row r="437" spans="1:8" ht="15.75">
      <c r="A437" s="106">
        <v>40067</v>
      </c>
      <c r="B437" s="107">
        <v>122.73</v>
      </c>
      <c r="C437" s="52"/>
      <c r="D437" s="52"/>
      <c r="E437" s="52"/>
      <c r="F437" s="52"/>
      <c r="G437" s="52"/>
      <c r="H437" s="52"/>
    </row>
    <row r="438" spans="1:8" ht="15.75">
      <c r="A438" s="106">
        <v>40070</v>
      </c>
      <c r="B438" s="107">
        <v>122.36</v>
      </c>
      <c r="C438" s="52"/>
      <c r="D438" s="52"/>
      <c r="E438" s="52"/>
      <c r="F438" s="52"/>
      <c r="G438" s="52"/>
      <c r="H438" s="52"/>
    </row>
    <row r="439" spans="1:8" ht="15.75">
      <c r="A439" s="106">
        <v>40071</v>
      </c>
      <c r="B439" s="107">
        <v>122.65</v>
      </c>
      <c r="C439" s="52"/>
      <c r="D439" s="52"/>
      <c r="E439" s="52"/>
      <c r="F439" s="52"/>
      <c r="G439" s="52"/>
      <c r="H439" s="52"/>
    </row>
    <row r="440" spans="1:8" ht="15.75">
      <c r="A440" s="106">
        <v>40072</v>
      </c>
      <c r="B440" s="107">
        <v>122.68</v>
      </c>
      <c r="C440" s="52"/>
      <c r="D440" s="52"/>
      <c r="E440" s="52"/>
      <c r="F440" s="52"/>
      <c r="G440" s="52"/>
      <c r="H440" s="52"/>
    </row>
    <row r="441" spans="1:8" ht="15.75">
      <c r="A441" s="106">
        <v>40073</v>
      </c>
      <c r="B441" s="107">
        <v>122.37</v>
      </c>
      <c r="C441" s="52"/>
      <c r="D441" s="52"/>
      <c r="E441" s="52"/>
      <c r="F441" s="52"/>
      <c r="G441" s="52"/>
      <c r="H441" s="52"/>
    </row>
    <row r="442" spans="1:8" ht="15.75">
      <c r="A442" s="106">
        <v>40074</v>
      </c>
      <c r="B442" s="107">
        <v>122.36</v>
      </c>
      <c r="C442" s="52"/>
      <c r="D442" s="52"/>
      <c r="E442" s="52"/>
      <c r="F442" s="52"/>
      <c r="G442" s="52"/>
      <c r="H442" s="52"/>
    </row>
    <row r="443" spans="1:8" ht="15.75">
      <c r="A443" s="106">
        <v>40077</v>
      </c>
      <c r="B443" s="107">
        <v>122.45</v>
      </c>
      <c r="C443" s="52"/>
      <c r="D443" s="52"/>
      <c r="E443" s="52"/>
      <c r="F443" s="52"/>
      <c r="G443" s="52"/>
      <c r="H443" s="52"/>
    </row>
    <row r="444" spans="1:8" ht="15.75">
      <c r="A444" s="106">
        <v>40078</v>
      </c>
      <c r="B444" s="107">
        <v>122.5</v>
      </c>
      <c r="C444" s="52"/>
      <c r="D444" s="52"/>
      <c r="E444" s="52"/>
      <c r="F444" s="52"/>
      <c r="G444" s="52"/>
      <c r="H444" s="52"/>
    </row>
    <row r="445" spans="1:8" ht="15.75">
      <c r="A445" s="106">
        <v>40079</v>
      </c>
      <c r="B445" s="107">
        <v>122.25</v>
      </c>
      <c r="C445" s="52"/>
      <c r="D445" s="52"/>
      <c r="E445" s="52"/>
      <c r="F445" s="52"/>
      <c r="G445" s="52"/>
      <c r="H445" s="52"/>
    </row>
    <row r="446" spans="1:8" ht="15.75">
      <c r="A446" s="106">
        <v>40080</v>
      </c>
      <c r="B446" s="107">
        <v>122.63</v>
      </c>
      <c r="C446" s="52"/>
      <c r="D446" s="52"/>
      <c r="E446" s="52"/>
      <c r="F446" s="52"/>
      <c r="G446" s="52"/>
      <c r="H446" s="52"/>
    </row>
    <row r="447" spans="1:8" ht="15.75">
      <c r="A447" s="106">
        <v>40081</v>
      </c>
      <c r="B447" s="107">
        <v>122.83</v>
      </c>
      <c r="C447" s="52"/>
      <c r="D447" s="52"/>
      <c r="E447" s="52"/>
      <c r="F447" s="52"/>
      <c r="G447" s="52"/>
      <c r="H447" s="52"/>
    </row>
    <row r="448" spans="1:8" ht="15.75">
      <c r="A448" s="106">
        <v>40084</v>
      </c>
      <c r="B448" s="107">
        <v>122.82</v>
      </c>
      <c r="C448" s="52"/>
      <c r="D448" s="52"/>
      <c r="E448" s="52"/>
      <c r="F448" s="52"/>
      <c r="G448" s="52"/>
      <c r="H448" s="52"/>
    </row>
    <row r="449" spans="1:8" ht="15.75">
      <c r="A449" s="106">
        <v>40085</v>
      </c>
      <c r="B449" s="107">
        <v>122.86</v>
      </c>
      <c r="C449" s="52"/>
      <c r="D449" s="52"/>
      <c r="E449" s="52"/>
      <c r="F449" s="52"/>
      <c r="G449" s="52"/>
      <c r="H449" s="52"/>
    </row>
    <row r="450" spans="1:8" ht="15.75">
      <c r="A450" s="106">
        <v>40086</v>
      </c>
      <c r="B450" s="107">
        <v>122.68</v>
      </c>
      <c r="C450" s="52"/>
      <c r="D450" s="52"/>
      <c r="E450" s="52"/>
      <c r="F450" s="52"/>
      <c r="G450" s="52"/>
      <c r="H450" s="52"/>
    </row>
    <row r="451" spans="1:8" ht="15.75">
      <c r="A451" s="106">
        <v>40087</v>
      </c>
      <c r="B451" s="107">
        <v>122.76</v>
      </c>
      <c r="C451" s="52"/>
      <c r="D451" s="52"/>
      <c r="E451" s="52"/>
      <c r="F451" s="52"/>
      <c r="G451" s="52"/>
      <c r="H451" s="52"/>
    </row>
    <row r="452" spans="1:8" ht="15.75">
      <c r="A452" s="106">
        <v>40088</v>
      </c>
      <c r="B452" s="107">
        <v>123.31</v>
      </c>
      <c r="C452" s="52"/>
      <c r="D452" s="52"/>
      <c r="E452" s="52"/>
      <c r="F452" s="52"/>
      <c r="G452" s="52"/>
      <c r="H452" s="52"/>
    </row>
    <row r="453" spans="1:8" ht="15.75">
      <c r="A453" s="106">
        <v>40091</v>
      </c>
      <c r="B453" s="107">
        <v>123.2</v>
      </c>
      <c r="C453" s="52"/>
      <c r="D453" s="52"/>
      <c r="E453" s="52"/>
      <c r="F453" s="52"/>
      <c r="G453" s="52"/>
      <c r="H453" s="52"/>
    </row>
    <row r="454" spans="1:8" ht="15.75">
      <c r="A454" s="106">
        <v>40092</v>
      </c>
      <c r="B454" s="107">
        <v>123.19</v>
      </c>
      <c r="C454" s="52"/>
      <c r="D454" s="52"/>
      <c r="E454" s="52"/>
      <c r="F454" s="52"/>
      <c r="G454" s="52"/>
      <c r="H454" s="52"/>
    </row>
    <row r="455" spans="1:8" ht="15.75">
      <c r="A455" s="106">
        <v>40093</v>
      </c>
      <c r="B455" s="107">
        <v>123.01</v>
      </c>
      <c r="C455" s="52"/>
      <c r="D455" s="52"/>
      <c r="E455" s="52"/>
      <c r="F455" s="52"/>
      <c r="G455" s="52"/>
      <c r="H455" s="52"/>
    </row>
    <row r="456" spans="1:8" ht="15.75">
      <c r="A456" s="106">
        <v>40094</v>
      </c>
      <c r="B456" s="107">
        <v>123.17</v>
      </c>
      <c r="C456" s="52"/>
      <c r="D456" s="52"/>
      <c r="E456" s="52"/>
      <c r="F456" s="52"/>
      <c r="G456" s="52"/>
      <c r="H456" s="52"/>
    </row>
    <row r="457" spans="1:8" ht="15.75">
      <c r="A457" s="106">
        <v>40095</v>
      </c>
      <c r="B457" s="107">
        <v>122.94</v>
      </c>
      <c r="C457" s="52"/>
      <c r="D457" s="52"/>
      <c r="E457" s="52"/>
      <c r="F457" s="52"/>
      <c r="G457" s="52"/>
      <c r="H457" s="52"/>
    </row>
    <row r="458" spans="1:8" ht="15.75">
      <c r="A458" s="106">
        <v>40098</v>
      </c>
      <c r="B458" s="107">
        <v>122.76</v>
      </c>
      <c r="C458" s="52"/>
      <c r="D458" s="52"/>
      <c r="E458" s="52"/>
      <c r="F458" s="52"/>
      <c r="G458" s="52"/>
      <c r="H458" s="52"/>
    </row>
    <row r="459" spans="1:8" ht="15.75">
      <c r="A459" s="106">
        <v>40099</v>
      </c>
      <c r="B459" s="107">
        <v>122.99</v>
      </c>
      <c r="C459" s="52"/>
      <c r="D459" s="52"/>
      <c r="E459" s="52"/>
      <c r="F459" s="52"/>
      <c r="G459" s="52"/>
      <c r="H459" s="52"/>
    </row>
    <row r="460" spans="1:8" ht="15.75">
      <c r="A460" s="106">
        <v>40100</v>
      </c>
      <c r="B460" s="107">
        <v>122.8</v>
      </c>
      <c r="C460" s="52"/>
      <c r="D460" s="52"/>
      <c r="E460" s="52"/>
      <c r="F460" s="52"/>
      <c r="G460" s="52"/>
      <c r="H460" s="52"/>
    </row>
    <row r="461" spans="1:8" ht="15.75">
      <c r="A461" s="106">
        <v>40101</v>
      </c>
      <c r="B461" s="107">
        <v>122.72</v>
      </c>
      <c r="C461" s="52"/>
      <c r="D461" s="52"/>
      <c r="E461" s="52"/>
      <c r="F461" s="52"/>
      <c r="G461" s="52"/>
      <c r="H461" s="52"/>
    </row>
    <row r="462" spans="1:8" ht="15.75">
      <c r="A462" s="106">
        <v>40102</v>
      </c>
      <c r="B462" s="107">
        <v>122.45</v>
      </c>
      <c r="C462" s="52"/>
      <c r="D462" s="52"/>
      <c r="E462" s="52"/>
      <c r="F462" s="52"/>
      <c r="G462" s="52"/>
      <c r="H462" s="52"/>
    </row>
    <row r="463" spans="1:8" ht="15.75">
      <c r="A463" s="106">
        <v>40105</v>
      </c>
      <c r="B463" s="107">
        <v>122.37</v>
      </c>
      <c r="C463" s="52"/>
      <c r="D463" s="52"/>
      <c r="E463" s="52"/>
      <c r="F463" s="52"/>
      <c r="G463" s="52"/>
      <c r="H463" s="52"/>
    </row>
    <row r="464" spans="1:8" ht="15.75">
      <c r="A464" s="106">
        <v>40106</v>
      </c>
      <c r="B464" s="107">
        <v>122.6</v>
      </c>
      <c r="C464" s="52"/>
      <c r="D464" s="52"/>
      <c r="E464" s="52"/>
      <c r="F464" s="52"/>
      <c r="G464" s="52"/>
      <c r="H464" s="52"/>
    </row>
    <row r="465" spans="1:8" ht="15.75">
      <c r="A465" s="106">
        <v>40107</v>
      </c>
      <c r="B465" s="107">
        <v>122.65</v>
      </c>
      <c r="C465" s="52"/>
      <c r="D465" s="52"/>
      <c r="E465" s="52"/>
      <c r="F465" s="52"/>
      <c r="G465" s="52"/>
      <c r="H465" s="52"/>
    </row>
    <row r="466" spans="1:8" ht="15.75">
      <c r="A466" s="106">
        <v>40108</v>
      </c>
      <c r="B466" s="107">
        <v>122.55</v>
      </c>
      <c r="C466" s="52"/>
      <c r="D466" s="52"/>
      <c r="E466" s="52"/>
      <c r="F466" s="52"/>
      <c r="G466" s="52"/>
      <c r="H466" s="52"/>
    </row>
    <row r="467" spans="1:8" ht="15.75">
      <c r="A467" s="106">
        <v>40109</v>
      </c>
      <c r="B467" s="107">
        <v>122.51</v>
      </c>
      <c r="C467" s="52"/>
      <c r="D467" s="52"/>
      <c r="E467" s="52"/>
      <c r="F467" s="52"/>
      <c r="G467" s="52"/>
      <c r="H467" s="52"/>
    </row>
    <row r="468" spans="1:8" ht="15.75">
      <c r="A468" s="106">
        <v>40112</v>
      </c>
      <c r="B468" s="107">
        <v>122.37</v>
      </c>
      <c r="C468" s="52"/>
      <c r="D468" s="52"/>
      <c r="E468" s="52"/>
      <c r="F468" s="52"/>
      <c r="G468" s="52"/>
      <c r="H468" s="52"/>
    </row>
    <row r="469" spans="1:8" ht="15.75">
      <c r="A469" s="106">
        <v>40113</v>
      </c>
      <c r="B469" s="107">
        <v>122.67</v>
      </c>
      <c r="C469" s="52"/>
      <c r="D469" s="52"/>
      <c r="E469" s="52"/>
      <c r="F469" s="52"/>
      <c r="G469" s="52"/>
      <c r="H469" s="52"/>
    </row>
    <row r="470" spans="1:8" ht="15.75">
      <c r="A470" s="106">
        <v>40114</v>
      </c>
      <c r="B470" s="107">
        <v>123.06</v>
      </c>
      <c r="C470" s="52"/>
      <c r="D470" s="52"/>
      <c r="E470" s="52"/>
      <c r="F470" s="52"/>
      <c r="G470" s="52"/>
      <c r="H470" s="52"/>
    </row>
    <row r="471" spans="1:8" ht="15.75">
      <c r="A471" s="106">
        <v>40115</v>
      </c>
      <c r="B471" s="107">
        <v>123.13</v>
      </c>
      <c r="C471" s="52"/>
      <c r="D471" s="52"/>
      <c r="E471" s="52"/>
      <c r="F471" s="52"/>
      <c r="G471" s="52"/>
      <c r="H471" s="52"/>
    </row>
    <row r="472" spans="1:8" ht="15.75">
      <c r="A472" s="106">
        <v>40116</v>
      </c>
      <c r="B472" s="107">
        <v>123.2</v>
      </c>
      <c r="C472" s="52"/>
      <c r="D472" s="52"/>
      <c r="E472" s="52"/>
      <c r="F472" s="52"/>
      <c r="G472" s="52"/>
      <c r="H472" s="52"/>
    </row>
    <row r="473" spans="1:8" ht="15.75">
      <c r="A473" s="106">
        <v>40119</v>
      </c>
      <c r="B473" s="107">
        <v>123.37</v>
      </c>
      <c r="C473" s="52"/>
      <c r="D473" s="52"/>
      <c r="E473" s="52"/>
      <c r="F473" s="52"/>
      <c r="G473" s="52"/>
      <c r="H473" s="52"/>
    </row>
    <row r="474" spans="1:8" ht="15.75">
      <c r="A474" s="106">
        <v>40120</v>
      </c>
      <c r="B474" s="107">
        <v>123.64</v>
      </c>
      <c r="C474" s="52"/>
      <c r="D474" s="52"/>
      <c r="E474" s="52"/>
      <c r="F474" s="52"/>
      <c r="G474" s="52"/>
      <c r="H474" s="52"/>
    </row>
    <row r="475" spans="1:8" ht="15.75">
      <c r="A475" s="106">
        <v>40121</v>
      </c>
      <c r="B475" s="107">
        <v>123.29</v>
      </c>
      <c r="C475" s="52"/>
      <c r="D475" s="52"/>
      <c r="E475" s="52"/>
      <c r="F475" s="52"/>
      <c r="G475" s="52"/>
      <c r="H475" s="52"/>
    </row>
    <row r="476" spans="1:8" ht="15.75">
      <c r="A476" s="106">
        <v>40122</v>
      </c>
      <c r="B476" s="107">
        <v>123.32</v>
      </c>
      <c r="C476" s="52"/>
      <c r="D476" s="52"/>
      <c r="E476" s="52"/>
      <c r="F476" s="52"/>
      <c r="G476" s="52"/>
      <c r="H476" s="52"/>
    </row>
    <row r="477" spans="1:8" ht="15.75">
      <c r="A477" s="106">
        <v>40123</v>
      </c>
      <c r="B477" s="107">
        <v>123.28</v>
      </c>
      <c r="C477" s="52"/>
      <c r="D477" s="52"/>
      <c r="E477" s="52"/>
      <c r="F477" s="52"/>
      <c r="G477" s="52"/>
      <c r="H477" s="52"/>
    </row>
    <row r="478" spans="1:8" ht="15.75">
      <c r="A478" s="106">
        <v>40126</v>
      </c>
      <c r="B478" s="107">
        <v>123.37</v>
      </c>
      <c r="C478" s="52"/>
      <c r="D478" s="52"/>
      <c r="E478" s="52"/>
      <c r="F478" s="52"/>
      <c r="G478" s="52"/>
      <c r="H478" s="52"/>
    </row>
    <row r="479" spans="1:8" ht="15.75">
      <c r="A479" s="106">
        <v>40127</v>
      </c>
      <c r="B479" s="107">
        <v>123.57</v>
      </c>
      <c r="C479" s="52"/>
      <c r="D479" s="52"/>
      <c r="E479" s="52"/>
      <c r="F479" s="52"/>
      <c r="G479" s="52"/>
      <c r="H479" s="52"/>
    </row>
    <row r="480" spans="1:8" ht="15.75">
      <c r="A480" s="106">
        <v>40128</v>
      </c>
      <c r="B480" s="107">
        <v>123.53</v>
      </c>
      <c r="C480" s="52"/>
      <c r="D480" s="52"/>
      <c r="E480" s="52"/>
      <c r="F480" s="52"/>
      <c r="G480" s="52"/>
      <c r="H480" s="52"/>
    </row>
    <row r="481" spans="1:8" ht="15.75">
      <c r="A481" s="106">
        <v>40129</v>
      </c>
      <c r="B481" s="107">
        <v>123.55</v>
      </c>
      <c r="C481" s="52"/>
      <c r="D481" s="52"/>
      <c r="E481" s="52"/>
      <c r="F481" s="52"/>
      <c r="G481" s="52"/>
      <c r="H481" s="52"/>
    </row>
    <row r="482" spans="1:8" ht="15.75">
      <c r="A482" s="106">
        <v>40130</v>
      </c>
      <c r="B482" s="107">
        <v>123.61</v>
      </c>
      <c r="C482" s="52"/>
      <c r="D482" s="52"/>
      <c r="E482" s="52"/>
      <c r="F482" s="52"/>
      <c r="G482" s="52"/>
      <c r="H482" s="52"/>
    </row>
    <row r="483" spans="1:8" ht="15.75">
      <c r="A483" s="106">
        <v>40133</v>
      </c>
      <c r="B483" s="107">
        <v>123.81</v>
      </c>
      <c r="C483" s="52"/>
      <c r="D483" s="52"/>
      <c r="E483" s="52"/>
      <c r="F483" s="52"/>
      <c r="G483" s="52"/>
      <c r="H483" s="52"/>
    </row>
    <row r="484" spans="1:8" ht="15.75">
      <c r="A484" s="106">
        <v>40134</v>
      </c>
      <c r="B484" s="107">
        <v>123.73</v>
      </c>
      <c r="C484" s="52"/>
      <c r="D484" s="52"/>
      <c r="E484" s="52"/>
      <c r="F484" s="52"/>
      <c r="G484" s="52"/>
      <c r="H484" s="52"/>
    </row>
    <row r="485" spans="1:8" ht="15.75">
      <c r="A485" s="106">
        <v>40135</v>
      </c>
      <c r="B485" s="107">
        <v>123.84</v>
      </c>
      <c r="C485" s="52"/>
      <c r="D485" s="52"/>
      <c r="E485" s="52"/>
      <c r="F485" s="52"/>
      <c r="G485" s="52"/>
      <c r="H485" s="52"/>
    </row>
    <row r="486" spans="1:8" ht="15.75">
      <c r="A486" s="106">
        <v>40136</v>
      </c>
      <c r="B486" s="107">
        <v>123.72</v>
      </c>
      <c r="C486" s="52"/>
      <c r="D486" s="52"/>
      <c r="E486" s="52"/>
      <c r="F486" s="52"/>
      <c r="G486" s="52"/>
      <c r="H486" s="52"/>
    </row>
    <row r="487" spans="1:8" ht="15.75">
      <c r="A487" s="106">
        <v>40137</v>
      </c>
      <c r="B487" s="107">
        <v>123.9</v>
      </c>
      <c r="C487" s="52"/>
      <c r="D487" s="52"/>
      <c r="E487" s="52"/>
      <c r="F487" s="52"/>
      <c r="G487" s="52"/>
      <c r="H487" s="52"/>
    </row>
    <row r="488" spans="1:8" ht="15.75">
      <c r="A488" s="106">
        <v>40140</v>
      </c>
      <c r="B488" s="107">
        <v>123.73</v>
      </c>
      <c r="C488" s="52"/>
      <c r="D488" s="52"/>
      <c r="E488" s="52"/>
      <c r="F488" s="52"/>
      <c r="G488" s="52"/>
      <c r="H488" s="52"/>
    </row>
    <row r="489" spans="1:8" ht="15.75">
      <c r="A489" s="106">
        <v>40141</v>
      </c>
      <c r="B489" s="107">
        <v>123.78</v>
      </c>
      <c r="C489" s="52"/>
      <c r="D489" s="52"/>
      <c r="E489" s="52"/>
      <c r="F489" s="52"/>
      <c r="G489" s="52"/>
      <c r="H489" s="52"/>
    </row>
    <row r="490" spans="1:8" ht="15.75">
      <c r="A490" s="106">
        <v>40142</v>
      </c>
      <c r="B490" s="107">
        <v>123.85</v>
      </c>
      <c r="C490" s="52"/>
      <c r="D490" s="52"/>
      <c r="E490" s="52"/>
      <c r="F490" s="52"/>
      <c r="G490" s="52"/>
      <c r="H490" s="52"/>
    </row>
    <row r="491" spans="1:8" ht="15.75">
      <c r="A491" s="106">
        <v>40143</v>
      </c>
      <c r="B491" s="107">
        <v>124.24</v>
      </c>
      <c r="C491" s="52"/>
      <c r="D491" s="52"/>
      <c r="E491" s="52"/>
      <c r="F491" s="52"/>
      <c r="G491" s="52"/>
      <c r="H491" s="52"/>
    </row>
    <row r="492" spans="1:8" ht="15.75">
      <c r="A492" s="106">
        <v>40144</v>
      </c>
      <c r="B492" s="107">
        <v>124.37</v>
      </c>
      <c r="C492" s="52"/>
      <c r="D492" s="52"/>
      <c r="E492" s="52"/>
      <c r="F492" s="52"/>
      <c r="G492" s="52"/>
      <c r="H492" s="52"/>
    </row>
    <row r="493" spans="1:8" ht="15.75">
      <c r="A493" s="106">
        <v>40147</v>
      </c>
      <c r="B493" s="107">
        <v>124.43</v>
      </c>
      <c r="C493" s="52"/>
      <c r="D493" s="52"/>
      <c r="E493" s="52"/>
      <c r="F493" s="52"/>
      <c r="G493" s="52"/>
      <c r="H493" s="52"/>
    </row>
    <row r="494" spans="1:8" ht="15.75">
      <c r="A494" s="106">
        <v>40148</v>
      </c>
      <c r="B494" s="107">
        <v>124.37</v>
      </c>
      <c r="C494" s="52"/>
      <c r="D494" s="52"/>
      <c r="E494" s="52"/>
      <c r="F494" s="52"/>
      <c r="G494" s="52"/>
      <c r="H494" s="52"/>
    </row>
    <row r="495" spans="1:8" ht="15.75">
      <c r="A495" s="106">
        <v>40149</v>
      </c>
      <c r="B495" s="107">
        <v>124.27</v>
      </c>
      <c r="C495" s="52"/>
      <c r="D495" s="52"/>
      <c r="E495" s="52"/>
      <c r="F495" s="52"/>
      <c r="G495" s="52"/>
      <c r="H495" s="52"/>
    </row>
    <row r="496" spans="1:8" ht="15.75">
      <c r="A496" s="106">
        <v>40150</v>
      </c>
      <c r="B496" s="107">
        <v>124.05</v>
      </c>
      <c r="C496" s="52"/>
      <c r="D496" s="52"/>
      <c r="E496" s="52"/>
      <c r="F496" s="52"/>
      <c r="G496" s="52"/>
      <c r="H496" s="52"/>
    </row>
    <row r="497" spans="1:8" ht="15.75">
      <c r="A497" s="106">
        <v>40151</v>
      </c>
      <c r="B497" s="107">
        <v>124.25</v>
      </c>
      <c r="C497" s="52"/>
      <c r="D497" s="52"/>
      <c r="E497" s="52"/>
      <c r="F497" s="52"/>
      <c r="G497" s="52"/>
      <c r="H497" s="52"/>
    </row>
    <row r="498" spans="1:8" ht="15.75">
      <c r="A498" s="106">
        <v>40154</v>
      </c>
      <c r="B498" s="107">
        <v>123.78</v>
      </c>
      <c r="C498" s="52"/>
      <c r="D498" s="52"/>
      <c r="E498" s="52"/>
      <c r="F498" s="52"/>
      <c r="G498" s="52"/>
      <c r="H498" s="52"/>
    </row>
    <row r="499" spans="1:8" ht="15.75">
      <c r="A499" s="106">
        <v>40155</v>
      </c>
      <c r="B499" s="107">
        <v>124.31</v>
      </c>
      <c r="C499" s="52"/>
      <c r="D499" s="52"/>
      <c r="E499" s="52"/>
      <c r="F499" s="52"/>
      <c r="G499" s="52"/>
      <c r="H499" s="52"/>
    </row>
    <row r="500" spans="1:8" ht="15.75">
      <c r="A500" s="106">
        <v>40156</v>
      </c>
      <c r="B500" s="107">
        <v>124.31</v>
      </c>
      <c r="C500" s="52"/>
      <c r="D500" s="52"/>
      <c r="E500" s="52"/>
      <c r="F500" s="52"/>
      <c r="G500" s="52"/>
      <c r="H500" s="52"/>
    </row>
    <row r="501" spans="1:8" ht="15.75">
      <c r="A501" s="106">
        <v>40157</v>
      </c>
      <c r="B501" s="107">
        <v>124.43</v>
      </c>
      <c r="C501" s="52"/>
      <c r="D501" s="52"/>
      <c r="E501" s="52"/>
      <c r="F501" s="52"/>
      <c r="G501" s="52"/>
      <c r="H501" s="52"/>
    </row>
    <row r="502" spans="1:8" ht="15.75">
      <c r="A502" s="106">
        <v>40158</v>
      </c>
      <c r="B502" s="107">
        <v>124.34</v>
      </c>
      <c r="C502" s="52"/>
      <c r="D502" s="52"/>
      <c r="E502" s="52"/>
      <c r="F502" s="52"/>
      <c r="G502" s="52"/>
      <c r="H502" s="52"/>
    </row>
    <row r="503" spans="1:8" ht="15.75">
      <c r="A503" s="106">
        <v>40161</v>
      </c>
      <c r="B503" s="107">
        <v>124.35</v>
      </c>
      <c r="C503" s="52"/>
      <c r="D503" s="52"/>
      <c r="E503" s="52"/>
      <c r="F503" s="52"/>
      <c r="G503" s="52"/>
      <c r="H503" s="52"/>
    </row>
    <row r="504" spans="1:8" ht="15.75">
      <c r="A504" s="106">
        <v>40162</v>
      </c>
      <c r="B504" s="107">
        <v>124.35</v>
      </c>
      <c r="C504" s="52"/>
      <c r="D504" s="52"/>
      <c r="E504" s="52"/>
      <c r="F504" s="52"/>
      <c r="G504" s="52"/>
      <c r="H504" s="52"/>
    </row>
    <row r="505" spans="1:8" ht="15.75">
      <c r="A505" s="106">
        <v>40163</v>
      </c>
      <c r="B505" s="107">
        <v>124.42</v>
      </c>
      <c r="C505" s="52"/>
      <c r="D505" s="52"/>
      <c r="E505" s="52"/>
      <c r="F505" s="52"/>
      <c r="G505" s="52"/>
      <c r="H505" s="52"/>
    </row>
    <row r="506" spans="1:8" ht="15.75">
      <c r="A506" s="106">
        <v>40164</v>
      </c>
      <c r="B506" s="107">
        <v>124.66</v>
      </c>
      <c r="C506" s="52"/>
      <c r="D506" s="52"/>
      <c r="E506" s="52"/>
      <c r="F506" s="52"/>
      <c r="G506" s="52"/>
      <c r="H506" s="52"/>
    </row>
    <row r="507" spans="1:8" ht="15.75">
      <c r="A507" s="106">
        <v>40165</v>
      </c>
      <c r="B507" s="107">
        <v>124.81</v>
      </c>
      <c r="C507" s="52"/>
      <c r="D507" s="52"/>
      <c r="E507" s="52"/>
      <c r="F507" s="52"/>
      <c r="G507" s="52"/>
      <c r="H507" s="52"/>
    </row>
    <row r="508" spans="1:8" ht="15.75">
      <c r="A508" s="106">
        <v>40168</v>
      </c>
      <c r="B508" s="107">
        <v>124.72</v>
      </c>
      <c r="C508" s="52"/>
      <c r="D508" s="52"/>
      <c r="E508" s="52"/>
      <c r="F508" s="52"/>
      <c r="G508" s="52"/>
      <c r="H508" s="52"/>
    </row>
    <row r="509" spans="1:8" ht="15.75">
      <c r="A509" s="106">
        <v>40169</v>
      </c>
      <c r="B509" s="107">
        <v>124.47</v>
      </c>
      <c r="C509" s="52"/>
      <c r="D509" s="52"/>
      <c r="E509" s="52"/>
      <c r="F509" s="52"/>
      <c r="G509" s="52"/>
      <c r="H509" s="52"/>
    </row>
    <row r="510" spans="1:8" ht="15.75">
      <c r="A510" s="106">
        <v>40170</v>
      </c>
      <c r="B510" s="107">
        <v>124.46</v>
      </c>
      <c r="C510" s="52"/>
      <c r="D510" s="52"/>
      <c r="E510" s="52"/>
      <c r="F510" s="52"/>
      <c r="G510" s="52"/>
      <c r="H510" s="52"/>
    </row>
    <row r="511" spans="1:8" ht="15.75">
      <c r="A511" s="106">
        <v>40175</v>
      </c>
      <c r="B511" s="107">
        <v>124.12</v>
      </c>
      <c r="C511" s="52"/>
      <c r="D511" s="52"/>
      <c r="E511" s="52"/>
      <c r="F511" s="52"/>
      <c r="G511" s="52"/>
      <c r="H511" s="52"/>
    </row>
    <row r="512" spans="1:8" ht="15.75">
      <c r="A512" s="106">
        <v>40176</v>
      </c>
      <c r="B512" s="107">
        <v>123.79</v>
      </c>
      <c r="C512" s="52"/>
      <c r="D512" s="52"/>
      <c r="E512" s="52"/>
      <c r="F512" s="52"/>
      <c r="G512" s="52"/>
      <c r="H512" s="52"/>
    </row>
    <row r="513" spans="1:8" ht="15.75">
      <c r="A513" s="106">
        <v>40177</v>
      </c>
      <c r="B513" s="107">
        <v>123.62</v>
      </c>
      <c r="C513" s="52"/>
      <c r="D513" s="52"/>
      <c r="E513" s="52"/>
      <c r="F513" s="52"/>
      <c r="G513" s="52"/>
      <c r="H513" s="52"/>
    </row>
    <row r="514" spans="1:8" ht="15.75">
      <c r="A514" s="106">
        <v>40182</v>
      </c>
      <c r="B514" s="107">
        <v>123.32</v>
      </c>
      <c r="C514" s="52"/>
      <c r="D514" s="52"/>
      <c r="E514" s="52"/>
      <c r="F514" s="52"/>
      <c r="G514" s="52"/>
      <c r="H514" s="52"/>
    </row>
    <row r="515" spans="1:8" ht="15.75">
      <c r="A515" s="106">
        <v>40183</v>
      </c>
      <c r="B515" s="107">
        <v>123.07</v>
      </c>
      <c r="C515" s="52"/>
      <c r="D515" s="52"/>
      <c r="E515" s="52"/>
      <c r="F515" s="52"/>
      <c r="G515" s="52"/>
      <c r="H515" s="52"/>
    </row>
    <row r="516" spans="1:8" ht="15.75">
      <c r="A516" s="106">
        <v>40184</v>
      </c>
      <c r="B516" s="107">
        <v>123.06</v>
      </c>
      <c r="C516" s="52"/>
      <c r="D516" s="52"/>
      <c r="E516" s="52"/>
      <c r="F516" s="52"/>
      <c r="G516" s="52"/>
      <c r="H516" s="52"/>
    </row>
    <row r="517" spans="1:8" ht="15.75">
      <c r="A517" s="106">
        <v>40185</v>
      </c>
      <c r="B517" s="107">
        <v>122.94</v>
      </c>
      <c r="C517" s="52"/>
      <c r="D517" s="52"/>
      <c r="E517" s="52"/>
      <c r="F517" s="52"/>
      <c r="G517" s="52"/>
      <c r="H517" s="52"/>
    </row>
    <row r="518" spans="1:8" ht="15.75">
      <c r="A518" s="106">
        <v>40186</v>
      </c>
      <c r="B518" s="107">
        <v>122.92</v>
      </c>
      <c r="C518" s="52"/>
      <c r="D518" s="52"/>
      <c r="E518" s="52"/>
      <c r="F518" s="52"/>
      <c r="G518" s="52"/>
      <c r="H518" s="52"/>
    </row>
    <row r="519" spans="1:8" ht="15.75">
      <c r="A519" s="106">
        <v>40189</v>
      </c>
      <c r="B519" s="107">
        <v>122.93</v>
      </c>
      <c r="C519" s="52"/>
      <c r="D519" s="52"/>
      <c r="E519" s="52"/>
      <c r="F519" s="52"/>
      <c r="G519" s="52"/>
      <c r="H519" s="52"/>
    </row>
    <row r="520" spans="1:8" ht="15.75">
      <c r="A520" s="106">
        <v>40190</v>
      </c>
      <c r="B520" s="107">
        <v>122.84</v>
      </c>
      <c r="C520" s="52"/>
      <c r="D520" s="52"/>
      <c r="E520" s="52"/>
      <c r="F520" s="52"/>
      <c r="G520" s="52"/>
      <c r="H520" s="52"/>
    </row>
    <row r="521" spans="1:8" ht="15.75">
      <c r="A521" s="106">
        <v>40191</v>
      </c>
      <c r="B521" s="107">
        <v>122.73</v>
      </c>
      <c r="C521" s="52"/>
      <c r="D521" s="52"/>
      <c r="E521" s="52"/>
      <c r="F521" s="52"/>
      <c r="G521" s="52"/>
      <c r="H521" s="52"/>
    </row>
    <row r="522" spans="1:8" ht="15.75">
      <c r="A522" s="106">
        <v>40192</v>
      </c>
      <c r="B522" s="107">
        <v>122.92</v>
      </c>
      <c r="C522" s="52"/>
      <c r="D522" s="52"/>
      <c r="E522" s="52"/>
      <c r="F522" s="52"/>
      <c r="G522" s="52"/>
      <c r="H522" s="52"/>
    </row>
    <row r="523" spans="1:8" ht="15.75">
      <c r="A523" s="106">
        <v>40193</v>
      </c>
      <c r="B523" s="107">
        <v>123.08</v>
      </c>
      <c r="C523" s="52"/>
      <c r="D523" s="52"/>
      <c r="E523" s="52"/>
      <c r="F523" s="52"/>
      <c r="G523" s="52"/>
      <c r="H523" s="52"/>
    </row>
    <row r="524" spans="1:8" ht="15.75">
      <c r="A524" s="106">
        <v>40196</v>
      </c>
      <c r="B524" s="107">
        <v>123.14</v>
      </c>
      <c r="C524" s="52"/>
      <c r="D524" s="52"/>
      <c r="E524" s="52"/>
      <c r="F524" s="52"/>
      <c r="G524" s="52"/>
      <c r="H524" s="52"/>
    </row>
    <row r="525" spans="1:8" ht="15.75">
      <c r="A525" s="106">
        <v>40197</v>
      </c>
      <c r="B525" s="107">
        <v>123.26</v>
      </c>
      <c r="C525" s="52"/>
      <c r="D525" s="52"/>
      <c r="E525" s="52"/>
      <c r="F525" s="52"/>
      <c r="G525" s="52"/>
      <c r="H525" s="52"/>
    </row>
    <row r="526" spans="1:8" ht="15.75">
      <c r="A526" s="106">
        <v>40198</v>
      </c>
      <c r="B526" s="107">
        <v>123.34</v>
      </c>
      <c r="C526" s="52"/>
      <c r="D526" s="52"/>
      <c r="E526" s="52"/>
      <c r="F526" s="52"/>
      <c r="G526" s="52"/>
      <c r="H526" s="52"/>
    </row>
    <row r="527" spans="1:8" ht="15.75">
      <c r="A527" s="106">
        <v>40199</v>
      </c>
      <c r="B527" s="107">
        <v>123.62</v>
      </c>
      <c r="C527" s="52"/>
      <c r="D527" s="52"/>
      <c r="E527" s="52"/>
      <c r="F527" s="52"/>
      <c r="G527" s="52"/>
      <c r="H527" s="52"/>
    </row>
    <row r="528" spans="1:8" ht="15.75">
      <c r="A528" s="106">
        <v>40200</v>
      </c>
      <c r="B528" s="107">
        <v>123.72</v>
      </c>
      <c r="C528" s="52"/>
      <c r="D528" s="52"/>
      <c r="E528" s="52"/>
      <c r="F528" s="52"/>
      <c r="G528" s="52"/>
      <c r="H528" s="52"/>
    </row>
    <row r="529" spans="1:8" ht="15.75">
      <c r="A529" s="106">
        <v>40203</v>
      </c>
      <c r="B529" s="107">
        <v>123.71</v>
      </c>
      <c r="C529" s="52"/>
      <c r="D529" s="52"/>
      <c r="E529" s="52"/>
      <c r="F529" s="52"/>
      <c r="G529" s="52"/>
      <c r="H529" s="52"/>
    </row>
    <row r="530" spans="1:8" ht="15.75">
      <c r="A530" s="106">
        <v>40204</v>
      </c>
      <c r="B530" s="107">
        <v>123.83</v>
      </c>
      <c r="C530" s="52"/>
      <c r="D530" s="52"/>
      <c r="E530" s="52"/>
      <c r="F530" s="52"/>
      <c r="G530" s="52"/>
      <c r="H530" s="52"/>
    </row>
    <row r="531" spans="1:8" ht="15.75">
      <c r="A531" s="106">
        <v>40205</v>
      </c>
      <c r="B531" s="107">
        <v>123.77</v>
      </c>
      <c r="C531" s="52"/>
      <c r="D531" s="52"/>
      <c r="E531" s="52"/>
      <c r="F531" s="52"/>
      <c r="G531" s="52"/>
      <c r="H531" s="52"/>
    </row>
    <row r="532" spans="1:8" ht="15.75">
      <c r="A532" s="106">
        <v>40206</v>
      </c>
      <c r="B532" s="107">
        <v>123.76</v>
      </c>
      <c r="C532" s="52"/>
      <c r="D532" s="52"/>
      <c r="E532" s="52"/>
      <c r="F532" s="52"/>
      <c r="G532" s="52"/>
      <c r="H532" s="52"/>
    </row>
    <row r="533" spans="1:8" ht="15.75">
      <c r="A533" s="106">
        <v>40207</v>
      </c>
      <c r="B533" s="107">
        <v>123.86</v>
      </c>
      <c r="C533" s="52"/>
      <c r="D533" s="52"/>
      <c r="E533" s="52"/>
      <c r="F533" s="52"/>
      <c r="G533" s="52"/>
      <c r="H533" s="52"/>
    </row>
    <row r="534" spans="1:8" ht="15.75">
      <c r="A534" s="106">
        <v>40210</v>
      </c>
      <c r="B534" s="107">
        <v>123.95</v>
      </c>
      <c r="C534" s="52"/>
      <c r="D534" s="52"/>
      <c r="E534" s="52"/>
      <c r="F534" s="52"/>
      <c r="G534" s="52"/>
      <c r="H534" s="52"/>
    </row>
    <row r="535" spans="1:8" ht="15.75">
      <c r="A535" s="106">
        <v>40211</v>
      </c>
      <c r="B535" s="107">
        <v>124.02</v>
      </c>
      <c r="C535" s="52"/>
      <c r="D535" s="52"/>
      <c r="E535" s="52"/>
      <c r="F535" s="52"/>
      <c r="G535" s="52"/>
      <c r="H535" s="52"/>
    </row>
    <row r="536" spans="1:8" ht="15.75">
      <c r="A536" s="106">
        <v>40212</v>
      </c>
      <c r="B536" s="107">
        <v>124.01</v>
      </c>
      <c r="C536" s="52"/>
      <c r="D536" s="52"/>
      <c r="E536" s="52"/>
      <c r="F536" s="52"/>
      <c r="G536" s="52"/>
      <c r="H536" s="52"/>
    </row>
    <row r="537" spans="1:8" ht="15.75">
      <c r="A537" s="106">
        <v>40213</v>
      </c>
      <c r="B537" s="107">
        <v>124.06</v>
      </c>
      <c r="C537" s="52"/>
      <c r="D537" s="52"/>
      <c r="E537" s="52"/>
      <c r="F537" s="52"/>
      <c r="G537" s="52"/>
      <c r="H537" s="52"/>
    </row>
    <row r="538" spans="1:8" ht="15.75">
      <c r="A538" s="106">
        <v>40214</v>
      </c>
      <c r="B538" s="107">
        <v>124.22</v>
      </c>
      <c r="C538" s="52"/>
      <c r="D538" s="52"/>
      <c r="E538" s="52"/>
      <c r="F538" s="52"/>
      <c r="G538" s="52"/>
      <c r="H538" s="52"/>
    </row>
    <row r="539" spans="1:8" ht="15.75">
      <c r="A539" s="106">
        <v>40217</v>
      </c>
      <c r="B539" s="107">
        <v>124.26</v>
      </c>
      <c r="C539" s="52"/>
      <c r="D539" s="52"/>
      <c r="E539" s="52"/>
      <c r="F539" s="52"/>
      <c r="G539" s="52"/>
      <c r="H539" s="52"/>
    </row>
    <row r="540" spans="1:8" ht="15.75">
      <c r="A540" s="106">
        <v>40218</v>
      </c>
      <c r="B540" s="107">
        <v>124.28</v>
      </c>
      <c r="C540" s="52"/>
      <c r="D540" s="52"/>
      <c r="E540" s="52"/>
      <c r="F540" s="52"/>
      <c r="G540" s="52"/>
      <c r="H540" s="52"/>
    </row>
    <row r="541" spans="1:8" ht="15.75">
      <c r="A541" s="106">
        <v>40219</v>
      </c>
      <c r="B541" s="107">
        <v>123.96</v>
      </c>
      <c r="C541" s="52"/>
      <c r="D541" s="52"/>
      <c r="E541" s="52"/>
      <c r="F541" s="52"/>
      <c r="G541" s="52"/>
      <c r="H541" s="52"/>
    </row>
    <row r="542" spans="1:8" ht="15.75">
      <c r="A542" s="106">
        <v>40220</v>
      </c>
      <c r="B542" s="107">
        <v>123.97</v>
      </c>
      <c r="C542" s="52"/>
      <c r="D542" s="52"/>
      <c r="E542" s="52"/>
      <c r="F542" s="52"/>
      <c r="G542" s="52"/>
      <c r="H542" s="52"/>
    </row>
    <row r="543" spans="1:8" ht="15.75">
      <c r="A543" s="106">
        <v>40221</v>
      </c>
      <c r="B543" s="107">
        <v>124.14</v>
      </c>
      <c r="C543" s="52"/>
      <c r="D543" s="52"/>
      <c r="E543" s="52"/>
      <c r="F543" s="52"/>
      <c r="G543" s="52"/>
      <c r="H543" s="52"/>
    </row>
    <row r="544" spans="1:8" ht="15.75">
      <c r="A544" s="106">
        <v>40224</v>
      </c>
      <c r="B544" s="107">
        <v>124.13</v>
      </c>
      <c r="C544" s="52"/>
      <c r="D544" s="52"/>
      <c r="E544" s="52"/>
      <c r="F544" s="52"/>
      <c r="G544" s="52"/>
      <c r="H544" s="52"/>
    </row>
    <row r="545" spans="1:8" ht="15.75">
      <c r="A545" s="106">
        <v>40225</v>
      </c>
      <c r="B545" s="107">
        <v>124.23</v>
      </c>
      <c r="C545" s="52"/>
      <c r="D545" s="52"/>
      <c r="E545" s="52"/>
      <c r="F545" s="52"/>
      <c r="G545" s="52"/>
      <c r="H545" s="52"/>
    </row>
    <row r="546" spans="1:8" ht="15.75">
      <c r="A546" s="106">
        <v>40226</v>
      </c>
      <c r="B546" s="107">
        <v>124.21</v>
      </c>
      <c r="C546" s="52"/>
      <c r="D546" s="52"/>
      <c r="E546" s="52"/>
      <c r="F546" s="52"/>
      <c r="G546" s="52"/>
      <c r="H546" s="52"/>
    </row>
    <row r="547" spans="1:8" ht="15.75">
      <c r="A547" s="106">
        <v>40227</v>
      </c>
      <c r="B547" s="107">
        <v>124.17</v>
      </c>
      <c r="C547" s="52"/>
      <c r="D547" s="52"/>
      <c r="E547" s="52"/>
      <c r="F547" s="52"/>
      <c r="G547" s="52"/>
      <c r="H547" s="52"/>
    </row>
    <row r="548" spans="1:8" ht="15.75">
      <c r="A548" s="106">
        <v>40228</v>
      </c>
      <c r="B548" s="107">
        <v>124.07</v>
      </c>
      <c r="C548" s="52"/>
      <c r="D548" s="52"/>
      <c r="E548" s="52"/>
      <c r="F548" s="52"/>
      <c r="G548" s="52"/>
      <c r="H548" s="52"/>
    </row>
    <row r="549" spans="1:8" ht="15.75">
      <c r="A549" s="106">
        <v>40231</v>
      </c>
      <c r="B549" s="107">
        <v>124.1</v>
      </c>
      <c r="C549" s="52"/>
      <c r="D549" s="52"/>
      <c r="E549" s="52"/>
      <c r="F549" s="52"/>
      <c r="G549" s="52"/>
      <c r="H549" s="52"/>
    </row>
    <row r="550" spans="1:8" ht="15.75">
      <c r="A550" s="106">
        <v>40232</v>
      </c>
      <c r="B550" s="107">
        <v>124.23</v>
      </c>
      <c r="C550" s="52"/>
      <c r="D550" s="52"/>
      <c r="E550" s="52"/>
      <c r="F550" s="52"/>
      <c r="G550" s="52"/>
      <c r="H550" s="52"/>
    </row>
    <row r="551" spans="1:8" ht="15.75">
      <c r="A551" s="106">
        <v>40233</v>
      </c>
      <c r="B551" s="107">
        <v>124.45</v>
      </c>
      <c r="C551" s="52"/>
      <c r="D551" s="52"/>
      <c r="E551" s="52"/>
      <c r="F551" s="52"/>
      <c r="G551" s="52"/>
      <c r="H551" s="52"/>
    </row>
    <row r="552" spans="1:8" ht="15.75">
      <c r="A552" s="106">
        <v>40234</v>
      </c>
      <c r="B552" s="107">
        <v>124.69</v>
      </c>
      <c r="C552" s="52"/>
      <c r="D552" s="52"/>
      <c r="E552" s="52"/>
      <c r="F552" s="52"/>
      <c r="G552" s="52"/>
      <c r="H552" s="52"/>
    </row>
    <row r="553" spans="1:8" ht="15.75">
      <c r="A553" s="106">
        <v>40235</v>
      </c>
      <c r="B553" s="107">
        <v>124.7</v>
      </c>
      <c r="C553" s="52"/>
      <c r="D553" s="52"/>
      <c r="E553" s="52"/>
      <c r="F553" s="52"/>
      <c r="G553" s="52"/>
      <c r="H553" s="52"/>
    </row>
    <row r="554" spans="1:8" ht="15.75">
      <c r="A554" s="106">
        <v>40238</v>
      </c>
      <c r="B554" s="107">
        <v>124.71</v>
      </c>
      <c r="C554" s="52"/>
      <c r="D554" s="52"/>
      <c r="E554" s="52"/>
      <c r="F554" s="52"/>
      <c r="G554" s="52"/>
      <c r="H554" s="52"/>
    </row>
    <row r="555" spans="1:8" ht="15.75">
      <c r="A555" s="106">
        <v>40239</v>
      </c>
      <c r="B555" s="107">
        <v>124.7</v>
      </c>
      <c r="C555" s="52"/>
      <c r="D555" s="52"/>
      <c r="E555" s="52"/>
      <c r="F555" s="52"/>
      <c r="G555" s="52"/>
      <c r="H555" s="52"/>
    </row>
    <row r="556" spans="1:8" ht="15.75">
      <c r="A556" s="106">
        <v>40240</v>
      </c>
      <c r="B556" s="107">
        <v>124.69</v>
      </c>
      <c r="C556" s="52"/>
      <c r="D556" s="52"/>
      <c r="E556" s="52"/>
      <c r="F556" s="52"/>
      <c r="G556" s="52"/>
      <c r="H556" s="52"/>
    </row>
    <row r="557" spans="1:8" ht="15.75">
      <c r="A557" s="106">
        <v>40241</v>
      </c>
      <c r="B557" s="107">
        <v>124.59</v>
      </c>
      <c r="C557" s="52"/>
      <c r="D557" s="52"/>
      <c r="E557" s="52"/>
      <c r="F557" s="52"/>
      <c r="G557" s="52"/>
      <c r="H557" s="52"/>
    </row>
    <row r="558" spans="1:8" ht="15.75">
      <c r="A558" s="106">
        <v>40242</v>
      </c>
      <c r="B558" s="107">
        <v>124.85</v>
      </c>
      <c r="C558" s="52"/>
      <c r="D558" s="52"/>
      <c r="E558" s="52"/>
      <c r="F558" s="52"/>
      <c r="G558" s="52"/>
      <c r="H558" s="52"/>
    </row>
    <row r="559" spans="1:8" ht="15.75">
      <c r="A559" s="106">
        <v>40245</v>
      </c>
      <c r="B559" s="107">
        <v>124.57</v>
      </c>
      <c r="C559" s="52"/>
      <c r="D559" s="52"/>
      <c r="E559" s="52"/>
      <c r="F559" s="52"/>
      <c r="G559" s="52"/>
      <c r="H559" s="52"/>
    </row>
    <row r="560" spans="1:8" ht="15.75">
      <c r="A560" s="106">
        <v>40246</v>
      </c>
      <c r="B560" s="107">
        <v>124.56</v>
      </c>
      <c r="C560" s="52"/>
      <c r="D560" s="52"/>
      <c r="E560" s="52"/>
      <c r="F560" s="52"/>
      <c r="G560" s="52"/>
      <c r="H560" s="52"/>
    </row>
    <row r="561" spans="1:8" ht="15.75">
      <c r="A561" s="106">
        <v>40247</v>
      </c>
      <c r="B561" s="107">
        <v>124.63</v>
      </c>
      <c r="C561" s="52"/>
      <c r="D561" s="52"/>
      <c r="E561" s="52"/>
      <c r="F561" s="52"/>
      <c r="G561" s="52"/>
      <c r="H561" s="52"/>
    </row>
    <row r="562" spans="1:8" ht="15.75">
      <c r="A562" s="106">
        <v>40248</v>
      </c>
      <c r="B562" s="107">
        <v>124.51</v>
      </c>
      <c r="C562" s="52"/>
      <c r="D562" s="52"/>
      <c r="E562" s="52"/>
      <c r="F562" s="52"/>
      <c r="G562" s="52"/>
      <c r="H562" s="52"/>
    </row>
    <row r="563" spans="1:8" ht="15.75">
      <c r="A563" s="106">
        <v>40249</v>
      </c>
      <c r="B563" s="107">
        <v>124.42</v>
      </c>
      <c r="C563" s="52"/>
      <c r="D563" s="52"/>
      <c r="E563" s="52"/>
      <c r="F563" s="52"/>
      <c r="G563" s="52"/>
      <c r="H563" s="52"/>
    </row>
    <row r="564" spans="1:8" ht="15.75">
      <c r="A564" s="106">
        <v>40252</v>
      </c>
      <c r="B564" s="107">
        <v>124.49</v>
      </c>
      <c r="C564" s="52"/>
      <c r="D564" s="52"/>
      <c r="E564" s="52"/>
      <c r="F564" s="52"/>
      <c r="G564" s="52"/>
      <c r="H564" s="52"/>
    </row>
    <row r="565" spans="1:8" ht="15.75">
      <c r="A565" s="106">
        <v>40253</v>
      </c>
      <c r="B565" s="107">
        <v>124.54</v>
      </c>
      <c r="C565" s="52"/>
      <c r="D565" s="52"/>
      <c r="E565" s="52"/>
      <c r="F565" s="52"/>
      <c r="G565" s="52"/>
      <c r="H565" s="52"/>
    </row>
    <row r="566" spans="1:8" ht="15.75">
      <c r="A566" s="106">
        <v>40254</v>
      </c>
      <c r="B566" s="107">
        <v>124.83</v>
      </c>
      <c r="C566" s="52"/>
      <c r="D566" s="52"/>
      <c r="E566" s="52"/>
      <c r="F566" s="52"/>
      <c r="G566" s="52"/>
      <c r="H566" s="52"/>
    </row>
    <row r="567" spans="1:8" ht="15.75">
      <c r="A567" s="106">
        <v>40255</v>
      </c>
      <c r="B567" s="107">
        <v>124.99</v>
      </c>
      <c r="C567" s="52"/>
      <c r="D567" s="52"/>
      <c r="E567" s="52"/>
      <c r="F567" s="52"/>
      <c r="G567" s="52"/>
      <c r="H567" s="52"/>
    </row>
    <row r="568" spans="1:8" ht="15.75">
      <c r="A568" s="106">
        <v>40256</v>
      </c>
      <c r="B568" s="107">
        <v>124.94</v>
      </c>
      <c r="C568" s="52"/>
      <c r="D568" s="52"/>
      <c r="E568" s="52"/>
      <c r="F568" s="52"/>
      <c r="G568" s="52"/>
      <c r="H568" s="52"/>
    </row>
    <row r="569" spans="1:8" ht="15.75">
      <c r="A569" s="106">
        <v>40259</v>
      </c>
      <c r="B569" s="107">
        <v>124.93</v>
      </c>
      <c r="C569" s="52"/>
      <c r="D569" s="52"/>
      <c r="E569" s="52"/>
      <c r="F569" s="52"/>
      <c r="G569" s="52"/>
      <c r="H569" s="52"/>
    </row>
    <row r="570" spans="1:8" ht="15.75">
      <c r="A570" s="106">
        <v>40260</v>
      </c>
      <c r="B570" s="107">
        <v>124.97</v>
      </c>
      <c r="C570" s="52"/>
      <c r="D570" s="52"/>
      <c r="E570" s="52"/>
      <c r="F570" s="52"/>
      <c r="G570" s="52"/>
      <c r="H570" s="52"/>
    </row>
    <row r="571" spans="1:8" ht="15.75">
      <c r="A571" s="106">
        <v>40261</v>
      </c>
      <c r="B571" s="107">
        <v>125.01</v>
      </c>
      <c r="C571" s="52"/>
      <c r="D571" s="52"/>
      <c r="E571" s="52"/>
      <c r="F571" s="52"/>
      <c r="G571" s="52"/>
      <c r="H571" s="52"/>
    </row>
    <row r="572" spans="1:8" ht="15.75">
      <c r="A572" s="106">
        <v>40262</v>
      </c>
      <c r="B572" s="107">
        <v>124.82</v>
      </c>
      <c r="C572" s="52"/>
      <c r="D572" s="52"/>
      <c r="E572" s="52"/>
      <c r="F572" s="52"/>
      <c r="G572" s="52"/>
      <c r="H572" s="52"/>
    </row>
    <row r="573" spans="1:8" ht="15.75">
      <c r="A573" s="106">
        <v>40263</v>
      </c>
      <c r="B573" s="107">
        <v>124.59</v>
      </c>
      <c r="C573" s="52"/>
      <c r="D573" s="52"/>
      <c r="E573" s="52"/>
      <c r="F573" s="52"/>
      <c r="G573" s="52"/>
      <c r="H573" s="52"/>
    </row>
    <row r="574" spans="1:8" ht="15.75">
      <c r="A574" s="106">
        <v>40266</v>
      </c>
      <c r="B574" s="107">
        <v>124.61</v>
      </c>
      <c r="C574" s="52"/>
      <c r="D574" s="52"/>
      <c r="E574" s="52"/>
      <c r="F574" s="52"/>
      <c r="G574" s="52"/>
      <c r="H574" s="52"/>
    </row>
    <row r="575" spans="1:8" ht="15.75">
      <c r="A575" s="106">
        <v>40267</v>
      </c>
      <c r="B575" s="107">
        <v>124.8</v>
      </c>
      <c r="C575" s="52"/>
      <c r="D575" s="52"/>
      <c r="E575" s="52"/>
      <c r="F575" s="52"/>
      <c r="G575" s="52"/>
      <c r="H575" s="52"/>
    </row>
    <row r="576" spans="1:8" ht="15.75">
      <c r="A576" s="106">
        <v>40268</v>
      </c>
      <c r="B576" s="107">
        <v>124.93</v>
      </c>
      <c r="C576" s="52"/>
      <c r="D576" s="52"/>
      <c r="E576" s="52"/>
      <c r="F576" s="52"/>
      <c r="G576" s="52"/>
      <c r="H576" s="52"/>
    </row>
    <row r="577" spans="1:8" ht="15.75">
      <c r="A577" s="106">
        <v>40269</v>
      </c>
      <c r="B577" s="107">
        <v>124.97</v>
      </c>
      <c r="C577" s="52"/>
      <c r="D577" s="52"/>
      <c r="E577" s="52"/>
      <c r="F577" s="52"/>
      <c r="G577" s="52"/>
      <c r="H577" s="52"/>
    </row>
    <row r="578" spans="1:8" ht="15.75">
      <c r="A578" s="106">
        <v>40274</v>
      </c>
      <c r="B578" s="107">
        <v>124.85</v>
      </c>
      <c r="C578" s="52"/>
      <c r="D578" s="52"/>
      <c r="E578" s="52"/>
      <c r="F578" s="52"/>
      <c r="G578" s="52"/>
      <c r="H578" s="52"/>
    </row>
    <row r="579" spans="1:8" ht="15.75">
      <c r="A579" s="106">
        <v>40275</v>
      </c>
      <c r="B579" s="107">
        <v>124.96</v>
      </c>
      <c r="C579" s="52"/>
      <c r="D579" s="52"/>
      <c r="E579" s="52"/>
      <c r="F579" s="52"/>
      <c r="G579" s="52"/>
      <c r="H579" s="52"/>
    </row>
    <row r="580" spans="1:8" ht="15.75">
      <c r="A580" s="106">
        <v>40276</v>
      </c>
      <c r="B580" s="107">
        <v>125.27</v>
      </c>
      <c r="C580" s="52"/>
      <c r="D580" s="52"/>
      <c r="E580" s="52"/>
      <c r="F580" s="52"/>
      <c r="G580" s="52"/>
      <c r="H580" s="52"/>
    </row>
    <row r="581" spans="1:8" ht="15.75">
      <c r="A581" s="106">
        <v>40277</v>
      </c>
      <c r="B581" s="107">
        <v>124.96</v>
      </c>
      <c r="C581" s="52"/>
      <c r="D581" s="52"/>
      <c r="E581" s="52"/>
      <c r="F581" s="52"/>
      <c r="G581" s="52"/>
      <c r="H581" s="52"/>
    </row>
    <row r="582" spans="1:8" ht="15.75">
      <c r="A582" s="106">
        <v>40280</v>
      </c>
      <c r="B582" s="107">
        <v>124.68</v>
      </c>
      <c r="C582" s="52"/>
      <c r="D582" s="52"/>
      <c r="E582" s="52"/>
      <c r="F582" s="52"/>
      <c r="G582" s="52"/>
      <c r="H582" s="52"/>
    </row>
    <row r="583" spans="1:8" ht="15.75">
      <c r="A583" s="106">
        <v>40281</v>
      </c>
      <c r="B583" s="107">
        <v>124.8</v>
      </c>
      <c r="C583" s="52"/>
      <c r="D583" s="52"/>
      <c r="E583" s="52"/>
      <c r="F583" s="52"/>
      <c r="G583" s="52"/>
      <c r="H583" s="52"/>
    </row>
    <row r="584" spans="1:8" ht="15.75">
      <c r="A584" s="106">
        <v>40282</v>
      </c>
      <c r="B584" s="107">
        <v>124.7</v>
      </c>
      <c r="C584" s="52"/>
      <c r="D584" s="52"/>
      <c r="E584" s="52"/>
      <c r="F584" s="52"/>
      <c r="G584" s="52"/>
      <c r="H584" s="52"/>
    </row>
    <row r="585" spans="1:8" ht="15.75">
      <c r="A585" s="106">
        <v>40283</v>
      </c>
      <c r="B585" s="107">
        <v>124.71</v>
      </c>
      <c r="C585" s="52"/>
      <c r="D585" s="52"/>
      <c r="E585" s="52"/>
      <c r="F585" s="52"/>
      <c r="G585" s="52"/>
      <c r="H585" s="52"/>
    </row>
    <row r="586" spans="1:8" ht="15.75">
      <c r="A586" s="106">
        <v>40284</v>
      </c>
      <c r="B586" s="107">
        <v>124.71</v>
      </c>
      <c r="C586" s="52"/>
      <c r="D586" s="52"/>
      <c r="E586" s="52"/>
      <c r="F586" s="52"/>
      <c r="G586" s="52"/>
      <c r="H586" s="52"/>
    </row>
    <row r="587" spans="1:8" ht="15.75">
      <c r="A587" s="106">
        <v>40287</v>
      </c>
      <c r="B587" s="107">
        <v>124.89</v>
      </c>
      <c r="C587" s="52"/>
      <c r="D587" s="52"/>
      <c r="E587" s="52"/>
      <c r="F587" s="52"/>
      <c r="G587" s="52"/>
      <c r="H587" s="52"/>
    </row>
    <row r="588" spans="1:8" ht="15.75">
      <c r="A588" s="106">
        <v>40288</v>
      </c>
      <c r="B588" s="107">
        <v>124.71</v>
      </c>
      <c r="C588" s="52"/>
      <c r="D588" s="52"/>
      <c r="E588" s="52"/>
      <c r="F588" s="52"/>
      <c r="G588" s="52"/>
      <c r="H588" s="52"/>
    </row>
    <row r="589" spans="1:8" ht="15.75">
      <c r="A589" s="106">
        <v>40289</v>
      </c>
      <c r="B589" s="107">
        <v>124.73</v>
      </c>
      <c r="C589" s="52"/>
      <c r="D589" s="52"/>
      <c r="E589" s="52"/>
      <c r="F589" s="52"/>
      <c r="G589" s="52"/>
      <c r="H589" s="52"/>
    </row>
    <row r="590" spans="1:8" ht="15.75">
      <c r="A590" s="106">
        <v>40290</v>
      </c>
      <c r="B590" s="107">
        <v>124.9</v>
      </c>
      <c r="C590" s="52"/>
      <c r="D590" s="52"/>
      <c r="E590" s="52"/>
      <c r="F590" s="52"/>
      <c r="G590" s="52"/>
      <c r="H590" s="52"/>
    </row>
    <row r="591" spans="1:8" ht="15.75">
      <c r="A591" s="106">
        <v>40291</v>
      </c>
      <c r="B591" s="107">
        <v>124.74</v>
      </c>
      <c r="C591" s="52"/>
      <c r="D591" s="52"/>
      <c r="E591" s="52"/>
      <c r="F591" s="52"/>
      <c r="G591" s="52"/>
      <c r="H591" s="52"/>
    </row>
    <row r="592" spans="1:8" ht="15.75">
      <c r="A592" s="106">
        <v>40294</v>
      </c>
      <c r="B592" s="107">
        <v>124.97</v>
      </c>
      <c r="C592" s="52"/>
      <c r="D592" s="52"/>
      <c r="E592" s="52"/>
      <c r="F592" s="52"/>
      <c r="G592" s="52"/>
      <c r="H592" s="52"/>
    </row>
    <row r="593" spans="1:8" ht="15.75">
      <c r="A593" s="106">
        <v>40295</v>
      </c>
      <c r="B593" s="107">
        <v>125.02</v>
      </c>
      <c r="C593" s="52"/>
      <c r="D593" s="52"/>
      <c r="E593" s="52"/>
      <c r="F593" s="52"/>
      <c r="G593" s="52"/>
      <c r="H593" s="52"/>
    </row>
    <row r="594" spans="1:8" ht="15.75">
      <c r="A594" s="106">
        <v>40296</v>
      </c>
      <c r="B594" s="107">
        <v>125.51</v>
      </c>
      <c r="C594" s="52"/>
      <c r="D594" s="52"/>
      <c r="E594" s="52"/>
      <c r="F594" s="52"/>
      <c r="G594" s="52"/>
      <c r="H594" s="52"/>
    </row>
    <row r="595" spans="1:8" ht="15.75">
      <c r="A595" s="106">
        <v>40297</v>
      </c>
      <c r="B595" s="107">
        <v>125.37</v>
      </c>
      <c r="C595" s="52"/>
      <c r="D595" s="52"/>
      <c r="E595" s="52"/>
      <c r="F595" s="52"/>
      <c r="G595" s="52"/>
      <c r="H595" s="52"/>
    </row>
    <row r="596" spans="1:8" ht="15.75">
      <c r="A596" s="106">
        <v>40298</v>
      </c>
      <c r="B596" s="107">
        <v>125.47</v>
      </c>
      <c r="C596" s="52"/>
      <c r="D596" s="52"/>
      <c r="E596" s="52"/>
      <c r="F596" s="52"/>
      <c r="G596" s="52"/>
      <c r="H596" s="52"/>
    </row>
    <row r="597" spans="1:8" ht="15.75">
      <c r="A597" s="106">
        <v>40301</v>
      </c>
      <c r="B597" s="107">
        <v>125.39</v>
      </c>
      <c r="C597" s="52"/>
      <c r="D597" s="52"/>
      <c r="E597" s="52"/>
      <c r="F597" s="52"/>
      <c r="G597" s="52"/>
      <c r="H597" s="52"/>
    </row>
    <row r="598" spans="1:8" ht="15.75">
      <c r="A598" s="106">
        <v>40302</v>
      </c>
      <c r="B598" s="107">
        <v>125.72</v>
      </c>
      <c r="C598" s="52"/>
      <c r="D598" s="52"/>
      <c r="E598" s="52"/>
      <c r="F598" s="52"/>
      <c r="G598" s="52"/>
      <c r="H598" s="52"/>
    </row>
    <row r="599" spans="1:8" ht="15.75">
      <c r="A599" s="106">
        <v>40303</v>
      </c>
      <c r="B599" s="107">
        <v>125.92</v>
      </c>
      <c r="C599" s="52"/>
      <c r="D599" s="52"/>
      <c r="E599" s="52"/>
      <c r="F599" s="52"/>
      <c r="G599" s="52"/>
      <c r="H599" s="52"/>
    </row>
    <row r="600" spans="1:8" ht="15.75">
      <c r="A600" s="106">
        <v>40304</v>
      </c>
      <c r="B600" s="107">
        <v>126.29</v>
      </c>
      <c r="C600" s="52"/>
      <c r="D600" s="52"/>
      <c r="E600" s="52"/>
      <c r="F600" s="52"/>
      <c r="G600" s="52"/>
      <c r="H600" s="52"/>
    </row>
    <row r="601" spans="1:8" ht="15.75">
      <c r="A601" s="106">
        <v>40305</v>
      </c>
      <c r="B601" s="107">
        <v>127</v>
      </c>
      <c r="C601" s="52"/>
      <c r="D601" s="52"/>
      <c r="E601" s="52"/>
      <c r="F601" s="52"/>
      <c r="G601" s="52"/>
      <c r="H601" s="52"/>
    </row>
    <row r="602" spans="1:8" ht="15.75">
      <c r="A602" s="106">
        <v>40308</v>
      </c>
      <c r="B602" s="107">
        <v>125.86</v>
      </c>
      <c r="C602" s="52"/>
      <c r="D602" s="52"/>
      <c r="E602" s="52"/>
      <c r="F602" s="52"/>
      <c r="G602" s="52"/>
      <c r="H602" s="52"/>
    </row>
    <row r="603" spans="1:8" ht="15.75">
      <c r="A603" s="106">
        <v>40309</v>
      </c>
      <c r="B603" s="107">
        <v>126.67</v>
      </c>
      <c r="C603" s="52"/>
      <c r="D603" s="52"/>
      <c r="E603" s="52"/>
      <c r="F603" s="52"/>
      <c r="G603" s="52"/>
      <c r="H603" s="52"/>
    </row>
    <row r="604" spans="1:8" ht="15.75">
      <c r="A604" s="106">
        <v>40310</v>
      </c>
      <c r="B604" s="107">
        <v>126.24</v>
      </c>
      <c r="C604" s="52"/>
      <c r="D604" s="52"/>
      <c r="E604" s="52"/>
      <c r="F604" s="52"/>
      <c r="G604" s="52"/>
      <c r="H604" s="52"/>
    </row>
    <row r="605" spans="1:8" ht="15.75">
      <c r="A605" s="106">
        <v>40311</v>
      </c>
      <c r="B605" s="107">
        <v>126.15</v>
      </c>
      <c r="C605" s="52"/>
      <c r="D605" s="52"/>
      <c r="E605" s="52"/>
      <c r="F605" s="52"/>
      <c r="G605" s="52"/>
      <c r="H605" s="52"/>
    </row>
    <row r="606" spans="1:8" ht="15.75">
      <c r="A606" s="106">
        <v>40312</v>
      </c>
      <c r="B606" s="107">
        <v>126.54</v>
      </c>
      <c r="C606" s="52"/>
      <c r="D606" s="52"/>
      <c r="E606" s="52"/>
      <c r="F606" s="52"/>
      <c r="G606" s="52"/>
      <c r="H606" s="52"/>
    </row>
    <row r="607" spans="1:8" ht="15.75">
      <c r="A607" s="106">
        <v>40315</v>
      </c>
      <c r="B607" s="107">
        <v>126.95</v>
      </c>
      <c r="C607" s="52"/>
      <c r="D607" s="52"/>
      <c r="E607" s="52"/>
      <c r="F607" s="52"/>
      <c r="G607" s="52"/>
      <c r="H607" s="52"/>
    </row>
    <row r="608" spans="1:8" ht="15.75">
      <c r="A608" s="106">
        <v>40316</v>
      </c>
      <c r="B608" s="107">
        <v>127.13</v>
      </c>
      <c r="C608" s="52"/>
      <c r="D608" s="52"/>
      <c r="E608" s="52"/>
      <c r="F608" s="52"/>
      <c r="G608" s="52"/>
      <c r="H608" s="52"/>
    </row>
    <row r="609" spans="1:8" ht="15.75">
      <c r="A609" s="106">
        <v>40317</v>
      </c>
      <c r="B609" s="107">
        <v>127.37</v>
      </c>
      <c r="C609" s="52"/>
      <c r="D609" s="52"/>
      <c r="E609" s="52"/>
      <c r="F609" s="52"/>
      <c r="G609" s="52"/>
      <c r="H609" s="52"/>
    </row>
    <row r="610" spans="1:8" ht="15.75">
      <c r="A610" s="106">
        <v>40318</v>
      </c>
      <c r="B610" s="107">
        <v>127.31</v>
      </c>
      <c r="C610" s="52"/>
      <c r="D610" s="52"/>
      <c r="E610" s="52"/>
      <c r="F610" s="52"/>
      <c r="G610" s="52"/>
      <c r="H610" s="52"/>
    </row>
    <row r="611" spans="1:8" ht="15.75">
      <c r="A611" s="106">
        <v>40319</v>
      </c>
      <c r="B611" s="107">
        <v>127.51</v>
      </c>
      <c r="C611" s="52"/>
      <c r="D611" s="52"/>
      <c r="E611" s="52"/>
      <c r="F611" s="52"/>
      <c r="G611" s="52"/>
      <c r="H611" s="52"/>
    </row>
    <row r="612" spans="1:8" ht="15.75">
      <c r="A612" s="106">
        <v>40322</v>
      </c>
      <c r="B612" s="107">
        <v>127.65</v>
      </c>
      <c r="C612" s="52"/>
      <c r="D612" s="52"/>
      <c r="E612" s="52"/>
      <c r="F612" s="52"/>
      <c r="G612" s="52"/>
      <c r="H612" s="52"/>
    </row>
    <row r="613" spans="1:8" ht="15.75">
      <c r="A613" s="106">
        <v>40323</v>
      </c>
      <c r="B613" s="107">
        <v>127.95</v>
      </c>
      <c r="C613" s="52"/>
      <c r="D613" s="52"/>
      <c r="E613" s="52"/>
      <c r="F613" s="52"/>
      <c r="G613" s="52"/>
      <c r="H613" s="52"/>
    </row>
    <row r="614" spans="1:8" ht="15.75">
      <c r="A614" s="106">
        <v>40324</v>
      </c>
      <c r="B614" s="107">
        <v>127.69</v>
      </c>
      <c r="C614" s="52"/>
      <c r="D614" s="52"/>
      <c r="E614" s="52"/>
      <c r="F614" s="52"/>
      <c r="G614" s="52"/>
      <c r="H614" s="52"/>
    </row>
    <row r="615" spans="1:8" ht="15.75">
      <c r="A615" s="106">
        <v>40325</v>
      </c>
      <c r="B615" s="107">
        <v>127.57</v>
      </c>
      <c r="C615" s="52"/>
      <c r="D615" s="52"/>
      <c r="E615" s="52"/>
      <c r="F615" s="52"/>
      <c r="G615" s="52"/>
      <c r="H615" s="52"/>
    </row>
    <row r="616" spans="1:8" ht="15.75">
      <c r="A616" s="106">
        <v>40326</v>
      </c>
      <c r="B616" s="107">
        <v>127.32</v>
      </c>
      <c r="C616" s="52"/>
      <c r="D616" s="52"/>
      <c r="E616" s="52"/>
      <c r="F616" s="52"/>
      <c r="G616" s="52"/>
      <c r="H616" s="52"/>
    </row>
    <row r="617" spans="1:8" ht="15.75">
      <c r="A617" s="106">
        <v>40329</v>
      </c>
      <c r="B617" s="107">
        <v>127.57</v>
      </c>
      <c r="C617" s="52"/>
      <c r="D617" s="52"/>
      <c r="E617" s="52"/>
      <c r="F617" s="52"/>
      <c r="G617" s="52"/>
      <c r="H617" s="52"/>
    </row>
    <row r="618" spans="1:8" ht="15.75">
      <c r="A618" s="106">
        <v>40330</v>
      </c>
      <c r="B618" s="107">
        <v>127.77</v>
      </c>
      <c r="C618" s="52"/>
      <c r="D618" s="52"/>
      <c r="E618" s="52"/>
      <c r="F618" s="52"/>
      <c r="G618" s="52"/>
      <c r="H618" s="52"/>
    </row>
    <row r="619" spans="1:8" ht="15.75">
      <c r="A619" s="106">
        <v>40331</v>
      </c>
      <c r="B619" s="107">
        <v>127.69</v>
      </c>
      <c r="C619" s="52"/>
      <c r="D619" s="52"/>
      <c r="E619" s="52"/>
      <c r="F619" s="52"/>
      <c r="G619" s="52"/>
      <c r="H619" s="52"/>
    </row>
    <row r="620" spans="1:8" ht="15.75">
      <c r="A620" s="106">
        <v>40332</v>
      </c>
      <c r="B620" s="107">
        <v>127.54</v>
      </c>
      <c r="C620" s="52"/>
      <c r="D620" s="52"/>
      <c r="E620" s="52"/>
      <c r="F620" s="52"/>
      <c r="G620" s="52"/>
      <c r="H620" s="52"/>
    </row>
    <row r="621" spans="1:8" ht="15.75">
      <c r="A621" s="106">
        <v>40333</v>
      </c>
      <c r="B621" s="107">
        <v>127.63</v>
      </c>
      <c r="C621" s="52"/>
      <c r="D621" s="52"/>
      <c r="E621" s="52"/>
      <c r="F621" s="52"/>
      <c r="G621" s="52"/>
      <c r="H621" s="52"/>
    </row>
    <row r="622" spans="1:8" ht="15.75">
      <c r="A622" s="106">
        <v>40336</v>
      </c>
      <c r="B622" s="107">
        <v>127.9</v>
      </c>
      <c r="C622" s="52"/>
      <c r="D622" s="52"/>
      <c r="E622" s="52"/>
      <c r="F622" s="52"/>
      <c r="G622" s="52"/>
      <c r="H622" s="52"/>
    </row>
    <row r="623" spans="1:8" ht="15.75">
      <c r="A623" s="106">
        <v>40337</v>
      </c>
      <c r="B623" s="107">
        <v>127.92</v>
      </c>
      <c r="C623" s="52"/>
      <c r="D623" s="52"/>
      <c r="E623" s="52"/>
      <c r="F623" s="52"/>
      <c r="G623" s="52"/>
      <c r="H623" s="52"/>
    </row>
    <row r="624" spans="1:8" ht="15.75">
      <c r="A624" s="106">
        <v>40338</v>
      </c>
      <c r="B624" s="107">
        <v>127.87</v>
      </c>
      <c r="C624" s="52"/>
      <c r="D624" s="52"/>
      <c r="E624" s="52"/>
      <c r="F624" s="52"/>
      <c r="G624" s="52"/>
      <c r="H624" s="52"/>
    </row>
    <row r="625" spans="1:8" ht="15.75">
      <c r="A625" s="106">
        <v>40339</v>
      </c>
      <c r="B625" s="107">
        <v>127.62</v>
      </c>
      <c r="C625" s="52"/>
      <c r="D625" s="52"/>
      <c r="E625" s="52"/>
      <c r="F625" s="52"/>
      <c r="G625" s="52"/>
      <c r="H625" s="52"/>
    </row>
    <row r="626" spans="1:8" ht="15.75">
      <c r="A626" s="106">
        <v>40340</v>
      </c>
      <c r="B626" s="107">
        <v>127.59</v>
      </c>
      <c r="C626" s="52"/>
      <c r="D626" s="52"/>
      <c r="E626" s="52"/>
      <c r="F626" s="52"/>
      <c r="G626" s="52"/>
      <c r="H626" s="52"/>
    </row>
    <row r="627" spans="1:8" ht="15.75">
      <c r="A627" s="106">
        <v>40343</v>
      </c>
      <c r="B627" s="107">
        <v>127.78</v>
      </c>
      <c r="C627" s="52"/>
      <c r="D627" s="52"/>
      <c r="E627" s="52"/>
      <c r="F627" s="52"/>
      <c r="G627" s="52"/>
      <c r="H627" s="52"/>
    </row>
    <row r="628" spans="1:8" ht="15.75">
      <c r="A628" s="106">
        <v>40344</v>
      </c>
      <c r="B628" s="107">
        <v>127.5</v>
      </c>
      <c r="C628" s="52"/>
      <c r="D628" s="52"/>
      <c r="E628" s="52"/>
      <c r="F628" s="52"/>
      <c r="G628" s="52"/>
      <c r="H628" s="52"/>
    </row>
    <row r="629" spans="1:8" ht="15.75">
      <c r="A629" s="106">
        <v>40345</v>
      </c>
      <c r="B629" s="107">
        <v>127.72</v>
      </c>
      <c r="C629" s="52"/>
      <c r="D629" s="52"/>
      <c r="E629" s="52"/>
      <c r="F629" s="52"/>
      <c r="G629" s="52"/>
      <c r="H629" s="52"/>
    </row>
    <row r="630" spans="1:8" ht="15.75">
      <c r="A630" s="106">
        <v>40346</v>
      </c>
      <c r="B630" s="107">
        <v>127.51</v>
      </c>
      <c r="C630" s="52"/>
      <c r="D630" s="52"/>
      <c r="E630" s="52"/>
      <c r="F630" s="52"/>
      <c r="G630" s="52"/>
      <c r="H630" s="52"/>
    </row>
    <row r="631" spans="1:8" ht="15.75">
      <c r="A631" s="106">
        <v>40347</v>
      </c>
      <c r="B631" s="107">
        <v>127.52</v>
      </c>
      <c r="C631" s="52"/>
      <c r="D631" s="52"/>
      <c r="E631" s="52"/>
      <c r="F631" s="52"/>
      <c r="G631" s="52"/>
      <c r="H631" s="52"/>
    </row>
    <row r="632" spans="1:8" ht="15.75">
      <c r="A632" s="106">
        <v>40350</v>
      </c>
      <c r="B632" s="107">
        <v>127.03</v>
      </c>
      <c r="C632" s="52"/>
      <c r="D632" s="52"/>
      <c r="E632" s="52"/>
      <c r="F632" s="52"/>
      <c r="G632" s="52"/>
      <c r="H632" s="52"/>
    </row>
    <row r="633" spans="1:8" ht="15.75">
      <c r="A633" s="106">
        <v>40351</v>
      </c>
      <c r="B633" s="107">
        <v>127.2</v>
      </c>
      <c r="C633" s="52"/>
      <c r="D633" s="52"/>
      <c r="E633" s="52"/>
      <c r="F633" s="52"/>
      <c r="G633" s="52"/>
      <c r="H633" s="52"/>
    </row>
    <row r="634" spans="1:8" ht="15.75">
      <c r="A634" s="106">
        <v>40352</v>
      </c>
      <c r="B634" s="107">
        <v>127.48</v>
      </c>
      <c r="C634" s="52"/>
      <c r="D634" s="52"/>
      <c r="E634" s="52"/>
      <c r="F634" s="52"/>
      <c r="G634" s="52"/>
      <c r="H634" s="52"/>
    </row>
    <row r="635" spans="1:8" ht="15.75">
      <c r="A635" s="106">
        <v>40353</v>
      </c>
      <c r="B635" s="107">
        <v>127.65</v>
      </c>
      <c r="C635" s="52"/>
      <c r="D635" s="52"/>
      <c r="E635" s="52"/>
      <c r="F635" s="52"/>
      <c r="G635" s="52"/>
      <c r="H635" s="52"/>
    </row>
    <row r="636" spans="1:8" ht="15.75">
      <c r="A636" s="106">
        <v>40354</v>
      </c>
      <c r="B636" s="107">
        <v>127.74</v>
      </c>
      <c r="C636" s="52"/>
      <c r="D636" s="52"/>
      <c r="E636" s="52"/>
      <c r="F636" s="52"/>
      <c r="G636" s="52"/>
      <c r="H636" s="52"/>
    </row>
    <row r="637" spans="1:8" ht="15.75">
      <c r="A637" s="106">
        <v>40357</v>
      </c>
      <c r="B637" s="107">
        <v>127.65</v>
      </c>
      <c r="C637" s="52"/>
      <c r="D637" s="52"/>
      <c r="E637" s="52"/>
      <c r="F637" s="52"/>
      <c r="G637" s="52"/>
      <c r="H637" s="52"/>
    </row>
    <row r="638" spans="1:8" ht="15.75">
      <c r="A638" s="106">
        <v>40358</v>
      </c>
      <c r="B638" s="107">
        <v>128</v>
      </c>
      <c r="C638" s="52"/>
      <c r="D638" s="52"/>
      <c r="E638" s="52"/>
      <c r="F638" s="52"/>
      <c r="G638" s="52"/>
      <c r="H638" s="52"/>
    </row>
    <row r="639" spans="1:8" ht="15.75">
      <c r="A639" s="106">
        <v>40359</v>
      </c>
      <c r="B639" s="107">
        <v>127.85</v>
      </c>
      <c r="C639" s="52"/>
      <c r="D639" s="52"/>
      <c r="E639" s="52"/>
      <c r="F639" s="52"/>
      <c r="G639" s="52"/>
      <c r="H639" s="52"/>
    </row>
    <row r="640" spans="1:8" ht="15.75">
      <c r="A640" s="106">
        <v>40360</v>
      </c>
      <c r="B640" s="107">
        <v>127.55</v>
      </c>
      <c r="C640" s="52"/>
      <c r="D640" s="52"/>
      <c r="E640" s="52"/>
      <c r="F640" s="52"/>
      <c r="G640" s="52"/>
      <c r="H640" s="52"/>
    </row>
    <row r="641" spans="1:8" ht="15.75">
      <c r="A641" s="106">
        <v>40361</v>
      </c>
      <c r="B641" s="107">
        <v>127.18</v>
      </c>
      <c r="C641" s="52"/>
      <c r="D641" s="52"/>
      <c r="E641" s="52"/>
      <c r="F641" s="52"/>
      <c r="G641" s="52"/>
      <c r="H641" s="52"/>
    </row>
    <row r="642" spans="1:8" ht="15.75">
      <c r="A642" s="106">
        <v>40364</v>
      </c>
      <c r="B642" s="107">
        <v>127.25</v>
      </c>
      <c r="C642" s="52"/>
      <c r="D642" s="52"/>
      <c r="E642" s="52"/>
      <c r="F642" s="52"/>
      <c r="G642" s="52"/>
      <c r="H642" s="52"/>
    </row>
    <row r="643" spans="1:8" ht="15.75">
      <c r="A643" s="106">
        <v>40365</v>
      </c>
      <c r="B643" s="107">
        <v>127.06</v>
      </c>
      <c r="C643" s="52"/>
      <c r="D643" s="52"/>
      <c r="E643" s="52"/>
      <c r="F643" s="52"/>
      <c r="G643" s="52"/>
      <c r="H643" s="52"/>
    </row>
    <row r="644" spans="1:8" ht="15.75">
      <c r="A644" s="106">
        <v>40366</v>
      </c>
      <c r="B644" s="107">
        <v>127.19</v>
      </c>
      <c r="C644" s="52"/>
      <c r="D644" s="52"/>
      <c r="E644" s="52"/>
      <c r="F644" s="52"/>
      <c r="G644" s="52"/>
      <c r="H644" s="52"/>
    </row>
    <row r="645" spans="1:8" ht="15.75">
      <c r="A645" s="106">
        <v>40367</v>
      </c>
      <c r="B645" s="107">
        <v>126.93</v>
      </c>
      <c r="C645" s="52"/>
      <c r="D645" s="52"/>
      <c r="E645" s="52"/>
      <c r="F645" s="52"/>
      <c r="G645" s="52"/>
      <c r="H645" s="52"/>
    </row>
    <row r="646" spans="1:8" ht="15.75">
      <c r="A646" s="106">
        <v>40368</v>
      </c>
      <c r="B646" s="107">
        <v>126.69</v>
      </c>
      <c r="C646" s="52"/>
      <c r="D646" s="52"/>
      <c r="E646" s="52"/>
      <c r="F646" s="52"/>
      <c r="G646" s="52"/>
      <c r="H646" s="52"/>
    </row>
    <row r="647" spans="1:8" ht="15.75">
      <c r="A647" s="106">
        <v>40371</v>
      </c>
      <c r="B647" s="107">
        <v>126.85</v>
      </c>
      <c r="C647" s="52"/>
      <c r="D647" s="52"/>
      <c r="E647" s="52"/>
      <c r="F647" s="52"/>
      <c r="G647" s="52"/>
      <c r="H647" s="52"/>
    </row>
    <row r="648" spans="1:8" ht="15.75">
      <c r="A648" s="106">
        <v>40372</v>
      </c>
      <c r="B648" s="107">
        <v>126.61</v>
      </c>
      <c r="C648" s="52"/>
      <c r="D648" s="52"/>
      <c r="E648" s="52"/>
      <c r="F648" s="52"/>
      <c r="G648" s="52"/>
      <c r="H648" s="52"/>
    </row>
    <row r="649" spans="1:8" ht="15.75">
      <c r="A649" s="106">
        <v>40373</v>
      </c>
      <c r="B649" s="107">
        <v>126.63</v>
      </c>
      <c r="C649" s="52"/>
      <c r="D649" s="52"/>
      <c r="E649" s="52"/>
      <c r="F649" s="52"/>
      <c r="G649" s="52"/>
      <c r="H649" s="52"/>
    </row>
    <row r="650" spans="1:8" ht="15.75">
      <c r="A650" s="106">
        <v>40374</v>
      </c>
      <c r="B650" s="107">
        <v>126.54</v>
      </c>
      <c r="C650" s="52"/>
      <c r="D650" s="52"/>
      <c r="E650" s="52"/>
      <c r="F650" s="52"/>
      <c r="G650" s="52"/>
      <c r="H650" s="52"/>
    </row>
    <row r="651" spans="1:8" ht="15.75">
      <c r="A651" s="106">
        <v>40375</v>
      </c>
      <c r="B651" s="107">
        <v>126.67</v>
      </c>
      <c r="C651" s="52"/>
      <c r="D651" s="52"/>
      <c r="E651" s="52"/>
      <c r="F651" s="52"/>
      <c r="G651" s="52"/>
      <c r="H651" s="52"/>
    </row>
    <row r="652" spans="1:8" ht="15.75">
      <c r="A652" s="106">
        <v>40378</v>
      </c>
      <c r="B652" s="107">
        <v>126.58</v>
      </c>
      <c r="C652" s="52"/>
      <c r="D652" s="52"/>
      <c r="E652" s="52"/>
      <c r="F652" s="52"/>
      <c r="G652" s="52"/>
      <c r="H652" s="52"/>
    </row>
    <row r="653" spans="1:8" ht="15.75">
      <c r="A653" s="106">
        <v>40379</v>
      </c>
      <c r="B653" s="107">
        <v>126.48</v>
      </c>
      <c r="C653" s="52"/>
      <c r="D653" s="52"/>
      <c r="E653" s="52"/>
      <c r="F653" s="52"/>
      <c r="G653" s="52"/>
      <c r="H653" s="52"/>
    </row>
    <row r="654" spans="1:8" ht="15.75">
      <c r="A654" s="106">
        <v>40380</v>
      </c>
      <c r="B654" s="107">
        <v>126.69</v>
      </c>
      <c r="C654" s="52"/>
      <c r="D654" s="52"/>
      <c r="E654" s="52"/>
      <c r="F654" s="52"/>
      <c r="G654" s="52"/>
      <c r="H654" s="52"/>
    </row>
    <row r="655" spans="1:8" ht="15.75">
      <c r="A655" s="106">
        <v>40381</v>
      </c>
      <c r="B655" s="107">
        <v>126.72</v>
      </c>
      <c r="C655" s="52"/>
      <c r="D655" s="52"/>
      <c r="E655" s="52"/>
      <c r="F655" s="52"/>
      <c r="G655" s="52"/>
      <c r="H655" s="52"/>
    </row>
    <row r="656" spans="1:8" ht="15.75">
      <c r="A656" s="106">
        <v>40382</v>
      </c>
      <c r="B656" s="107">
        <v>126.46</v>
      </c>
      <c r="C656" s="52"/>
      <c r="D656" s="52"/>
      <c r="E656" s="52"/>
      <c r="F656" s="52"/>
      <c r="G656" s="52"/>
      <c r="H656" s="52"/>
    </row>
    <row r="657" spans="1:8" ht="15.75">
      <c r="A657" s="106">
        <v>40385</v>
      </c>
      <c r="B657" s="107">
        <v>126.43</v>
      </c>
      <c r="C657" s="52"/>
      <c r="D657" s="52"/>
      <c r="E657" s="52"/>
      <c r="F657" s="52"/>
      <c r="G657" s="52"/>
      <c r="H657" s="52"/>
    </row>
    <row r="658" spans="1:8" ht="15.75">
      <c r="A658" s="106">
        <v>40386</v>
      </c>
      <c r="B658" s="107">
        <v>126.03</v>
      </c>
      <c r="C658" s="52"/>
      <c r="D658" s="52"/>
      <c r="E658" s="52"/>
      <c r="F658" s="52"/>
      <c r="G658" s="52"/>
      <c r="H658" s="52"/>
    </row>
    <row r="659" spans="1:8" ht="15.75">
      <c r="A659" s="106">
        <v>40387</v>
      </c>
      <c r="B659" s="107">
        <v>126.05</v>
      </c>
      <c r="C659" s="52"/>
      <c r="D659" s="52"/>
      <c r="E659" s="52"/>
      <c r="F659" s="52"/>
      <c r="G659" s="52"/>
      <c r="H659" s="52"/>
    </row>
    <row r="660" spans="1:8" ht="15.75">
      <c r="A660" s="106">
        <v>40388</v>
      </c>
      <c r="B660" s="107">
        <v>125.81</v>
      </c>
      <c r="C660" s="52"/>
      <c r="D660" s="52"/>
      <c r="E660" s="52"/>
      <c r="F660" s="52"/>
      <c r="G660" s="52"/>
      <c r="H660" s="52"/>
    </row>
    <row r="661" spans="1:8" ht="15.75">
      <c r="A661" s="106">
        <v>40389</v>
      </c>
      <c r="B661" s="107">
        <v>125.75</v>
      </c>
      <c r="C661" s="52"/>
      <c r="D661" s="52"/>
      <c r="E661" s="52"/>
      <c r="F661" s="52"/>
      <c r="G661" s="52"/>
      <c r="H661" s="52"/>
    </row>
    <row r="662" spans="1:8" ht="15.75">
      <c r="A662" s="106">
        <v>40392</v>
      </c>
      <c r="B662" s="107">
        <v>125.68</v>
      </c>
      <c r="C662" s="52"/>
      <c r="D662" s="52"/>
      <c r="E662" s="52"/>
      <c r="F662" s="52"/>
      <c r="G662" s="52"/>
      <c r="H662" s="52"/>
    </row>
    <row r="663" spans="1:8" ht="15.75">
      <c r="A663" s="106">
        <v>40393</v>
      </c>
      <c r="B663" s="107">
        <v>126.19</v>
      </c>
      <c r="C663" s="52"/>
      <c r="D663" s="52"/>
      <c r="E663" s="52"/>
      <c r="F663" s="52"/>
      <c r="G663" s="52"/>
      <c r="H663" s="52"/>
    </row>
    <row r="664" spans="1:8" ht="15.75">
      <c r="A664" s="106">
        <v>40394</v>
      </c>
      <c r="B664" s="107">
        <v>126.77</v>
      </c>
      <c r="C664" s="52"/>
      <c r="D664" s="52"/>
      <c r="E664" s="52"/>
      <c r="F664" s="52"/>
      <c r="G664" s="52"/>
      <c r="H664" s="52"/>
    </row>
    <row r="665" spans="1:8" ht="15.75">
      <c r="A665" s="106">
        <v>40395</v>
      </c>
      <c r="B665" s="107">
        <v>126.91</v>
      </c>
      <c r="C665" s="52"/>
      <c r="D665" s="52"/>
      <c r="E665" s="52"/>
      <c r="F665" s="52"/>
      <c r="G665" s="52"/>
      <c r="H665" s="52"/>
    </row>
    <row r="666" spans="1:8" ht="15.75">
      <c r="A666" s="106">
        <v>40396</v>
      </c>
      <c r="B666" s="107">
        <v>126.77</v>
      </c>
      <c r="C666" s="52"/>
      <c r="D666" s="52"/>
      <c r="E666" s="52"/>
      <c r="F666" s="52"/>
      <c r="G666" s="52"/>
      <c r="H666" s="52"/>
    </row>
    <row r="667" spans="1:8" ht="15.75">
      <c r="A667" s="106">
        <v>40399</v>
      </c>
      <c r="B667" s="107">
        <v>126.91</v>
      </c>
      <c r="C667" s="52"/>
      <c r="D667" s="52"/>
      <c r="E667" s="52"/>
      <c r="F667" s="52"/>
      <c r="G667" s="52"/>
      <c r="H667" s="52"/>
    </row>
    <row r="668" spans="1:8" ht="15.75">
      <c r="A668" s="106">
        <v>40400</v>
      </c>
      <c r="B668" s="107">
        <v>126.91</v>
      </c>
      <c r="C668" s="52"/>
      <c r="D668" s="52"/>
      <c r="E668" s="52"/>
      <c r="F668" s="52"/>
      <c r="G668" s="52"/>
      <c r="H668" s="52"/>
    </row>
    <row r="669" spans="1:8" ht="15.75">
      <c r="A669" s="106">
        <v>40401</v>
      </c>
      <c r="B669" s="107">
        <v>127.39</v>
      </c>
      <c r="C669" s="52"/>
      <c r="D669" s="52"/>
      <c r="E669" s="52"/>
      <c r="F669" s="52"/>
      <c r="G669" s="52"/>
      <c r="H669" s="52"/>
    </row>
    <row r="670" spans="1:8" ht="15.75">
      <c r="A670" s="106">
        <v>40402</v>
      </c>
      <c r="B670" s="107">
        <v>127.45</v>
      </c>
      <c r="C670" s="52"/>
      <c r="D670" s="52"/>
      <c r="E670" s="52"/>
      <c r="F670" s="52"/>
      <c r="G670" s="52"/>
      <c r="H670" s="52"/>
    </row>
    <row r="671" spans="1:8" ht="15.75">
      <c r="A671" s="106">
        <v>40403</v>
      </c>
      <c r="B671" s="107">
        <v>127.59</v>
      </c>
      <c r="C671" s="52"/>
      <c r="D671" s="52"/>
      <c r="E671" s="52"/>
      <c r="F671" s="52"/>
      <c r="G671" s="52"/>
      <c r="H671" s="52"/>
    </row>
    <row r="672" spans="1:8" ht="15.75">
      <c r="A672" s="106">
        <v>40406</v>
      </c>
      <c r="B672" s="107">
        <v>127.86</v>
      </c>
      <c r="C672" s="52"/>
      <c r="D672" s="52"/>
      <c r="E672" s="52"/>
      <c r="F672" s="52"/>
      <c r="G672" s="52"/>
      <c r="H672" s="52"/>
    </row>
    <row r="673" spans="1:8" ht="15.75">
      <c r="A673" s="106">
        <v>40407</v>
      </c>
      <c r="B673" s="107">
        <v>127.9</v>
      </c>
      <c r="C673" s="52"/>
      <c r="D673" s="52"/>
      <c r="E673" s="52"/>
      <c r="F673" s="52"/>
      <c r="G673" s="52"/>
      <c r="H673" s="52"/>
    </row>
    <row r="674" spans="1:8" ht="15.75">
      <c r="A674" s="106">
        <v>40408</v>
      </c>
      <c r="B674" s="107">
        <v>128.44</v>
      </c>
      <c r="C674" s="52"/>
      <c r="D674" s="52"/>
      <c r="E674" s="52"/>
      <c r="F674" s="52"/>
      <c r="G674" s="52"/>
      <c r="H674" s="52"/>
    </row>
    <row r="675" spans="1:8" ht="15.75">
      <c r="A675" s="106">
        <v>40409</v>
      </c>
      <c r="B675" s="107">
        <v>128.56</v>
      </c>
      <c r="C675" s="52"/>
      <c r="D675" s="52"/>
      <c r="E675" s="52"/>
      <c r="F675" s="52"/>
      <c r="G675" s="52"/>
      <c r="H675" s="52"/>
    </row>
    <row r="676" spans="1:8" ht="15.75">
      <c r="A676" s="106">
        <v>40410</v>
      </c>
      <c r="B676" s="107">
        <v>128.47</v>
      </c>
      <c r="C676" s="52"/>
      <c r="D676" s="52"/>
      <c r="E676" s="52"/>
      <c r="F676" s="52"/>
      <c r="G676" s="52"/>
      <c r="H676" s="52"/>
    </row>
    <row r="677" spans="1:8" ht="15.75">
      <c r="A677" s="106">
        <v>40413</v>
      </c>
      <c r="B677" s="107">
        <v>128.37</v>
      </c>
      <c r="C677" s="52"/>
      <c r="D677" s="52"/>
      <c r="E677" s="52"/>
      <c r="F677" s="52"/>
      <c r="G677" s="52"/>
      <c r="H677" s="52"/>
    </row>
    <row r="678" spans="1:8" ht="15.75">
      <c r="A678" s="106">
        <v>40414</v>
      </c>
      <c r="B678" s="107">
        <v>128.41999999999999</v>
      </c>
      <c r="C678" s="52"/>
      <c r="D678" s="52"/>
      <c r="E678" s="52"/>
      <c r="F678" s="52"/>
      <c r="G678" s="52"/>
      <c r="H678" s="52"/>
    </row>
    <row r="679" spans="1:8" ht="15.75">
      <c r="A679" s="106">
        <v>40415</v>
      </c>
      <c r="B679" s="107">
        <v>128.62</v>
      </c>
      <c r="C679" s="52"/>
      <c r="D679" s="52"/>
      <c r="E679" s="52"/>
      <c r="F679" s="52"/>
      <c r="G679" s="52"/>
      <c r="H679" s="52"/>
    </row>
    <row r="680" spans="1:8" ht="15.75">
      <c r="A680" s="106">
        <v>40416</v>
      </c>
      <c r="B680" s="107">
        <v>129</v>
      </c>
      <c r="C680" s="52"/>
      <c r="D680" s="52"/>
      <c r="E680" s="52"/>
      <c r="F680" s="52"/>
      <c r="G680" s="52"/>
      <c r="H680" s="52"/>
    </row>
    <row r="681" spans="1:8" ht="15.75">
      <c r="A681" s="106">
        <v>40417</v>
      </c>
      <c r="B681" s="107">
        <v>129.04</v>
      </c>
      <c r="C681" s="52"/>
      <c r="D681" s="52"/>
      <c r="E681" s="52"/>
      <c r="F681" s="52"/>
      <c r="G681" s="52"/>
      <c r="H681" s="52"/>
    </row>
    <row r="682" spans="1:8" ht="15.75">
      <c r="A682" s="106">
        <v>40420</v>
      </c>
      <c r="B682" s="107">
        <v>129.16</v>
      </c>
      <c r="C682" s="52"/>
      <c r="D682" s="52"/>
      <c r="E682" s="52"/>
      <c r="F682" s="52"/>
      <c r="G682" s="52"/>
      <c r="H682" s="52"/>
    </row>
    <row r="683" spans="1:8" ht="15.75">
      <c r="A683" s="106">
        <v>40421</v>
      </c>
      <c r="B683" s="107">
        <v>129.19999999999999</v>
      </c>
      <c r="C683" s="52"/>
      <c r="D683" s="52"/>
      <c r="E683" s="52"/>
      <c r="F683" s="52"/>
      <c r="G683" s="52"/>
      <c r="H683" s="52"/>
    </row>
    <row r="684" spans="1:8" ht="15.75">
      <c r="A684" s="106">
        <v>40422</v>
      </c>
      <c r="B684" s="107">
        <v>129.41</v>
      </c>
      <c r="C684" s="52"/>
      <c r="D684" s="52"/>
      <c r="E684" s="52"/>
      <c r="F684" s="52"/>
      <c r="G684" s="52"/>
      <c r="H684" s="52"/>
    </row>
    <row r="685" spans="1:8" ht="15.75">
      <c r="A685" s="106">
        <v>40423</v>
      </c>
      <c r="B685" s="107">
        <v>129.12</v>
      </c>
      <c r="C685" s="52"/>
      <c r="D685" s="52"/>
      <c r="E685" s="52"/>
      <c r="F685" s="52"/>
      <c r="G685" s="52"/>
      <c r="H685" s="52"/>
    </row>
    <row r="686" spans="1:8" ht="15.75">
      <c r="A686" s="106">
        <v>40424</v>
      </c>
      <c r="B686" s="107">
        <v>128.81</v>
      </c>
      <c r="C686" s="52"/>
      <c r="D686" s="52"/>
      <c r="E686" s="52"/>
      <c r="F686" s="52"/>
      <c r="G686" s="52"/>
      <c r="H686" s="52"/>
    </row>
    <row r="687" spans="1:8" ht="15.75">
      <c r="A687" s="106">
        <v>40427</v>
      </c>
      <c r="B687" s="107">
        <v>128.81</v>
      </c>
      <c r="C687" s="52"/>
      <c r="D687" s="52"/>
      <c r="E687" s="52"/>
      <c r="F687" s="52"/>
      <c r="G687" s="52"/>
      <c r="H687" s="52"/>
    </row>
    <row r="688" spans="1:8" ht="15.75">
      <c r="A688" s="106">
        <v>40428</v>
      </c>
      <c r="B688" s="107">
        <v>128.55000000000001</v>
      </c>
      <c r="C688" s="52"/>
      <c r="D688" s="52"/>
      <c r="E688" s="52"/>
      <c r="F688" s="52"/>
      <c r="G688" s="52"/>
      <c r="H688" s="52"/>
    </row>
    <row r="689" spans="1:8" ht="15.75">
      <c r="A689" s="106">
        <v>40429</v>
      </c>
      <c r="B689" s="107">
        <v>128.80000000000001</v>
      </c>
      <c r="C689" s="52"/>
      <c r="D689" s="52"/>
      <c r="E689" s="52"/>
      <c r="F689" s="52"/>
      <c r="G689" s="52"/>
      <c r="H689" s="52"/>
    </row>
    <row r="690" spans="1:8" ht="15.75">
      <c r="A690" s="106">
        <v>40430</v>
      </c>
      <c r="B690" s="107">
        <v>128.36000000000001</v>
      </c>
      <c r="C690" s="52"/>
      <c r="D690" s="52"/>
      <c r="E690" s="52"/>
      <c r="F690" s="52"/>
      <c r="G690" s="52"/>
      <c r="H690" s="52"/>
    </row>
    <row r="691" spans="1:8" ht="15.75">
      <c r="A691" s="106">
        <v>40431</v>
      </c>
      <c r="B691" s="107">
        <v>128.52000000000001</v>
      </c>
      <c r="C691" s="52"/>
      <c r="D691" s="52"/>
      <c r="E691" s="52"/>
      <c r="F691" s="52"/>
      <c r="G691" s="52"/>
      <c r="H691" s="52"/>
    </row>
    <row r="692" spans="1:8" ht="15.75">
      <c r="A692" s="106">
        <v>40434</v>
      </c>
      <c r="B692" s="107">
        <v>127.67</v>
      </c>
      <c r="C692" s="52"/>
      <c r="D692" s="52"/>
      <c r="E692" s="52"/>
      <c r="F692" s="52"/>
      <c r="G692" s="52"/>
      <c r="H692" s="52"/>
    </row>
    <row r="693" spans="1:8" ht="15.75">
      <c r="A693" s="106">
        <v>40435</v>
      </c>
      <c r="B693" s="107">
        <v>128.15</v>
      </c>
      <c r="C693" s="52"/>
      <c r="D693" s="52"/>
      <c r="E693" s="52"/>
      <c r="F693" s="52"/>
      <c r="G693" s="52"/>
      <c r="H693" s="52"/>
    </row>
    <row r="694" spans="1:8" ht="15.75">
      <c r="A694" s="106">
        <v>40436</v>
      </c>
      <c r="B694" s="107">
        <v>128.01</v>
      </c>
      <c r="C694" s="52"/>
      <c r="D694" s="52"/>
      <c r="E694" s="52"/>
      <c r="F694" s="52"/>
      <c r="G694" s="52"/>
      <c r="H694" s="52"/>
    </row>
    <row r="695" spans="1:8" ht="15.75">
      <c r="A695" s="106">
        <v>40437</v>
      </c>
      <c r="B695" s="107">
        <v>127.51</v>
      </c>
      <c r="C695" s="52"/>
      <c r="D695" s="52"/>
      <c r="E695" s="52"/>
      <c r="F695" s="52"/>
      <c r="G695" s="52"/>
      <c r="H695" s="52"/>
    </row>
    <row r="696" spans="1:8" ht="15.75">
      <c r="A696" s="106">
        <v>40438</v>
      </c>
      <c r="B696" s="107">
        <v>127.32</v>
      </c>
      <c r="C696" s="52"/>
      <c r="D696" s="52"/>
      <c r="E696" s="52"/>
      <c r="F696" s="52"/>
      <c r="G696" s="52"/>
      <c r="H696" s="52"/>
    </row>
    <row r="697" spans="1:8" ht="15.75">
      <c r="A697" s="106">
        <v>40441</v>
      </c>
      <c r="B697" s="107">
        <v>127.38</v>
      </c>
      <c r="C697" s="52"/>
      <c r="D697" s="52"/>
      <c r="E697" s="52"/>
      <c r="F697" s="52"/>
      <c r="G697" s="52"/>
      <c r="H697" s="52"/>
    </row>
    <row r="698" spans="1:8" ht="15.75">
      <c r="A698" s="106">
        <v>40442</v>
      </c>
      <c r="B698" s="107">
        <v>127.51</v>
      </c>
      <c r="C698" s="52"/>
      <c r="D698" s="52"/>
      <c r="E698" s="52"/>
      <c r="F698" s="52"/>
      <c r="G698" s="52"/>
      <c r="H698" s="52"/>
    </row>
    <row r="699" spans="1:8" ht="15.75">
      <c r="A699" s="106">
        <v>40443</v>
      </c>
      <c r="B699" s="107">
        <v>127.96</v>
      </c>
      <c r="C699" s="52"/>
      <c r="D699" s="52"/>
      <c r="E699" s="52"/>
      <c r="F699" s="52"/>
      <c r="G699" s="52"/>
      <c r="H699" s="52"/>
    </row>
    <row r="700" spans="1:8" ht="15.75">
      <c r="A700" s="106">
        <v>40444</v>
      </c>
      <c r="B700" s="107">
        <v>128.21</v>
      </c>
      <c r="C700" s="52"/>
      <c r="D700" s="52"/>
      <c r="E700" s="52"/>
      <c r="F700" s="52"/>
      <c r="G700" s="52"/>
      <c r="H700" s="52"/>
    </row>
    <row r="701" spans="1:8" ht="15.75">
      <c r="A701" s="106">
        <v>40445</v>
      </c>
      <c r="B701" s="107">
        <v>128.22</v>
      </c>
      <c r="C701" s="52"/>
      <c r="D701" s="52"/>
      <c r="E701" s="52"/>
      <c r="F701" s="52"/>
      <c r="G701" s="52"/>
      <c r="H701" s="52"/>
    </row>
    <row r="702" spans="1:8" ht="15.75">
      <c r="A702" s="106">
        <v>40448</v>
      </c>
      <c r="B702" s="107">
        <v>128.22</v>
      </c>
      <c r="C702" s="52"/>
      <c r="D702" s="52"/>
      <c r="E702" s="52"/>
      <c r="F702" s="52"/>
      <c r="G702" s="52"/>
      <c r="H702" s="52"/>
    </row>
    <row r="703" spans="1:8" ht="15.75">
      <c r="A703" s="106">
        <v>40449</v>
      </c>
      <c r="B703" s="107">
        <v>128.27000000000001</v>
      </c>
      <c r="C703" s="52"/>
      <c r="D703" s="52"/>
      <c r="E703" s="52"/>
      <c r="F703" s="52"/>
      <c r="G703" s="52"/>
      <c r="H703" s="52"/>
    </row>
    <row r="704" spans="1:8" ht="15.75">
      <c r="A704" s="106">
        <v>40450</v>
      </c>
      <c r="B704" s="107">
        <v>128.51</v>
      </c>
      <c r="C704" s="52"/>
      <c r="D704" s="52"/>
      <c r="E704" s="52"/>
      <c r="F704" s="52"/>
      <c r="G704" s="52"/>
      <c r="H704" s="52"/>
    </row>
    <row r="705" spans="1:8" ht="15.75">
      <c r="A705" s="106">
        <v>40451</v>
      </c>
      <c r="B705" s="107">
        <v>128.37</v>
      </c>
      <c r="C705" s="52"/>
      <c r="D705" s="52"/>
      <c r="E705" s="52"/>
      <c r="F705" s="52"/>
      <c r="G705" s="52"/>
      <c r="H705" s="52"/>
    </row>
    <row r="706" spans="1:8" ht="15.75">
      <c r="A706" s="106">
        <v>40452</v>
      </c>
      <c r="B706" s="107">
        <v>128.03</v>
      </c>
      <c r="C706" s="52"/>
      <c r="D706" s="52"/>
      <c r="E706" s="52"/>
      <c r="F706" s="52"/>
      <c r="G706" s="52"/>
      <c r="H706" s="52"/>
    </row>
    <row r="707" spans="1:8" ht="15.75">
      <c r="A707" s="106">
        <v>40455</v>
      </c>
      <c r="B707" s="107">
        <v>128.27000000000001</v>
      </c>
      <c r="C707" s="52"/>
      <c r="D707" s="52"/>
      <c r="E707" s="52"/>
      <c r="F707" s="52"/>
      <c r="G707" s="52"/>
      <c r="H707" s="52"/>
    </row>
    <row r="708" spans="1:8" ht="15.75">
      <c r="A708" s="106">
        <v>40456</v>
      </c>
      <c r="B708" s="107">
        <v>128.35</v>
      </c>
      <c r="C708" s="52"/>
      <c r="D708" s="52"/>
      <c r="E708" s="52"/>
      <c r="F708" s="52"/>
      <c r="G708" s="52"/>
      <c r="H708" s="52"/>
    </row>
    <row r="709" spans="1:8" ht="15.75">
      <c r="A709" s="106">
        <v>40457</v>
      </c>
      <c r="B709" s="107">
        <v>128.49</v>
      </c>
      <c r="C709" s="52"/>
      <c r="D709" s="52"/>
      <c r="E709" s="52"/>
      <c r="F709" s="52"/>
      <c r="G709" s="52"/>
      <c r="H709" s="52"/>
    </row>
    <row r="710" spans="1:8" ht="15.75">
      <c r="A710" s="106">
        <v>40458</v>
      </c>
      <c r="B710" s="107">
        <v>128.43</v>
      </c>
      <c r="C710" s="52"/>
      <c r="D710" s="52"/>
      <c r="E710" s="52"/>
      <c r="F710" s="52"/>
      <c r="G710" s="52"/>
      <c r="H710" s="52"/>
    </row>
    <row r="711" spans="1:8" ht="15.75">
      <c r="A711" s="106">
        <v>40459</v>
      </c>
      <c r="B711" s="107">
        <v>128.41999999999999</v>
      </c>
      <c r="C711" s="52"/>
      <c r="D711" s="52"/>
      <c r="E711" s="52"/>
      <c r="F711" s="52"/>
      <c r="G711" s="52"/>
      <c r="H711" s="52"/>
    </row>
    <row r="712" spans="1:8" ht="15.75">
      <c r="A712" s="106">
        <v>40462</v>
      </c>
      <c r="B712" s="107">
        <v>128.44</v>
      </c>
      <c r="C712" s="52"/>
      <c r="D712" s="52"/>
      <c r="E712" s="52"/>
      <c r="F712" s="52"/>
      <c r="G712" s="52"/>
      <c r="H712" s="52"/>
    </row>
    <row r="713" spans="1:8" ht="15.75">
      <c r="A713" s="106">
        <v>40463</v>
      </c>
      <c r="B713" s="107">
        <v>128.86000000000001</v>
      </c>
      <c r="C713" s="52"/>
      <c r="D713" s="52"/>
      <c r="E713" s="52"/>
      <c r="F713" s="52"/>
      <c r="G713" s="52"/>
      <c r="H713" s="52"/>
    </row>
    <row r="714" spans="1:8" ht="15.75">
      <c r="A714" s="106">
        <v>40464</v>
      </c>
      <c r="B714" s="107">
        <v>128.4</v>
      </c>
      <c r="C714" s="52"/>
      <c r="D714" s="52"/>
      <c r="E714" s="52"/>
      <c r="F714" s="52"/>
      <c r="G714" s="52"/>
      <c r="H714" s="52"/>
    </row>
    <row r="715" spans="1:8" ht="15.75">
      <c r="A715" s="106">
        <v>40465</v>
      </c>
      <c r="B715" s="107">
        <v>128.53</v>
      </c>
      <c r="C715" s="52"/>
      <c r="D715" s="52"/>
      <c r="E715" s="52"/>
      <c r="F715" s="52"/>
      <c r="G715" s="52"/>
      <c r="H715" s="52"/>
    </row>
    <row r="716" spans="1:8" ht="15.75">
      <c r="A716" s="106">
        <v>40466</v>
      </c>
      <c r="B716" s="107">
        <v>128.53</v>
      </c>
      <c r="C716" s="52"/>
      <c r="D716" s="52"/>
      <c r="E716" s="52"/>
      <c r="F716" s="52"/>
      <c r="G716" s="52"/>
      <c r="H716" s="52"/>
    </row>
    <row r="717" spans="1:8" ht="15.75">
      <c r="A717" s="106">
        <v>40469</v>
      </c>
      <c r="B717" s="107">
        <v>128.30000000000001</v>
      </c>
      <c r="C717" s="52"/>
      <c r="D717" s="52"/>
      <c r="E717" s="52"/>
      <c r="F717" s="52"/>
      <c r="G717" s="52"/>
      <c r="H717" s="52"/>
    </row>
    <row r="718" spans="1:8" ht="15.75">
      <c r="A718" s="106">
        <v>40470</v>
      </c>
      <c r="B718" s="107">
        <v>127.7</v>
      </c>
      <c r="C718" s="52"/>
      <c r="D718" s="52"/>
      <c r="E718" s="52"/>
      <c r="F718" s="52"/>
      <c r="G718" s="52"/>
      <c r="H718" s="52"/>
    </row>
    <row r="719" spans="1:8" ht="15.75">
      <c r="A719" s="106">
        <v>40471</v>
      </c>
      <c r="B719" s="107">
        <v>127.79</v>
      </c>
      <c r="C719" s="52"/>
      <c r="D719" s="52"/>
      <c r="E719" s="52"/>
      <c r="F719" s="52"/>
      <c r="G719" s="52"/>
      <c r="H719" s="52"/>
    </row>
    <row r="720" spans="1:8" ht="15.75">
      <c r="A720" s="106">
        <v>40472</v>
      </c>
      <c r="B720" s="107">
        <v>127.67</v>
      </c>
      <c r="C720" s="52"/>
      <c r="D720" s="52"/>
      <c r="E720" s="52"/>
      <c r="F720" s="52"/>
      <c r="G720" s="52"/>
      <c r="H720" s="52"/>
    </row>
    <row r="721" spans="1:8" ht="15.75">
      <c r="A721" s="106">
        <v>40473</v>
      </c>
      <c r="B721" s="107">
        <v>127.19</v>
      </c>
      <c r="C721" s="52"/>
      <c r="D721" s="52"/>
      <c r="E721" s="52"/>
      <c r="F721" s="52"/>
      <c r="G721" s="52"/>
      <c r="H721" s="52"/>
    </row>
    <row r="722" spans="1:8" ht="15.75">
      <c r="A722" s="106">
        <v>40476</v>
      </c>
      <c r="B722" s="107">
        <v>127.33</v>
      </c>
      <c r="C722" s="52"/>
      <c r="D722" s="52"/>
      <c r="E722" s="52"/>
      <c r="F722" s="52"/>
      <c r="G722" s="52"/>
      <c r="H722" s="52"/>
    </row>
    <row r="723" spans="1:8" ht="15.75">
      <c r="A723" s="106">
        <v>40477</v>
      </c>
      <c r="B723" s="107">
        <v>127.11</v>
      </c>
      <c r="C723" s="52"/>
      <c r="D723" s="52"/>
      <c r="E723" s="52"/>
      <c r="F723" s="52"/>
      <c r="G723" s="52"/>
      <c r="H723" s="52"/>
    </row>
    <row r="724" spans="1:8" ht="15.75">
      <c r="A724" s="106">
        <v>40478</v>
      </c>
      <c r="B724" s="107">
        <v>126.77</v>
      </c>
      <c r="C724" s="52"/>
      <c r="D724" s="52"/>
      <c r="E724" s="52"/>
      <c r="F724" s="52"/>
      <c r="G724" s="52"/>
      <c r="H724" s="52"/>
    </row>
    <row r="725" spans="1:8" ht="15.75">
      <c r="A725" s="106">
        <v>40479</v>
      </c>
      <c r="B725" s="107">
        <v>126.75</v>
      </c>
      <c r="C725" s="52"/>
      <c r="D725" s="52"/>
      <c r="E725" s="52"/>
      <c r="F725" s="52"/>
      <c r="G725" s="52"/>
      <c r="H725" s="52"/>
    </row>
    <row r="726" spans="1:8" ht="15.75">
      <c r="A726" s="106">
        <v>40480</v>
      </c>
      <c r="B726" s="107">
        <v>126.8</v>
      </c>
      <c r="C726" s="52"/>
      <c r="D726" s="52"/>
      <c r="E726" s="52"/>
      <c r="F726" s="52"/>
      <c r="G726" s="52"/>
      <c r="H726" s="52"/>
    </row>
    <row r="727" spans="1:8" ht="15.75">
      <c r="A727" s="106">
        <v>40483</v>
      </c>
      <c r="B727" s="107">
        <v>127.04</v>
      </c>
      <c r="C727" s="52"/>
      <c r="D727" s="52"/>
      <c r="E727" s="52"/>
      <c r="F727" s="52"/>
      <c r="G727" s="52"/>
      <c r="H727" s="52"/>
    </row>
    <row r="728" spans="1:8" ht="15.75">
      <c r="A728" s="106">
        <v>40484</v>
      </c>
      <c r="B728" s="107">
        <v>126.94</v>
      </c>
      <c r="C728" s="52"/>
      <c r="D728" s="52"/>
      <c r="E728" s="52"/>
      <c r="F728" s="52"/>
      <c r="G728" s="52"/>
      <c r="H728" s="52"/>
    </row>
    <row r="729" spans="1:8" ht="15.75">
      <c r="A729" s="106">
        <v>40485</v>
      </c>
      <c r="B729" s="107">
        <v>127.18</v>
      </c>
      <c r="C729" s="52"/>
      <c r="D729" s="52"/>
      <c r="E729" s="52"/>
      <c r="F729" s="52"/>
      <c r="G729" s="52"/>
      <c r="H729" s="52"/>
    </row>
    <row r="730" spans="1:8" ht="15.75">
      <c r="A730" s="106">
        <v>40486</v>
      </c>
      <c r="B730" s="107">
        <v>127.11</v>
      </c>
      <c r="C730" s="52"/>
      <c r="D730" s="52"/>
      <c r="E730" s="52"/>
      <c r="F730" s="52"/>
      <c r="G730" s="52"/>
      <c r="H730" s="52"/>
    </row>
    <row r="731" spans="1:8" ht="15.75">
      <c r="A731" s="106">
        <v>40487</v>
      </c>
      <c r="B731" s="107">
        <v>127.57</v>
      </c>
      <c r="C731" s="52"/>
      <c r="D731" s="52"/>
      <c r="E731" s="52"/>
      <c r="F731" s="52"/>
      <c r="G731" s="52"/>
      <c r="H731" s="52"/>
    </row>
    <row r="732" spans="1:8" ht="15.75">
      <c r="A732" s="106">
        <v>40490</v>
      </c>
      <c r="B732" s="107">
        <v>127.51</v>
      </c>
      <c r="C732" s="52"/>
      <c r="D732" s="52"/>
      <c r="E732" s="52"/>
      <c r="F732" s="52"/>
      <c r="G732" s="52"/>
      <c r="H732" s="52"/>
    </row>
    <row r="733" spans="1:8" ht="15.75">
      <c r="A733" s="106">
        <v>40491</v>
      </c>
      <c r="B733" s="107">
        <v>127.88</v>
      </c>
      <c r="C733" s="52"/>
      <c r="D733" s="52"/>
      <c r="E733" s="52"/>
      <c r="F733" s="52"/>
      <c r="G733" s="52"/>
      <c r="H733" s="52"/>
    </row>
    <row r="734" spans="1:8" ht="15.75">
      <c r="A734" s="106">
        <v>40492</v>
      </c>
      <c r="B734" s="107">
        <v>127.3</v>
      </c>
      <c r="C734" s="52"/>
      <c r="D734" s="52"/>
      <c r="E734" s="52"/>
      <c r="F734" s="52"/>
      <c r="G734" s="52"/>
      <c r="H734" s="52"/>
    </row>
    <row r="735" spans="1:8" ht="15.75">
      <c r="A735" s="106">
        <v>40493</v>
      </c>
      <c r="B735" s="107">
        <v>127.88</v>
      </c>
      <c r="C735" s="52"/>
      <c r="D735" s="52"/>
      <c r="E735" s="52"/>
      <c r="F735" s="52"/>
      <c r="G735" s="52"/>
      <c r="H735" s="52"/>
    </row>
    <row r="736" spans="1:8" ht="15.75">
      <c r="A736" s="106">
        <v>40494</v>
      </c>
      <c r="B736" s="107">
        <v>127.44</v>
      </c>
      <c r="C736" s="52"/>
      <c r="D736" s="52"/>
      <c r="E736" s="52"/>
      <c r="F736" s="52"/>
      <c r="G736" s="52"/>
      <c r="H736" s="52"/>
    </row>
    <row r="737" spans="1:8" ht="15.75">
      <c r="A737" s="106">
        <v>40497</v>
      </c>
      <c r="B737" s="107">
        <v>127.11</v>
      </c>
      <c r="C737" s="52"/>
      <c r="D737" s="52"/>
      <c r="E737" s="52"/>
      <c r="F737" s="52"/>
      <c r="G737" s="52"/>
      <c r="H737" s="52"/>
    </row>
    <row r="738" spans="1:8" ht="15.75">
      <c r="A738" s="106">
        <v>40498</v>
      </c>
      <c r="B738" s="107">
        <v>126.89</v>
      </c>
      <c r="C738" s="52"/>
      <c r="D738" s="52"/>
      <c r="E738" s="52"/>
      <c r="F738" s="52"/>
      <c r="G738" s="52"/>
      <c r="H738" s="52"/>
    </row>
    <row r="739" spans="1:8" ht="15.75">
      <c r="A739" s="106">
        <v>40499</v>
      </c>
      <c r="B739" s="107">
        <v>126.59</v>
      </c>
      <c r="C739" s="52"/>
      <c r="D739" s="52"/>
      <c r="E739" s="52"/>
      <c r="F739" s="52"/>
      <c r="G739" s="52"/>
      <c r="H739" s="52"/>
    </row>
    <row r="740" spans="1:8" ht="15.75">
      <c r="A740" s="106">
        <v>40500</v>
      </c>
      <c r="B740" s="107">
        <v>126.22</v>
      </c>
      <c r="C740" s="52"/>
      <c r="D740" s="52"/>
      <c r="E740" s="52"/>
      <c r="F740" s="52"/>
      <c r="G740" s="52"/>
      <c r="H740" s="52"/>
    </row>
    <row r="741" spans="1:8" ht="15.75">
      <c r="A741" s="106">
        <v>40501</v>
      </c>
      <c r="B741" s="107">
        <v>126.25</v>
      </c>
      <c r="C741" s="52"/>
      <c r="D741" s="52"/>
      <c r="E741" s="52"/>
      <c r="F741" s="52"/>
      <c r="G741" s="52"/>
      <c r="H741" s="52"/>
    </row>
    <row r="742" spans="1:8" ht="15.75">
      <c r="A742" s="106">
        <v>40504</v>
      </c>
      <c r="B742" s="107">
        <v>126.07</v>
      </c>
      <c r="C742" s="52"/>
      <c r="D742" s="52"/>
      <c r="E742" s="52"/>
      <c r="F742" s="52"/>
      <c r="G742" s="52"/>
      <c r="H742" s="52"/>
    </row>
    <row r="743" spans="1:8" ht="15.75">
      <c r="A743" s="106">
        <v>40505</v>
      </c>
      <c r="B743" s="107">
        <v>126.49</v>
      </c>
      <c r="C743" s="52"/>
      <c r="D743" s="52"/>
      <c r="E743" s="52"/>
      <c r="F743" s="52"/>
      <c r="G743" s="52"/>
      <c r="H743" s="52"/>
    </row>
    <row r="744" spans="1:8" ht="15.75">
      <c r="A744" s="106">
        <v>40506</v>
      </c>
      <c r="B744" s="107">
        <v>126.97</v>
      </c>
      <c r="C744" s="52"/>
      <c r="D744" s="52"/>
      <c r="E744" s="52"/>
      <c r="F744" s="52"/>
      <c r="G744" s="52"/>
      <c r="H744" s="52"/>
    </row>
    <row r="745" spans="1:8" ht="15.75">
      <c r="A745" s="106">
        <v>40507</v>
      </c>
      <c r="B745" s="107">
        <v>126.53</v>
      </c>
      <c r="C745" s="52"/>
      <c r="D745" s="52"/>
      <c r="E745" s="52"/>
      <c r="F745" s="52"/>
      <c r="G745" s="52"/>
      <c r="H745" s="52"/>
    </row>
    <row r="746" spans="1:8" ht="15.75">
      <c r="A746" s="106">
        <v>40508</v>
      </c>
      <c r="B746" s="107">
        <v>126.73</v>
      </c>
      <c r="C746" s="52"/>
      <c r="D746" s="52"/>
      <c r="E746" s="52"/>
      <c r="F746" s="52"/>
      <c r="G746" s="52"/>
      <c r="H746" s="52"/>
    </row>
    <row r="747" spans="1:8" ht="15.75">
      <c r="A747" s="106">
        <v>40511</v>
      </c>
      <c r="B747" s="107">
        <v>126.71</v>
      </c>
      <c r="C747" s="52"/>
      <c r="D747" s="52"/>
      <c r="E747" s="52"/>
      <c r="F747" s="52"/>
      <c r="G747" s="52"/>
      <c r="H747" s="52"/>
    </row>
    <row r="748" spans="1:8" ht="15.75">
      <c r="A748" s="106">
        <v>40512</v>
      </c>
      <c r="B748" s="107">
        <v>127.06</v>
      </c>
      <c r="C748" s="52"/>
      <c r="D748" s="52"/>
      <c r="E748" s="52"/>
      <c r="F748" s="52"/>
      <c r="G748" s="52"/>
      <c r="H748" s="52"/>
    </row>
    <row r="749" spans="1:8" ht="15.75">
      <c r="A749" s="106">
        <v>40513</v>
      </c>
      <c r="B749" s="107">
        <v>126.63</v>
      </c>
      <c r="C749" s="52"/>
      <c r="D749" s="52"/>
      <c r="E749" s="52"/>
      <c r="F749" s="52"/>
      <c r="G749" s="52"/>
      <c r="H749" s="52"/>
    </row>
    <row r="750" spans="1:8" ht="15.75">
      <c r="A750" s="106">
        <v>40514</v>
      </c>
      <c r="B750" s="107">
        <v>126.31</v>
      </c>
      <c r="C750" s="52"/>
      <c r="D750" s="52"/>
      <c r="E750" s="52"/>
      <c r="F750" s="52"/>
      <c r="G750" s="52"/>
      <c r="H750" s="52"/>
    </row>
    <row r="751" spans="1:8" ht="15.75">
      <c r="A751" s="106">
        <v>40515</v>
      </c>
      <c r="B751" s="107">
        <v>126.21</v>
      </c>
      <c r="C751" s="52"/>
      <c r="D751" s="52"/>
      <c r="E751" s="52"/>
      <c r="F751" s="52"/>
      <c r="G751" s="52"/>
      <c r="H751" s="52"/>
    </row>
    <row r="752" spans="1:8" ht="15.75">
      <c r="A752" s="106">
        <v>40518</v>
      </c>
      <c r="B752" s="107">
        <v>126.08</v>
      </c>
      <c r="C752" s="52"/>
      <c r="D752" s="52"/>
      <c r="E752" s="52"/>
      <c r="F752" s="52"/>
      <c r="G752" s="52"/>
      <c r="H752" s="52"/>
    </row>
    <row r="753" spans="1:8" ht="15.75">
      <c r="A753" s="106">
        <v>40519</v>
      </c>
      <c r="B753" s="107">
        <v>125.81</v>
      </c>
      <c r="C753" s="52"/>
      <c r="D753" s="52"/>
      <c r="E753" s="52"/>
      <c r="F753" s="52"/>
      <c r="G753" s="52"/>
      <c r="H753" s="52"/>
    </row>
    <row r="754" spans="1:8" ht="15.75">
      <c r="A754" s="106">
        <v>40520</v>
      </c>
      <c r="B754" s="107">
        <v>124.8</v>
      </c>
      <c r="C754" s="52"/>
      <c r="D754" s="52"/>
      <c r="E754" s="52"/>
      <c r="F754" s="52"/>
      <c r="G754" s="52"/>
      <c r="H754" s="52"/>
    </row>
    <row r="755" spans="1:8" ht="15.75">
      <c r="A755" s="106">
        <v>40521</v>
      </c>
      <c r="B755" s="107">
        <v>124.72</v>
      </c>
      <c r="C755" s="52"/>
      <c r="D755" s="52"/>
      <c r="E755" s="52"/>
      <c r="F755" s="52"/>
      <c r="G755" s="52"/>
      <c r="H755" s="52"/>
    </row>
    <row r="756" spans="1:8" ht="15.75">
      <c r="A756" s="106">
        <v>40522</v>
      </c>
      <c r="B756" s="107">
        <v>124.56</v>
      </c>
      <c r="C756" s="52"/>
      <c r="D756" s="52"/>
      <c r="E756" s="52"/>
      <c r="F756" s="52"/>
      <c r="G756" s="52"/>
      <c r="H756" s="52"/>
    </row>
    <row r="757" spans="1:8" ht="15.75">
      <c r="A757" s="106">
        <v>40525</v>
      </c>
      <c r="B757" s="107">
        <v>124.39</v>
      </c>
      <c r="C757" s="52"/>
      <c r="D757" s="52"/>
      <c r="E757" s="52"/>
      <c r="F757" s="52"/>
      <c r="G757" s="52"/>
      <c r="H757" s="52"/>
    </row>
    <row r="758" spans="1:8" ht="15.75">
      <c r="A758" s="106">
        <v>40526</v>
      </c>
      <c r="B758" s="107">
        <v>124.61</v>
      </c>
      <c r="C758" s="52"/>
      <c r="D758" s="52"/>
      <c r="E758" s="52"/>
      <c r="F758" s="52"/>
      <c r="G758" s="52"/>
      <c r="H758" s="52"/>
    </row>
    <row r="759" spans="1:8" ht="15.75">
      <c r="A759" s="106">
        <v>40527</v>
      </c>
      <c r="B759" s="107">
        <v>124.24</v>
      </c>
      <c r="C759" s="52"/>
      <c r="D759" s="52"/>
      <c r="E759" s="52"/>
      <c r="F759" s="52"/>
      <c r="G759" s="52"/>
      <c r="H759" s="52"/>
    </row>
    <row r="760" spans="1:8" ht="15.75">
      <c r="A760" s="106">
        <v>40528</v>
      </c>
      <c r="B760" s="107">
        <v>123.95</v>
      </c>
      <c r="C760" s="52"/>
      <c r="D760" s="52"/>
      <c r="E760" s="52"/>
      <c r="F760" s="52"/>
      <c r="G760" s="52"/>
      <c r="H760" s="52"/>
    </row>
    <row r="761" spans="1:8" ht="15.75">
      <c r="A761" s="106">
        <v>40529</v>
      </c>
      <c r="B761" s="107">
        <v>123.96</v>
      </c>
      <c r="C761" s="52"/>
      <c r="D761" s="52"/>
      <c r="E761" s="52"/>
      <c r="F761" s="52"/>
      <c r="G761" s="52"/>
      <c r="H761" s="52"/>
    </row>
    <row r="762" spans="1:8" ht="15.75">
      <c r="A762" s="106">
        <v>40532</v>
      </c>
      <c r="B762" s="107">
        <v>124.22</v>
      </c>
      <c r="C762" s="52"/>
      <c r="D762" s="52"/>
      <c r="E762" s="52"/>
      <c r="F762" s="52"/>
      <c r="G762" s="52"/>
      <c r="H762" s="52"/>
    </row>
    <row r="763" spans="1:8" ht="15.75">
      <c r="A763" s="106">
        <v>40533</v>
      </c>
      <c r="B763" s="107">
        <v>124.48</v>
      </c>
      <c r="C763" s="52"/>
      <c r="D763" s="52"/>
      <c r="E763" s="52"/>
      <c r="F763" s="52"/>
      <c r="G763" s="52"/>
      <c r="H763" s="52"/>
    </row>
    <row r="764" spans="1:8" ht="15.75">
      <c r="A764" s="106">
        <v>40534</v>
      </c>
      <c r="B764" s="107">
        <v>124.65</v>
      </c>
      <c r="C764" s="52"/>
      <c r="D764" s="52"/>
      <c r="E764" s="52"/>
      <c r="F764" s="52"/>
      <c r="G764" s="52"/>
      <c r="H764" s="52"/>
    </row>
    <row r="765" spans="1:8" ht="15.75">
      <c r="A765" s="106">
        <v>40535</v>
      </c>
      <c r="B765" s="107">
        <v>124.85</v>
      </c>
      <c r="C765" s="52"/>
      <c r="D765" s="52"/>
      <c r="E765" s="52"/>
      <c r="F765" s="52"/>
      <c r="G765" s="52"/>
      <c r="H765" s="52"/>
    </row>
    <row r="766" spans="1:8" ht="15.75">
      <c r="A766" s="106">
        <v>40539</v>
      </c>
      <c r="B766" s="107">
        <v>124.56</v>
      </c>
      <c r="C766" s="52"/>
      <c r="D766" s="52"/>
      <c r="E766" s="52"/>
      <c r="F766" s="52"/>
      <c r="G766" s="52"/>
      <c r="H766" s="52"/>
    </row>
    <row r="767" spans="1:8" ht="15.75">
      <c r="A767" s="106">
        <v>40540</v>
      </c>
      <c r="B767" s="107">
        <v>125.13</v>
      </c>
      <c r="C767" s="52"/>
      <c r="D767" s="52"/>
      <c r="E767" s="52"/>
      <c r="F767" s="52"/>
      <c r="G767" s="52"/>
      <c r="H767" s="52"/>
    </row>
    <row r="768" spans="1:8" ht="15.75">
      <c r="A768" s="106">
        <v>40541</v>
      </c>
      <c r="B768" s="107">
        <v>124.73</v>
      </c>
      <c r="C768" s="52"/>
      <c r="D768" s="52"/>
      <c r="E768" s="52"/>
      <c r="F768" s="52"/>
      <c r="G768" s="52"/>
      <c r="H768" s="52"/>
    </row>
    <row r="769" spans="1:8" ht="15.75">
      <c r="A769" s="106">
        <v>40542</v>
      </c>
      <c r="B769" s="107">
        <v>124.96</v>
      </c>
      <c r="C769" s="52"/>
      <c r="D769" s="52"/>
      <c r="E769" s="52"/>
      <c r="F769" s="52"/>
      <c r="G769" s="52"/>
      <c r="H769" s="52"/>
    </row>
    <row r="770" spans="1:8" ht="15.75">
      <c r="A770" s="106">
        <v>40546</v>
      </c>
      <c r="B770" s="107">
        <v>124.9</v>
      </c>
      <c r="C770" s="52"/>
      <c r="D770" s="52"/>
      <c r="E770" s="52"/>
      <c r="F770" s="52"/>
      <c r="G770" s="52"/>
      <c r="H770" s="52"/>
    </row>
    <row r="771" spans="1:8" ht="15.75">
      <c r="A771" s="106">
        <v>40547</v>
      </c>
      <c r="B771" s="107">
        <v>124.92</v>
      </c>
      <c r="C771" s="52"/>
      <c r="D771" s="52"/>
      <c r="E771" s="52"/>
      <c r="F771" s="52"/>
      <c r="G771" s="52"/>
      <c r="H771" s="52"/>
    </row>
    <row r="772" spans="1:8" ht="15.75">
      <c r="A772" s="106">
        <v>40548</v>
      </c>
      <c r="B772" s="107">
        <v>124.83</v>
      </c>
      <c r="C772" s="52"/>
      <c r="D772" s="52"/>
      <c r="E772" s="52"/>
      <c r="F772" s="52"/>
      <c r="G772" s="52"/>
      <c r="H772" s="52"/>
    </row>
    <row r="773" spans="1:8" ht="15.75">
      <c r="A773" s="106">
        <v>40549</v>
      </c>
      <c r="B773" s="107">
        <v>124.73</v>
      </c>
      <c r="C773" s="52"/>
      <c r="D773" s="52"/>
      <c r="E773" s="52"/>
      <c r="F773" s="52"/>
      <c r="G773" s="52"/>
      <c r="H773" s="52"/>
    </row>
    <row r="774" spans="1:8" ht="15.75">
      <c r="A774" s="106">
        <v>40550</v>
      </c>
      <c r="B774" s="107">
        <v>124.9</v>
      </c>
      <c r="C774" s="52"/>
      <c r="D774" s="52"/>
      <c r="E774" s="52"/>
      <c r="F774" s="52"/>
      <c r="G774" s="52"/>
      <c r="H774" s="52"/>
    </row>
    <row r="775" spans="1:8" ht="15.75">
      <c r="A775" s="106">
        <v>40553</v>
      </c>
      <c r="B775" s="107">
        <v>124.99</v>
      </c>
      <c r="C775" s="52"/>
      <c r="D775" s="52"/>
      <c r="E775" s="52"/>
      <c r="F775" s="52"/>
      <c r="G775" s="52"/>
      <c r="H775" s="52"/>
    </row>
    <row r="776" spans="1:8" ht="15.75">
      <c r="A776" s="106">
        <v>40554</v>
      </c>
      <c r="B776" s="107">
        <v>125.07</v>
      </c>
      <c r="C776" s="52"/>
      <c r="D776" s="52"/>
      <c r="E776" s="52"/>
      <c r="F776" s="52"/>
      <c r="G776" s="52"/>
      <c r="H776" s="52"/>
    </row>
    <row r="777" spans="1:8" ht="15.75">
      <c r="A777" s="106">
        <v>40555</v>
      </c>
      <c r="B777" s="107">
        <v>124.57</v>
      </c>
      <c r="C777" s="52"/>
      <c r="D777" s="52"/>
      <c r="E777" s="52"/>
      <c r="F777" s="52"/>
      <c r="G777" s="52"/>
      <c r="H777" s="52"/>
    </row>
    <row r="778" spans="1:8" ht="15.75">
      <c r="A778" s="106">
        <v>40556</v>
      </c>
      <c r="B778" s="107">
        <v>123.93</v>
      </c>
      <c r="C778" s="52"/>
      <c r="D778" s="52"/>
      <c r="E778" s="52"/>
      <c r="F778" s="52"/>
      <c r="G778" s="52"/>
      <c r="H778" s="52"/>
    </row>
    <row r="779" spans="1:8" ht="15.75">
      <c r="A779" s="106">
        <v>40557</v>
      </c>
      <c r="B779" s="107">
        <v>123.49</v>
      </c>
      <c r="C779" s="52"/>
      <c r="D779" s="52"/>
      <c r="E779" s="52"/>
      <c r="F779" s="52"/>
      <c r="G779" s="52"/>
      <c r="H779" s="52"/>
    </row>
    <row r="780" spans="1:8" ht="15.75">
      <c r="A780" s="106">
        <v>40560</v>
      </c>
      <c r="B780" s="107">
        <v>123.75</v>
      </c>
      <c r="C780" s="52"/>
      <c r="D780" s="52"/>
      <c r="E780" s="52"/>
      <c r="F780" s="52"/>
      <c r="G780" s="52"/>
      <c r="H780" s="52"/>
    </row>
    <row r="781" spans="1:8" ht="15.75">
      <c r="A781" s="106">
        <v>40561</v>
      </c>
      <c r="B781" s="107">
        <v>123.5</v>
      </c>
      <c r="C781" s="52"/>
      <c r="D781" s="52"/>
      <c r="E781" s="52"/>
      <c r="F781" s="52"/>
      <c r="G781" s="52"/>
      <c r="H781" s="52"/>
    </row>
    <row r="782" spans="1:8" ht="15.75">
      <c r="A782" s="106">
        <v>40562</v>
      </c>
      <c r="B782" s="107">
        <v>123.21</v>
      </c>
      <c r="C782" s="52"/>
      <c r="D782" s="52"/>
      <c r="E782" s="52"/>
      <c r="F782" s="52"/>
      <c r="G782" s="52"/>
      <c r="H782" s="52"/>
    </row>
    <row r="783" spans="1:8" ht="15.75">
      <c r="A783" s="106">
        <v>40563</v>
      </c>
      <c r="B783" s="107">
        <v>123.3</v>
      </c>
      <c r="C783" s="52"/>
      <c r="D783" s="52"/>
      <c r="E783" s="52"/>
      <c r="F783" s="52"/>
      <c r="G783" s="52"/>
      <c r="H783" s="52"/>
    </row>
    <row r="784" spans="1:8" ht="15.75">
      <c r="A784" s="106">
        <v>40564</v>
      </c>
      <c r="B784" s="107">
        <v>122.91</v>
      </c>
      <c r="C784" s="52"/>
      <c r="D784" s="52"/>
      <c r="E784" s="52"/>
      <c r="F784" s="52"/>
      <c r="G784" s="52"/>
      <c r="H784" s="52"/>
    </row>
    <row r="785" spans="1:8" ht="15.75">
      <c r="A785" s="106">
        <v>40567</v>
      </c>
      <c r="B785" s="107">
        <v>122.78</v>
      </c>
      <c r="C785" s="52"/>
      <c r="D785" s="52"/>
      <c r="E785" s="52"/>
      <c r="F785" s="52"/>
      <c r="G785" s="52"/>
      <c r="H785" s="52"/>
    </row>
    <row r="786" spans="1:8" ht="15.75">
      <c r="A786" s="106">
        <v>40568</v>
      </c>
      <c r="B786" s="107">
        <v>122.88</v>
      </c>
      <c r="C786" s="52"/>
      <c r="D786" s="52"/>
      <c r="E786" s="52"/>
      <c r="F786" s="52"/>
      <c r="G786" s="52"/>
      <c r="H786" s="52"/>
    </row>
    <row r="787" spans="1:8" ht="15.75">
      <c r="A787" s="106">
        <v>40569</v>
      </c>
      <c r="B787" s="107">
        <v>122.98</v>
      </c>
      <c r="C787" s="52"/>
      <c r="D787" s="52"/>
      <c r="E787" s="52"/>
      <c r="F787" s="52"/>
      <c r="G787" s="52"/>
      <c r="H787" s="52"/>
    </row>
    <row r="788" spans="1:8" ht="15.75">
      <c r="A788" s="106">
        <v>40570</v>
      </c>
      <c r="B788" s="107">
        <v>122.65</v>
      </c>
      <c r="C788" s="52"/>
      <c r="D788" s="52"/>
      <c r="E788" s="52"/>
      <c r="F788" s="52"/>
      <c r="G788" s="52"/>
      <c r="H788" s="52"/>
    </row>
    <row r="789" spans="1:8" ht="15.75">
      <c r="A789" s="106">
        <v>40571</v>
      </c>
      <c r="B789" s="107">
        <v>122.45</v>
      </c>
      <c r="C789" s="52"/>
      <c r="D789" s="52"/>
      <c r="E789" s="52"/>
      <c r="F789" s="52"/>
      <c r="G789" s="52"/>
      <c r="H789" s="52"/>
    </row>
    <row r="790" spans="1:8" ht="15.75">
      <c r="A790" s="106">
        <v>40574</v>
      </c>
      <c r="B790" s="107">
        <v>122.48</v>
      </c>
      <c r="C790" s="52"/>
      <c r="D790" s="52"/>
      <c r="E790" s="52"/>
      <c r="F790" s="52"/>
      <c r="G790" s="52"/>
      <c r="H790" s="52"/>
    </row>
    <row r="791" spans="1:8" ht="15.75">
      <c r="A791" s="106">
        <v>40575</v>
      </c>
      <c r="B791" s="107">
        <v>122.7</v>
      </c>
      <c r="C791" s="52"/>
      <c r="D791" s="52"/>
      <c r="E791" s="52"/>
      <c r="F791" s="52"/>
      <c r="G791" s="52"/>
      <c r="H791" s="52"/>
    </row>
    <row r="792" spans="1:8" ht="15.75">
      <c r="A792" s="106">
        <v>40576</v>
      </c>
      <c r="B792" s="107">
        <v>122.35</v>
      </c>
      <c r="C792" s="52"/>
      <c r="D792" s="52"/>
      <c r="E792" s="52"/>
      <c r="F792" s="52"/>
      <c r="G792" s="52"/>
      <c r="H792" s="52"/>
    </row>
    <row r="793" spans="1:8" ht="15.75">
      <c r="A793" s="106">
        <v>40577</v>
      </c>
      <c r="B793" s="107">
        <v>122.22</v>
      </c>
      <c r="C793" s="52"/>
      <c r="D793" s="52"/>
      <c r="E793" s="52"/>
      <c r="F793" s="52"/>
      <c r="G793" s="52"/>
      <c r="H793" s="52"/>
    </row>
    <row r="794" spans="1:8" ht="15.75">
      <c r="A794" s="106">
        <v>40578</v>
      </c>
      <c r="B794" s="107">
        <v>122.17</v>
      </c>
      <c r="C794" s="52"/>
      <c r="D794" s="52"/>
      <c r="E794" s="52"/>
      <c r="F794" s="52"/>
      <c r="G794" s="52"/>
      <c r="H794" s="52"/>
    </row>
    <row r="795" spans="1:8" ht="15.75">
      <c r="A795" s="106">
        <v>40581</v>
      </c>
      <c r="B795" s="107">
        <v>122.19</v>
      </c>
      <c r="C795" s="52"/>
      <c r="D795" s="52"/>
      <c r="E795" s="52"/>
      <c r="F795" s="52"/>
      <c r="G795" s="52"/>
      <c r="H795" s="52"/>
    </row>
    <row r="796" spans="1:8" ht="15.75">
      <c r="A796" s="106">
        <v>40582</v>
      </c>
      <c r="B796" s="107">
        <v>122.34</v>
      </c>
      <c r="C796" s="52"/>
      <c r="D796" s="52"/>
      <c r="E796" s="52"/>
      <c r="F796" s="52"/>
      <c r="G796" s="52"/>
      <c r="H796" s="52"/>
    </row>
    <row r="797" spans="1:8" ht="15.75">
      <c r="A797" s="106">
        <v>40583</v>
      </c>
      <c r="B797" s="107">
        <v>122.27</v>
      </c>
      <c r="C797" s="52"/>
      <c r="D797" s="52"/>
      <c r="E797" s="52"/>
      <c r="F797" s="52"/>
      <c r="G797" s="52"/>
      <c r="H797" s="52"/>
    </row>
    <row r="798" spans="1:8" ht="15.75">
      <c r="A798" s="106">
        <v>40584</v>
      </c>
      <c r="B798" s="107">
        <v>122.22</v>
      </c>
      <c r="C798" s="52"/>
      <c r="D798" s="52"/>
      <c r="E798" s="52"/>
      <c r="F798" s="52"/>
      <c r="G798" s="52"/>
      <c r="H798" s="52"/>
    </row>
    <row r="799" spans="1:8" ht="15.75">
      <c r="A799" s="106">
        <v>40585</v>
      </c>
      <c r="B799" s="107">
        <v>122.2</v>
      </c>
      <c r="C799" s="52"/>
      <c r="D799" s="52"/>
      <c r="E799" s="52"/>
      <c r="F799" s="52"/>
      <c r="G799" s="52"/>
      <c r="H799" s="52"/>
    </row>
    <row r="800" spans="1:8" ht="15.75">
      <c r="A800" s="106">
        <v>40588</v>
      </c>
      <c r="B800" s="107">
        <v>122.3</v>
      </c>
      <c r="C800" s="52"/>
      <c r="D800" s="52"/>
      <c r="E800" s="52"/>
      <c r="F800" s="52"/>
      <c r="G800" s="52"/>
      <c r="H800" s="52"/>
    </row>
    <row r="801" spans="1:8" ht="15.75">
      <c r="A801" s="106">
        <v>40589</v>
      </c>
      <c r="B801" s="107">
        <v>122.08</v>
      </c>
      <c r="C801" s="52"/>
      <c r="D801" s="52"/>
      <c r="E801" s="52"/>
      <c r="F801" s="52"/>
      <c r="G801" s="52"/>
      <c r="H801" s="52"/>
    </row>
    <row r="802" spans="1:8" ht="15.75">
      <c r="A802" s="106">
        <v>40590</v>
      </c>
      <c r="B802" s="107">
        <v>122.47</v>
      </c>
      <c r="C802" s="52"/>
      <c r="D802" s="52"/>
      <c r="E802" s="52"/>
      <c r="F802" s="52"/>
      <c r="G802" s="52"/>
      <c r="H802" s="52"/>
    </row>
    <row r="803" spans="1:8" ht="15.75">
      <c r="A803" s="106">
        <v>40591</v>
      </c>
      <c r="B803" s="107">
        <v>122.25</v>
      </c>
      <c r="C803" s="52"/>
      <c r="D803" s="52"/>
      <c r="E803" s="52"/>
      <c r="F803" s="52"/>
      <c r="G803" s="52"/>
      <c r="H803" s="52"/>
    </row>
    <row r="804" spans="1:8" ht="15.75">
      <c r="A804" s="106">
        <v>40592</v>
      </c>
      <c r="B804" s="107">
        <v>122.54</v>
      </c>
      <c r="C804" s="52"/>
      <c r="D804" s="52"/>
      <c r="E804" s="52"/>
      <c r="F804" s="52"/>
      <c r="G804" s="52"/>
      <c r="H804" s="52"/>
    </row>
    <row r="805" spans="1:8" ht="15.75">
      <c r="A805" s="106">
        <v>40595</v>
      </c>
      <c r="B805" s="107">
        <v>122.41</v>
      </c>
      <c r="C805" s="52"/>
      <c r="D805" s="52"/>
      <c r="E805" s="52"/>
      <c r="F805" s="52"/>
      <c r="G805" s="52"/>
      <c r="H805" s="52"/>
    </row>
    <row r="806" spans="1:8" ht="15.75">
      <c r="A806" s="106">
        <v>40596</v>
      </c>
      <c r="B806" s="107">
        <v>122.22</v>
      </c>
      <c r="C806" s="52"/>
      <c r="D806" s="52"/>
      <c r="E806" s="52"/>
      <c r="F806" s="52"/>
      <c r="G806" s="52"/>
      <c r="H806" s="52"/>
    </row>
    <row r="807" spans="1:8" ht="15.75">
      <c r="A807" s="106">
        <v>40597</v>
      </c>
      <c r="B807" s="107">
        <v>122.14</v>
      </c>
      <c r="C807" s="52"/>
      <c r="D807" s="52"/>
      <c r="E807" s="52"/>
      <c r="F807" s="52"/>
      <c r="G807" s="52"/>
      <c r="H807" s="52"/>
    </row>
    <row r="808" spans="1:8" ht="15.75">
      <c r="A808" s="106">
        <v>40598</v>
      </c>
      <c r="B808" s="107">
        <v>122.47</v>
      </c>
      <c r="C808" s="52"/>
      <c r="D808" s="52"/>
      <c r="E808" s="52"/>
      <c r="F808" s="52"/>
      <c r="G808" s="52"/>
      <c r="H808" s="52"/>
    </row>
    <row r="809" spans="1:8" ht="15.75">
      <c r="A809" s="106">
        <v>40599</v>
      </c>
      <c r="B809" s="107">
        <v>122.69</v>
      </c>
      <c r="C809" s="52"/>
      <c r="D809" s="52"/>
      <c r="E809" s="52"/>
      <c r="F809" s="52"/>
      <c r="G809" s="52"/>
      <c r="H809" s="52"/>
    </row>
    <row r="810" spans="1:8" ht="15.75">
      <c r="A810" s="106">
        <v>40602</v>
      </c>
      <c r="B810" s="107">
        <v>122.7</v>
      </c>
      <c r="C810" s="52"/>
      <c r="D810" s="52"/>
      <c r="E810" s="52"/>
      <c r="F810" s="52"/>
      <c r="G810" s="52"/>
      <c r="H810" s="52"/>
    </row>
    <row r="811" spans="1:8" ht="15.75">
      <c r="A811" s="106">
        <v>40603</v>
      </c>
      <c r="B811" s="107">
        <v>122.34</v>
      </c>
      <c r="C811" s="52"/>
      <c r="D811" s="52"/>
      <c r="E811" s="52"/>
      <c r="F811" s="52"/>
      <c r="G811" s="52"/>
      <c r="H811" s="52"/>
    </row>
    <row r="812" spans="1:8" ht="15.75">
      <c r="A812" s="106">
        <v>40604</v>
      </c>
      <c r="B812" s="107">
        <v>122.5</v>
      </c>
      <c r="C812" s="52"/>
      <c r="D812" s="52"/>
      <c r="E812" s="52"/>
      <c r="F812" s="52"/>
      <c r="G812" s="52"/>
      <c r="H812" s="52"/>
    </row>
    <row r="813" spans="1:8" ht="15.75">
      <c r="A813" s="106">
        <v>40605</v>
      </c>
      <c r="B813" s="107">
        <v>122.3</v>
      </c>
      <c r="C813" s="52"/>
      <c r="D813" s="52"/>
      <c r="E813" s="52"/>
      <c r="F813" s="52"/>
      <c r="G813" s="52"/>
      <c r="H813" s="52"/>
    </row>
    <row r="814" spans="1:8" ht="15.75">
      <c r="A814" s="106">
        <v>40606</v>
      </c>
      <c r="B814" s="107">
        <v>121.65</v>
      </c>
      <c r="C814" s="52"/>
      <c r="D814" s="52"/>
      <c r="E814" s="52"/>
      <c r="F814" s="52"/>
      <c r="G814" s="52"/>
      <c r="H814" s="52"/>
    </row>
    <row r="815" spans="1:8" ht="15.75">
      <c r="A815" s="106">
        <v>40609</v>
      </c>
      <c r="B815" s="107">
        <v>121.53</v>
      </c>
      <c r="C815" s="52"/>
      <c r="D815" s="52"/>
      <c r="E815" s="52"/>
      <c r="F815" s="52"/>
      <c r="G815" s="52"/>
      <c r="H815" s="52"/>
    </row>
    <row r="816" spans="1:8" ht="15.75">
      <c r="A816" s="106">
        <v>40610</v>
      </c>
      <c r="B816" s="107">
        <v>121.62</v>
      </c>
      <c r="C816" s="52"/>
      <c r="D816" s="52"/>
      <c r="E816" s="52"/>
      <c r="F816" s="52"/>
      <c r="G816" s="52"/>
      <c r="H816" s="52"/>
    </row>
    <row r="817" spans="1:8" ht="15.75">
      <c r="A817" s="106">
        <v>40611</v>
      </c>
      <c r="B817" s="107">
        <v>121.79</v>
      </c>
      <c r="C817" s="52"/>
      <c r="D817" s="52"/>
      <c r="E817" s="52"/>
      <c r="F817" s="52"/>
      <c r="G817" s="52"/>
      <c r="H817" s="52"/>
    </row>
    <row r="818" spans="1:8" ht="15.75">
      <c r="A818" s="106">
        <v>40612</v>
      </c>
      <c r="B818" s="107">
        <v>121.85</v>
      </c>
      <c r="C818" s="52"/>
      <c r="D818" s="52"/>
      <c r="E818" s="52"/>
      <c r="F818" s="52"/>
      <c r="G818" s="52"/>
      <c r="H818" s="52"/>
    </row>
    <row r="819" spans="1:8" ht="15.75">
      <c r="A819" s="106">
        <v>40613</v>
      </c>
      <c r="B819" s="107">
        <v>122.17</v>
      </c>
      <c r="C819" s="52"/>
      <c r="D819" s="52"/>
      <c r="E819" s="52"/>
      <c r="F819" s="52"/>
      <c r="G819" s="52"/>
      <c r="H819" s="52"/>
    </row>
    <row r="820" spans="1:8" ht="15.75">
      <c r="A820" s="106">
        <v>40616</v>
      </c>
      <c r="B820" s="107">
        <v>121.82</v>
      </c>
      <c r="C820" s="52"/>
      <c r="D820" s="52"/>
      <c r="E820" s="52"/>
      <c r="F820" s="52"/>
      <c r="G820" s="52"/>
      <c r="H820" s="52"/>
    </row>
    <row r="821" spans="1:8" ht="15.75">
      <c r="A821" s="106">
        <v>40617</v>
      </c>
      <c r="B821" s="107">
        <v>122.92</v>
      </c>
      <c r="C821" s="52"/>
      <c r="D821" s="52"/>
      <c r="E821" s="52"/>
      <c r="F821" s="52"/>
      <c r="G821" s="52"/>
      <c r="H821" s="52"/>
    </row>
    <row r="822" spans="1:8" ht="15.75">
      <c r="A822" s="106">
        <v>40618</v>
      </c>
      <c r="B822" s="107">
        <v>122.9</v>
      </c>
      <c r="C822" s="52"/>
      <c r="D822" s="52"/>
      <c r="E822" s="52"/>
      <c r="F822" s="52"/>
      <c r="G822" s="52"/>
      <c r="H822" s="52"/>
    </row>
    <row r="823" spans="1:8" ht="15.75">
      <c r="A823" s="106">
        <v>40619</v>
      </c>
      <c r="B823" s="107">
        <v>122.99</v>
      </c>
      <c r="C823" s="52"/>
      <c r="D823" s="52"/>
      <c r="E823" s="52"/>
      <c r="F823" s="52"/>
      <c r="G823" s="52"/>
      <c r="H823" s="52"/>
    </row>
    <row r="824" spans="1:8" ht="15.75">
      <c r="A824" s="106">
        <v>40620</v>
      </c>
      <c r="B824" s="107">
        <v>122.88</v>
      </c>
      <c r="C824" s="52"/>
      <c r="D824" s="52"/>
      <c r="E824" s="52"/>
      <c r="F824" s="52"/>
      <c r="G824" s="52"/>
      <c r="H824" s="52"/>
    </row>
    <row r="825" spans="1:8" ht="15.75">
      <c r="A825" s="106">
        <v>40623</v>
      </c>
      <c r="B825" s="107">
        <v>122.43</v>
      </c>
      <c r="C825" s="52"/>
      <c r="D825" s="52"/>
      <c r="E825" s="52"/>
      <c r="F825" s="52"/>
      <c r="G825" s="52"/>
      <c r="H825" s="52"/>
    </row>
    <row r="826" spans="1:8" ht="15.75">
      <c r="A826" s="106">
        <v>40624</v>
      </c>
      <c r="B826" s="107">
        <v>121.98</v>
      </c>
      <c r="C826" s="52"/>
      <c r="D826" s="52"/>
      <c r="E826" s="52"/>
      <c r="F826" s="52"/>
      <c r="G826" s="52"/>
      <c r="H826" s="52"/>
    </row>
    <row r="827" spans="1:8" ht="15.75">
      <c r="A827" s="106">
        <v>40625</v>
      </c>
      <c r="B827" s="107">
        <v>122.05</v>
      </c>
      <c r="C827" s="52"/>
      <c r="D827" s="52"/>
      <c r="E827" s="52"/>
      <c r="F827" s="52"/>
      <c r="G827" s="52"/>
      <c r="H827" s="52"/>
    </row>
    <row r="828" spans="1:8" ht="15.75">
      <c r="A828" s="106">
        <v>40626</v>
      </c>
      <c r="B828" s="107">
        <v>121.84</v>
      </c>
      <c r="C828" s="52"/>
      <c r="D828" s="52"/>
      <c r="E828" s="52"/>
      <c r="F828" s="52"/>
      <c r="G828" s="52"/>
      <c r="H828" s="52"/>
    </row>
    <row r="829" spans="1:8" ht="15.75">
      <c r="A829" s="106">
        <v>40627</v>
      </c>
      <c r="B829" s="107">
        <v>122.02</v>
      </c>
      <c r="C829" s="52"/>
      <c r="D829" s="52"/>
      <c r="E829" s="52"/>
      <c r="F829" s="52"/>
      <c r="G829" s="52"/>
      <c r="H829" s="52"/>
    </row>
    <row r="830" spans="1:8" ht="15.75">
      <c r="A830" s="106">
        <v>40630</v>
      </c>
      <c r="B830" s="107">
        <v>121.75</v>
      </c>
      <c r="C830" s="52"/>
      <c r="D830" s="52"/>
      <c r="E830" s="52"/>
      <c r="F830" s="52"/>
      <c r="G830" s="52"/>
      <c r="H830" s="52"/>
    </row>
    <row r="831" spans="1:8" ht="15.75">
      <c r="A831" s="106">
        <v>40631</v>
      </c>
      <c r="B831" s="107">
        <v>121.64</v>
      </c>
      <c r="C831" s="52"/>
      <c r="D831" s="52"/>
      <c r="E831" s="52"/>
      <c r="F831" s="52"/>
      <c r="G831" s="52"/>
      <c r="H831" s="52"/>
    </row>
    <row r="832" spans="1:8" ht="15.75">
      <c r="A832" s="106">
        <v>40632</v>
      </c>
      <c r="B832" s="107">
        <v>121.51</v>
      </c>
      <c r="C832" s="52"/>
      <c r="D832" s="52"/>
      <c r="E832" s="52"/>
      <c r="F832" s="52"/>
      <c r="G832" s="52"/>
      <c r="H832" s="52"/>
    </row>
    <row r="833" spans="1:8" ht="15.75">
      <c r="A833" s="106">
        <v>40633</v>
      </c>
      <c r="B833" s="107">
        <v>121.46</v>
      </c>
      <c r="C833" s="52"/>
      <c r="D833" s="52"/>
      <c r="E833" s="52"/>
      <c r="F833" s="52"/>
      <c r="G833" s="52"/>
      <c r="H833" s="52"/>
    </row>
    <row r="834" spans="1:8" ht="15.75">
      <c r="A834" s="106">
        <v>40634</v>
      </c>
      <c r="B834" s="107">
        <v>121.18</v>
      </c>
      <c r="C834" s="52"/>
      <c r="D834" s="52"/>
      <c r="E834" s="52"/>
      <c r="F834" s="52"/>
      <c r="G834" s="52"/>
      <c r="H834" s="52"/>
    </row>
    <row r="835" spans="1:8" ht="15.75">
      <c r="A835" s="106">
        <v>40637</v>
      </c>
      <c r="B835" s="107">
        <v>121.22</v>
      </c>
      <c r="C835" s="52"/>
      <c r="D835" s="52"/>
      <c r="E835" s="52"/>
      <c r="F835" s="52"/>
      <c r="G835" s="52"/>
      <c r="H835" s="52"/>
    </row>
    <row r="836" spans="1:8" ht="15.75">
      <c r="A836" s="106">
        <v>40638</v>
      </c>
      <c r="B836" s="107">
        <v>121.24</v>
      </c>
      <c r="C836" s="52"/>
      <c r="D836" s="52"/>
      <c r="E836" s="52"/>
      <c r="F836" s="52"/>
      <c r="G836" s="52"/>
      <c r="H836" s="52"/>
    </row>
    <row r="837" spans="1:8" ht="15.75">
      <c r="A837" s="106">
        <v>40639</v>
      </c>
      <c r="B837" s="107">
        <v>121.04</v>
      </c>
      <c r="C837" s="52"/>
      <c r="D837" s="52"/>
      <c r="E837" s="52"/>
      <c r="F837" s="52"/>
      <c r="G837" s="52"/>
      <c r="H837" s="52"/>
    </row>
    <row r="838" spans="1:8" ht="15.75">
      <c r="A838" s="106">
        <v>40640</v>
      </c>
      <c r="B838" s="107">
        <v>120.91</v>
      </c>
      <c r="C838" s="52"/>
      <c r="D838" s="52"/>
      <c r="E838" s="52"/>
      <c r="F838" s="52"/>
      <c r="G838" s="52"/>
      <c r="H838" s="52"/>
    </row>
    <row r="839" spans="1:8" ht="15.75">
      <c r="A839" s="106">
        <v>40641</v>
      </c>
      <c r="B839" s="107">
        <v>120.59</v>
      </c>
      <c r="C839" s="52"/>
      <c r="D839" s="52"/>
      <c r="E839" s="52"/>
      <c r="F839" s="52"/>
      <c r="G839" s="52"/>
      <c r="H839" s="52"/>
    </row>
    <row r="840" spans="1:8" ht="15.75">
      <c r="A840" s="106">
        <v>40644</v>
      </c>
      <c r="B840" s="107">
        <v>120.45</v>
      </c>
      <c r="C840" s="52"/>
      <c r="D840" s="52"/>
      <c r="E840" s="52"/>
      <c r="F840" s="52"/>
      <c r="G840" s="52"/>
      <c r="H840" s="52"/>
    </row>
    <row r="841" spans="1:8" ht="15.75">
      <c r="A841" s="106">
        <v>40645</v>
      </c>
      <c r="B841" s="107">
        <v>120.67</v>
      </c>
      <c r="C841" s="52"/>
      <c r="D841" s="52"/>
      <c r="E841" s="52"/>
      <c r="F841" s="52"/>
      <c r="G841" s="52"/>
      <c r="H841" s="52"/>
    </row>
    <row r="842" spans="1:8" ht="15.75">
      <c r="A842" s="106">
        <v>40646</v>
      </c>
      <c r="B842" s="107">
        <v>120.75</v>
      </c>
      <c r="C842" s="52"/>
      <c r="D842" s="52"/>
      <c r="E842" s="52"/>
      <c r="F842" s="52"/>
      <c r="G842" s="52"/>
      <c r="H842" s="52"/>
    </row>
    <row r="843" spans="1:8" ht="15.75">
      <c r="A843" s="106">
        <v>40647</v>
      </c>
      <c r="B843" s="107">
        <v>121.02</v>
      </c>
      <c r="C843" s="52"/>
      <c r="D843" s="52"/>
      <c r="E843" s="52"/>
      <c r="F843" s="52"/>
      <c r="G843" s="52"/>
      <c r="H843" s="52"/>
    </row>
    <row r="844" spans="1:8" ht="15.75">
      <c r="A844" s="106">
        <v>40648</v>
      </c>
      <c r="B844" s="107">
        <v>121.08</v>
      </c>
      <c r="C844" s="52"/>
      <c r="D844" s="52"/>
      <c r="E844" s="52"/>
      <c r="F844" s="52"/>
      <c r="G844" s="52"/>
      <c r="H844" s="52"/>
    </row>
    <row r="845" spans="1:8" ht="15.75">
      <c r="A845" s="106">
        <v>40651</v>
      </c>
      <c r="B845" s="107">
        <v>121.48</v>
      </c>
      <c r="C845" s="52"/>
      <c r="D845" s="52"/>
      <c r="E845" s="52"/>
      <c r="F845" s="52"/>
      <c r="G845" s="52"/>
      <c r="H845" s="52"/>
    </row>
    <row r="846" spans="1:8" ht="15.75">
      <c r="A846" s="106">
        <v>40652</v>
      </c>
      <c r="B846" s="107">
        <v>121.64</v>
      </c>
      <c r="C846" s="52"/>
      <c r="D846" s="52"/>
      <c r="E846" s="52"/>
      <c r="F846" s="52"/>
      <c r="G846" s="52"/>
      <c r="H846" s="52"/>
    </row>
    <row r="847" spans="1:8" ht="15.75">
      <c r="A847" s="106">
        <v>40653</v>
      </c>
      <c r="B847" s="107">
        <v>121.45</v>
      </c>
      <c r="C847" s="52"/>
      <c r="D847" s="52"/>
      <c r="E847" s="52"/>
      <c r="F847" s="52"/>
      <c r="G847" s="52"/>
      <c r="H847" s="52"/>
    </row>
    <row r="848" spans="1:8" ht="15.75">
      <c r="A848" s="106">
        <v>40654</v>
      </c>
      <c r="B848" s="107">
        <v>121.49</v>
      </c>
      <c r="C848" s="52"/>
      <c r="D848" s="52"/>
      <c r="E848" s="52"/>
      <c r="F848" s="52"/>
      <c r="G848" s="52"/>
      <c r="H848" s="52"/>
    </row>
    <row r="849" spans="1:8" ht="15.75">
      <c r="A849" s="106">
        <v>40659</v>
      </c>
      <c r="B849" s="107">
        <v>121.85</v>
      </c>
      <c r="C849" s="52"/>
      <c r="D849" s="52"/>
      <c r="E849" s="52"/>
      <c r="F849" s="52"/>
      <c r="G849" s="52"/>
      <c r="H849" s="52"/>
    </row>
    <row r="850" spans="1:8" ht="15.75">
      <c r="A850" s="106">
        <v>40660</v>
      </c>
      <c r="B850" s="107">
        <v>121.85</v>
      </c>
      <c r="C850" s="52"/>
      <c r="D850" s="52"/>
      <c r="E850" s="52"/>
      <c r="F850" s="52"/>
      <c r="G850" s="52"/>
      <c r="H850" s="52"/>
    </row>
    <row r="851" spans="1:8" ht="15.75">
      <c r="A851" s="106">
        <v>40661</v>
      </c>
      <c r="B851" s="107">
        <v>121.71</v>
      </c>
      <c r="C851" s="52"/>
      <c r="D851" s="52"/>
      <c r="E851" s="52"/>
      <c r="F851" s="52"/>
      <c r="G851" s="52"/>
      <c r="H851" s="52"/>
    </row>
    <row r="852" spans="1:8" ht="15.75">
      <c r="A852" s="106">
        <v>40662</v>
      </c>
      <c r="B852" s="107">
        <v>121.95</v>
      </c>
      <c r="C852" s="52"/>
      <c r="D852" s="52"/>
      <c r="E852" s="52"/>
      <c r="F852" s="52"/>
      <c r="G852" s="52"/>
      <c r="H852" s="52"/>
    </row>
    <row r="853" spans="1:8" ht="15.75">
      <c r="A853" s="106">
        <v>40665</v>
      </c>
      <c r="B853" s="107">
        <v>121.78</v>
      </c>
      <c r="C853" s="52"/>
      <c r="D853" s="52"/>
      <c r="E853" s="52"/>
      <c r="F853" s="52"/>
      <c r="G853" s="52"/>
      <c r="H853" s="52"/>
    </row>
    <row r="854" spans="1:8" ht="15.75">
      <c r="A854" s="106">
        <v>40666</v>
      </c>
      <c r="B854" s="107">
        <v>121.89</v>
      </c>
      <c r="C854" s="52"/>
      <c r="D854" s="52"/>
      <c r="E854" s="52"/>
      <c r="F854" s="52"/>
      <c r="G854" s="52"/>
      <c r="H854" s="52"/>
    </row>
    <row r="855" spans="1:8" ht="15.75">
      <c r="A855" s="106">
        <v>40667</v>
      </c>
      <c r="B855" s="107">
        <v>121.45</v>
      </c>
      <c r="C855" s="52"/>
      <c r="D855" s="52"/>
      <c r="E855" s="52"/>
      <c r="F855" s="52"/>
      <c r="G855" s="52"/>
      <c r="H855" s="52"/>
    </row>
    <row r="856" spans="1:8" ht="15.75">
      <c r="A856" s="106">
        <v>40668</v>
      </c>
      <c r="B856" s="107">
        <v>121.28</v>
      </c>
      <c r="C856" s="52"/>
      <c r="D856" s="52"/>
      <c r="E856" s="52"/>
      <c r="F856" s="52"/>
      <c r="G856" s="52"/>
      <c r="H856" s="52"/>
    </row>
    <row r="857" spans="1:8" ht="15.75">
      <c r="A857" s="106">
        <v>40669</v>
      </c>
      <c r="B857" s="107">
        <v>122.16</v>
      </c>
      <c r="C857" s="52"/>
      <c r="D857" s="52"/>
      <c r="E857" s="52"/>
      <c r="F857" s="52"/>
      <c r="G857" s="52"/>
      <c r="H857" s="52"/>
    </row>
    <row r="858" spans="1:8" ht="15.75">
      <c r="A858" s="106">
        <v>40672</v>
      </c>
      <c r="B858" s="107">
        <v>122.38</v>
      </c>
      <c r="C858" s="52"/>
      <c r="D858" s="52"/>
      <c r="E858" s="52"/>
      <c r="F858" s="52"/>
      <c r="G858" s="52"/>
      <c r="H858" s="52"/>
    </row>
    <row r="859" spans="1:8" ht="15.75">
      <c r="A859" s="106">
        <v>40673</v>
      </c>
      <c r="B859" s="107">
        <v>122.56</v>
      </c>
      <c r="C859" s="52"/>
      <c r="D859" s="52"/>
      <c r="E859" s="52"/>
      <c r="F859" s="52"/>
      <c r="G859" s="52"/>
      <c r="H859" s="52"/>
    </row>
    <row r="860" spans="1:8" ht="15.75">
      <c r="A860" s="106">
        <v>40674</v>
      </c>
      <c r="B860" s="107">
        <v>122.47</v>
      </c>
      <c r="C860" s="52"/>
      <c r="D860" s="52"/>
      <c r="E860" s="52"/>
      <c r="F860" s="52"/>
      <c r="G860" s="52"/>
      <c r="H860" s="52"/>
    </row>
    <row r="861" spans="1:8" ht="15.75">
      <c r="A861" s="106">
        <v>40675</v>
      </c>
      <c r="B861" s="107">
        <v>123.01</v>
      </c>
      <c r="C861" s="52"/>
      <c r="D861" s="52"/>
      <c r="E861" s="52"/>
      <c r="F861" s="52"/>
      <c r="G861" s="52"/>
      <c r="H861" s="52"/>
    </row>
    <row r="862" spans="1:8" ht="15.75">
      <c r="A862" s="106">
        <v>40676</v>
      </c>
      <c r="B862" s="107">
        <v>122.81</v>
      </c>
      <c r="C862" s="52"/>
      <c r="D862" s="52"/>
      <c r="E862" s="52"/>
      <c r="F862" s="52"/>
      <c r="G862" s="52"/>
      <c r="H862" s="52"/>
    </row>
    <row r="863" spans="1:8" ht="15.75">
      <c r="A863" s="106">
        <v>40679</v>
      </c>
      <c r="B863" s="107">
        <v>122.99</v>
      </c>
      <c r="C863" s="52"/>
      <c r="D863" s="52"/>
      <c r="E863" s="52"/>
      <c r="F863" s="52"/>
      <c r="G863" s="52"/>
      <c r="H863" s="52"/>
    </row>
    <row r="864" spans="1:8" ht="15.75">
      <c r="A864" s="106">
        <v>40680</v>
      </c>
      <c r="B864" s="107">
        <v>122.97</v>
      </c>
      <c r="C864" s="52"/>
      <c r="D864" s="52"/>
      <c r="E864" s="52"/>
      <c r="F864" s="52"/>
      <c r="G864" s="52"/>
      <c r="H864" s="52"/>
    </row>
    <row r="865" spans="1:8" ht="15.75">
      <c r="A865" s="106">
        <v>40681</v>
      </c>
      <c r="B865" s="107">
        <v>123.03</v>
      </c>
      <c r="C865" s="52"/>
      <c r="D865" s="52"/>
      <c r="E865" s="52"/>
      <c r="F865" s="52"/>
      <c r="G865" s="52"/>
      <c r="H865" s="52"/>
    </row>
    <row r="866" spans="1:8" ht="15.75">
      <c r="A866" s="106">
        <v>40682</v>
      </c>
      <c r="B866" s="107">
        <v>122.84</v>
      </c>
      <c r="C866" s="52"/>
      <c r="D866" s="52"/>
      <c r="E866" s="52"/>
      <c r="F866" s="52"/>
      <c r="G866" s="52"/>
      <c r="H866" s="52"/>
    </row>
    <row r="867" spans="1:8" ht="15.75">
      <c r="A867" s="106">
        <v>40683</v>
      </c>
      <c r="B867" s="107">
        <v>123.02</v>
      </c>
      <c r="C867" s="52"/>
      <c r="D867" s="52"/>
      <c r="E867" s="52"/>
      <c r="F867" s="52"/>
      <c r="G867" s="52"/>
      <c r="H867" s="52"/>
    </row>
    <row r="868" spans="1:8" ht="15.75">
      <c r="A868" s="106">
        <v>40686</v>
      </c>
      <c r="B868" s="107">
        <v>123.54</v>
      </c>
      <c r="C868" s="52"/>
      <c r="D868" s="52"/>
      <c r="E868" s="52"/>
      <c r="F868" s="52"/>
      <c r="G868" s="52"/>
      <c r="H868" s="52"/>
    </row>
    <row r="869" spans="1:8" ht="15.75">
      <c r="A869" s="106">
        <v>40687</v>
      </c>
      <c r="B869" s="107">
        <v>123.3</v>
      </c>
      <c r="C869" s="52"/>
      <c r="D869" s="52"/>
      <c r="E869" s="52"/>
      <c r="F869" s="52"/>
      <c r="G869" s="52"/>
      <c r="H869" s="52"/>
    </row>
    <row r="870" spans="1:8" ht="15.75">
      <c r="A870" s="106">
        <v>40688</v>
      </c>
      <c r="B870" s="107">
        <v>123.65</v>
      </c>
      <c r="C870" s="52"/>
      <c r="D870" s="52"/>
      <c r="E870" s="52"/>
      <c r="F870" s="52"/>
      <c r="G870" s="52"/>
      <c r="H870" s="52"/>
    </row>
    <row r="871" spans="1:8" ht="15.75">
      <c r="A871" s="106">
        <v>40689</v>
      </c>
      <c r="B871" s="107">
        <v>123.39</v>
      </c>
      <c r="C871" s="52"/>
      <c r="D871" s="52"/>
      <c r="E871" s="52"/>
      <c r="F871" s="52"/>
      <c r="G871" s="52"/>
      <c r="H871" s="52"/>
    </row>
    <row r="872" spans="1:8" ht="15.75">
      <c r="A872" s="106">
        <v>40690</v>
      </c>
      <c r="B872" s="107">
        <v>123.92</v>
      </c>
      <c r="C872" s="52"/>
      <c r="D872" s="52"/>
      <c r="E872" s="52"/>
      <c r="F872" s="52"/>
      <c r="G872" s="52"/>
      <c r="H872" s="52"/>
    </row>
    <row r="873" spans="1:8" ht="15.75">
      <c r="A873" s="106">
        <v>40693</v>
      </c>
      <c r="B873" s="107">
        <v>123.86</v>
      </c>
      <c r="C873" s="52"/>
      <c r="D873" s="52"/>
      <c r="E873" s="52"/>
      <c r="F873" s="52"/>
      <c r="G873" s="52"/>
      <c r="H873" s="52"/>
    </row>
    <row r="874" spans="1:8" ht="15.75">
      <c r="A874" s="106">
        <v>40694</v>
      </c>
      <c r="B874" s="107">
        <v>123.54</v>
      </c>
      <c r="C874" s="52"/>
      <c r="D874" s="52"/>
      <c r="E874" s="52"/>
      <c r="F874" s="52"/>
      <c r="G874" s="52"/>
      <c r="H874" s="52"/>
    </row>
    <row r="875" spans="1:8" ht="15.75">
      <c r="A875" s="106">
        <v>40695</v>
      </c>
      <c r="B875" s="107">
        <v>123.43</v>
      </c>
      <c r="C875" s="52"/>
      <c r="D875" s="52"/>
      <c r="E875" s="52"/>
      <c r="F875" s="52"/>
      <c r="G875" s="52"/>
      <c r="H875" s="52"/>
    </row>
    <row r="876" spans="1:8" ht="15.75">
      <c r="A876" s="106">
        <v>40696</v>
      </c>
      <c r="B876" s="107">
        <v>123.79</v>
      </c>
      <c r="C876" s="52"/>
      <c r="D876" s="52"/>
      <c r="E876" s="52"/>
      <c r="F876" s="52"/>
      <c r="G876" s="52"/>
      <c r="H876" s="52"/>
    </row>
    <row r="877" spans="1:8" ht="15.75">
      <c r="A877" s="106">
        <v>40697</v>
      </c>
      <c r="B877" s="107">
        <v>123.58</v>
      </c>
      <c r="C877" s="52"/>
      <c r="D877" s="52"/>
      <c r="E877" s="52"/>
      <c r="F877" s="52"/>
      <c r="G877" s="52"/>
      <c r="H877" s="52"/>
    </row>
    <row r="878" spans="1:8" ht="15.75">
      <c r="A878" s="106">
        <v>40700</v>
      </c>
      <c r="B878" s="107">
        <v>123.51</v>
      </c>
      <c r="C878" s="52"/>
      <c r="D878" s="52"/>
      <c r="E878" s="52"/>
      <c r="F878" s="52"/>
      <c r="G878" s="52"/>
      <c r="H878" s="52"/>
    </row>
    <row r="879" spans="1:8" ht="15.75">
      <c r="A879" s="106">
        <v>40701</v>
      </c>
      <c r="B879" s="107">
        <v>123.44</v>
      </c>
      <c r="C879" s="52"/>
      <c r="D879" s="52"/>
      <c r="E879" s="52"/>
      <c r="F879" s="52"/>
      <c r="G879" s="52"/>
      <c r="H879" s="52"/>
    </row>
    <row r="880" spans="1:8" ht="15.75">
      <c r="A880" s="106">
        <v>40702</v>
      </c>
      <c r="B880" s="107">
        <v>123.2</v>
      </c>
      <c r="C880" s="52"/>
      <c r="D880" s="52"/>
      <c r="E880" s="52"/>
      <c r="F880" s="52"/>
      <c r="G880" s="52"/>
      <c r="H880" s="52"/>
    </row>
    <row r="881" spans="1:8" ht="15.75">
      <c r="A881" s="106">
        <v>40703</v>
      </c>
      <c r="B881" s="107">
        <v>123.55</v>
      </c>
      <c r="C881" s="52"/>
      <c r="D881" s="52"/>
      <c r="E881" s="52"/>
      <c r="F881" s="52"/>
      <c r="G881" s="52"/>
      <c r="H881" s="52"/>
    </row>
    <row r="882" spans="1:8" ht="15.75">
      <c r="A882" s="106">
        <v>40704</v>
      </c>
      <c r="B882" s="107">
        <v>123.88</v>
      </c>
      <c r="C882" s="52"/>
      <c r="D882" s="52"/>
      <c r="E882" s="52"/>
      <c r="F882" s="52"/>
      <c r="G882" s="52"/>
      <c r="H882" s="52"/>
    </row>
    <row r="883" spans="1:8" ht="15.75">
      <c r="A883" s="106">
        <v>40707</v>
      </c>
      <c r="B883" s="107">
        <v>124.15</v>
      </c>
      <c r="C883" s="52"/>
      <c r="D883" s="52"/>
      <c r="E883" s="52"/>
      <c r="F883" s="52"/>
      <c r="G883" s="52"/>
      <c r="H883" s="52"/>
    </row>
    <row r="884" spans="1:8" ht="15.75">
      <c r="A884" s="106">
        <v>40708</v>
      </c>
      <c r="B884" s="107">
        <v>124.09</v>
      </c>
      <c r="C884" s="52"/>
      <c r="D884" s="52"/>
      <c r="E884" s="52"/>
      <c r="F884" s="52"/>
      <c r="G884" s="52"/>
      <c r="H884" s="52"/>
    </row>
    <row r="885" spans="1:8" ht="15.75">
      <c r="A885" s="106">
        <v>40709</v>
      </c>
      <c r="B885" s="107">
        <v>123.98</v>
      </c>
      <c r="C885" s="52"/>
      <c r="D885" s="52"/>
      <c r="E885" s="52"/>
      <c r="F885" s="52"/>
      <c r="G885" s="52"/>
      <c r="H885" s="52"/>
    </row>
    <row r="886" spans="1:8" ht="15.75">
      <c r="A886" s="106">
        <v>40710</v>
      </c>
      <c r="B886" s="107">
        <v>124.46</v>
      </c>
      <c r="C886" s="52"/>
      <c r="D886" s="52"/>
      <c r="E886" s="52"/>
      <c r="F886" s="52"/>
      <c r="G886" s="52"/>
      <c r="H886" s="52"/>
    </row>
    <row r="887" spans="1:8" ht="15.75">
      <c r="A887" s="106">
        <v>40711</v>
      </c>
      <c r="B887" s="107">
        <v>124.35</v>
      </c>
      <c r="C887" s="52"/>
      <c r="D887" s="52"/>
      <c r="E887" s="52"/>
      <c r="F887" s="52"/>
      <c r="G887" s="52"/>
      <c r="H887" s="52"/>
    </row>
    <row r="888" spans="1:8" ht="15.75">
      <c r="A888" s="106">
        <v>40714</v>
      </c>
      <c r="B888" s="107">
        <v>124.48</v>
      </c>
      <c r="C888" s="52"/>
      <c r="D888" s="52"/>
      <c r="E888" s="52"/>
      <c r="F888" s="52"/>
      <c r="G888" s="52"/>
      <c r="H888" s="52"/>
    </row>
    <row r="889" spans="1:8" ht="15.75">
      <c r="A889" s="106">
        <v>40715</v>
      </c>
      <c r="B889" s="107">
        <v>124.16</v>
      </c>
      <c r="C889" s="52"/>
      <c r="D889" s="52"/>
      <c r="E889" s="52"/>
      <c r="F889" s="52"/>
      <c r="G889" s="52"/>
      <c r="H889" s="52"/>
    </row>
    <row r="890" spans="1:8" ht="15.75">
      <c r="A890" s="106">
        <v>40716</v>
      </c>
      <c r="B890" s="107">
        <v>124.09</v>
      </c>
      <c r="C890" s="52"/>
      <c r="D890" s="52"/>
      <c r="E890" s="52"/>
      <c r="F890" s="52"/>
      <c r="G890" s="52"/>
      <c r="H890" s="52"/>
    </row>
    <row r="891" spans="1:8" ht="15.75">
      <c r="A891" s="106">
        <v>40717</v>
      </c>
      <c r="B891" s="107">
        <v>124.17</v>
      </c>
      <c r="C891" s="52"/>
      <c r="D891" s="52"/>
      <c r="E891" s="52"/>
      <c r="F891" s="52"/>
      <c r="G891" s="52"/>
      <c r="H891" s="52"/>
    </row>
    <row r="892" spans="1:8" ht="15.75">
      <c r="A892" s="106">
        <v>40718</v>
      </c>
      <c r="B892" s="107">
        <v>124.49</v>
      </c>
      <c r="C892" s="52"/>
      <c r="D892" s="52"/>
      <c r="E892" s="52"/>
      <c r="F892" s="52"/>
      <c r="G892" s="52"/>
      <c r="H892" s="52"/>
    </row>
    <row r="893" spans="1:8" ht="15.75">
      <c r="A893" s="106">
        <v>40721</v>
      </c>
      <c r="B893" s="107">
        <v>124.66</v>
      </c>
      <c r="C893" s="52"/>
      <c r="D893" s="52"/>
      <c r="E893" s="52"/>
      <c r="F893" s="52"/>
      <c r="G893" s="52"/>
      <c r="H893" s="52"/>
    </row>
    <row r="894" spans="1:8" ht="15.75">
      <c r="A894" s="106">
        <v>40722</v>
      </c>
      <c r="B894" s="107">
        <v>124.67</v>
      </c>
      <c r="C894" s="52"/>
      <c r="D894" s="52"/>
      <c r="E894" s="52"/>
      <c r="F894" s="52"/>
      <c r="G894" s="52"/>
      <c r="H894" s="52"/>
    </row>
    <row r="895" spans="1:8" ht="15.75">
      <c r="A895" s="106">
        <v>40723</v>
      </c>
      <c r="B895" s="107">
        <v>123.94</v>
      </c>
      <c r="C895" s="52"/>
      <c r="D895" s="52"/>
      <c r="E895" s="52"/>
      <c r="F895" s="52"/>
      <c r="G895" s="52"/>
      <c r="H895" s="52"/>
    </row>
    <row r="896" spans="1:8" ht="15.75">
      <c r="A896" s="106">
        <v>40724</v>
      </c>
      <c r="B896" s="107">
        <v>123.67</v>
      </c>
      <c r="C896" s="52"/>
      <c r="D896" s="52"/>
      <c r="E896" s="52"/>
      <c r="F896" s="52"/>
      <c r="G896" s="52"/>
      <c r="H896" s="52"/>
    </row>
    <row r="897" spans="1:8" ht="15.75">
      <c r="A897" s="106">
        <v>40725</v>
      </c>
      <c r="B897" s="107">
        <v>123.48</v>
      </c>
      <c r="C897" s="52"/>
      <c r="D897" s="52"/>
      <c r="E897" s="52"/>
      <c r="F897" s="52"/>
      <c r="G897" s="52"/>
      <c r="H897" s="52"/>
    </row>
    <row r="898" spans="1:8" ht="15.75">
      <c r="A898" s="106">
        <v>40728</v>
      </c>
      <c r="B898" s="107">
        <v>123.6</v>
      </c>
      <c r="C898" s="52"/>
      <c r="D898" s="52"/>
      <c r="E898" s="52"/>
      <c r="F898" s="52"/>
      <c r="G898" s="52"/>
      <c r="H898" s="52"/>
    </row>
    <row r="899" spans="1:8" ht="15.75">
      <c r="A899" s="106">
        <v>40729</v>
      </c>
      <c r="B899" s="107">
        <v>123.48</v>
      </c>
      <c r="C899" s="52"/>
      <c r="D899" s="52"/>
      <c r="E899" s="52"/>
      <c r="F899" s="52"/>
      <c r="G899" s="52"/>
      <c r="H899" s="52"/>
    </row>
    <row r="900" spans="1:8" ht="15.75">
      <c r="A900" s="106">
        <v>40730</v>
      </c>
      <c r="B900" s="107">
        <v>123.91</v>
      </c>
      <c r="C900" s="52"/>
      <c r="D900" s="52"/>
      <c r="E900" s="52"/>
      <c r="F900" s="52"/>
      <c r="G900" s="52"/>
      <c r="H900" s="52"/>
    </row>
    <row r="901" spans="1:8" ht="15.75">
      <c r="A901" s="106">
        <v>40731</v>
      </c>
      <c r="B901" s="107">
        <v>124.07</v>
      </c>
      <c r="C901" s="52"/>
      <c r="D901" s="52"/>
      <c r="E901" s="52"/>
      <c r="F901" s="52"/>
      <c r="G901" s="52"/>
      <c r="H901" s="52"/>
    </row>
    <row r="902" spans="1:8" ht="15.75">
      <c r="A902" s="106">
        <v>40732</v>
      </c>
      <c r="B902" s="107">
        <v>124.35</v>
      </c>
      <c r="C902" s="52"/>
      <c r="D902" s="52"/>
      <c r="E902" s="52"/>
      <c r="F902" s="52"/>
      <c r="G902" s="52"/>
      <c r="H902" s="52"/>
    </row>
    <row r="903" spans="1:8" ht="15.75">
      <c r="A903" s="106">
        <v>40735</v>
      </c>
      <c r="B903" s="107">
        <v>125.25</v>
      </c>
      <c r="C903" s="52"/>
      <c r="D903" s="52"/>
      <c r="E903" s="52"/>
      <c r="F903" s="52"/>
      <c r="G903" s="52"/>
      <c r="H903" s="52"/>
    </row>
    <row r="904" spans="1:8" ht="15.75">
      <c r="A904" s="106">
        <v>40736</v>
      </c>
      <c r="B904" s="107">
        <v>126.02</v>
      </c>
      <c r="C904" s="52"/>
      <c r="D904" s="52"/>
      <c r="E904" s="52"/>
      <c r="F904" s="52"/>
      <c r="G904" s="52"/>
      <c r="H904" s="52"/>
    </row>
    <row r="905" spans="1:8" ht="15.75">
      <c r="A905" s="106">
        <v>40737</v>
      </c>
      <c r="B905" s="107">
        <v>125.05</v>
      </c>
      <c r="C905" s="52"/>
      <c r="D905" s="52"/>
      <c r="E905" s="52"/>
      <c r="F905" s="52"/>
      <c r="G905" s="52"/>
      <c r="H905" s="52"/>
    </row>
    <row r="906" spans="1:8" ht="15.75">
      <c r="A906" s="106">
        <v>40738</v>
      </c>
      <c r="B906" s="107">
        <v>125.39</v>
      </c>
      <c r="C906" s="52"/>
      <c r="D906" s="52"/>
      <c r="E906" s="52"/>
      <c r="F906" s="52"/>
      <c r="G906" s="52"/>
      <c r="H906" s="52"/>
    </row>
    <row r="907" spans="1:8" ht="15.75">
      <c r="A907" s="106">
        <v>40739</v>
      </c>
      <c r="B907" s="107">
        <v>125.4</v>
      </c>
      <c r="C907" s="52"/>
      <c r="D907" s="52"/>
      <c r="E907" s="52"/>
      <c r="F907" s="52"/>
      <c r="G907" s="52"/>
      <c r="H907" s="52"/>
    </row>
    <row r="908" spans="1:8" ht="15.75">
      <c r="A908" s="106">
        <v>40742</v>
      </c>
      <c r="B908" s="107">
        <v>125.62</v>
      </c>
      <c r="C908" s="52"/>
      <c r="D908" s="52"/>
      <c r="E908" s="52"/>
      <c r="F908" s="52"/>
      <c r="G908" s="52"/>
      <c r="H908" s="52"/>
    </row>
    <row r="909" spans="1:8" ht="15.75">
      <c r="A909" s="106">
        <v>40743</v>
      </c>
      <c r="B909" s="107">
        <v>125.38</v>
      </c>
      <c r="C909" s="52"/>
      <c r="D909" s="52"/>
      <c r="E909" s="52"/>
      <c r="F909" s="52"/>
      <c r="G909" s="52"/>
      <c r="H909" s="52"/>
    </row>
    <row r="910" spans="1:8" ht="15.75">
      <c r="A910" s="106">
        <v>40744</v>
      </c>
      <c r="B910" s="107">
        <v>125.31</v>
      </c>
      <c r="C910" s="52"/>
      <c r="D910" s="52"/>
      <c r="E910" s="52"/>
      <c r="F910" s="52"/>
      <c r="G910" s="52"/>
      <c r="H910" s="52"/>
    </row>
    <row r="911" spans="1:8" ht="15.75">
      <c r="A911" s="106">
        <v>40745</v>
      </c>
      <c r="B911" s="107">
        <v>125.12</v>
      </c>
      <c r="C911" s="52"/>
      <c r="D911" s="52"/>
      <c r="E911" s="52"/>
      <c r="F911" s="52"/>
      <c r="G911" s="52"/>
      <c r="H911" s="52"/>
    </row>
    <row r="912" spans="1:8" ht="15.75">
      <c r="A912" s="106">
        <v>40746</v>
      </c>
      <c r="B912" s="107">
        <v>124.17</v>
      </c>
      <c r="C912" s="52"/>
      <c r="D912" s="52"/>
      <c r="E912" s="52"/>
      <c r="F912" s="52"/>
      <c r="G912" s="52"/>
      <c r="H912" s="52"/>
    </row>
    <row r="913" spans="1:8" ht="15.75">
      <c r="A913" s="106">
        <v>40749</v>
      </c>
      <c r="B913" s="107">
        <v>124.8</v>
      </c>
      <c r="C913" s="52"/>
      <c r="D913" s="52"/>
      <c r="E913" s="52"/>
      <c r="F913" s="52"/>
      <c r="G913" s="52"/>
      <c r="H913" s="52"/>
    </row>
    <row r="914" spans="1:8" ht="15.75">
      <c r="A914" s="106">
        <v>40750</v>
      </c>
      <c r="B914" s="107">
        <v>125.09</v>
      </c>
      <c r="C914" s="52"/>
      <c r="D914" s="52"/>
      <c r="E914" s="52"/>
      <c r="F914" s="52"/>
      <c r="G914" s="52"/>
      <c r="H914" s="52"/>
    </row>
    <row r="915" spans="1:8" ht="15.75">
      <c r="A915" s="106">
        <v>40751</v>
      </c>
      <c r="B915" s="107">
        <v>125.13</v>
      </c>
      <c r="C915" s="52"/>
      <c r="D915" s="52"/>
      <c r="E915" s="52"/>
      <c r="F915" s="52"/>
      <c r="G915" s="52"/>
      <c r="H915" s="52"/>
    </row>
    <row r="916" spans="1:8" ht="15.75">
      <c r="A916" s="106">
        <v>40752</v>
      </c>
      <c r="B916" s="107">
        <v>125.91</v>
      </c>
      <c r="C916" s="52"/>
      <c r="D916" s="52"/>
      <c r="E916" s="52"/>
      <c r="F916" s="52"/>
      <c r="G916" s="52"/>
      <c r="H916" s="52"/>
    </row>
    <row r="917" spans="1:8" ht="15.75">
      <c r="A917" s="106">
        <v>40753</v>
      </c>
      <c r="B917" s="107">
        <v>125.79</v>
      </c>
      <c r="C917" s="52"/>
      <c r="D917" s="52"/>
      <c r="E917" s="52"/>
      <c r="F917" s="52"/>
      <c r="G917" s="52"/>
      <c r="H917" s="52"/>
    </row>
    <row r="918" spans="1:8" ht="15.75">
      <c r="A918" s="106">
        <v>40756</v>
      </c>
      <c r="B918" s="107">
        <v>126.15</v>
      </c>
      <c r="C918" s="52"/>
      <c r="D918" s="52"/>
      <c r="E918" s="52"/>
      <c r="F918" s="52"/>
      <c r="G918" s="52"/>
      <c r="H918" s="52"/>
    </row>
    <row r="919" spans="1:8" ht="15.75">
      <c r="A919" s="106">
        <v>40757</v>
      </c>
      <c r="B919" s="107">
        <v>126.99</v>
      </c>
      <c r="C919" s="52"/>
      <c r="D919" s="52"/>
      <c r="E919" s="52"/>
      <c r="F919" s="52"/>
      <c r="G919" s="52"/>
      <c r="H919" s="52"/>
    </row>
    <row r="920" spans="1:8" ht="15.75">
      <c r="A920" s="106">
        <v>40758</v>
      </c>
      <c r="B920" s="107">
        <v>126.96</v>
      </c>
      <c r="C920" s="52"/>
      <c r="D920" s="52"/>
      <c r="E920" s="52"/>
      <c r="F920" s="52"/>
      <c r="G920" s="52"/>
      <c r="H920" s="52"/>
    </row>
    <row r="921" spans="1:8" ht="15.75">
      <c r="A921" s="106">
        <v>40759</v>
      </c>
      <c r="B921" s="107">
        <v>127.02</v>
      </c>
      <c r="C921" s="52"/>
      <c r="D921" s="52"/>
      <c r="E921" s="52"/>
      <c r="F921" s="52"/>
      <c r="G921" s="52"/>
      <c r="H921" s="52"/>
    </row>
    <row r="922" spans="1:8" ht="15.75">
      <c r="A922" s="106">
        <v>40760</v>
      </c>
      <c r="B922" s="107">
        <v>127.85</v>
      </c>
      <c r="C922" s="52"/>
      <c r="D922" s="52"/>
      <c r="E922" s="52"/>
      <c r="F922" s="52"/>
      <c r="G922" s="52"/>
      <c r="H922" s="52"/>
    </row>
    <row r="923" spans="1:8" ht="15.75">
      <c r="A923" s="106">
        <v>40763</v>
      </c>
      <c r="B923" s="107">
        <v>127.41</v>
      </c>
      <c r="C923" s="52"/>
      <c r="D923" s="52"/>
      <c r="E923" s="52"/>
      <c r="F923" s="52"/>
      <c r="G923" s="52"/>
      <c r="H923" s="52"/>
    </row>
    <row r="924" spans="1:8" ht="15.75">
      <c r="A924" s="106">
        <v>40764</v>
      </c>
      <c r="B924" s="107">
        <v>127.79</v>
      </c>
      <c r="C924" s="52"/>
      <c r="D924" s="52"/>
      <c r="E924" s="52"/>
      <c r="F924" s="52"/>
      <c r="G924" s="52"/>
      <c r="H924" s="52"/>
    </row>
    <row r="925" spans="1:8" ht="15.75">
      <c r="A925" s="106">
        <v>40765</v>
      </c>
      <c r="B925" s="107">
        <v>127.91</v>
      </c>
      <c r="C925" s="52"/>
      <c r="D925" s="52"/>
      <c r="E925" s="52"/>
      <c r="F925" s="52"/>
      <c r="G925" s="52"/>
      <c r="H925" s="52"/>
    </row>
    <row r="926" spans="1:8" ht="15.75">
      <c r="A926" s="106">
        <v>40766</v>
      </c>
      <c r="B926" s="107">
        <v>128.46</v>
      </c>
      <c r="C926" s="52"/>
      <c r="D926" s="52"/>
      <c r="E926" s="52"/>
      <c r="F926" s="52"/>
      <c r="G926" s="52"/>
      <c r="H926" s="52"/>
    </row>
    <row r="927" spans="1:8" ht="15.75">
      <c r="A927" s="106">
        <v>40767</v>
      </c>
      <c r="B927" s="107">
        <v>128.27000000000001</v>
      </c>
      <c r="C927" s="52"/>
      <c r="D927" s="52"/>
      <c r="E927" s="52"/>
      <c r="F927" s="52"/>
      <c r="G927" s="52"/>
      <c r="H927" s="52"/>
    </row>
    <row r="928" spans="1:8" ht="15.75">
      <c r="A928" s="106">
        <v>40770</v>
      </c>
      <c r="B928" s="107">
        <v>127.86</v>
      </c>
      <c r="C928" s="52"/>
      <c r="D928" s="52"/>
      <c r="E928" s="52"/>
      <c r="F928" s="52"/>
      <c r="G928" s="52"/>
      <c r="H928" s="52"/>
    </row>
    <row r="929" spans="1:8" ht="15.75">
      <c r="A929" s="106">
        <v>40771</v>
      </c>
      <c r="B929" s="107">
        <v>128.13</v>
      </c>
      <c r="C929" s="52"/>
      <c r="D929" s="52"/>
      <c r="E929" s="52"/>
      <c r="F929" s="52"/>
      <c r="G929" s="52"/>
      <c r="H929" s="52"/>
    </row>
    <row r="930" spans="1:8" ht="15.75">
      <c r="A930" s="106">
        <v>40772</v>
      </c>
      <c r="B930" s="107">
        <v>128.25</v>
      </c>
      <c r="C930" s="52"/>
      <c r="D930" s="52"/>
      <c r="E930" s="52"/>
      <c r="F930" s="52"/>
      <c r="G930" s="52"/>
      <c r="H930" s="52"/>
    </row>
    <row r="931" spans="1:8" ht="15.75">
      <c r="A931" s="106">
        <v>40773</v>
      </c>
      <c r="B931" s="107">
        <v>129.07</v>
      </c>
      <c r="C931" s="52"/>
      <c r="D931" s="52"/>
      <c r="E931" s="52"/>
      <c r="F931" s="52"/>
      <c r="G931" s="52"/>
      <c r="H931" s="52"/>
    </row>
    <row r="932" spans="1:8" ht="15.75">
      <c r="A932" s="106">
        <v>40774</v>
      </c>
      <c r="B932" s="107">
        <v>129.16999999999999</v>
      </c>
      <c r="C932" s="52"/>
      <c r="D932" s="52"/>
      <c r="E932" s="52"/>
      <c r="F932" s="52"/>
      <c r="G932" s="52"/>
      <c r="H932" s="52"/>
    </row>
    <row r="933" spans="1:8" ht="15.75">
      <c r="A933" s="106">
        <v>40777</v>
      </c>
      <c r="B933" s="107">
        <v>129.26</v>
      </c>
      <c r="C933" s="52"/>
      <c r="D933" s="52"/>
      <c r="E933" s="52"/>
      <c r="F933" s="52"/>
      <c r="G933" s="52"/>
      <c r="H933" s="52"/>
    </row>
    <row r="934" spans="1:8" ht="15.75">
      <c r="A934" s="106">
        <v>40778</v>
      </c>
      <c r="B934" s="107">
        <v>129.05000000000001</v>
      </c>
      <c r="C934" s="52"/>
      <c r="D934" s="52"/>
      <c r="E934" s="52"/>
      <c r="F934" s="52"/>
      <c r="G934" s="52"/>
      <c r="H934" s="52"/>
    </row>
    <row r="935" spans="1:8" ht="15.75">
      <c r="A935" s="106">
        <v>40779</v>
      </c>
      <c r="B935" s="107">
        <v>129.13</v>
      </c>
      <c r="C935" s="52"/>
      <c r="D935" s="52"/>
      <c r="E935" s="52"/>
      <c r="F935" s="52"/>
      <c r="G935" s="52"/>
      <c r="H935" s="52"/>
    </row>
    <row r="936" spans="1:8" ht="15.75">
      <c r="A936" s="106">
        <v>40780</v>
      </c>
      <c r="B936" s="107">
        <v>128.78</v>
      </c>
      <c r="C936" s="52"/>
      <c r="D936" s="52"/>
      <c r="E936" s="52"/>
      <c r="F936" s="52"/>
      <c r="G936" s="52"/>
      <c r="H936" s="52"/>
    </row>
    <row r="937" spans="1:8" ht="15.75">
      <c r="A937" s="106">
        <v>40781</v>
      </c>
      <c r="B937" s="107">
        <v>129</v>
      </c>
      <c r="C937" s="52"/>
      <c r="D937" s="52"/>
      <c r="E937" s="52"/>
      <c r="F937" s="52"/>
      <c r="G937" s="52"/>
      <c r="H937" s="52"/>
    </row>
    <row r="938" spans="1:8" ht="15.75">
      <c r="A938" s="106">
        <v>40784</v>
      </c>
      <c r="B938" s="107">
        <v>129.01</v>
      </c>
      <c r="C938" s="52"/>
      <c r="D938" s="52"/>
      <c r="E938" s="52"/>
      <c r="F938" s="52"/>
      <c r="G938" s="52"/>
      <c r="H938" s="52"/>
    </row>
    <row r="939" spans="1:8" ht="15.75">
      <c r="A939" s="106">
        <v>40785</v>
      </c>
      <c r="B939" s="107">
        <v>129.13999999999999</v>
      </c>
      <c r="C939" s="52"/>
      <c r="D939" s="52"/>
      <c r="E939" s="52"/>
      <c r="F939" s="52"/>
      <c r="G939" s="52"/>
      <c r="H939" s="52"/>
    </row>
    <row r="940" spans="1:8" ht="15.75">
      <c r="A940" s="106">
        <v>40786</v>
      </c>
      <c r="B940" s="107">
        <v>128.78</v>
      </c>
      <c r="C940" s="52"/>
      <c r="D940" s="52"/>
      <c r="E940" s="52"/>
      <c r="F940" s="52"/>
      <c r="G940" s="52"/>
      <c r="H940" s="52"/>
    </row>
    <row r="941" spans="1:8" ht="15.75">
      <c r="A941" s="106">
        <v>40787</v>
      </c>
      <c r="B941" s="107">
        <v>128.54</v>
      </c>
      <c r="C941" s="52"/>
      <c r="D941" s="52"/>
      <c r="E941" s="52"/>
      <c r="F941" s="52"/>
      <c r="G941" s="52"/>
      <c r="H941" s="52"/>
    </row>
    <row r="942" spans="1:8" ht="15.75">
      <c r="A942" s="106">
        <v>40788</v>
      </c>
      <c r="B942" s="107">
        <v>129.33000000000001</v>
      </c>
      <c r="C942" s="52"/>
      <c r="D942" s="52"/>
      <c r="E942" s="52"/>
      <c r="F942" s="52"/>
      <c r="G942" s="52"/>
      <c r="H942" s="52"/>
    </row>
    <row r="943" spans="1:8" ht="15.75">
      <c r="A943" s="106">
        <v>40791</v>
      </c>
      <c r="B943" s="107">
        <v>130.29</v>
      </c>
      <c r="C943" s="52"/>
      <c r="D943" s="52"/>
      <c r="E943" s="52"/>
      <c r="F943" s="52"/>
      <c r="G943" s="52"/>
      <c r="H943" s="52"/>
    </row>
    <row r="944" spans="1:8" ht="15.75">
      <c r="A944" s="106">
        <v>40792</v>
      </c>
      <c r="B944" s="107">
        <v>130.04</v>
      </c>
      <c r="C944" s="52"/>
      <c r="D944" s="52"/>
      <c r="E944" s="52"/>
      <c r="F944" s="52"/>
      <c r="G944" s="52"/>
      <c r="H944" s="52"/>
    </row>
    <row r="945" spans="1:8" ht="15.75">
      <c r="A945" s="106">
        <v>40793</v>
      </c>
      <c r="B945" s="107">
        <v>130.07</v>
      </c>
      <c r="C945" s="52"/>
      <c r="D945" s="52"/>
      <c r="E945" s="52"/>
      <c r="F945" s="52"/>
      <c r="G945" s="52"/>
      <c r="H945" s="52"/>
    </row>
    <row r="946" spans="1:8" ht="15.75">
      <c r="A946" s="106">
        <v>40794</v>
      </c>
      <c r="B946" s="107">
        <v>130.02000000000001</v>
      </c>
      <c r="C946" s="52"/>
      <c r="D946" s="52"/>
      <c r="E946" s="52"/>
      <c r="F946" s="52"/>
      <c r="G946" s="52"/>
      <c r="H946" s="52"/>
    </row>
    <row r="947" spans="1:8" ht="15.75">
      <c r="A947" s="106">
        <v>40795</v>
      </c>
      <c r="B947" s="107">
        <v>130.58000000000001</v>
      </c>
      <c r="C947" s="52"/>
      <c r="D947" s="52"/>
      <c r="E947" s="52"/>
      <c r="F947" s="52"/>
      <c r="G947" s="52"/>
      <c r="H947" s="52"/>
    </row>
    <row r="948" spans="1:8" ht="15.75">
      <c r="A948" s="106">
        <v>40798</v>
      </c>
      <c r="B948" s="107">
        <v>131.15</v>
      </c>
      <c r="C948" s="52"/>
      <c r="D948" s="52"/>
      <c r="E948" s="52"/>
      <c r="F948" s="52"/>
      <c r="G948" s="52"/>
      <c r="H948" s="52"/>
    </row>
    <row r="949" spans="1:8" ht="15.75">
      <c r="A949" s="106">
        <v>40799</v>
      </c>
      <c r="B949" s="107">
        <v>131.1</v>
      </c>
      <c r="C949" s="52"/>
      <c r="D949" s="52"/>
      <c r="E949" s="52"/>
      <c r="F949" s="52"/>
      <c r="G949" s="52"/>
      <c r="H949" s="52"/>
    </row>
    <row r="950" spans="1:8" ht="15.75">
      <c r="A950" s="106">
        <v>40800</v>
      </c>
      <c r="B950" s="107">
        <v>130.63999999999999</v>
      </c>
      <c r="C950" s="52"/>
      <c r="D950" s="52"/>
      <c r="E950" s="52"/>
      <c r="F950" s="52"/>
      <c r="G950" s="52"/>
      <c r="H950" s="52"/>
    </row>
    <row r="951" spans="1:8" ht="15.75">
      <c r="A951" s="106">
        <v>40801</v>
      </c>
      <c r="B951" s="107">
        <v>129.91999999999999</v>
      </c>
      <c r="C951" s="52"/>
      <c r="D951" s="52"/>
      <c r="E951" s="52"/>
      <c r="F951" s="52"/>
      <c r="G951" s="52"/>
      <c r="H951" s="52"/>
    </row>
    <row r="952" spans="1:8" ht="15.75">
      <c r="A952" s="106">
        <v>40802</v>
      </c>
      <c r="B952" s="107">
        <v>129.46</v>
      </c>
      <c r="C952" s="52"/>
      <c r="D952" s="52"/>
      <c r="E952" s="52"/>
      <c r="F952" s="52"/>
      <c r="G952" s="52"/>
      <c r="H952" s="52"/>
    </row>
    <row r="953" spans="1:8" ht="15.75">
      <c r="A953" s="106">
        <v>40805</v>
      </c>
      <c r="B953" s="107">
        <v>130.51</v>
      </c>
      <c r="C953" s="52"/>
      <c r="D953" s="52"/>
      <c r="E953" s="52"/>
      <c r="F953" s="52"/>
      <c r="G953" s="52"/>
      <c r="H953" s="52"/>
    </row>
    <row r="954" spans="1:8" ht="15.75">
      <c r="A954" s="106">
        <v>40806</v>
      </c>
      <c r="B954" s="107">
        <v>130.54</v>
      </c>
      <c r="C954" s="52"/>
      <c r="D954" s="52"/>
      <c r="E954" s="52"/>
      <c r="F954" s="52"/>
      <c r="G954" s="52"/>
      <c r="H954" s="52"/>
    </row>
    <row r="955" spans="1:8" ht="15.75">
      <c r="A955" s="106">
        <v>40807</v>
      </c>
      <c r="B955" s="107">
        <v>130.36000000000001</v>
      </c>
      <c r="C955" s="52"/>
      <c r="D955" s="52"/>
      <c r="E955" s="52"/>
      <c r="F955" s="52"/>
      <c r="G955" s="52"/>
      <c r="H955" s="52"/>
    </row>
    <row r="956" spans="1:8" ht="15.75">
      <c r="A956" s="106">
        <v>40808</v>
      </c>
      <c r="B956" s="107">
        <v>131.05000000000001</v>
      </c>
      <c r="C956" s="52"/>
      <c r="D956" s="52"/>
      <c r="E956" s="52"/>
      <c r="F956" s="52"/>
      <c r="G956" s="52"/>
      <c r="H956" s="52"/>
    </row>
    <row r="957" spans="1:8" ht="15.75">
      <c r="A957" s="106">
        <v>40809</v>
      </c>
      <c r="B957" s="107">
        <v>130.97</v>
      </c>
      <c r="C957" s="52"/>
      <c r="D957" s="52"/>
      <c r="E957" s="52"/>
      <c r="F957" s="52"/>
      <c r="G957" s="52"/>
      <c r="H957" s="52"/>
    </row>
    <row r="958" spans="1:8" ht="15.75">
      <c r="A958" s="106">
        <v>40812</v>
      </c>
      <c r="B958" s="107">
        <v>130.49</v>
      </c>
      <c r="C958" s="52"/>
      <c r="D958" s="52"/>
      <c r="E958" s="52"/>
      <c r="F958" s="52"/>
      <c r="G958" s="52"/>
      <c r="H958" s="52"/>
    </row>
    <row r="959" spans="1:8" ht="15.75">
      <c r="A959" s="106">
        <v>40813</v>
      </c>
      <c r="B959" s="107">
        <v>129.81</v>
      </c>
      <c r="C959" s="52"/>
      <c r="D959" s="52"/>
      <c r="E959" s="52"/>
      <c r="F959" s="52"/>
      <c r="G959" s="52"/>
      <c r="H959" s="52"/>
    </row>
    <row r="960" spans="1:8" ht="15.75">
      <c r="A960" s="106">
        <v>40814</v>
      </c>
      <c r="B960" s="107">
        <v>129.59</v>
      </c>
      <c r="C960" s="52"/>
      <c r="D960" s="52"/>
      <c r="E960" s="52"/>
      <c r="F960" s="52"/>
      <c r="G960" s="52"/>
      <c r="H960" s="52"/>
    </row>
    <row r="961" spans="1:8" ht="15.75">
      <c r="A961" s="106">
        <v>40815</v>
      </c>
      <c r="B961" s="107">
        <v>129.47</v>
      </c>
      <c r="C961" s="52"/>
      <c r="D961" s="52"/>
      <c r="E961" s="52"/>
      <c r="F961" s="52"/>
      <c r="G961" s="52"/>
      <c r="H961" s="52"/>
    </row>
    <row r="962" spans="1:8" ht="15.75">
      <c r="A962" s="106">
        <v>40816</v>
      </c>
      <c r="B962" s="107">
        <v>129.54</v>
      </c>
      <c r="C962" s="52"/>
      <c r="D962" s="52"/>
      <c r="E962" s="52"/>
      <c r="F962" s="52"/>
      <c r="G962" s="52"/>
      <c r="H962" s="52"/>
    </row>
    <row r="963" spans="1:8" ht="15.75">
      <c r="A963" s="106">
        <v>40819</v>
      </c>
      <c r="B963" s="107">
        <v>130.25</v>
      </c>
      <c r="C963" s="52"/>
      <c r="D963" s="52"/>
      <c r="E963" s="52"/>
      <c r="F963" s="52"/>
      <c r="G963" s="52"/>
      <c r="H963" s="52"/>
    </row>
    <row r="964" spans="1:8" ht="15.75">
      <c r="A964" s="106">
        <v>40820</v>
      </c>
      <c r="B964" s="107">
        <v>130.54</v>
      </c>
      <c r="C964" s="52"/>
      <c r="D964" s="52"/>
      <c r="E964" s="52"/>
      <c r="F964" s="52"/>
      <c r="G964" s="52"/>
      <c r="H964" s="52"/>
    </row>
    <row r="965" spans="1:8" ht="15.75">
      <c r="A965" s="106">
        <v>40821</v>
      </c>
      <c r="B965" s="107">
        <v>130.44999999999999</v>
      </c>
      <c r="C965" s="52"/>
      <c r="D965" s="52"/>
      <c r="E965" s="52"/>
      <c r="F965" s="52"/>
      <c r="G965" s="52"/>
      <c r="H965" s="52"/>
    </row>
    <row r="966" spans="1:8" ht="15.75">
      <c r="A966" s="106">
        <v>40822</v>
      </c>
      <c r="B966" s="107">
        <v>129.97</v>
      </c>
      <c r="C966" s="52"/>
      <c r="D966" s="52"/>
      <c r="E966" s="52"/>
      <c r="F966" s="52"/>
      <c r="G966" s="52"/>
      <c r="H966" s="52"/>
    </row>
    <row r="967" spans="1:8" ht="15.75">
      <c r="A967" s="106">
        <v>40823</v>
      </c>
      <c r="B967" s="107">
        <v>129.66</v>
      </c>
      <c r="C967" s="52"/>
      <c r="D967" s="52"/>
      <c r="E967" s="52"/>
      <c r="F967" s="52"/>
      <c r="G967" s="52"/>
      <c r="H967" s="52"/>
    </row>
    <row r="968" spans="1:8" ht="15.75">
      <c r="A968" s="106">
        <v>40826</v>
      </c>
      <c r="B968" s="107">
        <v>128.94999999999999</v>
      </c>
      <c r="C968" s="52"/>
      <c r="D968" s="52"/>
      <c r="E968" s="52"/>
      <c r="F968" s="52"/>
      <c r="G968" s="52"/>
      <c r="H968" s="52"/>
    </row>
    <row r="969" spans="1:8" ht="15.75">
      <c r="A969" s="106">
        <v>40827</v>
      </c>
      <c r="B969" s="107">
        <v>129.35</v>
      </c>
      <c r="C969" s="52"/>
      <c r="D969" s="52"/>
      <c r="E969" s="52"/>
      <c r="F969" s="52"/>
      <c r="G969" s="52"/>
      <c r="H969" s="52"/>
    </row>
    <row r="970" spans="1:8" ht="15.75">
      <c r="A970" s="106">
        <v>40828</v>
      </c>
      <c r="B970" s="107">
        <v>129.04</v>
      </c>
      <c r="C970" s="52"/>
      <c r="D970" s="52"/>
      <c r="E970" s="52"/>
      <c r="F970" s="52"/>
      <c r="G970" s="52"/>
      <c r="H970" s="52"/>
    </row>
    <row r="971" spans="1:8" ht="15.75">
      <c r="A971" s="106">
        <v>40829</v>
      </c>
      <c r="B971" s="107">
        <v>128.80000000000001</v>
      </c>
      <c r="C971" s="52"/>
      <c r="D971" s="52"/>
      <c r="E971" s="52"/>
      <c r="F971" s="52"/>
      <c r="G971" s="52"/>
      <c r="H971" s="52"/>
    </row>
    <row r="972" spans="1:8" ht="15.75">
      <c r="A972" s="106">
        <v>40830</v>
      </c>
      <c r="B972" s="107">
        <v>128.88</v>
      </c>
      <c r="C972" s="52"/>
      <c r="D972" s="52"/>
      <c r="E972" s="52"/>
      <c r="F972" s="52"/>
      <c r="G972" s="52"/>
      <c r="H972" s="52"/>
    </row>
    <row r="973" spans="1:8" ht="15.75">
      <c r="A973" s="106">
        <v>40833</v>
      </c>
      <c r="B973" s="107">
        <v>128.65</v>
      </c>
      <c r="C973" s="52"/>
      <c r="D973" s="52"/>
      <c r="E973" s="52"/>
      <c r="F973" s="52"/>
      <c r="G973" s="52"/>
      <c r="H973" s="52"/>
    </row>
    <row r="974" spans="1:8" ht="15.75">
      <c r="A974" s="106">
        <v>40834</v>
      </c>
      <c r="B974" s="107">
        <v>129.91</v>
      </c>
      <c r="C974" s="52"/>
      <c r="D974" s="52"/>
      <c r="E974" s="52"/>
      <c r="F974" s="52"/>
      <c r="G974" s="52"/>
      <c r="H974" s="52"/>
    </row>
    <row r="975" spans="1:8" ht="15.75">
      <c r="A975" s="106">
        <v>40835</v>
      </c>
      <c r="B975" s="107">
        <v>129.38999999999999</v>
      </c>
      <c r="C975" s="52"/>
      <c r="D975" s="52"/>
      <c r="E975" s="52"/>
      <c r="F975" s="52"/>
      <c r="G975" s="52"/>
      <c r="H975" s="52"/>
    </row>
    <row r="976" spans="1:8" ht="15.75">
      <c r="A976" s="106">
        <v>40836</v>
      </c>
      <c r="B976" s="107">
        <v>129.09</v>
      </c>
      <c r="C976" s="52"/>
      <c r="D976" s="52"/>
      <c r="E976" s="52"/>
      <c r="F976" s="52"/>
      <c r="G976" s="52"/>
      <c r="H976" s="52"/>
    </row>
    <row r="977" spans="1:8" ht="15.75">
      <c r="A977" s="106">
        <v>40837</v>
      </c>
      <c r="B977" s="107">
        <v>129.71</v>
      </c>
      <c r="C977" s="52"/>
      <c r="D977" s="52"/>
      <c r="E977" s="52"/>
      <c r="F977" s="52"/>
      <c r="G977" s="52"/>
      <c r="H977" s="52"/>
    </row>
    <row r="978" spans="1:8" ht="15.75">
      <c r="A978" s="106">
        <v>40840</v>
      </c>
      <c r="B978" s="107">
        <v>129.74</v>
      </c>
      <c r="C978" s="52"/>
      <c r="D978" s="52"/>
      <c r="E978" s="52"/>
      <c r="F978" s="52"/>
      <c r="G978" s="52"/>
      <c r="H978" s="52"/>
    </row>
    <row r="979" spans="1:8" ht="15.75">
      <c r="A979" s="106">
        <v>40841</v>
      </c>
      <c r="B979" s="107">
        <v>129.29</v>
      </c>
      <c r="C979" s="52"/>
      <c r="D979" s="52"/>
      <c r="E979" s="52"/>
      <c r="F979" s="52"/>
      <c r="G979" s="52"/>
      <c r="H979" s="52"/>
    </row>
    <row r="980" spans="1:8" ht="15.75">
      <c r="A980" s="106">
        <v>40842</v>
      </c>
      <c r="B980" s="107">
        <v>129.66</v>
      </c>
      <c r="C980" s="52"/>
      <c r="D980" s="52"/>
      <c r="E980" s="52"/>
      <c r="F980" s="52"/>
      <c r="G980" s="52"/>
      <c r="H980" s="52"/>
    </row>
    <row r="981" spans="1:8" ht="15.75">
      <c r="A981" s="106">
        <v>40843</v>
      </c>
      <c r="B981" s="107">
        <v>129.5</v>
      </c>
      <c r="C981" s="52"/>
      <c r="D981" s="52"/>
      <c r="E981" s="52"/>
      <c r="F981" s="52"/>
      <c r="G981" s="52"/>
      <c r="H981" s="52"/>
    </row>
    <row r="982" spans="1:8" ht="15.75">
      <c r="A982" s="106">
        <v>40844</v>
      </c>
      <c r="B982" s="107">
        <v>128.99</v>
      </c>
      <c r="C982" s="52"/>
      <c r="D982" s="52"/>
      <c r="E982" s="52"/>
      <c r="F982" s="52"/>
      <c r="G982" s="52"/>
      <c r="H982" s="52"/>
    </row>
    <row r="983" spans="1:8" ht="15.75">
      <c r="A983" s="106">
        <v>40847</v>
      </c>
      <c r="B983" s="107">
        <v>129.65</v>
      </c>
      <c r="C983" s="52"/>
      <c r="D983" s="52"/>
      <c r="E983" s="52"/>
      <c r="F983" s="52"/>
      <c r="G983" s="52"/>
      <c r="H983" s="52"/>
    </row>
    <row r="984" spans="1:8" ht="15.75">
      <c r="A984" s="106">
        <v>40848</v>
      </c>
      <c r="B984" s="107">
        <v>130.77000000000001</v>
      </c>
      <c r="C984" s="52"/>
      <c r="D984" s="52"/>
      <c r="E984" s="52"/>
      <c r="F984" s="52"/>
      <c r="G984" s="52"/>
      <c r="H984" s="52"/>
    </row>
    <row r="985" spans="1:8" ht="15.75">
      <c r="A985" s="106">
        <v>40849</v>
      </c>
      <c r="B985" s="107">
        <v>130.91</v>
      </c>
      <c r="C985" s="52"/>
      <c r="D985" s="52"/>
      <c r="E985" s="52"/>
      <c r="F985" s="52"/>
      <c r="G985" s="52"/>
      <c r="H985" s="52"/>
    </row>
    <row r="986" spans="1:8" ht="15.75">
      <c r="A986" s="106">
        <v>40850</v>
      </c>
      <c r="B986" s="107">
        <v>130.6</v>
      </c>
      <c r="C986" s="52"/>
      <c r="D986" s="52"/>
      <c r="E986" s="52"/>
      <c r="F986" s="52"/>
      <c r="G986" s="52"/>
      <c r="H986" s="52"/>
    </row>
    <row r="987" spans="1:8" ht="15.75">
      <c r="A987" s="106">
        <v>40851</v>
      </c>
      <c r="B987" s="107">
        <v>130.62</v>
      </c>
      <c r="C987" s="52"/>
      <c r="D987" s="52"/>
      <c r="E987" s="52"/>
      <c r="F987" s="52"/>
      <c r="G987" s="52"/>
      <c r="H987" s="52"/>
    </row>
    <row r="988" spans="1:8" ht="15.75">
      <c r="A988" s="106">
        <v>40854</v>
      </c>
      <c r="B988" s="107">
        <v>131.41</v>
      </c>
      <c r="C988" s="52"/>
      <c r="D988" s="52"/>
      <c r="E988" s="52"/>
      <c r="F988" s="52"/>
      <c r="G988" s="52"/>
      <c r="H988" s="52"/>
    </row>
    <row r="989" spans="1:8" ht="15.75">
      <c r="A989" s="106">
        <v>40855</v>
      </c>
      <c r="B989" s="107">
        <v>131.16999999999999</v>
      </c>
      <c r="C989" s="52"/>
      <c r="D989" s="52"/>
      <c r="E989" s="52"/>
      <c r="F989" s="52"/>
      <c r="G989" s="52"/>
      <c r="H989" s="52"/>
    </row>
    <row r="990" spans="1:8" ht="15.75">
      <c r="A990" s="106">
        <v>40856</v>
      </c>
      <c r="B990" s="107">
        <v>131.66</v>
      </c>
      <c r="C990" s="52"/>
      <c r="D990" s="52"/>
      <c r="E990" s="52"/>
      <c r="F990" s="52"/>
      <c r="G990" s="52"/>
      <c r="H990" s="52"/>
    </row>
    <row r="991" spans="1:8" ht="15.75">
      <c r="A991" s="106">
        <v>40857</v>
      </c>
      <c r="B991" s="107">
        <v>131.08000000000001</v>
      </c>
      <c r="C991" s="52"/>
      <c r="D991" s="52"/>
      <c r="E991" s="52"/>
      <c r="F991" s="52"/>
      <c r="G991" s="52"/>
      <c r="H991" s="52"/>
    </row>
    <row r="992" spans="1:8" ht="15.75">
      <c r="A992" s="106">
        <v>40858</v>
      </c>
      <c r="B992" s="107">
        <v>130.97999999999999</v>
      </c>
      <c r="C992" s="52"/>
      <c r="D992" s="52"/>
      <c r="E992" s="52"/>
      <c r="F992" s="52"/>
      <c r="G992" s="52"/>
      <c r="H992" s="52"/>
    </row>
    <row r="993" spans="1:8" ht="15.75">
      <c r="A993" s="106">
        <v>40861</v>
      </c>
      <c r="B993" s="107">
        <v>130.78</v>
      </c>
      <c r="C993" s="52"/>
      <c r="D993" s="52"/>
      <c r="E993" s="52"/>
      <c r="F993" s="52"/>
      <c r="G993" s="52"/>
      <c r="H993" s="52"/>
    </row>
    <row r="994" spans="1:8" ht="15.75">
      <c r="A994" s="106">
        <v>40862</v>
      </c>
      <c r="B994" s="107">
        <v>131.65</v>
      </c>
      <c r="C994" s="52"/>
      <c r="D994" s="52"/>
      <c r="E994" s="52"/>
      <c r="F994" s="52"/>
      <c r="G994" s="52"/>
      <c r="H994" s="52"/>
    </row>
    <row r="995" spans="1:8" ht="15.75">
      <c r="A995" s="106">
        <v>40863</v>
      </c>
      <c r="B995" s="107">
        <v>131.35</v>
      </c>
      <c r="C995" s="52"/>
      <c r="D995" s="52"/>
      <c r="E995" s="52"/>
      <c r="F995" s="52"/>
      <c r="G995" s="52"/>
      <c r="H995" s="52"/>
    </row>
    <row r="996" spans="1:8" ht="15.75">
      <c r="A996" s="106">
        <v>40864</v>
      </c>
      <c r="B996" s="107">
        <v>131.38999999999999</v>
      </c>
      <c r="C996" s="52"/>
      <c r="D996" s="52"/>
      <c r="E996" s="52"/>
      <c r="F996" s="52"/>
      <c r="G996" s="52"/>
      <c r="H996" s="52"/>
    </row>
    <row r="997" spans="1:8" ht="15.75">
      <c r="A997" s="106">
        <v>40865</v>
      </c>
      <c r="B997" s="107">
        <v>130.72999999999999</v>
      </c>
      <c r="C997" s="52"/>
      <c r="D997" s="52"/>
      <c r="E997" s="52"/>
      <c r="F997" s="52"/>
      <c r="G997" s="52"/>
      <c r="H997" s="52"/>
    </row>
    <row r="998" spans="1:8" ht="15.75">
      <c r="A998" s="106">
        <v>40868</v>
      </c>
      <c r="B998" s="107">
        <v>130.84</v>
      </c>
      <c r="C998" s="52"/>
      <c r="D998" s="52"/>
      <c r="E998" s="52"/>
      <c r="F998" s="52"/>
      <c r="G998" s="52"/>
      <c r="H998" s="52"/>
    </row>
    <row r="999" spans="1:8" ht="15.75">
      <c r="A999" s="106">
        <v>40869</v>
      </c>
      <c r="B999" s="107">
        <v>130.72999999999999</v>
      </c>
      <c r="C999" s="52"/>
      <c r="D999" s="52"/>
      <c r="E999" s="52"/>
      <c r="F999" s="52"/>
      <c r="G999" s="52"/>
      <c r="H999" s="52"/>
    </row>
    <row r="1000" spans="1:8" ht="15.75">
      <c r="A1000" s="106">
        <v>40870</v>
      </c>
      <c r="B1000" s="107">
        <v>130.53</v>
      </c>
      <c r="C1000" s="52"/>
      <c r="D1000" s="52"/>
      <c r="E1000" s="52"/>
      <c r="F1000" s="52"/>
      <c r="G1000" s="52"/>
      <c r="H1000" s="52"/>
    </row>
    <row r="1001" spans="1:8" ht="15.75">
      <c r="A1001" s="106">
        <v>40871</v>
      </c>
      <c r="B1001" s="107">
        <v>129.44999999999999</v>
      </c>
      <c r="C1001" s="52"/>
      <c r="D1001" s="52"/>
      <c r="E1001" s="52"/>
      <c r="F1001" s="52"/>
      <c r="G1001" s="52"/>
      <c r="H1001" s="52"/>
    </row>
    <row r="1002" spans="1:8" ht="15.75">
      <c r="A1002" s="106">
        <v>40872</v>
      </c>
      <c r="B1002" s="107">
        <v>129.49</v>
      </c>
      <c r="C1002" s="52"/>
      <c r="D1002" s="52"/>
      <c r="E1002" s="52"/>
      <c r="F1002" s="52"/>
      <c r="G1002" s="52"/>
      <c r="H1002" s="52"/>
    </row>
    <row r="1003" spans="1:8" ht="15.75">
      <c r="A1003" s="106">
        <v>40875</v>
      </c>
      <c r="B1003" s="107">
        <v>128.74</v>
      </c>
      <c r="C1003" s="52"/>
      <c r="D1003" s="52"/>
      <c r="E1003" s="52"/>
      <c r="F1003" s="52"/>
      <c r="G1003" s="52"/>
      <c r="H1003" s="52"/>
    </row>
    <row r="1004" spans="1:8" ht="15.75">
      <c r="A1004" s="106">
        <v>40876</v>
      </c>
      <c r="B1004" s="107">
        <v>128.77000000000001</v>
      </c>
      <c r="C1004" s="52"/>
      <c r="D1004" s="52"/>
      <c r="E1004" s="52"/>
      <c r="F1004" s="52"/>
      <c r="G1004" s="52"/>
      <c r="H1004" s="52"/>
    </row>
    <row r="1005" spans="1:8" ht="15.75">
      <c r="A1005" s="106">
        <v>40877</v>
      </c>
      <c r="B1005" s="107">
        <v>128.9</v>
      </c>
      <c r="C1005" s="52"/>
      <c r="D1005" s="52"/>
      <c r="E1005" s="52"/>
      <c r="F1005" s="52"/>
      <c r="G1005" s="52"/>
      <c r="H1005" s="52"/>
    </row>
    <row r="1006" spans="1:8" ht="15.75">
      <c r="A1006" s="106">
        <v>40878</v>
      </c>
      <c r="B1006" s="107">
        <v>129.21</v>
      </c>
      <c r="C1006" s="52"/>
      <c r="D1006" s="52"/>
      <c r="E1006" s="52"/>
      <c r="F1006" s="52"/>
      <c r="G1006" s="52"/>
      <c r="H1006" s="52"/>
    </row>
    <row r="1007" spans="1:8" ht="15.75">
      <c r="A1007" s="106">
        <v>40879</v>
      </c>
      <c r="B1007" s="107">
        <v>129.86000000000001</v>
      </c>
      <c r="C1007" s="52"/>
      <c r="D1007" s="52"/>
      <c r="E1007" s="52"/>
      <c r="F1007" s="52"/>
      <c r="G1007" s="52"/>
      <c r="H1007" s="52"/>
    </row>
    <row r="1008" spans="1:8" ht="15.75">
      <c r="A1008" s="106">
        <v>40882</v>
      </c>
      <c r="B1008" s="107">
        <v>129.78</v>
      </c>
      <c r="C1008" s="52"/>
      <c r="D1008" s="52"/>
      <c r="E1008" s="52"/>
      <c r="F1008" s="52"/>
      <c r="G1008" s="52"/>
      <c r="H1008" s="52"/>
    </row>
    <row r="1009" spans="1:8" ht="15.75">
      <c r="A1009" s="106">
        <v>40883</v>
      </c>
      <c r="B1009" s="107">
        <v>129.54</v>
      </c>
      <c r="C1009" s="52"/>
      <c r="D1009" s="52"/>
      <c r="E1009" s="52"/>
      <c r="F1009" s="52"/>
      <c r="G1009" s="52"/>
      <c r="H1009" s="52"/>
    </row>
    <row r="1010" spans="1:8" ht="15.75">
      <c r="A1010" s="106">
        <v>40884</v>
      </c>
      <c r="B1010" s="107">
        <v>129.85</v>
      </c>
      <c r="C1010" s="52"/>
      <c r="D1010" s="52"/>
      <c r="E1010" s="52"/>
      <c r="F1010" s="52"/>
      <c r="G1010" s="52"/>
      <c r="H1010" s="52"/>
    </row>
    <row r="1011" spans="1:8" ht="15.75">
      <c r="A1011" s="106">
        <v>40885</v>
      </c>
      <c r="B1011" s="107">
        <v>130.26</v>
      </c>
      <c r="C1011" s="52"/>
      <c r="D1011" s="52"/>
      <c r="E1011" s="52"/>
      <c r="F1011" s="52"/>
      <c r="G1011" s="52"/>
      <c r="H1011" s="52"/>
    </row>
    <row r="1012" spans="1:8" ht="15.75">
      <c r="A1012" s="106">
        <v>40886</v>
      </c>
      <c r="B1012" s="107">
        <v>130.25</v>
      </c>
      <c r="C1012" s="52"/>
      <c r="D1012" s="52"/>
      <c r="E1012" s="52"/>
      <c r="F1012" s="52"/>
      <c r="G1012" s="52"/>
      <c r="H1012" s="52"/>
    </row>
    <row r="1013" spans="1:8" ht="15.75">
      <c r="A1013" s="106">
        <v>40889</v>
      </c>
      <c r="B1013" s="107">
        <v>130.41999999999999</v>
      </c>
      <c r="C1013" s="52"/>
      <c r="D1013" s="52"/>
      <c r="E1013" s="52"/>
      <c r="F1013" s="52"/>
      <c r="G1013" s="52"/>
      <c r="H1013" s="52"/>
    </row>
    <row r="1014" spans="1:8" ht="15.75">
      <c r="A1014" s="106">
        <v>40890</v>
      </c>
      <c r="B1014" s="107">
        <v>130.41999999999999</v>
      </c>
      <c r="C1014" s="52"/>
      <c r="D1014" s="52"/>
      <c r="E1014" s="52"/>
      <c r="F1014" s="52"/>
      <c r="G1014" s="52"/>
      <c r="H1014" s="52"/>
    </row>
    <row r="1015" spans="1:8" ht="15.75">
      <c r="A1015" s="106">
        <v>40891</v>
      </c>
      <c r="B1015" s="107">
        <v>130.6</v>
      </c>
      <c r="C1015" s="52"/>
      <c r="D1015" s="52"/>
      <c r="E1015" s="52"/>
      <c r="F1015" s="52"/>
      <c r="G1015" s="52"/>
      <c r="H1015" s="52"/>
    </row>
    <row r="1016" spans="1:8" ht="15.75">
      <c r="A1016" s="106">
        <v>40892</v>
      </c>
      <c r="B1016" s="107">
        <v>131.26</v>
      </c>
      <c r="C1016" s="52"/>
      <c r="D1016" s="52"/>
      <c r="E1016" s="52"/>
      <c r="F1016" s="52"/>
      <c r="G1016" s="52"/>
      <c r="H1016" s="52"/>
    </row>
    <row r="1017" spans="1:8" ht="15.75">
      <c r="A1017" s="106">
        <v>40893</v>
      </c>
      <c r="B1017" s="107">
        <v>131.26</v>
      </c>
      <c r="C1017" s="52"/>
      <c r="D1017" s="52"/>
      <c r="E1017" s="52"/>
      <c r="F1017" s="52"/>
      <c r="G1017" s="52"/>
      <c r="H1017" s="52"/>
    </row>
    <row r="1018" spans="1:8" ht="15.75">
      <c r="A1018" s="106">
        <v>40896</v>
      </c>
      <c r="B1018" s="107">
        <v>131.34</v>
      </c>
      <c r="C1018" s="52"/>
      <c r="D1018" s="52"/>
      <c r="E1018" s="52"/>
      <c r="F1018" s="52"/>
      <c r="G1018" s="52"/>
      <c r="H1018" s="52"/>
    </row>
    <row r="1019" spans="1:8" ht="15.75">
      <c r="A1019" s="106">
        <v>40897</v>
      </c>
      <c r="B1019" s="107">
        <v>131.27000000000001</v>
      </c>
      <c r="C1019" s="52"/>
      <c r="D1019" s="52"/>
      <c r="E1019" s="52"/>
      <c r="F1019" s="52"/>
      <c r="G1019" s="52"/>
      <c r="H1019" s="52"/>
    </row>
    <row r="1020" spans="1:8" ht="15.75">
      <c r="A1020" s="106">
        <v>40898</v>
      </c>
      <c r="B1020" s="107">
        <v>130.72999999999999</v>
      </c>
      <c r="C1020" s="52"/>
      <c r="D1020" s="52"/>
      <c r="E1020" s="52"/>
      <c r="F1020" s="52"/>
      <c r="G1020" s="52"/>
      <c r="H1020" s="52"/>
    </row>
    <row r="1021" spans="1:8" ht="15.75">
      <c r="A1021" s="106">
        <v>40899</v>
      </c>
      <c r="B1021" s="107">
        <v>130.85</v>
      </c>
      <c r="C1021" s="52"/>
      <c r="D1021" s="52"/>
      <c r="E1021" s="52"/>
      <c r="F1021" s="52"/>
      <c r="G1021" s="52"/>
      <c r="H1021" s="52"/>
    </row>
    <row r="1022" spans="1:8" ht="15.75">
      <c r="A1022" s="106">
        <v>40900</v>
      </c>
      <c r="B1022" s="107">
        <v>130.94999999999999</v>
      </c>
      <c r="C1022" s="52"/>
      <c r="D1022" s="52"/>
      <c r="E1022" s="52"/>
      <c r="F1022" s="52"/>
      <c r="G1022" s="52"/>
      <c r="H1022" s="52"/>
    </row>
    <row r="1023" spans="1:8" ht="15.75">
      <c r="A1023" s="106">
        <v>40904</v>
      </c>
      <c r="B1023" s="107">
        <v>130.94</v>
      </c>
      <c r="C1023" s="52"/>
      <c r="D1023" s="52"/>
      <c r="E1023" s="52"/>
      <c r="F1023" s="52"/>
      <c r="G1023" s="52"/>
      <c r="H1023" s="52"/>
    </row>
    <row r="1024" spans="1:8" ht="15.75">
      <c r="A1024" s="106">
        <v>40905</v>
      </c>
      <c r="B1024" s="107">
        <v>131.1</v>
      </c>
      <c r="C1024" s="52"/>
      <c r="D1024" s="52"/>
      <c r="E1024" s="52"/>
      <c r="F1024" s="52"/>
      <c r="G1024" s="52"/>
      <c r="H1024" s="52"/>
    </row>
    <row r="1025" spans="1:8" ht="15.75">
      <c r="A1025" s="106">
        <v>40906</v>
      </c>
      <c r="B1025" s="107">
        <v>131.22999999999999</v>
      </c>
      <c r="C1025" s="52"/>
      <c r="D1025" s="52"/>
      <c r="E1025" s="52"/>
      <c r="F1025" s="52"/>
      <c r="G1025" s="52"/>
      <c r="H1025" s="52"/>
    </row>
    <row r="1026" spans="1:8" ht="15.75">
      <c r="A1026" s="106">
        <v>40907</v>
      </c>
      <c r="B1026" s="107">
        <v>131.47999999999999</v>
      </c>
      <c r="C1026" s="52"/>
      <c r="D1026" s="52"/>
      <c r="E1026" s="52"/>
      <c r="F1026" s="52"/>
      <c r="G1026" s="52"/>
      <c r="H1026" s="52"/>
    </row>
    <row r="1027" spans="1:8" ht="15.75">
      <c r="A1027" s="106">
        <v>40910</v>
      </c>
      <c r="B1027" s="107">
        <v>131.38999999999999</v>
      </c>
      <c r="C1027" s="52"/>
      <c r="D1027" s="52"/>
      <c r="E1027" s="52"/>
      <c r="F1027" s="52"/>
      <c r="G1027" s="52"/>
      <c r="H1027" s="52"/>
    </row>
    <row r="1028" spans="1:8" ht="15.75">
      <c r="A1028" s="106">
        <v>40911</v>
      </c>
      <c r="B1028" s="107">
        <v>131.05000000000001</v>
      </c>
      <c r="C1028" s="52"/>
      <c r="D1028" s="52"/>
      <c r="E1028" s="52"/>
      <c r="F1028" s="52"/>
      <c r="G1028" s="52"/>
      <c r="H1028" s="52"/>
    </row>
    <row r="1029" spans="1:8" ht="15.75">
      <c r="A1029" s="106">
        <v>40912</v>
      </c>
      <c r="B1029" s="107">
        <v>130.96</v>
      </c>
      <c r="C1029" s="52"/>
      <c r="D1029" s="52"/>
      <c r="E1029" s="52"/>
      <c r="F1029" s="52"/>
      <c r="G1029" s="52"/>
      <c r="H1029" s="52"/>
    </row>
    <row r="1030" spans="1:8" ht="15.75">
      <c r="A1030" s="106">
        <v>40913</v>
      </c>
      <c r="B1030" s="107">
        <v>131.02000000000001</v>
      </c>
      <c r="C1030" s="52"/>
      <c r="D1030" s="52"/>
      <c r="E1030" s="52"/>
      <c r="F1030" s="52"/>
      <c r="G1030" s="52"/>
      <c r="H1030" s="52"/>
    </row>
    <row r="1031" spans="1:8" ht="15.75">
      <c r="A1031" s="106">
        <v>40914</v>
      </c>
      <c r="B1031" s="107">
        <v>131.19999999999999</v>
      </c>
      <c r="C1031" s="52"/>
      <c r="D1031" s="52"/>
      <c r="E1031" s="52"/>
      <c r="F1031" s="52"/>
      <c r="G1031" s="52"/>
      <c r="H1031" s="52"/>
    </row>
    <row r="1032" spans="1:8" ht="15.75">
      <c r="A1032" s="106">
        <v>40917</v>
      </c>
      <c r="B1032" s="107">
        <v>131.15</v>
      </c>
      <c r="C1032" s="52"/>
      <c r="D1032" s="52"/>
      <c r="E1032" s="52"/>
      <c r="F1032" s="52"/>
      <c r="G1032" s="52"/>
      <c r="H1032" s="52"/>
    </row>
    <row r="1033" spans="1:8" ht="15.75">
      <c r="A1033" s="106">
        <v>40918</v>
      </c>
      <c r="B1033" s="107">
        <v>131.24</v>
      </c>
      <c r="C1033" s="52"/>
      <c r="D1033" s="52"/>
      <c r="E1033" s="52"/>
      <c r="F1033" s="52"/>
      <c r="G1033" s="52"/>
      <c r="H1033" s="52"/>
    </row>
    <row r="1034" spans="1:8" ht="15.75">
      <c r="A1034" s="106">
        <v>40919</v>
      </c>
      <c r="B1034" s="107">
        <v>131.19</v>
      </c>
      <c r="C1034" s="52"/>
      <c r="D1034" s="52"/>
      <c r="E1034" s="52"/>
      <c r="F1034" s="52"/>
      <c r="G1034" s="52"/>
      <c r="H1034" s="52"/>
    </row>
    <row r="1035" spans="1:8" ht="15.75">
      <c r="A1035" s="106">
        <v>40920</v>
      </c>
      <c r="B1035" s="107">
        <v>131.52000000000001</v>
      </c>
      <c r="C1035" s="52"/>
      <c r="D1035" s="52"/>
      <c r="E1035" s="52"/>
      <c r="F1035" s="52"/>
      <c r="G1035" s="52"/>
      <c r="H1035" s="52"/>
    </row>
    <row r="1036" spans="1:8" ht="15.75">
      <c r="A1036" s="106">
        <v>40921</v>
      </c>
      <c r="B1036" s="107">
        <v>131.87</v>
      </c>
      <c r="C1036" s="52"/>
      <c r="D1036" s="52"/>
      <c r="E1036" s="52"/>
      <c r="F1036" s="52"/>
      <c r="G1036" s="52"/>
      <c r="H1036" s="52"/>
    </row>
    <row r="1037" spans="1:8" ht="15.75">
      <c r="A1037" s="106">
        <v>40924</v>
      </c>
      <c r="B1037" s="107">
        <v>131.9</v>
      </c>
      <c r="C1037" s="52"/>
      <c r="D1037" s="52"/>
      <c r="E1037" s="52"/>
      <c r="F1037" s="52"/>
      <c r="G1037" s="52"/>
      <c r="H1037" s="52"/>
    </row>
    <row r="1038" spans="1:8" ht="15.75">
      <c r="A1038" s="106">
        <v>40925</v>
      </c>
      <c r="B1038" s="107">
        <v>131.61000000000001</v>
      </c>
      <c r="C1038" s="52"/>
      <c r="D1038" s="52"/>
      <c r="E1038" s="52"/>
      <c r="F1038" s="52"/>
      <c r="G1038" s="52"/>
      <c r="H1038" s="52"/>
    </row>
    <row r="1039" spans="1:8" ht="15.75">
      <c r="A1039" s="106">
        <v>40926</v>
      </c>
      <c r="B1039" s="107">
        <v>131.44</v>
      </c>
      <c r="C1039" s="52"/>
      <c r="D1039" s="52"/>
      <c r="E1039" s="52"/>
      <c r="F1039" s="52"/>
      <c r="G1039" s="52"/>
      <c r="H1039" s="52"/>
    </row>
    <row r="1040" spans="1:8" ht="15.75">
      <c r="A1040" s="106">
        <v>40927</v>
      </c>
      <c r="B1040" s="107">
        <v>131.55000000000001</v>
      </c>
      <c r="C1040" s="52"/>
      <c r="D1040" s="52"/>
      <c r="E1040" s="52"/>
      <c r="F1040" s="52"/>
      <c r="G1040" s="52"/>
      <c r="H1040" s="52"/>
    </row>
    <row r="1041" spans="1:8" ht="15.75">
      <c r="A1041" s="106">
        <v>40928</v>
      </c>
      <c r="B1041" s="107">
        <v>130.93</v>
      </c>
      <c r="C1041" s="52"/>
      <c r="D1041" s="52"/>
      <c r="E1041" s="52"/>
      <c r="F1041" s="52"/>
      <c r="G1041" s="52"/>
      <c r="H1041" s="52"/>
    </row>
    <row r="1042" spans="1:8" ht="15.75">
      <c r="A1042" s="106">
        <v>40931</v>
      </c>
      <c r="B1042" s="107">
        <v>130.87</v>
      </c>
      <c r="C1042" s="52"/>
      <c r="D1042" s="52"/>
      <c r="E1042" s="52"/>
      <c r="F1042" s="52"/>
      <c r="G1042" s="52"/>
      <c r="H1042" s="52"/>
    </row>
    <row r="1043" spans="1:8" ht="15.75">
      <c r="A1043" s="106">
        <v>40932</v>
      </c>
      <c r="B1043" s="107">
        <v>130.52000000000001</v>
      </c>
      <c r="C1043" s="52"/>
      <c r="D1043" s="52"/>
      <c r="E1043" s="52"/>
      <c r="F1043" s="52"/>
      <c r="G1043" s="52"/>
      <c r="H1043" s="52"/>
    </row>
    <row r="1044" spans="1:8" ht="15.75">
      <c r="A1044" s="106">
        <v>40933</v>
      </c>
      <c r="B1044" s="107">
        <v>130.47</v>
      </c>
      <c r="C1044" s="52"/>
      <c r="D1044" s="52"/>
      <c r="E1044" s="52"/>
      <c r="F1044" s="52"/>
      <c r="G1044" s="52"/>
      <c r="H1044" s="52"/>
    </row>
    <row r="1045" spans="1:8" ht="15.75">
      <c r="A1045" s="106">
        <v>40934</v>
      </c>
      <c r="B1045" s="107">
        <v>130.9</v>
      </c>
      <c r="C1045" s="52"/>
      <c r="D1045" s="52"/>
      <c r="E1045" s="52"/>
      <c r="F1045" s="52"/>
      <c r="G1045" s="52"/>
      <c r="H1045" s="52"/>
    </row>
    <row r="1046" spans="1:8" ht="15.75">
      <c r="A1046" s="106">
        <v>40935</v>
      </c>
      <c r="B1046" s="107">
        <v>131.25</v>
      </c>
      <c r="C1046" s="52"/>
      <c r="D1046" s="52"/>
      <c r="E1046" s="52"/>
      <c r="F1046" s="52"/>
      <c r="G1046" s="52"/>
      <c r="H1046" s="52"/>
    </row>
    <row r="1047" spans="1:8" ht="15.75">
      <c r="A1047" s="106">
        <v>40938</v>
      </c>
      <c r="B1047" s="107">
        <v>131.49</v>
      </c>
      <c r="C1047" s="52"/>
      <c r="D1047" s="52"/>
      <c r="E1047" s="52"/>
      <c r="F1047" s="52"/>
      <c r="G1047" s="52"/>
      <c r="H1047" s="52"/>
    </row>
    <row r="1048" spans="1:8" ht="15.75">
      <c r="A1048" s="106">
        <v>40939</v>
      </c>
      <c r="B1048" s="107">
        <v>131.37</v>
      </c>
      <c r="C1048" s="52"/>
      <c r="D1048" s="52"/>
      <c r="E1048" s="52"/>
      <c r="F1048" s="52"/>
      <c r="G1048" s="52"/>
      <c r="H1048" s="52"/>
    </row>
    <row r="1049" spans="1:8" ht="15.75">
      <c r="A1049" s="106">
        <v>40940</v>
      </c>
      <c r="B1049" s="107">
        <v>131.51</v>
      </c>
      <c r="C1049" s="52"/>
      <c r="D1049" s="52"/>
      <c r="E1049" s="52"/>
      <c r="F1049" s="52"/>
      <c r="G1049" s="52"/>
      <c r="H1049" s="52"/>
    </row>
    <row r="1050" spans="1:8" ht="15.75">
      <c r="A1050" s="106">
        <v>40941</v>
      </c>
      <c r="B1050" s="107">
        <v>131.88999999999999</v>
      </c>
      <c r="C1050" s="52"/>
      <c r="D1050" s="52"/>
      <c r="E1050" s="52"/>
      <c r="F1050" s="52"/>
      <c r="G1050" s="52"/>
      <c r="H1050" s="52"/>
    </row>
    <row r="1051" spans="1:8" ht="15.75">
      <c r="A1051" s="106">
        <v>40942</v>
      </c>
      <c r="B1051" s="107">
        <v>131.62</v>
      </c>
      <c r="C1051" s="52"/>
      <c r="D1051" s="52"/>
      <c r="E1051" s="52"/>
      <c r="F1051" s="52"/>
      <c r="G1051" s="52"/>
      <c r="H1051" s="52"/>
    </row>
    <row r="1052" spans="1:8" ht="15.75">
      <c r="A1052" s="106">
        <v>40945</v>
      </c>
      <c r="B1052" s="107">
        <v>131.33000000000001</v>
      </c>
      <c r="C1052" s="52"/>
      <c r="D1052" s="52"/>
      <c r="E1052" s="52"/>
      <c r="F1052" s="52"/>
      <c r="G1052" s="52"/>
      <c r="H1052" s="52"/>
    </row>
    <row r="1053" spans="1:8" ht="15.75">
      <c r="A1053" s="106">
        <v>40946</v>
      </c>
      <c r="B1053" s="107">
        <v>131.36000000000001</v>
      </c>
      <c r="C1053" s="52"/>
      <c r="D1053" s="52"/>
      <c r="E1053" s="52"/>
      <c r="F1053" s="52"/>
      <c r="G1053" s="52"/>
      <c r="H1053" s="52"/>
    </row>
    <row r="1054" spans="1:8" ht="15.75">
      <c r="A1054" s="106">
        <v>40947</v>
      </c>
      <c r="B1054" s="107">
        <v>130.56</v>
      </c>
      <c r="C1054" s="52"/>
      <c r="D1054" s="52"/>
      <c r="E1054" s="52"/>
      <c r="F1054" s="52"/>
      <c r="G1054" s="52"/>
      <c r="H1054" s="52"/>
    </row>
    <row r="1055" spans="1:8" ht="15.75">
      <c r="A1055" s="106">
        <v>40948</v>
      </c>
      <c r="B1055" s="107">
        <v>130.56</v>
      </c>
      <c r="C1055" s="52"/>
      <c r="D1055" s="52"/>
      <c r="E1055" s="52"/>
      <c r="F1055" s="52"/>
      <c r="G1055" s="52"/>
      <c r="H1055" s="52"/>
    </row>
    <row r="1056" spans="1:8" ht="15.75">
      <c r="A1056" s="106">
        <v>40949</v>
      </c>
      <c r="B1056" s="107">
        <v>130.53</v>
      </c>
      <c r="C1056" s="52"/>
      <c r="D1056" s="52"/>
      <c r="E1056" s="52"/>
      <c r="F1056" s="52"/>
      <c r="G1056" s="52"/>
      <c r="H1056" s="52"/>
    </row>
    <row r="1057" spans="1:8" ht="15.75">
      <c r="A1057" s="106">
        <v>40952</v>
      </c>
      <c r="B1057" s="107">
        <v>130.72999999999999</v>
      </c>
      <c r="C1057" s="52"/>
      <c r="D1057" s="52"/>
      <c r="E1057" s="52"/>
      <c r="F1057" s="52"/>
      <c r="G1057" s="52"/>
      <c r="H1057" s="52"/>
    </row>
    <row r="1058" spans="1:8" ht="15.75">
      <c r="A1058" s="106">
        <v>40953</v>
      </c>
      <c r="B1058" s="107">
        <v>130.69999999999999</v>
      </c>
      <c r="C1058" s="52"/>
      <c r="D1058" s="52"/>
      <c r="E1058" s="52"/>
      <c r="F1058" s="52"/>
      <c r="G1058" s="52"/>
      <c r="H1058" s="52"/>
    </row>
    <row r="1059" spans="1:8" ht="15.75">
      <c r="A1059" s="106">
        <v>40954</v>
      </c>
      <c r="B1059" s="107">
        <v>130.56</v>
      </c>
      <c r="C1059" s="52"/>
      <c r="D1059" s="52"/>
      <c r="E1059" s="52"/>
      <c r="F1059" s="52"/>
      <c r="G1059" s="52"/>
      <c r="H1059" s="52"/>
    </row>
    <row r="1060" spans="1:8" ht="15.75">
      <c r="A1060" s="106">
        <v>40955</v>
      </c>
      <c r="B1060" s="107">
        <v>131.19999999999999</v>
      </c>
      <c r="C1060" s="52"/>
      <c r="D1060" s="52"/>
      <c r="E1060" s="52"/>
      <c r="F1060" s="52"/>
      <c r="G1060" s="52"/>
      <c r="H1060" s="52"/>
    </row>
    <row r="1061" spans="1:8" ht="15.75">
      <c r="A1061" s="106">
        <v>40956</v>
      </c>
      <c r="B1061" s="107">
        <v>130.84</v>
      </c>
      <c r="C1061" s="52"/>
      <c r="D1061" s="52"/>
      <c r="E1061" s="52"/>
      <c r="F1061" s="52"/>
      <c r="G1061" s="52"/>
      <c r="H1061" s="52"/>
    </row>
    <row r="1062" spans="1:8" ht="15.75">
      <c r="A1062" s="106">
        <v>40959</v>
      </c>
      <c r="B1062" s="107">
        <v>130.44999999999999</v>
      </c>
      <c r="C1062" s="52"/>
      <c r="D1062" s="52"/>
      <c r="E1062" s="52"/>
      <c r="F1062" s="52"/>
      <c r="G1062" s="52"/>
      <c r="H1062" s="52"/>
    </row>
    <row r="1063" spans="1:8" ht="15.75">
      <c r="A1063" s="106">
        <v>40960</v>
      </c>
      <c r="B1063" s="107">
        <v>130.30000000000001</v>
      </c>
      <c r="C1063" s="52"/>
      <c r="D1063" s="52"/>
      <c r="E1063" s="52"/>
      <c r="F1063" s="52"/>
      <c r="G1063" s="52"/>
      <c r="H1063" s="52"/>
    </row>
    <row r="1064" spans="1:8" ht="15.75">
      <c r="A1064" s="106">
        <v>40961</v>
      </c>
      <c r="B1064" s="107">
        <v>130.59</v>
      </c>
      <c r="C1064" s="52"/>
      <c r="D1064" s="52"/>
      <c r="E1064" s="52"/>
      <c r="F1064" s="52"/>
      <c r="G1064" s="52"/>
      <c r="H1064" s="52"/>
    </row>
    <row r="1065" spans="1:8" ht="15.75">
      <c r="A1065" s="106">
        <v>40962</v>
      </c>
      <c r="B1065" s="107">
        <v>130.65</v>
      </c>
      <c r="C1065" s="52"/>
      <c r="D1065" s="52"/>
      <c r="E1065" s="52"/>
      <c r="F1065" s="52"/>
      <c r="G1065" s="52"/>
      <c r="H1065" s="52"/>
    </row>
    <row r="1066" spans="1:8" ht="15.75">
      <c r="A1066" s="106">
        <v>40963</v>
      </c>
      <c r="B1066" s="107">
        <v>130.94</v>
      </c>
      <c r="C1066" s="52"/>
      <c r="D1066" s="52"/>
      <c r="E1066" s="52"/>
      <c r="F1066" s="52"/>
      <c r="G1066" s="52"/>
      <c r="H1066" s="52"/>
    </row>
    <row r="1067" spans="1:8" ht="15.75">
      <c r="A1067" s="106">
        <v>40966</v>
      </c>
      <c r="B1067" s="107">
        <v>131.24</v>
      </c>
      <c r="C1067" s="52"/>
      <c r="D1067" s="52"/>
      <c r="E1067" s="52"/>
      <c r="F1067" s="52"/>
      <c r="G1067" s="52"/>
      <c r="H1067" s="52"/>
    </row>
    <row r="1068" spans="1:8" ht="15.75">
      <c r="A1068" s="106">
        <v>40967</v>
      </c>
      <c r="B1068" s="107">
        <v>131.47</v>
      </c>
      <c r="C1068" s="52"/>
      <c r="D1068" s="52"/>
      <c r="E1068" s="52"/>
      <c r="F1068" s="52"/>
      <c r="G1068" s="52"/>
      <c r="H1068" s="52"/>
    </row>
    <row r="1069" spans="1:8" ht="15.75">
      <c r="A1069" s="106">
        <v>40968</v>
      </c>
      <c r="B1069" s="107">
        <v>131.35</v>
      </c>
      <c r="C1069" s="52"/>
      <c r="D1069" s="52"/>
      <c r="E1069" s="52"/>
      <c r="F1069" s="52"/>
      <c r="G1069" s="52"/>
      <c r="H1069" s="52"/>
    </row>
    <row r="1070" spans="1:8" ht="15.75">
      <c r="A1070" s="106">
        <v>40969</v>
      </c>
      <c r="B1070" s="107">
        <v>131.13</v>
      </c>
      <c r="C1070" s="52"/>
      <c r="D1070" s="52"/>
      <c r="E1070" s="52"/>
      <c r="F1070" s="52"/>
      <c r="G1070" s="52"/>
      <c r="H1070" s="52"/>
    </row>
    <row r="1071" spans="1:8" ht="15.75">
      <c r="A1071" s="106">
        <v>40970</v>
      </c>
      <c r="B1071" s="107">
        <v>131.06</v>
      </c>
      <c r="C1071" s="52"/>
      <c r="D1071" s="52"/>
      <c r="E1071" s="52"/>
      <c r="F1071" s="52"/>
      <c r="G1071" s="52"/>
      <c r="H1071" s="52"/>
    </row>
    <row r="1072" spans="1:8" ht="15.75">
      <c r="A1072" s="106">
        <v>40973</v>
      </c>
      <c r="B1072" s="107">
        <v>131.22999999999999</v>
      </c>
      <c r="C1072" s="52"/>
      <c r="D1072" s="52"/>
      <c r="E1072" s="52"/>
      <c r="F1072" s="52"/>
      <c r="G1072" s="52"/>
      <c r="H1072" s="52"/>
    </row>
    <row r="1073" spans="1:8" ht="15.75">
      <c r="A1073" s="106">
        <v>40974</v>
      </c>
      <c r="B1073" s="107">
        <v>131.33000000000001</v>
      </c>
      <c r="C1073" s="52"/>
      <c r="D1073" s="52"/>
      <c r="E1073" s="52"/>
      <c r="F1073" s="52"/>
      <c r="G1073" s="52"/>
      <c r="H1073" s="52"/>
    </row>
    <row r="1074" spans="1:8" ht="15.75">
      <c r="A1074" s="106">
        <v>40975</v>
      </c>
      <c r="B1074" s="107">
        <v>131.16999999999999</v>
      </c>
      <c r="C1074" s="52"/>
      <c r="D1074" s="52"/>
      <c r="E1074" s="52"/>
      <c r="F1074" s="52"/>
      <c r="G1074" s="52"/>
      <c r="H1074" s="52"/>
    </row>
    <row r="1075" spans="1:8" ht="15.75">
      <c r="A1075" s="106">
        <v>40976</v>
      </c>
      <c r="B1075" s="107">
        <v>131.13999999999999</v>
      </c>
      <c r="C1075" s="52"/>
      <c r="D1075" s="52"/>
      <c r="E1075" s="52"/>
      <c r="F1075" s="52"/>
      <c r="G1075" s="52"/>
      <c r="H1075" s="52"/>
    </row>
    <row r="1076" spans="1:8" ht="15.75">
      <c r="A1076" s="106">
        <v>40977</v>
      </c>
      <c r="B1076" s="107">
        <v>131.22999999999999</v>
      </c>
      <c r="C1076" s="52"/>
      <c r="D1076" s="52"/>
      <c r="E1076" s="52"/>
      <c r="F1076" s="52"/>
      <c r="G1076" s="52"/>
      <c r="H1076" s="52"/>
    </row>
    <row r="1077" spans="1:8" ht="15.75">
      <c r="A1077" s="106">
        <v>40980</v>
      </c>
      <c r="B1077" s="107">
        <v>131.38</v>
      </c>
      <c r="C1077" s="52"/>
      <c r="D1077" s="52"/>
      <c r="E1077" s="52"/>
      <c r="F1077" s="52"/>
      <c r="G1077" s="52"/>
      <c r="H1077" s="52"/>
    </row>
    <row r="1078" spans="1:8" ht="15.75">
      <c r="A1078" s="106">
        <v>40981</v>
      </c>
      <c r="B1078" s="107">
        <v>131.62</v>
      </c>
      <c r="C1078" s="52"/>
      <c r="D1078" s="52"/>
      <c r="E1078" s="52"/>
      <c r="F1078" s="52"/>
      <c r="G1078" s="52"/>
      <c r="H1078" s="52"/>
    </row>
    <row r="1079" spans="1:8" ht="15.75">
      <c r="A1079" s="106">
        <v>40982</v>
      </c>
      <c r="B1079" s="107">
        <v>130.69</v>
      </c>
      <c r="C1079" s="52"/>
      <c r="D1079" s="52"/>
      <c r="E1079" s="52"/>
      <c r="F1079" s="52"/>
      <c r="G1079" s="52"/>
      <c r="H1079" s="52"/>
    </row>
    <row r="1080" spans="1:8" ht="15.75">
      <c r="A1080" s="106">
        <v>40983</v>
      </c>
      <c r="B1080" s="107">
        <v>130.30000000000001</v>
      </c>
      <c r="C1080" s="52"/>
      <c r="D1080" s="52"/>
      <c r="E1080" s="52"/>
      <c r="F1080" s="52"/>
      <c r="G1080" s="52"/>
      <c r="H1080" s="52"/>
    </row>
    <row r="1081" spans="1:8" ht="15.75">
      <c r="A1081" s="106">
        <v>40984</v>
      </c>
      <c r="B1081" s="107">
        <v>130.16</v>
      </c>
      <c r="C1081" s="52"/>
      <c r="D1081" s="52"/>
      <c r="E1081" s="52"/>
      <c r="F1081" s="52"/>
      <c r="G1081" s="52"/>
      <c r="H1081" s="52"/>
    </row>
    <row r="1082" spans="1:8" ht="15.75">
      <c r="A1082" s="106">
        <v>40987</v>
      </c>
      <c r="B1082" s="107">
        <v>129.9</v>
      </c>
      <c r="C1082" s="52"/>
      <c r="D1082" s="52"/>
      <c r="E1082" s="52"/>
      <c r="F1082" s="52"/>
      <c r="G1082" s="52"/>
      <c r="H1082" s="52"/>
    </row>
    <row r="1083" spans="1:8" ht="15.75">
      <c r="A1083" s="106">
        <v>40988</v>
      </c>
      <c r="B1083" s="107">
        <v>129.86000000000001</v>
      </c>
      <c r="C1083" s="52"/>
      <c r="D1083" s="52"/>
      <c r="E1083" s="52"/>
      <c r="F1083" s="52"/>
      <c r="G1083" s="52"/>
      <c r="H1083" s="52"/>
    </row>
    <row r="1084" spans="1:8" ht="15.75">
      <c r="A1084" s="106">
        <v>40989</v>
      </c>
      <c r="B1084" s="107">
        <v>129.72</v>
      </c>
      <c r="C1084" s="52"/>
      <c r="D1084" s="52"/>
      <c r="E1084" s="52"/>
      <c r="F1084" s="52"/>
      <c r="G1084" s="52"/>
      <c r="H1084" s="52"/>
    </row>
    <row r="1085" spans="1:8" ht="15.75">
      <c r="A1085" s="106">
        <v>40990</v>
      </c>
      <c r="B1085" s="107">
        <v>130.87</v>
      </c>
      <c r="C1085" s="52"/>
      <c r="D1085" s="52"/>
      <c r="E1085" s="52"/>
      <c r="F1085" s="52"/>
      <c r="G1085" s="52"/>
      <c r="H1085" s="52"/>
    </row>
    <row r="1086" spans="1:8" ht="15.75">
      <c r="A1086" s="106">
        <v>40991</v>
      </c>
      <c r="B1086" s="107">
        <v>131.08000000000001</v>
      </c>
      <c r="C1086" s="52"/>
      <c r="D1086" s="52"/>
      <c r="E1086" s="52"/>
      <c r="F1086" s="52"/>
      <c r="G1086" s="52"/>
      <c r="H1086" s="52"/>
    </row>
    <row r="1087" spans="1:8" ht="15.75">
      <c r="A1087" s="106">
        <v>40994</v>
      </c>
      <c r="B1087" s="107">
        <v>131.13999999999999</v>
      </c>
      <c r="C1087" s="52"/>
      <c r="D1087" s="52"/>
      <c r="E1087" s="52"/>
      <c r="F1087" s="52"/>
      <c r="G1087" s="52"/>
      <c r="H1087" s="52"/>
    </row>
    <row r="1088" spans="1:8" ht="15.75">
      <c r="A1088" s="106">
        <v>40995</v>
      </c>
      <c r="B1088" s="107">
        <v>130.86000000000001</v>
      </c>
      <c r="C1088" s="52"/>
      <c r="D1088" s="52"/>
      <c r="E1088" s="52"/>
      <c r="F1088" s="52"/>
      <c r="G1088" s="52"/>
      <c r="H1088" s="52"/>
    </row>
    <row r="1089" spans="1:8" ht="15.75">
      <c r="A1089" s="106">
        <v>40996</v>
      </c>
      <c r="B1089" s="107">
        <v>131.03</v>
      </c>
      <c r="C1089" s="52"/>
      <c r="D1089" s="52"/>
      <c r="E1089" s="52"/>
      <c r="F1089" s="52"/>
      <c r="G1089" s="52"/>
      <c r="H1089" s="52"/>
    </row>
    <row r="1090" spans="1:8" ht="15.75">
      <c r="A1090" s="106">
        <v>40997</v>
      </c>
      <c r="B1090" s="107">
        <v>131.35</v>
      </c>
      <c r="C1090" s="52"/>
      <c r="D1090" s="52"/>
      <c r="E1090" s="52"/>
      <c r="F1090" s="52"/>
      <c r="G1090" s="52"/>
      <c r="H1090" s="52"/>
    </row>
    <row r="1091" spans="1:8" ht="15.75">
      <c r="A1091" s="106">
        <v>40998</v>
      </c>
      <c r="B1091" s="107">
        <v>131.43</v>
      </c>
      <c r="C1091" s="52"/>
      <c r="D1091" s="52"/>
      <c r="E1091" s="52"/>
      <c r="F1091" s="52"/>
      <c r="G1091" s="52"/>
      <c r="H1091" s="52"/>
    </row>
    <row r="1092" spans="1:8" ht="15.75">
      <c r="A1092" s="106">
        <v>41001</v>
      </c>
      <c r="B1092" s="107">
        <v>131.16999999999999</v>
      </c>
      <c r="C1092" s="52"/>
      <c r="D1092" s="52"/>
      <c r="E1092" s="52"/>
      <c r="F1092" s="52"/>
      <c r="G1092" s="52"/>
      <c r="H1092" s="52"/>
    </row>
    <row r="1093" spans="1:8" ht="15.75">
      <c r="A1093" s="106">
        <v>41002</v>
      </c>
      <c r="B1093" s="107">
        <v>131.33000000000001</v>
      </c>
      <c r="C1093" s="52"/>
      <c r="D1093" s="52"/>
      <c r="E1093" s="52"/>
      <c r="F1093" s="52"/>
      <c r="G1093" s="52"/>
      <c r="H1093" s="52"/>
    </row>
    <row r="1094" spans="1:8" ht="15.75">
      <c r="A1094" s="106">
        <v>41003</v>
      </c>
      <c r="B1094" s="107">
        <v>131.30000000000001</v>
      </c>
      <c r="C1094" s="52"/>
      <c r="D1094" s="52"/>
      <c r="E1094" s="52"/>
      <c r="F1094" s="52"/>
      <c r="G1094" s="52"/>
      <c r="H1094" s="52"/>
    </row>
    <row r="1095" spans="1:8" ht="15.75">
      <c r="A1095" s="106">
        <v>41004</v>
      </c>
      <c r="B1095" s="107">
        <v>131.96</v>
      </c>
      <c r="C1095" s="52"/>
      <c r="D1095" s="52"/>
      <c r="E1095" s="52"/>
      <c r="F1095" s="52"/>
      <c r="G1095" s="52"/>
      <c r="H1095" s="52"/>
    </row>
    <row r="1096" spans="1:8" ht="15.75">
      <c r="A1096" s="106">
        <v>41009</v>
      </c>
      <c r="B1096" s="107">
        <v>132.1</v>
      </c>
      <c r="C1096" s="52"/>
      <c r="D1096" s="52"/>
      <c r="E1096" s="52"/>
      <c r="F1096" s="52"/>
      <c r="G1096" s="52"/>
      <c r="H1096" s="52"/>
    </row>
    <row r="1097" spans="1:8" ht="15.75">
      <c r="A1097" s="106">
        <v>41010</v>
      </c>
      <c r="B1097" s="107">
        <v>132.27000000000001</v>
      </c>
      <c r="C1097" s="52"/>
      <c r="D1097" s="52"/>
      <c r="E1097" s="52"/>
      <c r="F1097" s="52"/>
      <c r="G1097" s="52"/>
      <c r="H1097" s="52"/>
    </row>
    <row r="1098" spans="1:8" ht="15.75">
      <c r="A1098" s="106">
        <v>41011</v>
      </c>
      <c r="B1098" s="107">
        <v>132.13999999999999</v>
      </c>
      <c r="C1098" s="52"/>
      <c r="D1098" s="52"/>
      <c r="E1098" s="52"/>
      <c r="F1098" s="52"/>
      <c r="G1098" s="52"/>
      <c r="H1098" s="52"/>
    </row>
    <row r="1099" spans="1:8" ht="15.75">
      <c r="A1099" s="106">
        <v>41012</v>
      </c>
      <c r="B1099" s="107">
        <v>132.18</v>
      </c>
      <c r="C1099" s="52"/>
      <c r="D1099" s="52"/>
      <c r="E1099" s="52"/>
      <c r="F1099" s="52"/>
      <c r="G1099" s="52"/>
      <c r="H1099" s="52"/>
    </row>
    <row r="1100" spans="1:8" ht="15.75">
      <c r="A1100" s="106">
        <v>41015</v>
      </c>
      <c r="B1100" s="107">
        <v>132.13999999999999</v>
      </c>
      <c r="C1100" s="52"/>
      <c r="D1100" s="52"/>
      <c r="E1100" s="52"/>
      <c r="F1100" s="52"/>
      <c r="G1100" s="52"/>
      <c r="H1100" s="52"/>
    </row>
    <row r="1101" spans="1:8" ht="15.75">
      <c r="A1101" s="106">
        <v>41016</v>
      </c>
      <c r="B1101" s="107">
        <v>132.07</v>
      </c>
      <c r="C1101" s="52"/>
      <c r="D1101" s="52"/>
      <c r="E1101" s="52"/>
      <c r="F1101" s="52"/>
      <c r="G1101" s="52"/>
      <c r="H1101" s="52"/>
    </row>
    <row r="1102" spans="1:8" ht="15.75">
      <c r="A1102" s="106">
        <v>41017</v>
      </c>
      <c r="B1102" s="107">
        <v>132.04</v>
      </c>
      <c r="C1102" s="52"/>
      <c r="D1102" s="52"/>
      <c r="E1102" s="52"/>
      <c r="F1102" s="52"/>
      <c r="G1102" s="52"/>
      <c r="H1102" s="52"/>
    </row>
    <row r="1103" spans="1:8" ht="15.75">
      <c r="A1103" s="106">
        <v>41018</v>
      </c>
      <c r="B1103" s="107">
        <v>132.09</v>
      </c>
      <c r="C1103" s="52"/>
      <c r="D1103" s="52"/>
      <c r="E1103" s="52"/>
      <c r="F1103" s="52"/>
      <c r="G1103" s="52"/>
      <c r="H1103" s="52"/>
    </row>
    <row r="1104" spans="1:8" ht="15.75">
      <c r="A1104" s="106">
        <v>41019</v>
      </c>
      <c r="B1104" s="107">
        <v>132.28</v>
      </c>
      <c r="C1104" s="52"/>
      <c r="D1104" s="52"/>
      <c r="E1104" s="52"/>
      <c r="F1104" s="52"/>
      <c r="G1104" s="52"/>
      <c r="H1104" s="52"/>
    </row>
    <row r="1105" spans="1:8" ht="15.75">
      <c r="A1105" s="106">
        <v>41022</v>
      </c>
      <c r="B1105" s="107">
        <v>132.76</v>
      </c>
      <c r="C1105" s="52"/>
      <c r="D1105" s="52"/>
      <c r="E1105" s="52"/>
      <c r="F1105" s="52"/>
      <c r="G1105" s="52"/>
      <c r="H1105" s="52"/>
    </row>
    <row r="1106" spans="1:8" ht="15.75">
      <c r="A1106" s="106">
        <v>41023</v>
      </c>
      <c r="B1106" s="107">
        <v>132.58000000000001</v>
      </c>
      <c r="C1106" s="52"/>
      <c r="D1106" s="52"/>
      <c r="E1106" s="52"/>
      <c r="F1106" s="52"/>
      <c r="G1106" s="52"/>
      <c r="H1106" s="52"/>
    </row>
    <row r="1107" spans="1:8" ht="15.75">
      <c r="A1107" s="106">
        <v>41024</v>
      </c>
      <c r="B1107" s="107">
        <v>132.35</v>
      </c>
      <c r="C1107" s="52"/>
      <c r="D1107" s="52"/>
      <c r="E1107" s="52"/>
      <c r="F1107" s="52"/>
      <c r="G1107" s="52"/>
      <c r="H1107" s="52"/>
    </row>
    <row r="1108" spans="1:8" ht="15.75">
      <c r="A1108" s="106">
        <v>41025</v>
      </c>
      <c r="B1108" s="107">
        <v>132.52000000000001</v>
      </c>
      <c r="C1108" s="52"/>
      <c r="D1108" s="52"/>
      <c r="E1108" s="52"/>
      <c r="F1108" s="52"/>
      <c r="G1108" s="52"/>
      <c r="H1108" s="52"/>
    </row>
    <row r="1109" spans="1:8" ht="15.75">
      <c r="A1109" s="106">
        <v>41026</v>
      </c>
      <c r="B1109" s="107">
        <v>132.77000000000001</v>
      </c>
      <c r="C1109" s="52"/>
      <c r="D1109" s="52"/>
      <c r="E1109" s="52"/>
      <c r="F1109" s="52"/>
      <c r="G1109" s="52"/>
      <c r="H1109" s="52"/>
    </row>
    <row r="1110" spans="1:8" ht="15.75">
      <c r="A1110" s="106">
        <v>41029</v>
      </c>
      <c r="B1110" s="107">
        <v>132.69999999999999</v>
      </c>
      <c r="C1110" s="52"/>
      <c r="D1110" s="52"/>
      <c r="E1110" s="52"/>
      <c r="F1110" s="52"/>
      <c r="G1110" s="52"/>
      <c r="H1110" s="52"/>
    </row>
    <row r="1111" spans="1:8" ht="15.75">
      <c r="A1111" s="106">
        <v>41031</v>
      </c>
      <c r="B1111" s="107">
        <v>132.82</v>
      </c>
      <c r="C1111" s="52"/>
      <c r="D1111" s="52"/>
      <c r="E1111" s="52"/>
      <c r="F1111" s="52"/>
      <c r="G1111" s="52"/>
      <c r="H1111" s="52"/>
    </row>
    <row r="1112" spans="1:8" ht="15.75">
      <c r="A1112" s="106">
        <v>41032</v>
      </c>
      <c r="B1112" s="107">
        <v>133.04</v>
      </c>
      <c r="C1112" s="52"/>
      <c r="D1112" s="52"/>
      <c r="E1112" s="52"/>
      <c r="F1112" s="52"/>
      <c r="G1112" s="52"/>
      <c r="H1112" s="52"/>
    </row>
    <row r="1113" spans="1:8" ht="15.75">
      <c r="A1113" s="106">
        <v>41033</v>
      </c>
      <c r="B1113" s="107">
        <v>133.04</v>
      </c>
      <c r="C1113" s="52"/>
      <c r="D1113" s="52"/>
      <c r="E1113" s="52"/>
      <c r="F1113" s="52"/>
      <c r="G1113" s="52"/>
      <c r="H1113" s="52"/>
    </row>
    <row r="1114" spans="1:8" ht="15.75">
      <c r="A1114" s="106">
        <v>41036</v>
      </c>
      <c r="B1114" s="107">
        <v>133.35</v>
      </c>
      <c r="C1114" s="52"/>
      <c r="D1114" s="52"/>
      <c r="E1114" s="52"/>
      <c r="F1114" s="52"/>
      <c r="G1114" s="52"/>
      <c r="H1114" s="52"/>
    </row>
    <row r="1115" spans="1:8" ht="15.75">
      <c r="A1115" s="106">
        <v>41037</v>
      </c>
      <c r="B1115" s="107">
        <v>133.32</v>
      </c>
      <c r="C1115" s="52"/>
      <c r="D1115" s="52"/>
      <c r="E1115" s="52"/>
      <c r="F1115" s="52"/>
      <c r="G1115" s="52"/>
      <c r="H1115" s="52"/>
    </row>
    <row r="1116" spans="1:8" ht="15.75">
      <c r="A1116" s="106">
        <v>41038</v>
      </c>
      <c r="B1116" s="107">
        <v>133.44999999999999</v>
      </c>
      <c r="C1116" s="52"/>
      <c r="D1116" s="52"/>
      <c r="E1116" s="52"/>
      <c r="F1116" s="52"/>
      <c r="G1116" s="52"/>
      <c r="H1116" s="52"/>
    </row>
    <row r="1117" spans="1:8" ht="15.75">
      <c r="A1117" s="106">
        <v>41039</v>
      </c>
      <c r="B1117" s="107">
        <v>133.68</v>
      </c>
      <c r="C1117" s="52"/>
      <c r="D1117" s="52"/>
      <c r="E1117" s="52"/>
      <c r="F1117" s="52"/>
      <c r="G1117" s="52"/>
      <c r="H1117" s="52"/>
    </row>
    <row r="1118" spans="1:8" ht="15.75">
      <c r="A1118" s="106">
        <v>41040</v>
      </c>
      <c r="B1118" s="107">
        <v>133.58000000000001</v>
      </c>
      <c r="C1118" s="52"/>
      <c r="D1118" s="52"/>
      <c r="E1118" s="52"/>
      <c r="F1118" s="52"/>
      <c r="G1118" s="52"/>
      <c r="H1118" s="52"/>
    </row>
    <row r="1119" spans="1:8" ht="15.75">
      <c r="A1119" s="106">
        <v>41043</v>
      </c>
      <c r="B1119" s="107">
        <v>133.86000000000001</v>
      </c>
      <c r="C1119" s="52"/>
      <c r="D1119" s="52"/>
      <c r="E1119" s="52"/>
      <c r="F1119" s="52"/>
      <c r="G1119" s="52"/>
      <c r="H1119" s="52"/>
    </row>
    <row r="1120" spans="1:8" ht="15.75">
      <c r="A1120" s="106">
        <v>41044</v>
      </c>
      <c r="B1120" s="107">
        <v>133.66999999999999</v>
      </c>
      <c r="C1120" s="52"/>
      <c r="D1120" s="52"/>
      <c r="E1120" s="52"/>
      <c r="F1120" s="52"/>
      <c r="G1120" s="52"/>
      <c r="H1120" s="52"/>
    </row>
    <row r="1121" spans="1:8" ht="15.75">
      <c r="A1121" s="106">
        <v>41045</v>
      </c>
      <c r="B1121" s="107">
        <v>133.69</v>
      </c>
      <c r="C1121" s="52"/>
      <c r="D1121" s="52"/>
      <c r="E1121" s="52"/>
      <c r="F1121" s="52"/>
      <c r="G1121" s="52"/>
      <c r="H1121" s="52"/>
    </row>
    <row r="1122" spans="1:8" ht="15.75">
      <c r="A1122" s="106">
        <v>41046</v>
      </c>
      <c r="B1122" s="107">
        <v>133.71</v>
      </c>
      <c r="C1122" s="52"/>
      <c r="D1122" s="52"/>
      <c r="E1122" s="52"/>
      <c r="F1122" s="52"/>
      <c r="G1122" s="52"/>
      <c r="H1122" s="52"/>
    </row>
    <row r="1123" spans="1:8" ht="15.75">
      <c r="A1123" s="106">
        <v>41047</v>
      </c>
      <c r="B1123" s="107">
        <v>133.93</v>
      </c>
      <c r="C1123" s="52"/>
      <c r="D1123" s="52"/>
      <c r="E1123" s="52"/>
      <c r="F1123" s="52"/>
      <c r="G1123" s="52"/>
      <c r="H1123" s="52"/>
    </row>
    <row r="1124" spans="1:8" ht="15.75">
      <c r="A1124" s="106">
        <v>41050</v>
      </c>
      <c r="B1124" s="107">
        <v>133.66</v>
      </c>
      <c r="C1124" s="52"/>
      <c r="D1124" s="52"/>
      <c r="E1124" s="52"/>
      <c r="F1124" s="52"/>
      <c r="G1124" s="52"/>
      <c r="H1124" s="52"/>
    </row>
    <row r="1125" spans="1:8" ht="15.75">
      <c r="A1125" s="106">
        <v>41051</v>
      </c>
      <c r="B1125" s="107">
        <v>133.58000000000001</v>
      </c>
      <c r="C1125" s="52"/>
      <c r="D1125" s="52"/>
      <c r="E1125" s="52"/>
      <c r="F1125" s="52"/>
      <c r="G1125" s="52"/>
      <c r="H1125" s="52"/>
    </row>
    <row r="1126" spans="1:8" ht="15.75">
      <c r="A1126" s="106">
        <v>41052</v>
      </c>
      <c r="B1126" s="107">
        <v>133.86000000000001</v>
      </c>
      <c r="C1126" s="52"/>
      <c r="D1126" s="52"/>
      <c r="E1126" s="52"/>
      <c r="F1126" s="52"/>
      <c r="G1126" s="52"/>
      <c r="H1126" s="52"/>
    </row>
    <row r="1127" spans="1:8" ht="15.75">
      <c r="A1127" s="106">
        <v>41053</v>
      </c>
      <c r="B1127" s="107">
        <v>134.16999999999999</v>
      </c>
      <c r="C1127" s="52"/>
      <c r="D1127" s="52"/>
      <c r="E1127" s="52"/>
      <c r="F1127" s="52"/>
      <c r="G1127" s="52"/>
      <c r="H1127" s="52"/>
    </row>
    <row r="1128" spans="1:8" ht="15.75">
      <c r="A1128" s="106">
        <v>41054</v>
      </c>
      <c r="B1128" s="107">
        <v>133.97</v>
      </c>
      <c r="C1128" s="52"/>
      <c r="D1128" s="52"/>
      <c r="E1128" s="52"/>
      <c r="F1128" s="52"/>
      <c r="G1128" s="52"/>
      <c r="H1128" s="52"/>
    </row>
    <row r="1129" spans="1:8" ht="15.75">
      <c r="A1129" s="106">
        <v>41057</v>
      </c>
      <c r="B1129" s="107">
        <v>134.19</v>
      </c>
      <c r="C1129" s="52"/>
      <c r="D1129" s="52"/>
      <c r="E1129" s="52"/>
      <c r="F1129" s="52"/>
      <c r="G1129" s="52"/>
      <c r="H1129" s="52"/>
    </row>
    <row r="1130" spans="1:8" ht="15.75">
      <c r="A1130" s="106">
        <v>41058</v>
      </c>
      <c r="B1130" s="107">
        <v>134.25</v>
      </c>
      <c r="C1130" s="52"/>
      <c r="D1130" s="52"/>
      <c r="E1130" s="52"/>
      <c r="F1130" s="52"/>
      <c r="G1130" s="52"/>
      <c r="H1130" s="52"/>
    </row>
    <row r="1131" spans="1:8" ht="15.75">
      <c r="A1131" s="106">
        <v>41059</v>
      </c>
      <c r="B1131" s="107">
        <v>134.79</v>
      </c>
      <c r="C1131" s="52"/>
      <c r="D1131" s="52"/>
      <c r="E1131" s="52"/>
      <c r="F1131" s="52"/>
      <c r="G1131" s="52"/>
      <c r="H1131" s="52"/>
    </row>
    <row r="1132" spans="1:8" ht="15.75">
      <c r="A1132" s="106">
        <v>41060</v>
      </c>
      <c r="B1132" s="107">
        <v>134.80000000000001</v>
      </c>
      <c r="C1132" s="52"/>
      <c r="D1132" s="52"/>
      <c r="E1132" s="52"/>
      <c r="F1132" s="52"/>
      <c r="G1132" s="52"/>
      <c r="H1132" s="52"/>
    </row>
    <row r="1133" spans="1:8" ht="15.75">
      <c r="A1133" s="106">
        <v>41061</v>
      </c>
      <c r="B1133" s="107">
        <v>135.30000000000001</v>
      </c>
      <c r="C1133" s="52"/>
      <c r="D1133" s="52"/>
      <c r="E1133" s="52"/>
      <c r="F1133" s="52"/>
      <c r="G1133" s="52"/>
      <c r="H1133" s="52"/>
    </row>
    <row r="1134" spans="1:8" ht="15.75">
      <c r="A1134" s="106">
        <v>41064</v>
      </c>
      <c r="B1134" s="107">
        <v>134.96</v>
      </c>
      <c r="C1134" s="52"/>
      <c r="D1134" s="52"/>
      <c r="E1134" s="52"/>
      <c r="F1134" s="52"/>
      <c r="G1134" s="52"/>
      <c r="H1134" s="52"/>
    </row>
    <row r="1135" spans="1:8" ht="15.75">
      <c r="A1135" s="106">
        <v>41065</v>
      </c>
      <c r="B1135" s="107">
        <v>135.08000000000001</v>
      </c>
      <c r="C1135" s="52"/>
      <c r="D1135" s="52"/>
      <c r="E1135" s="52"/>
      <c r="F1135" s="52"/>
      <c r="G1135" s="52"/>
      <c r="H1135" s="52"/>
    </row>
    <row r="1136" spans="1:8" ht="15.75">
      <c r="A1136" s="106">
        <v>41066</v>
      </c>
      <c r="B1136" s="107">
        <v>134.66</v>
      </c>
      <c r="C1136" s="52"/>
      <c r="D1136" s="52"/>
      <c r="E1136" s="52"/>
      <c r="F1136" s="52"/>
      <c r="G1136" s="52"/>
      <c r="H1136" s="52"/>
    </row>
    <row r="1137" spans="1:8" ht="15.75">
      <c r="A1137" s="106">
        <v>41067</v>
      </c>
      <c r="B1137" s="107">
        <v>134.13</v>
      </c>
      <c r="C1137" s="52"/>
      <c r="D1137" s="52"/>
      <c r="E1137" s="52"/>
      <c r="F1137" s="52"/>
      <c r="G1137" s="52"/>
      <c r="H1137" s="52"/>
    </row>
    <row r="1138" spans="1:8" ht="15.75">
      <c r="A1138" s="106">
        <v>41068</v>
      </c>
      <c r="B1138" s="107">
        <v>134.46</v>
      </c>
      <c r="C1138" s="52"/>
      <c r="D1138" s="52"/>
      <c r="E1138" s="52"/>
      <c r="F1138" s="52"/>
      <c r="G1138" s="52"/>
      <c r="H1138" s="52"/>
    </row>
    <row r="1139" spans="1:8" ht="15.75">
      <c r="A1139" s="106">
        <v>41071</v>
      </c>
      <c r="B1139" s="107">
        <v>133.99</v>
      </c>
      <c r="C1139" s="52"/>
      <c r="D1139" s="52"/>
      <c r="E1139" s="52"/>
      <c r="F1139" s="52"/>
      <c r="G1139" s="52"/>
      <c r="H1139" s="52"/>
    </row>
    <row r="1140" spans="1:8" ht="15.75">
      <c r="A1140" s="106">
        <v>41072</v>
      </c>
      <c r="B1140" s="107">
        <v>134.07</v>
      </c>
      <c r="C1140" s="52"/>
      <c r="D1140" s="52"/>
      <c r="E1140" s="52"/>
      <c r="F1140" s="52"/>
      <c r="G1140" s="52"/>
      <c r="H1140" s="52"/>
    </row>
    <row r="1141" spans="1:8" ht="15.75">
      <c r="A1141" s="106">
        <v>41073</v>
      </c>
      <c r="B1141" s="107">
        <v>133.26</v>
      </c>
      <c r="C1141" s="52"/>
      <c r="D1141" s="52"/>
      <c r="E1141" s="52"/>
      <c r="F1141" s="52"/>
      <c r="G1141" s="52"/>
      <c r="H1141" s="52"/>
    </row>
    <row r="1142" spans="1:8" ht="15.75">
      <c r="A1142" s="106">
        <v>41074</v>
      </c>
      <c r="B1142" s="107">
        <v>133.47</v>
      </c>
      <c r="C1142" s="52"/>
      <c r="D1142" s="52"/>
      <c r="E1142" s="52"/>
      <c r="F1142" s="52"/>
      <c r="G1142" s="52"/>
      <c r="H1142" s="52"/>
    </row>
    <row r="1143" spans="1:8" ht="15.75">
      <c r="A1143" s="106">
        <v>41075</v>
      </c>
      <c r="B1143" s="107">
        <v>133.44</v>
      </c>
      <c r="C1143" s="52"/>
      <c r="D1143" s="52"/>
      <c r="E1143" s="52"/>
      <c r="F1143" s="52"/>
      <c r="G1143" s="52"/>
      <c r="H1143" s="52"/>
    </row>
    <row r="1144" spans="1:8" ht="15.75">
      <c r="A1144" s="106">
        <v>41078</v>
      </c>
      <c r="B1144" s="107">
        <v>133.79</v>
      </c>
      <c r="C1144" s="52"/>
      <c r="D1144" s="52"/>
      <c r="E1144" s="52"/>
      <c r="F1144" s="52"/>
      <c r="G1144" s="52"/>
      <c r="H1144" s="52"/>
    </row>
    <row r="1145" spans="1:8" ht="15.75">
      <c r="A1145" s="106">
        <v>41079</v>
      </c>
      <c r="B1145" s="107">
        <v>133.44</v>
      </c>
      <c r="C1145" s="52"/>
      <c r="D1145" s="52"/>
      <c r="E1145" s="52"/>
      <c r="F1145" s="52"/>
      <c r="G1145" s="52"/>
      <c r="H1145" s="52"/>
    </row>
    <row r="1146" spans="1:8" ht="15.75">
      <c r="A1146" s="106">
        <v>41080</v>
      </c>
      <c r="B1146" s="107">
        <v>132.82</v>
      </c>
      <c r="C1146" s="52"/>
      <c r="D1146" s="52"/>
      <c r="E1146" s="52"/>
      <c r="F1146" s="52"/>
      <c r="G1146" s="52"/>
      <c r="H1146" s="52"/>
    </row>
    <row r="1147" spans="1:8" ht="15.75">
      <c r="A1147" s="106">
        <v>41081</v>
      </c>
      <c r="B1147" s="107">
        <v>132.57</v>
      </c>
      <c r="C1147" s="52"/>
      <c r="D1147" s="52"/>
      <c r="E1147" s="52"/>
      <c r="F1147" s="52"/>
      <c r="G1147" s="52"/>
      <c r="H1147" s="52"/>
    </row>
    <row r="1148" spans="1:8" ht="15.75">
      <c r="A1148" s="106">
        <v>41082</v>
      </c>
      <c r="B1148" s="107">
        <v>133.19</v>
      </c>
      <c r="C1148" s="52"/>
      <c r="D1148" s="52"/>
      <c r="E1148" s="52"/>
      <c r="F1148" s="52"/>
      <c r="G1148" s="52"/>
      <c r="H1148" s="52"/>
    </row>
    <row r="1149" spans="1:8" ht="15.75">
      <c r="A1149" s="106">
        <v>41085</v>
      </c>
      <c r="B1149" s="107">
        <v>133.41999999999999</v>
      </c>
      <c r="C1149" s="52"/>
      <c r="D1149" s="52"/>
      <c r="E1149" s="52"/>
      <c r="F1149" s="52"/>
      <c r="G1149" s="52"/>
      <c r="H1149" s="52"/>
    </row>
    <row r="1150" spans="1:8" ht="15.75">
      <c r="A1150" s="106">
        <v>41086</v>
      </c>
      <c r="B1150" s="107">
        <v>133.41</v>
      </c>
      <c r="C1150" s="52"/>
      <c r="D1150" s="52"/>
      <c r="E1150" s="52"/>
      <c r="F1150" s="52"/>
      <c r="G1150" s="52"/>
      <c r="H1150" s="52"/>
    </row>
    <row r="1151" spans="1:8" ht="15.75">
      <c r="A1151" s="106">
        <v>41087</v>
      </c>
      <c r="B1151" s="107">
        <v>133.30000000000001</v>
      </c>
      <c r="C1151" s="52"/>
      <c r="D1151" s="52"/>
      <c r="E1151" s="52"/>
      <c r="F1151" s="52"/>
      <c r="G1151" s="52"/>
      <c r="H1151" s="52"/>
    </row>
    <row r="1152" spans="1:8" ht="15.75">
      <c r="A1152" s="106">
        <v>41088</v>
      </c>
      <c r="B1152" s="107">
        <v>133.22999999999999</v>
      </c>
      <c r="C1152" s="52"/>
      <c r="D1152" s="52"/>
      <c r="E1152" s="52"/>
      <c r="F1152" s="52"/>
      <c r="G1152" s="52"/>
      <c r="H1152" s="52"/>
    </row>
    <row r="1153" spans="1:8" ht="15.75">
      <c r="A1153" s="106">
        <v>41089</v>
      </c>
      <c r="B1153" s="107">
        <v>132.79</v>
      </c>
      <c r="C1153" s="52"/>
      <c r="D1153" s="52"/>
      <c r="E1153" s="52"/>
      <c r="F1153" s="52"/>
      <c r="G1153" s="52"/>
      <c r="H1153" s="52"/>
    </row>
    <row r="1154" spans="1:8" ht="15.75">
      <c r="A1154" s="106">
        <v>41092</v>
      </c>
      <c r="B1154" s="107">
        <v>133.44</v>
      </c>
      <c r="C1154" s="52"/>
      <c r="D1154" s="52"/>
      <c r="E1154" s="52"/>
      <c r="F1154" s="52"/>
      <c r="G1154" s="52"/>
      <c r="H1154" s="52"/>
    </row>
    <row r="1155" spans="1:8" ht="15.75">
      <c r="A1155" s="106">
        <v>41093</v>
      </c>
      <c r="B1155" s="107">
        <v>133.33000000000001</v>
      </c>
      <c r="C1155" s="52"/>
      <c r="D1155" s="52"/>
      <c r="E1155" s="52"/>
      <c r="F1155" s="52"/>
      <c r="G1155" s="52"/>
      <c r="H1155" s="52"/>
    </row>
    <row r="1156" spans="1:8" ht="15.75">
      <c r="A1156" s="106">
        <v>41094</v>
      </c>
      <c r="B1156" s="107">
        <v>133.69</v>
      </c>
      <c r="C1156" s="52"/>
      <c r="D1156" s="52"/>
      <c r="E1156" s="52"/>
      <c r="F1156" s="52"/>
      <c r="G1156" s="52"/>
      <c r="H1156" s="52"/>
    </row>
    <row r="1157" spans="1:8" ht="15.75">
      <c r="A1157" s="106">
        <v>41095</v>
      </c>
      <c r="B1157" s="107">
        <v>133.83000000000001</v>
      </c>
      <c r="C1157" s="52"/>
      <c r="D1157" s="52"/>
      <c r="E1157" s="52"/>
      <c r="F1157" s="52"/>
      <c r="G1157" s="52"/>
      <c r="H1157" s="52"/>
    </row>
    <row r="1158" spans="1:8" ht="15.75">
      <c r="A1158" s="106">
        <v>41096</v>
      </c>
      <c r="B1158" s="107">
        <v>134.18</v>
      </c>
      <c r="C1158" s="52"/>
      <c r="D1158" s="52"/>
      <c r="E1158" s="52"/>
      <c r="F1158" s="52"/>
      <c r="G1158" s="52"/>
      <c r="H1158" s="52"/>
    </row>
    <row r="1159" spans="1:8" ht="15.75">
      <c r="A1159" s="106">
        <v>41099</v>
      </c>
      <c r="B1159" s="107">
        <v>134.61000000000001</v>
      </c>
      <c r="C1159" s="52"/>
      <c r="D1159" s="52"/>
      <c r="E1159" s="52"/>
      <c r="F1159" s="52"/>
      <c r="G1159" s="52"/>
      <c r="H1159" s="52"/>
    </row>
    <row r="1160" spans="1:8" ht="15.75">
      <c r="A1160" s="106">
        <v>41100</v>
      </c>
      <c r="B1160" s="107">
        <v>134.61000000000001</v>
      </c>
      <c r="C1160" s="52"/>
      <c r="D1160" s="52"/>
      <c r="E1160" s="52"/>
      <c r="F1160" s="52"/>
      <c r="G1160" s="52"/>
      <c r="H1160" s="52"/>
    </row>
    <row r="1161" spans="1:8" ht="15.75">
      <c r="A1161" s="106">
        <v>41101</v>
      </c>
      <c r="B1161" s="107">
        <v>134.63999999999999</v>
      </c>
      <c r="C1161" s="52"/>
      <c r="D1161" s="52"/>
      <c r="E1161" s="52"/>
      <c r="F1161" s="52"/>
      <c r="G1161" s="52"/>
      <c r="H1161" s="52"/>
    </row>
    <row r="1162" spans="1:8" ht="15.75">
      <c r="A1162" s="106">
        <v>41102</v>
      </c>
      <c r="B1162" s="107">
        <v>134.87</v>
      </c>
      <c r="C1162" s="52"/>
      <c r="D1162" s="52"/>
      <c r="E1162" s="52"/>
      <c r="F1162" s="52"/>
      <c r="G1162" s="52"/>
      <c r="H1162" s="52"/>
    </row>
    <row r="1163" spans="1:8" ht="15.75">
      <c r="A1163" s="106">
        <v>41103</v>
      </c>
      <c r="B1163" s="107">
        <v>135.19999999999999</v>
      </c>
      <c r="C1163" s="52"/>
      <c r="D1163" s="52"/>
      <c r="E1163" s="52"/>
      <c r="F1163" s="52"/>
      <c r="G1163" s="52"/>
      <c r="H1163" s="52"/>
    </row>
    <row r="1164" spans="1:8" ht="15.75">
      <c r="A1164" s="106">
        <v>41106</v>
      </c>
      <c r="B1164" s="107">
        <v>135.22</v>
      </c>
      <c r="C1164" s="52"/>
      <c r="D1164" s="52"/>
      <c r="E1164" s="52"/>
      <c r="F1164" s="52"/>
      <c r="G1164" s="52"/>
      <c r="H1164" s="52"/>
    </row>
    <row r="1165" spans="1:8" ht="15.75">
      <c r="A1165" s="106">
        <v>41107</v>
      </c>
      <c r="B1165" s="107">
        <v>135.03</v>
      </c>
      <c r="C1165" s="52"/>
      <c r="D1165" s="52"/>
      <c r="E1165" s="52"/>
      <c r="F1165" s="52"/>
      <c r="G1165" s="52"/>
      <c r="H1165" s="52"/>
    </row>
    <row r="1166" spans="1:8" ht="15.75">
      <c r="A1166" s="106">
        <v>41108</v>
      </c>
      <c r="B1166" s="107">
        <v>135.31</v>
      </c>
      <c r="C1166" s="52"/>
      <c r="D1166" s="52"/>
      <c r="E1166" s="52"/>
      <c r="F1166" s="52"/>
      <c r="G1166" s="52"/>
      <c r="H1166" s="52"/>
    </row>
    <row r="1167" spans="1:8" ht="15.75">
      <c r="A1167" s="106">
        <v>41109</v>
      </c>
      <c r="B1167" s="107">
        <v>135.38</v>
      </c>
      <c r="C1167" s="52"/>
      <c r="D1167" s="52"/>
      <c r="E1167" s="52"/>
      <c r="F1167" s="52"/>
      <c r="G1167" s="52"/>
      <c r="H1167" s="52"/>
    </row>
    <row r="1168" spans="1:8" ht="15.75">
      <c r="A1168" s="106">
        <v>41110</v>
      </c>
      <c r="B1168" s="107">
        <v>135.35</v>
      </c>
      <c r="C1168" s="52"/>
      <c r="D1168" s="52"/>
      <c r="E1168" s="52"/>
      <c r="F1168" s="52"/>
      <c r="G1168" s="52"/>
      <c r="H1168" s="52"/>
    </row>
    <row r="1169" spans="1:8" ht="15.75">
      <c r="A1169" s="106">
        <v>41113</v>
      </c>
      <c r="B1169" s="107">
        <v>135.72999999999999</v>
      </c>
      <c r="C1169" s="52"/>
      <c r="D1169" s="52"/>
      <c r="E1169" s="52"/>
      <c r="F1169" s="52"/>
      <c r="G1169" s="52"/>
      <c r="H1169" s="52"/>
    </row>
    <row r="1170" spans="1:8" ht="15.75">
      <c r="A1170" s="106">
        <v>41114</v>
      </c>
      <c r="B1170" s="107">
        <v>134.87</v>
      </c>
      <c r="C1170" s="52"/>
      <c r="D1170" s="52"/>
      <c r="E1170" s="52"/>
      <c r="F1170" s="52"/>
      <c r="G1170" s="52"/>
      <c r="H1170" s="52"/>
    </row>
    <row r="1171" spans="1:8" ht="15.75">
      <c r="A1171" s="106">
        <v>41115</v>
      </c>
      <c r="B1171" s="107">
        <v>134.87</v>
      </c>
      <c r="C1171" s="52"/>
      <c r="D1171" s="52"/>
      <c r="E1171" s="52"/>
      <c r="F1171" s="52"/>
      <c r="G1171" s="52"/>
      <c r="H1171" s="52"/>
    </row>
    <row r="1172" spans="1:8" ht="15.75">
      <c r="A1172" s="106">
        <v>41116</v>
      </c>
      <c r="B1172" s="107">
        <v>135</v>
      </c>
      <c r="C1172" s="52"/>
      <c r="D1172" s="52"/>
      <c r="E1172" s="52"/>
      <c r="F1172" s="52"/>
      <c r="G1172" s="52"/>
      <c r="H1172" s="52"/>
    </row>
    <row r="1173" spans="1:8" ht="15.75">
      <c r="A1173" s="106">
        <v>41117</v>
      </c>
      <c r="B1173" s="107">
        <v>134.65</v>
      </c>
      <c r="C1173" s="52"/>
      <c r="D1173" s="52"/>
      <c r="E1173" s="52"/>
      <c r="F1173" s="52"/>
      <c r="G1173" s="52"/>
      <c r="H1173" s="52"/>
    </row>
    <row r="1174" spans="1:8" ht="15.75">
      <c r="A1174" s="106">
        <v>41120</v>
      </c>
      <c r="B1174" s="107">
        <v>134.46</v>
      </c>
      <c r="C1174" s="52"/>
      <c r="D1174" s="52"/>
      <c r="E1174" s="52"/>
      <c r="F1174" s="52"/>
      <c r="G1174" s="52"/>
      <c r="H1174" s="52"/>
    </row>
    <row r="1175" spans="1:8" ht="15.75">
      <c r="A1175" s="106">
        <v>41121</v>
      </c>
      <c r="B1175" s="107">
        <v>134.55000000000001</v>
      </c>
      <c r="C1175" s="52"/>
      <c r="D1175" s="52"/>
      <c r="E1175" s="52"/>
      <c r="F1175" s="52"/>
      <c r="G1175" s="52"/>
      <c r="H1175" s="52"/>
    </row>
    <row r="1176" spans="1:8" ht="15.75">
      <c r="A1176" s="106">
        <v>41122</v>
      </c>
      <c r="B1176" s="107">
        <v>134.78</v>
      </c>
      <c r="C1176" s="52"/>
      <c r="D1176" s="52"/>
      <c r="E1176" s="52"/>
      <c r="F1176" s="52"/>
      <c r="G1176" s="52"/>
      <c r="H1176" s="52"/>
    </row>
    <row r="1177" spans="1:8" ht="15.75">
      <c r="A1177" s="106">
        <v>41123</v>
      </c>
      <c r="B1177" s="107">
        <v>134.6</v>
      </c>
      <c r="C1177" s="52"/>
      <c r="D1177" s="52"/>
      <c r="E1177" s="52"/>
      <c r="F1177" s="52"/>
      <c r="G1177" s="52"/>
      <c r="H1177" s="52"/>
    </row>
    <row r="1178" spans="1:8" ht="15.75">
      <c r="A1178" s="106">
        <v>41124</v>
      </c>
      <c r="B1178" s="107">
        <v>135.16</v>
      </c>
      <c r="C1178" s="52"/>
      <c r="D1178" s="52"/>
      <c r="E1178" s="52"/>
      <c r="F1178" s="52"/>
      <c r="G1178" s="52"/>
      <c r="H1178" s="52"/>
    </row>
    <row r="1179" spans="1:8" ht="15.75">
      <c r="A1179" s="106">
        <v>41127</v>
      </c>
      <c r="B1179" s="107">
        <v>134.72999999999999</v>
      </c>
      <c r="C1179" s="52"/>
      <c r="D1179" s="52"/>
      <c r="E1179" s="52"/>
      <c r="F1179" s="52"/>
      <c r="G1179" s="52"/>
      <c r="H1179" s="52"/>
    </row>
    <row r="1180" spans="1:8" ht="15.75">
      <c r="A1180" s="106">
        <v>41128</v>
      </c>
      <c r="B1180" s="107">
        <v>134.68</v>
      </c>
      <c r="C1180" s="52"/>
      <c r="D1180" s="52"/>
      <c r="E1180" s="52"/>
      <c r="F1180" s="52"/>
      <c r="G1180" s="52"/>
      <c r="H1180" s="52"/>
    </row>
    <row r="1181" spans="1:8" ht="15.75">
      <c r="A1181" s="106">
        <v>41129</v>
      </c>
      <c r="B1181" s="107">
        <v>134.49</v>
      </c>
      <c r="C1181" s="52"/>
      <c r="D1181" s="52"/>
      <c r="E1181" s="52"/>
      <c r="F1181" s="52"/>
      <c r="G1181" s="52"/>
      <c r="H1181" s="52"/>
    </row>
    <row r="1182" spans="1:8" ht="15.75">
      <c r="A1182" s="106">
        <v>41130</v>
      </c>
      <c r="B1182" s="107">
        <v>134.4</v>
      </c>
      <c r="C1182" s="52"/>
      <c r="D1182" s="52"/>
      <c r="E1182" s="52"/>
      <c r="F1182" s="52"/>
      <c r="G1182" s="52"/>
      <c r="H1182" s="52"/>
    </row>
    <row r="1183" spans="1:8" ht="15.75">
      <c r="A1183" s="106">
        <v>41131</v>
      </c>
      <c r="B1183" s="107">
        <v>134.85</v>
      </c>
      <c r="C1183" s="52"/>
      <c r="D1183" s="52"/>
      <c r="E1183" s="52"/>
      <c r="F1183" s="52"/>
      <c r="G1183" s="52"/>
      <c r="H1183" s="52"/>
    </row>
    <row r="1184" spans="1:8" ht="15.75">
      <c r="A1184" s="106">
        <v>41134</v>
      </c>
      <c r="B1184" s="107">
        <v>134.72</v>
      </c>
      <c r="C1184" s="52"/>
      <c r="D1184" s="52"/>
      <c r="E1184" s="52"/>
      <c r="F1184" s="52"/>
      <c r="G1184" s="52"/>
      <c r="H1184" s="52"/>
    </row>
    <row r="1185" spans="1:8" ht="15.75">
      <c r="A1185" s="106">
        <v>41135</v>
      </c>
      <c r="B1185" s="107">
        <v>134.6</v>
      </c>
      <c r="C1185" s="52"/>
      <c r="D1185" s="52"/>
      <c r="E1185" s="52"/>
      <c r="F1185" s="52"/>
      <c r="G1185" s="52"/>
      <c r="H1185" s="52"/>
    </row>
    <row r="1186" spans="1:8" ht="15.75">
      <c r="A1186" s="106">
        <v>41136</v>
      </c>
      <c r="B1186" s="107">
        <v>134.21</v>
      </c>
      <c r="C1186" s="52"/>
      <c r="D1186" s="52"/>
      <c r="E1186" s="52"/>
      <c r="F1186" s="52"/>
      <c r="G1186" s="52"/>
      <c r="H1186" s="52"/>
    </row>
    <row r="1187" spans="1:8" ht="15.75">
      <c r="A1187" s="106">
        <v>41137</v>
      </c>
      <c r="B1187" s="107">
        <v>133.80000000000001</v>
      </c>
      <c r="C1187" s="52"/>
      <c r="D1187" s="52"/>
      <c r="E1187" s="52"/>
      <c r="F1187" s="52"/>
      <c r="G1187" s="52"/>
      <c r="H1187" s="52"/>
    </row>
    <row r="1188" spans="1:8" ht="15.75">
      <c r="A1188" s="106">
        <v>41138</v>
      </c>
      <c r="B1188" s="107">
        <v>133.84</v>
      </c>
      <c r="C1188" s="52"/>
      <c r="D1188" s="52"/>
      <c r="E1188" s="52"/>
      <c r="F1188" s="52"/>
      <c r="G1188" s="52"/>
      <c r="H1188" s="52"/>
    </row>
    <row r="1189" spans="1:8" ht="15.75">
      <c r="A1189" s="106">
        <v>41141</v>
      </c>
      <c r="B1189" s="107">
        <v>134.08000000000001</v>
      </c>
      <c r="C1189" s="52"/>
      <c r="D1189" s="52"/>
      <c r="E1189" s="52"/>
      <c r="F1189" s="52"/>
      <c r="G1189" s="52"/>
      <c r="H1189" s="52"/>
    </row>
    <row r="1190" spans="1:8" ht="15.75">
      <c r="A1190" s="106">
        <v>41142</v>
      </c>
      <c r="B1190" s="107">
        <v>133.91</v>
      </c>
      <c r="C1190" s="52"/>
      <c r="D1190" s="52"/>
      <c r="E1190" s="52"/>
      <c r="F1190" s="52"/>
      <c r="G1190" s="52"/>
      <c r="H1190" s="52"/>
    </row>
    <row r="1191" spans="1:8" ht="15.75">
      <c r="A1191" s="106">
        <v>41143</v>
      </c>
      <c r="B1191" s="107">
        <v>133.99</v>
      </c>
      <c r="C1191" s="52"/>
      <c r="D1191" s="52"/>
      <c r="E1191" s="52"/>
      <c r="F1191" s="52"/>
      <c r="G1191" s="52"/>
      <c r="H1191" s="52"/>
    </row>
    <row r="1192" spans="1:8" ht="15.75">
      <c r="A1192" s="106">
        <v>41144</v>
      </c>
      <c r="B1192" s="107">
        <v>134.47999999999999</v>
      </c>
      <c r="C1192" s="52"/>
      <c r="D1192" s="52"/>
      <c r="E1192" s="52"/>
      <c r="F1192" s="52"/>
      <c r="G1192" s="52"/>
      <c r="H1192" s="52"/>
    </row>
    <row r="1193" spans="1:8" ht="15.75">
      <c r="A1193" s="106">
        <v>41145</v>
      </c>
      <c r="B1193" s="107">
        <v>134.85</v>
      </c>
      <c r="C1193" s="52"/>
      <c r="D1193" s="52"/>
      <c r="E1193" s="52"/>
      <c r="F1193" s="52"/>
      <c r="G1193" s="52"/>
      <c r="H1193" s="52"/>
    </row>
    <row r="1194" spans="1:8" ht="15.75">
      <c r="A1194" s="106">
        <v>41148</v>
      </c>
      <c r="B1194" s="107">
        <v>135.19999999999999</v>
      </c>
      <c r="C1194" s="52"/>
      <c r="D1194" s="52"/>
      <c r="E1194" s="52"/>
      <c r="F1194" s="52"/>
      <c r="G1194" s="52"/>
      <c r="H1194" s="52"/>
    </row>
    <row r="1195" spans="1:8" ht="15.75">
      <c r="A1195" s="106">
        <v>41149</v>
      </c>
      <c r="B1195" s="107">
        <v>134.82</v>
      </c>
      <c r="C1195" s="52"/>
      <c r="D1195" s="52"/>
      <c r="E1195" s="52"/>
      <c r="F1195" s="52"/>
      <c r="G1195" s="52"/>
      <c r="H1195" s="52"/>
    </row>
    <row r="1196" spans="1:8" ht="15.75">
      <c r="A1196" s="106">
        <v>41150</v>
      </c>
      <c r="B1196" s="107">
        <v>135.02000000000001</v>
      </c>
      <c r="C1196" s="52"/>
      <c r="D1196" s="52"/>
      <c r="E1196" s="52"/>
      <c r="F1196" s="52"/>
      <c r="G1196" s="52"/>
      <c r="H1196" s="52"/>
    </row>
    <row r="1197" spans="1:8" ht="15.75">
      <c r="A1197" s="106">
        <v>41151</v>
      </c>
      <c r="B1197" s="107">
        <v>134.75</v>
      </c>
      <c r="C1197" s="52"/>
      <c r="D1197" s="52"/>
      <c r="E1197" s="52"/>
      <c r="F1197" s="52"/>
      <c r="G1197" s="52"/>
      <c r="H1197" s="52"/>
    </row>
    <row r="1198" spans="1:8" ht="15.75">
      <c r="A1198" s="106">
        <v>41152</v>
      </c>
      <c r="B1198" s="107">
        <v>134.78</v>
      </c>
      <c r="C1198" s="52"/>
      <c r="D1198" s="52"/>
      <c r="E1198" s="52"/>
      <c r="F1198" s="52"/>
      <c r="G1198" s="52"/>
      <c r="H1198" s="52"/>
    </row>
    <row r="1199" spans="1:8" ht="15.75">
      <c r="A1199" s="106">
        <v>41155</v>
      </c>
      <c r="B1199" s="107">
        <v>135.08000000000001</v>
      </c>
      <c r="C1199" s="52"/>
      <c r="D1199" s="52"/>
      <c r="E1199" s="52"/>
      <c r="F1199" s="52"/>
      <c r="G1199" s="52"/>
      <c r="H1199" s="52"/>
    </row>
    <row r="1200" spans="1:8" ht="15.75">
      <c r="A1200" s="106">
        <v>41156</v>
      </c>
      <c r="B1200" s="107">
        <v>134.55000000000001</v>
      </c>
      <c r="C1200" s="52"/>
      <c r="D1200" s="52"/>
      <c r="E1200" s="52"/>
      <c r="F1200" s="52"/>
      <c r="G1200" s="52"/>
      <c r="H1200" s="52"/>
    </row>
    <row r="1201" spans="1:8" ht="15.75">
      <c r="A1201" s="106">
        <v>41157</v>
      </c>
      <c r="B1201" s="107">
        <v>134.97999999999999</v>
      </c>
      <c r="C1201" s="52"/>
      <c r="D1201" s="52"/>
      <c r="E1201" s="52"/>
      <c r="F1201" s="52"/>
      <c r="G1201" s="52"/>
      <c r="H1201" s="52"/>
    </row>
    <row r="1202" spans="1:8" ht="15.75">
      <c r="A1202" s="106">
        <v>41158</v>
      </c>
      <c r="B1202" s="107">
        <v>134.19</v>
      </c>
      <c r="C1202" s="52"/>
      <c r="D1202" s="52"/>
      <c r="E1202" s="52"/>
      <c r="F1202" s="52"/>
      <c r="G1202" s="52"/>
      <c r="H1202" s="52"/>
    </row>
    <row r="1203" spans="1:8" ht="15.75">
      <c r="A1203" s="106">
        <v>41159</v>
      </c>
      <c r="B1203" s="107">
        <v>133.68</v>
      </c>
      <c r="C1203" s="52"/>
      <c r="D1203" s="52"/>
      <c r="E1203" s="52"/>
      <c r="F1203" s="52"/>
      <c r="G1203" s="52"/>
      <c r="H1203" s="52"/>
    </row>
    <row r="1204" spans="1:8" ht="15.75">
      <c r="A1204" s="106">
        <v>41162</v>
      </c>
      <c r="B1204" s="107">
        <v>134.16</v>
      </c>
      <c r="C1204" s="52"/>
      <c r="D1204" s="52"/>
      <c r="E1204" s="52"/>
      <c r="F1204" s="52"/>
      <c r="G1204" s="52"/>
      <c r="H1204" s="52"/>
    </row>
    <row r="1205" spans="1:8" ht="15.75">
      <c r="A1205" s="106">
        <v>41163</v>
      </c>
      <c r="B1205" s="107">
        <v>133.97999999999999</v>
      </c>
      <c r="C1205" s="52"/>
      <c r="D1205" s="52"/>
      <c r="E1205" s="52"/>
      <c r="F1205" s="52"/>
      <c r="G1205" s="52"/>
      <c r="H1205" s="52"/>
    </row>
    <row r="1206" spans="1:8" ht="15.75">
      <c r="A1206" s="106">
        <v>41164</v>
      </c>
      <c r="B1206" s="107">
        <v>133.28</v>
      </c>
      <c r="C1206" s="52"/>
      <c r="D1206" s="52"/>
      <c r="E1206" s="52"/>
      <c r="F1206" s="52"/>
      <c r="G1206" s="52"/>
      <c r="H1206" s="52"/>
    </row>
    <row r="1207" spans="1:8" ht="15.75">
      <c r="A1207" s="106">
        <v>41165</v>
      </c>
      <c r="B1207" s="107">
        <v>133.51</v>
      </c>
      <c r="C1207" s="52"/>
      <c r="D1207" s="52"/>
      <c r="E1207" s="52"/>
      <c r="F1207" s="52"/>
      <c r="G1207" s="52"/>
      <c r="H1207" s="52"/>
    </row>
    <row r="1208" spans="1:8" ht="15.75">
      <c r="A1208" s="106">
        <v>41166</v>
      </c>
      <c r="B1208" s="107">
        <v>133.41999999999999</v>
      </c>
      <c r="C1208" s="52"/>
      <c r="D1208" s="52"/>
      <c r="E1208" s="52"/>
      <c r="F1208" s="52"/>
      <c r="G1208" s="52"/>
      <c r="H1208" s="52"/>
    </row>
    <row r="1209" spans="1:8" ht="15.75">
      <c r="A1209" s="106">
        <v>41169</v>
      </c>
      <c r="B1209" s="107">
        <v>133.18</v>
      </c>
      <c r="C1209" s="52"/>
      <c r="D1209" s="52"/>
      <c r="E1209" s="52"/>
      <c r="F1209" s="52"/>
      <c r="G1209" s="52"/>
      <c r="H1209" s="52"/>
    </row>
    <row r="1210" spans="1:8" ht="15.75">
      <c r="A1210" s="106">
        <v>41170</v>
      </c>
      <c r="B1210" s="107">
        <v>133.86000000000001</v>
      </c>
      <c r="C1210" s="52"/>
      <c r="D1210" s="52"/>
      <c r="E1210" s="52"/>
      <c r="F1210" s="52"/>
      <c r="G1210" s="52"/>
      <c r="H1210" s="52"/>
    </row>
    <row r="1211" spans="1:8" ht="15.75">
      <c r="A1211" s="106">
        <v>41171</v>
      </c>
      <c r="B1211" s="107">
        <v>133.56</v>
      </c>
      <c r="C1211" s="52"/>
      <c r="D1211" s="52"/>
      <c r="E1211" s="52"/>
      <c r="F1211" s="52"/>
      <c r="G1211" s="52"/>
      <c r="H1211" s="52"/>
    </row>
    <row r="1212" spans="1:8" ht="15.75">
      <c r="A1212" s="106">
        <v>41172</v>
      </c>
      <c r="B1212" s="107">
        <v>133.66</v>
      </c>
      <c r="C1212" s="52"/>
      <c r="D1212" s="52"/>
      <c r="E1212" s="52"/>
      <c r="F1212" s="52"/>
      <c r="G1212" s="52"/>
      <c r="H1212" s="52"/>
    </row>
    <row r="1213" spans="1:8" ht="15.75">
      <c r="A1213" s="106">
        <v>41173</v>
      </c>
      <c r="B1213" s="107">
        <v>133.46</v>
      </c>
      <c r="C1213" s="52"/>
      <c r="D1213" s="52"/>
      <c r="E1213" s="52"/>
      <c r="F1213" s="52"/>
      <c r="G1213" s="52"/>
      <c r="H1213" s="52"/>
    </row>
    <row r="1214" spans="1:8" ht="15.75">
      <c r="A1214" s="106">
        <v>41176</v>
      </c>
      <c r="B1214" s="107">
        <v>133.83000000000001</v>
      </c>
      <c r="C1214" s="52"/>
      <c r="D1214" s="52"/>
      <c r="E1214" s="52"/>
      <c r="F1214" s="52"/>
      <c r="G1214" s="52"/>
      <c r="H1214" s="52"/>
    </row>
    <row r="1215" spans="1:8" ht="15.75">
      <c r="A1215" s="106">
        <v>41177</v>
      </c>
      <c r="B1215" s="107">
        <v>134.29</v>
      </c>
      <c r="C1215" s="52"/>
      <c r="D1215" s="52"/>
      <c r="E1215" s="52"/>
      <c r="F1215" s="52"/>
      <c r="G1215" s="52"/>
      <c r="H1215" s="52"/>
    </row>
    <row r="1216" spans="1:8" ht="15.75">
      <c r="A1216" s="106">
        <v>41178</v>
      </c>
      <c r="B1216" s="107">
        <v>133.91</v>
      </c>
      <c r="C1216" s="52"/>
      <c r="D1216" s="52"/>
      <c r="E1216" s="52"/>
      <c r="F1216" s="52"/>
      <c r="G1216" s="52"/>
      <c r="H1216" s="52"/>
    </row>
    <row r="1217" spans="1:8" ht="15.75">
      <c r="A1217" s="106">
        <v>41179</v>
      </c>
      <c r="B1217" s="107">
        <v>134.34</v>
      </c>
      <c r="C1217" s="52"/>
      <c r="D1217" s="52"/>
      <c r="E1217" s="52"/>
      <c r="F1217" s="52"/>
      <c r="G1217" s="52"/>
      <c r="H1217" s="52"/>
    </row>
    <row r="1218" spans="1:8" ht="15.75">
      <c r="A1218" s="106">
        <v>41180</v>
      </c>
      <c r="B1218" s="107">
        <v>134.28</v>
      </c>
      <c r="C1218" s="52"/>
      <c r="D1218" s="52"/>
      <c r="E1218" s="52"/>
      <c r="F1218" s="52"/>
      <c r="G1218" s="52"/>
      <c r="H1218" s="52"/>
    </row>
    <row r="1219" spans="1:8" ht="15.75">
      <c r="A1219" s="106">
        <v>41183</v>
      </c>
      <c r="B1219" s="107">
        <v>134.19</v>
      </c>
      <c r="C1219" s="52"/>
      <c r="D1219" s="52"/>
      <c r="E1219" s="52"/>
      <c r="F1219" s="52"/>
      <c r="G1219" s="52"/>
      <c r="H1219" s="52"/>
    </row>
    <row r="1220" spans="1:8" ht="15.75">
      <c r="A1220" s="106">
        <v>41184</v>
      </c>
      <c r="B1220" s="107">
        <v>134.22</v>
      </c>
      <c r="C1220" s="52"/>
      <c r="D1220" s="52"/>
      <c r="E1220" s="52"/>
      <c r="F1220" s="52"/>
      <c r="G1220" s="52"/>
      <c r="H1220" s="52"/>
    </row>
    <row r="1221" spans="1:8" ht="15.75">
      <c r="A1221" s="106">
        <v>41185</v>
      </c>
      <c r="B1221" s="107">
        <v>134.22</v>
      </c>
      <c r="C1221" s="52"/>
      <c r="D1221" s="52"/>
      <c r="E1221" s="52"/>
      <c r="F1221" s="52"/>
      <c r="G1221" s="52"/>
      <c r="H1221" s="52"/>
    </row>
    <row r="1222" spans="1:8" ht="15.75">
      <c r="A1222" s="106">
        <v>41186</v>
      </c>
      <c r="B1222" s="107">
        <v>134.25</v>
      </c>
      <c r="C1222" s="52"/>
      <c r="D1222" s="52"/>
      <c r="E1222" s="52"/>
      <c r="F1222" s="52"/>
      <c r="G1222" s="52"/>
      <c r="H1222" s="52"/>
    </row>
    <row r="1223" spans="1:8" ht="15.75">
      <c r="A1223" s="106">
        <v>41187</v>
      </c>
      <c r="B1223" s="107">
        <v>134.19</v>
      </c>
      <c r="C1223" s="52"/>
      <c r="D1223" s="52"/>
      <c r="E1223" s="52"/>
      <c r="F1223" s="52"/>
      <c r="G1223" s="52"/>
      <c r="H1223" s="52"/>
    </row>
    <row r="1224" spans="1:8" ht="15.75">
      <c r="A1224" s="106">
        <v>41190</v>
      </c>
      <c r="B1224" s="107">
        <v>134.06</v>
      </c>
      <c r="C1224" s="52"/>
      <c r="D1224" s="52"/>
      <c r="E1224" s="52"/>
      <c r="F1224" s="52"/>
      <c r="G1224" s="52"/>
      <c r="H1224" s="52"/>
    </row>
    <row r="1225" spans="1:8" ht="15.75">
      <c r="A1225" s="106">
        <v>41191</v>
      </c>
      <c r="B1225" s="107">
        <v>134.16999999999999</v>
      </c>
      <c r="C1225" s="52"/>
      <c r="D1225" s="52"/>
      <c r="E1225" s="52"/>
      <c r="F1225" s="52"/>
      <c r="G1225" s="52"/>
      <c r="H1225" s="52"/>
    </row>
    <row r="1226" spans="1:8" ht="15.75">
      <c r="A1226" s="106">
        <v>41192</v>
      </c>
      <c r="B1226" s="107">
        <v>134.09</v>
      </c>
      <c r="C1226" s="52"/>
      <c r="D1226" s="52"/>
      <c r="E1226" s="52"/>
      <c r="F1226" s="52"/>
      <c r="G1226" s="52"/>
      <c r="H1226" s="52"/>
    </row>
    <row r="1227" spans="1:8" ht="15.75">
      <c r="A1227" s="106">
        <v>41193</v>
      </c>
      <c r="B1227" s="107">
        <v>134.32</v>
      </c>
      <c r="C1227" s="52"/>
      <c r="D1227" s="52"/>
      <c r="E1227" s="52"/>
      <c r="F1227" s="52"/>
      <c r="G1227" s="52"/>
      <c r="H1227" s="52"/>
    </row>
    <row r="1228" spans="1:8" ht="15.75">
      <c r="A1228" s="106">
        <v>41194</v>
      </c>
      <c r="B1228" s="107">
        <v>134.16999999999999</v>
      </c>
      <c r="C1228" s="52"/>
      <c r="D1228" s="52"/>
      <c r="E1228" s="52"/>
      <c r="F1228" s="52"/>
      <c r="G1228" s="52"/>
      <c r="H1228" s="52"/>
    </row>
    <row r="1229" spans="1:8" ht="15.75">
      <c r="A1229" s="106">
        <v>41197</v>
      </c>
      <c r="B1229" s="107">
        <v>134.30000000000001</v>
      </c>
      <c r="C1229" s="52"/>
      <c r="D1229" s="52"/>
      <c r="E1229" s="52"/>
      <c r="F1229" s="52"/>
      <c r="G1229" s="52"/>
      <c r="H1229" s="52"/>
    </row>
    <row r="1230" spans="1:8" ht="15.75">
      <c r="A1230" s="106">
        <v>41198</v>
      </c>
      <c r="B1230" s="107">
        <v>134.16</v>
      </c>
      <c r="C1230" s="52"/>
      <c r="D1230" s="52"/>
      <c r="E1230" s="52"/>
      <c r="F1230" s="52"/>
      <c r="G1230" s="52"/>
      <c r="H1230" s="52"/>
    </row>
    <row r="1231" spans="1:8" ht="15.75">
      <c r="A1231" s="106">
        <v>41199</v>
      </c>
      <c r="B1231" s="107">
        <v>133.66999999999999</v>
      </c>
      <c r="C1231" s="52"/>
      <c r="D1231" s="52"/>
      <c r="E1231" s="52"/>
      <c r="F1231" s="52"/>
      <c r="G1231" s="52"/>
      <c r="H1231" s="52"/>
    </row>
    <row r="1232" spans="1:8" ht="15.75">
      <c r="A1232" s="106">
        <v>41200</v>
      </c>
      <c r="B1232" s="107">
        <v>133.49</v>
      </c>
      <c r="C1232" s="52"/>
      <c r="D1232" s="52"/>
      <c r="E1232" s="52"/>
      <c r="F1232" s="52"/>
      <c r="G1232" s="52"/>
      <c r="H1232" s="52"/>
    </row>
    <row r="1233" spans="1:8" ht="15.75">
      <c r="A1233" s="106">
        <v>41201</v>
      </c>
      <c r="B1233" s="107">
        <v>133.37</v>
      </c>
      <c r="C1233" s="52"/>
      <c r="D1233" s="52"/>
      <c r="E1233" s="52"/>
      <c r="F1233" s="52"/>
      <c r="G1233" s="52"/>
      <c r="H1233" s="52"/>
    </row>
    <row r="1234" spans="1:8" ht="15.75">
      <c r="A1234" s="106">
        <v>41204</v>
      </c>
      <c r="B1234" s="107">
        <v>133.47</v>
      </c>
      <c r="C1234" s="52"/>
      <c r="D1234" s="52"/>
      <c r="E1234" s="52"/>
      <c r="F1234" s="52"/>
      <c r="G1234" s="52"/>
      <c r="H1234" s="52"/>
    </row>
    <row r="1235" spans="1:8" ht="15.75">
      <c r="A1235" s="106">
        <v>41205</v>
      </c>
      <c r="B1235" s="107">
        <v>133.52000000000001</v>
      </c>
      <c r="C1235" s="52"/>
      <c r="D1235" s="52"/>
      <c r="E1235" s="52"/>
      <c r="F1235" s="52"/>
      <c r="G1235" s="52"/>
      <c r="H1235" s="52"/>
    </row>
    <row r="1236" spans="1:8" ht="15.75">
      <c r="A1236" s="106">
        <v>41206</v>
      </c>
      <c r="B1236" s="107">
        <v>133.66999999999999</v>
      </c>
      <c r="C1236" s="52"/>
      <c r="D1236" s="52"/>
      <c r="E1236" s="52"/>
      <c r="F1236" s="52"/>
      <c r="G1236" s="52"/>
      <c r="H1236" s="52"/>
    </row>
    <row r="1237" spans="1:8" ht="15.75">
      <c r="A1237" s="106">
        <v>41207</v>
      </c>
      <c r="B1237" s="107">
        <v>133.47</v>
      </c>
      <c r="C1237" s="52"/>
      <c r="D1237" s="52"/>
      <c r="E1237" s="52"/>
      <c r="F1237" s="52"/>
      <c r="G1237" s="52"/>
      <c r="H1237" s="52"/>
    </row>
    <row r="1238" spans="1:8" ht="15.75">
      <c r="A1238" s="106">
        <v>41208</v>
      </c>
      <c r="B1238" s="107">
        <v>134.04</v>
      </c>
      <c r="C1238" s="52"/>
      <c r="D1238" s="52"/>
      <c r="E1238" s="52"/>
      <c r="F1238" s="52"/>
      <c r="G1238" s="52"/>
      <c r="H1238" s="52"/>
    </row>
    <row r="1239" spans="1:8" ht="15.75">
      <c r="A1239" s="106">
        <v>41211</v>
      </c>
      <c r="B1239" s="107">
        <v>134.36000000000001</v>
      </c>
      <c r="C1239" s="52"/>
      <c r="D1239" s="52"/>
      <c r="E1239" s="52"/>
      <c r="F1239" s="52"/>
      <c r="G1239" s="52"/>
      <c r="H1239" s="52"/>
    </row>
    <row r="1240" spans="1:8" ht="15.75">
      <c r="A1240" s="106">
        <v>41212</v>
      </c>
      <c r="B1240" s="107">
        <v>134.32</v>
      </c>
      <c r="C1240" s="52"/>
      <c r="D1240" s="52"/>
      <c r="E1240" s="52"/>
      <c r="F1240" s="52"/>
      <c r="G1240" s="52"/>
      <c r="H1240" s="52"/>
    </row>
    <row r="1241" spans="1:8" ht="15.75">
      <c r="A1241" s="106">
        <v>41213</v>
      </c>
      <c r="B1241" s="107">
        <v>134.22999999999999</v>
      </c>
      <c r="C1241" s="52"/>
      <c r="D1241" s="52"/>
      <c r="E1241" s="52"/>
      <c r="F1241" s="52"/>
      <c r="G1241" s="52"/>
      <c r="H1241" s="52"/>
    </row>
    <row r="1242" spans="1:8" ht="15.75">
      <c r="A1242" s="106">
        <v>41214</v>
      </c>
      <c r="B1242" s="107">
        <v>134.11000000000001</v>
      </c>
      <c r="C1242" s="52"/>
      <c r="D1242" s="52"/>
      <c r="E1242" s="52"/>
      <c r="F1242" s="52"/>
      <c r="G1242" s="52"/>
      <c r="H1242" s="52"/>
    </row>
    <row r="1243" spans="1:8" ht="15.75">
      <c r="A1243" s="106">
        <v>41215</v>
      </c>
      <c r="B1243" s="107">
        <v>134.51</v>
      </c>
      <c r="C1243" s="52"/>
      <c r="D1243" s="52"/>
      <c r="E1243" s="52"/>
      <c r="F1243" s="52"/>
      <c r="G1243" s="52"/>
      <c r="H1243" s="52"/>
    </row>
    <row r="1244" spans="1:8" ht="15.75">
      <c r="A1244" s="106">
        <v>41218</v>
      </c>
      <c r="B1244" s="107">
        <v>134.36000000000001</v>
      </c>
      <c r="C1244" s="52"/>
      <c r="D1244" s="52"/>
      <c r="E1244" s="52"/>
      <c r="F1244" s="52"/>
      <c r="G1244" s="52"/>
      <c r="H1244" s="52"/>
    </row>
    <row r="1245" spans="1:8" ht="15.75">
      <c r="A1245" s="106">
        <v>41219</v>
      </c>
      <c r="B1245" s="107">
        <v>134.41</v>
      </c>
      <c r="C1245" s="52"/>
      <c r="D1245" s="52"/>
      <c r="E1245" s="52"/>
      <c r="F1245" s="52"/>
      <c r="G1245" s="52"/>
      <c r="H1245" s="52"/>
    </row>
    <row r="1246" spans="1:8" ht="15.75">
      <c r="A1246" s="106">
        <v>41220</v>
      </c>
      <c r="B1246" s="107">
        <v>134.44</v>
      </c>
      <c r="C1246" s="52"/>
      <c r="D1246" s="52"/>
      <c r="E1246" s="52"/>
      <c r="F1246" s="52"/>
      <c r="G1246" s="52"/>
      <c r="H1246" s="52"/>
    </row>
    <row r="1247" spans="1:8" ht="15.75">
      <c r="A1247" s="106">
        <v>41221</v>
      </c>
      <c r="B1247" s="107">
        <v>134.83000000000001</v>
      </c>
      <c r="C1247" s="52"/>
      <c r="D1247" s="52"/>
      <c r="E1247" s="52"/>
      <c r="F1247" s="52"/>
      <c r="G1247" s="52"/>
      <c r="H1247" s="52"/>
    </row>
    <row r="1248" spans="1:8" ht="15.75">
      <c r="A1248" s="106">
        <v>41222</v>
      </c>
      <c r="B1248" s="107">
        <v>135.05000000000001</v>
      </c>
      <c r="C1248" s="52"/>
      <c r="D1248" s="52"/>
      <c r="E1248" s="52"/>
      <c r="F1248" s="52"/>
      <c r="G1248" s="52"/>
      <c r="H1248" s="52"/>
    </row>
    <row r="1249" spans="1:8" ht="15.75">
      <c r="A1249" s="106">
        <v>41225</v>
      </c>
      <c r="B1249" s="107">
        <v>135</v>
      </c>
      <c r="C1249" s="52"/>
      <c r="D1249" s="52"/>
      <c r="E1249" s="52"/>
      <c r="F1249" s="52"/>
      <c r="G1249" s="52"/>
      <c r="H1249" s="52"/>
    </row>
    <row r="1250" spans="1:8" ht="15.75">
      <c r="A1250" s="106">
        <v>41226</v>
      </c>
      <c r="B1250" s="107">
        <v>135.08000000000001</v>
      </c>
      <c r="C1250" s="52"/>
      <c r="D1250" s="52"/>
      <c r="E1250" s="52"/>
      <c r="F1250" s="52"/>
      <c r="G1250" s="52"/>
      <c r="H1250" s="52"/>
    </row>
    <row r="1251" spans="1:8" ht="15.75">
      <c r="A1251" s="106">
        <v>41227</v>
      </c>
      <c r="B1251" s="107">
        <v>134.99</v>
      </c>
      <c r="C1251" s="52"/>
      <c r="D1251" s="52"/>
      <c r="E1251" s="52"/>
      <c r="F1251" s="52"/>
      <c r="G1251" s="52"/>
      <c r="H1251" s="52"/>
    </row>
    <row r="1252" spans="1:8" ht="15.75">
      <c r="A1252" s="106">
        <v>41228</v>
      </c>
      <c r="B1252" s="107">
        <v>135.27000000000001</v>
      </c>
      <c r="C1252" s="52"/>
      <c r="D1252" s="52"/>
      <c r="E1252" s="52"/>
      <c r="F1252" s="52"/>
      <c r="G1252" s="52"/>
      <c r="H1252" s="52"/>
    </row>
    <row r="1253" spans="1:8" ht="15.75">
      <c r="A1253" s="106">
        <v>41229</v>
      </c>
      <c r="B1253" s="107">
        <v>135.19</v>
      </c>
      <c r="C1253" s="52"/>
      <c r="D1253" s="52"/>
      <c r="E1253" s="52"/>
      <c r="F1253" s="52"/>
      <c r="G1253" s="52"/>
      <c r="H1253" s="52"/>
    </row>
    <row r="1254" spans="1:8" ht="15.75">
      <c r="A1254" s="106">
        <v>41232</v>
      </c>
      <c r="B1254" s="107">
        <v>135.16</v>
      </c>
      <c r="C1254" s="52"/>
      <c r="D1254" s="52"/>
      <c r="E1254" s="52"/>
      <c r="F1254" s="52"/>
      <c r="G1254" s="52"/>
      <c r="H1254" s="52"/>
    </row>
    <row r="1255" spans="1:8" ht="15.75">
      <c r="A1255" s="106">
        <v>41233</v>
      </c>
      <c r="B1255" s="107">
        <v>134.97999999999999</v>
      </c>
      <c r="C1255" s="52"/>
      <c r="D1255" s="52"/>
      <c r="E1255" s="52"/>
      <c r="F1255" s="52"/>
      <c r="G1255" s="52"/>
      <c r="H1255" s="52"/>
    </row>
    <row r="1256" spans="1:8" ht="15.75">
      <c r="A1256" s="106">
        <v>41234</v>
      </c>
      <c r="B1256" s="107">
        <v>134.84</v>
      </c>
      <c r="C1256" s="52"/>
      <c r="D1256" s="52"/>
      <c r="E1256" s="52"/>
      <c r="F1256" s="52"/>
      <c r="G1256" s="52"/>
      <c r="H1256" s="52"/>
    </row>
    <row r="1257" spans="1:8" ht="15.75">
      <c r="A1257" s="106">
        <v>41235</v>
      </c>
      <c r="B1257" s="107">
        <v>134.57</v>
      </c>
      <c r="C1257" s="52"/>
      <c r="D1257" s="52"/>
      <c r="E1257" s="52"/>
      <c r="F1257" s="52"/>
      <c r="G1257" s="52"/>
      <c r="H1257" s="52"/>
    </row>
    <row r="1258" spans="1:8" ht="15.75">
      <c r="A1258" s="106">
        <v>41236</v>
      </c>
      <c r="B1258" s="107">
        <v>134.54</v>
      </c>
      <c r="C1258" s="52"/>
      <c r="D1258" s="52"/>
      <c r="E1258" s="52"/>
      <c r="F1258" s="52"/>
      <c r="G1258" s="52"/>
      <c r="H1258" s="52"/>
    </row>
    <row r="1259" spans="1:8" ht="15.75">
      <c r="A1259" s="106">
        <v>41239</v>
      </c>
      <c r="B1259" s="107">
        <v>134.68</v>
      </c>
      <c r="C1259" s="52"/>
      <c r="D1259" s="52"/>
      <c r="E1259" s="52"/>
      <c r="F1259" s="52"/>
      <c r="G1259" s="52"/>
      <c r="H1259" s="52"/>
    </row>
    <row r="1260" spans="1:8" ht="15.75">
      <c r="A1260" s="106">
        <v>41240</v>
      </c>
      <c r="B1260" s="107">
        <v>134.6</v>
      </c>
      <c r="C1260" s="52"/>
      <c r="D1260" s="52"/>
      <c r="E1260" s="52"/>
      <c r="F1260" s="52"/>
      <c r="G1260" s="52"/>
      <c r="H1260" s="52"/>
    </row>
    <row r="1261" spans="1:8" ht="15.75">
      <c r="A1261" s="106">
        <v>41241</v>
      </c>
      <c r="B1261" s="107">
        <v>134.78</v>
      </c>
      <c r="C1261" s="52"/>
      <c r="D1261" s="52"/>
      <c r="E1261" s="52"/>
      <c r="F1261" s="52"/>
      <c r="G1261" s="52"/>
      <c r="H1261" s="52"/>
    </row>
    <row r="1262" spans="1:8" ht="15.75">
      <c r="A1262" s="106">
        <v>41242</v>
      </c>
      <c r="B1262" s="107">
        <v>134.86000000000001</v>
      </c>
      <c r="C1262" s="52"/>
      <c r="D1262" s="52"/>
      <c r="E1262" s="52"/>
      <c r="F1262" s="52"/>
      <c r="G1262" s="52"/>
      <c r="H1262" s="52"/>
    </row>
    <row r="1263" spans="1:8" ht="15.75">
      <c r="A1263" s="106">
        <v>41243</v>
      </c>
      <c r="B1263" s="107">
        <v>134.96</v>
      </c>
      <c r="C1263" s="52"/>
      <c r="D1263" s="52"/>
      <c r="E1263" s="52"/>
      <c r="F1263" s="52"/>
      <c r="G1263" s="52"/>
      <c r="H1263" s="52"/>
    </row>
    <row r="1264" spans="1:8" ht="15.75">
      <c r="A1264" s="106">
        <v>41246</v>
      </c>
      <c r="B1264" s="107">
        <v>134.84</v>
      </c>
      <c r="C1264" s="52"/>
      <c r="D1264" s="52"/>
      <c r="E1264" s="52"/>
      <c r="F1264" s="52"/>
      <c r="G1264" s="52"/>
      <c r="H1264" s="52"/>
    </row>
    <row r="1265" spans="1:8" ht="15.75">
      <c r="A1265" s="106">
        <v>41247</v>
      </c>
      <c r="B1265" s="107">
        <v>134.54</v>
      </c>
      <c r="C1265" s="52"/>
      <c r="D1265" s="52"/>
      <c r="E1265" s="52"/>
      <c r="F1265" s="52"/>
      <c r="G1265" s="52"/>
      <c r="H1265" s="52"/>
    </row>
    <row r="1266" spans="1:8" ht="15.75">
      <c r="A1266" s="106">
        <v>41248</v>
      </c>
      <c r="B1266" s="107">
        <v>134.91</v>
      </c>
      <c r="C1266" s="52"/>
      <c r="D1266" s="52"/>
      <c r="E1266" s="52"/>
      <c r="F1266" s="52"/>
      <c r="G1266" s="52"/>
      <c r="H1266" s="52"/>
    </row>
    <row r="1267" spans="1:8" ht="15.75">
      <c r="A1267" s="106">
        <v>41249</v>
      </c>
      <c r="B1267" s="107">
        <v>135</v>
      </c>
      <c r="C1267" s="52"/>
      <c r="D1267" s="52"/>
      <c r="E1267" s="52"/>
      <c r="F1267" s="52"/>
      <c r="G1267" s="52"/>
      <c r="H1267" s="52"/>
    </row>
    <row r="1268" spans="1:8" ht="15.75">
      <c r="A1268" s="106">
        <v>41250</v>
      </c>
      <c r="B1268" s="107">
        <v>135.33000000000001</v>
      </c>
      <c r="C1268" s="52"/>
      <c r="D1268" s="52"/>
      <c r="E1268" s="52"/>
      <c r="F1268" s="52"/>
      <c r="G1268" s="52"/>
      <c r="H1268" s="52"/>
    </row>
    <row r="1269" spans="1:8" ht="15.75">
      <c r="A1269" s="106">
        <v>41253</v>
      </c>
      <c r="B1269" s="107">
        <v>135.47</v>
      </c>
      <c r="C1269" s="52"/>
      <c r="D1269" s="52"/>
      <c r="E1269" s="52"/>
      <c r="F1269" s="52"/>
      <c r="G1269" s="52"/>
      <c r="H1269" s="52"/>
    </row>
    <row r="1270" spans="1:8" ht="15.75">
      <c r="A1270" s="106">
        <v>41254</v>
      </c>
      <c r="B1270" s="107">
        <v>135.19999999999999</v>
      </c>
      <c r="C1270" s="52"/>
      <c r="D1270" s="52"/>
      <c r="E1270" s="52"/>
      <c r="F1270" s="52"/>
      <c r="G1270" s="52"/>
      <c r="H1270" s="52"/>
    </row>
    <row r="1271" spans="1:8" ht="15.75">
      <c r="A1271" s="106">
        <v>41255</v>
      </c>
      <c r="B1271" s="107">
        <v>135.12</v>
      </c>
      <c r="C1271" s="52"/>
      <c r="D1271" s="52"/>
      <c r="E1271" s="52"/>
      <c r="F1271" s="52"/>
      <c r="G1271" s="52"/>
      <c r="H1271" s="52"/>
    </row>
    <row r="1272" spans="1:8" ht="15.75">
      <c r="A1272" s="106">
        <v>41256</v>
      </c>
      <c r="B1272" s="107">
        <v>135.26</v>
      </c>
      <c r="C1272" s="52"/>
      <c r="D1272" s="52"/>
      <c r="E1272" s="52"/>
      <c r="F1272" s="52"/>
      <c r="G1272" s="52"/>
      <c r="H1272" s="52"/>
    </row>
    <row r="1273" spans="1:8" ht="15.75">
      <c r="A1273" s="106">
        <v>41257</v>
      </c>
      <c r="B1273" s="107">
        <v>135.03</v>
      </c>
      <c r="C1273" s="52"/>
      <c r="D1273" s="52"/>
      <c r="E1273" s="52"/>
      <c r="F1273" s="52"/>
      <c r="G1273" s="52"/>
      <c r="H1273" s="52"/>
    </row>
    <row r="1274" spans="1:8" ht="15.75">
      <c r="A1274" s="106">
        <v>41260</v>
      </c>
      <c r="B1274" s="107">
        <v>134.88999999999999</v>
      </c>
      <c r="C1274" s="52"/>
      <c r="D1274" s="52"/>
      <c r="E1274" s="52"/>
      <c r="F1274" s="52"/>
      <c r="G1274" s="52"/>
      <c r="H1274" s="52"/>
    </row>
    <row r="1275" spans="1:8" ht="15.75">
      <c r="A1275" s="106">
        <v>41261</v>
      </c>
      <c r="B1275" s="107">
        <v>134.91</v>
      </c>
      <c r="C1275" s="52"/>
      <c r="D1275" s="52"/>
      <c r="E1275" s="52"/>
      <c r="F1275" s="52"/>
      <c r="G1275" s="52"/>
      <c r="H1275" s="52"/>
    </row>
    <row r="1276" spans="1:8" ht="15.75">
      <c r="A1276" s="106">
        <v>41262</v>
      </c>
      <c r="B1276" s="107">
        <v>134.63</v>
      </c>
      <c r="C1276" s="52"/>
      <c r="D1276" s="52"/>
      <c r="E1276" s="52"/>
      <c r="F1276" s="52"/>
      <c r="G1276" s="52"/>
      <c r="H1276" s="52"/>
    </row>
    <row r="1277" spans="1:8" ht="15.75">
      <c r="A1277" s="106">
        <v>41263</v>
      </c>
      <c r="B1277" s="107">
        <v>134.63999999999999</v>
      </c>
      <c r="C1277" s="52"/>
      <c r="D1277" s="52"/>
      <c r="E1277" s="52"/>
      <c r="F1277" s="52"/>
      <c r="G1277" s="52"/>
      <c r="H1277" s="52"/>
    </row>
    <row r="1278" spans="1:8" ht="15.75">
      <c r="A1278" s="106">
        <v>41264</v>
      </c>
      <c r="B1278" s="107">
        <v>134.68</v>
      </c>
      <c r="C1278" s="52"/>
      <c r="D1278" s="52"/>
      <c r="E1278" s="52"/>
      <c r="F1278" s="52"/>
      <c r="G1278" s="52"/>
      <c r="H1278" s="52"/>
    </row>
    <row r="1279" spans="1:8" ht="15.75">
      <c r="A1279" s="106">
        <v>41270</v>
      </c>
      <c r="B1279" s="107">
        <v>134.72999999999999</v>
      </c>
      <c r="C1279" s="52"/>
      <c r="D1279" s="52"/>
      <c r="E1279" s="52"/>
      <c r="F1279" s="52"/>
      <c r="G1279" s="52"/>
      <c r="H1279" s="52"/>
    </row>
    <row r="1280" spans="1:8" ht="15.75">
      <c r="A1280" s="106">
        <v>41271</v>
      </c>
      <c r="B1280" s="107">
        <v>135.11000000000001</v>
      </c>
      <c r="C1280" s="52"/>
      <c r="D1280" s="52"/>
      <c r="E1280" s="52"/>
      <c r="F1280" s="52"/>
      <c r="G1280" s="52"/>
      <c r="H1280" s="52"/>
    </row>
    <row r="1281" spans="1:8" ht="15.75">
      <c r="A1281" s="106">
        <v>41276</v>
      </c>
      <c r="B1281" s="107">
        <v>134.46</v>
      </c>
      <c r="C1281" s="52"/>
      <c r="D1281" s="52"/>
      <c r="E1281" s="52"/>
      <c r="F1281" s="52"/>
      <c r="G1281" s="52"/>
      <c r="H1281" s="52"/>
    </row>
    <row r="1282" spans="1:8" ht="15.75">
      <c r="A1282" s="106">
        <v>41277</v>
      </c>
      <c r="B1282" s="107">
        <v>134.26</v>
      </c>
      <c r="C1282" s="52"/>
      <c r="D1282" s="52"/>
      <c r="E1282" s="52"/>
      <c r="F1282" s="52"/>
      <c r="G1282" s="52"/>
      <c r="H1282" s="52"/>
    </row>
    <row r="1283" spans="1:8" ht="15.75">
      <c r="A1283" s="106">
        <v>41278</v>
      </c>
      <c r="B1283" s="107">
        <v>133.81</v>
      </c>
      <c r="C1283" s="52"/>
      <c r="D1283" s="52"/>
      <c r="E1283" s="52"/>
      <c r="F1283" s="52"/>
      <c r="G1283" s="52"/>
      <c r="H1283" s="52"/>
    </row>
    <row r="1284" spans="1:8" ht="15.75">
      <c r="A1284" s="106">
        <v>41281</v>
      </c>
      <c r="B1284" s="107">
        <v>133.77000000000001</v>
      </c>
      <c r="C1284" s="52"/>
      <c r="D1284" s="52"/>
      <c r="E1284" s="52"/>
      <c r="F1284" s="52"/>
      <c r="G1284" s="52"/>
      <c r="H1284" s="52"/>
    </row>
    <row r="1285" spans="1:8" ht="15.75">
      <c r="A1285" s="106">
        <v>41282</v>
      </c>
      <c r="B1285" s="107">
        <v>133.87</v>
      </c>
      <c r="C1285" s="52"/>
      <c r="D1285" s="52"/>
      <c r="E1285" s="52"/>
      <c r="F1285" s="52"/>
      <c r="G1285" s="52"/>
      <c r="H1285" s="52"/>
    </row>
    <row r="1286" spans="1:8" ht="15.75">
      <c r="A1286" s="106">
        <v>41283</v>
      </c>
      <c r="B1286" s="107">
        <v>134.05000000000001</v>
      </c>
      <c r="C1286" s="52"/>
      <c r="D1286" s="52"/>
      <c r="E1286" s="52"/>
      <c r="F1286" s="52"/>
      <c r="G1286" s="52"/>
      <c r="H1286" s="52"/>
    </row>
    <row r="1287" spans="1:8" ht="15.75">
      <c r="A1287" s="106">
        <v>41284</v>
      </c>
      <c r="B1287" s="107">
        <v>134.07</v>
      </c>
      <c r="C1287" s="52"/>
      <c r="D1287" s="52"/>
      <c r="E1287" s="52"/>
      <c r="F1287" s="52"/>
      <c r="G1287" s="52"/>
      <c r="H1287" s="52"/>
    </row>
    <row r="1288" spans="1:8" ht="15.75">
      <c r="A1288" s="106">
        <v>41285</v>
      </c>
      <c r="B1288" s="107">
        <v>133.6</v>
      </c>
      <c r="C1288" s="52"/>
      <c r="D1288" s="52"/>
      <c r="E1288" s="52"/>
      <c r="F1288" s="52"/>
      <c r="G1288" s="52"/>
      <c r="H1288" s="52"/>
    </row>
    <row r="1289" spans="1:8" ht="15.75">
      <c r="A1289" s="106">
        <v>41288</v>
      </c>
      <c r="B1289" s="107">
        <v>133.63</v>
      </c>
      <c r="C1289" s="52"/>
      <c r="D1289" s="52"/>
      <c r="E1289" s="52"/>
      <c r="F1289" s="52"/>
      <c r="G1289" s="52"/>
      <c r="H1289" s="52"/>
    </row>
    <row r="1290" spans="1:8" ht="15.75">
      <c r="A1290" s="106">
        <v>41289</v>
      </c>
      <c r="B1290" s="107">
        <v>133.71</v>
      </c>
      <c r="C1290" s="52"/>
      <c r="D1290" s="52"/>
      <c r="E1290" s="52"/>
      <c r="F1290" s="52"/>
      <c r="G1290" s="52"/>
      <c r="H1290" s="52"/>
    </row>
    <row r="1291" spans="1:8" ht="15.75">
      <c r="A1291" s="106">
        <v>41290</v>
      </c>
      <c r="B1291" s="107">
        <v>133.96</v>
      </c>
      <c r="C1291" s="52"/>
      <c r="D1291" s="52"/>
      <c r="E1291" s="52"/>
      <c r="F1291" s="52"/>
      <c r="G1291" s="52"/>
      <c r="H1291" s="52"/>
    </row>
    <row r="1292" spans="1:8" ht="15.75">
      <c r="A1292" s="106">
        <v>41291</v>
      </c>
      <c r="B1292" s="107">
        <v>133.58000000000001</v>
      </c>
      <c r="C1292" s="52"/>
      <c r="D1292" s="52"/>
      <c r="E1292" s="52"/>
      <c r="F1292" s="52"/>
      <c r="G1292" s="52"/>
      <c r="H1292" s="52"/>
    </row>
    <row r="1293" spans="1:8" ht="15.75">
      <c r="A1293" s="106">
        <v>41292</v>
      </c>
      <c r="B1293" s="107">
        <v>133.62</v>
      </c>
      <c r="C1293" s="52"/>
      <c r="D1293" s="52"/>
      <c r="E1293" s="52"/>
      <c r="F1293" s="52"/>
      <c r="G1293" s="52"/>
      <c r="H1293" s="52"/>
    </row>
    <row r="1294" spans="1:8" ht="15.75">
      <c r="A1294" s="106">
        <v>41295</v>
      </c>
      <c r="B1294" s="107">
        <v>133.66999999999999</v>
      </c>
      <c r="C1294" s="52"/>
      <c r="D1294" s="52"/>
      <c r="E1294" s="52"/>
      <c r="F1294" s="52"/>
      <c r="G1294" s="52"/>
      <c r="H1294" s="52"/>
    </row>
    <row r="1295" spans="1:8" ht="15.75">
      <c r="A1295" s="106">
        <v>41296</v>
      </c>
      <c r="B1295" s="107">
        <v>133.61000000000001</v>
      </c>
      <c r="C1295" s="52"/>
      <c r="D1295" s="52"/>
      <c r="E1295" s="52"/>
      <c r="F1295" s="52"/>
      <c r="G1295" s="52"/>
      <c r="H1295" s="52"/>
    </row>
    <row r="1296" spans="1:8" ht="15.75">
      <c r="A1296" s="106">
        <v>41297</v>
      </c>
      <c r="B1296" s="107">
        <v>133.84</v>
      </c>
      <c r="C1296" s="52"/>
      <c r="D1296" s="52"/>
      <c r="E1296" s="52"/>
      <c r="F1296" s="52"/>
      <c r="G1296" s="52"/>
      <c r="H1296" s="52"/>
    </row>
    <row r="1297" spans="1:8" ht="15.75">
      <c r="A1297" s="106">
        <v>41298</v>
      </c>
      <c r="B1297" s="107">
        <v>134.13999999999999</v>
      </c>
      <c r="C1297" s="52"/>
      <c r="D1297" s="52"/>
      <c r="E1297" s="52"/>
      <c r="F1297" s="52"/>
      <c r="G1297" s="52"/>
      <c r="H1297" s="52"/>
    </row>
    <row r="1298" spans="1:8" ht="15.75">
      <c r="A1298" s="106">
        <v>41299</v>
      </c>
      <c r="B1298" s="107">
        <v>133.83000000000001</v>
      </c>
      <c r="C1298" s="52"/>
      <c r="D1298" s="52"/>
      <c r="E1298" s="52"/>
      <c r="F1298" s="52"/>
      <c r="G1298" s="52"/>
      <c r="H1298" s="52"/>
    </row>
    <row r="1299" spans="1:8" ht="15.75">
      <c r="A1299" s="106">
        <v>41302</v>
      </c>
      <c r="B1299" s="107">
        <v>133.27000000000001</v>
      </c>
      <c r="C1299" s="52"/>
      <c r="D1299" s="52"/>
      <c r="E1299" s="52"/>
      <c r="F1299" s="52"/>
      <c r="G1299" s="52"/>
      <c r="H1299" s="52"/>
    </row>
    <row r="1300" spans="1:8" ht="15.75">
      <c r="A1300" s="106">
        <v>41303</v>
      </c>
      <c r="B1300" s="107">
        <v>132.93</v>
      </c>
      <c r="C1300" s="52"/>
      <c r="D1300" s="52"/>
      <c r="E1300" s="52"/>
      <c r="F1300" s="52"/>
      <c r="G1300" s="52"/>
      <c r="H1300" s="52"/>
    </row>
    <row r="1301" spans="1:8" ht="15.75">
      <c r="A1301" s="106">
        <v>41304</v>
      </c>
      <c r="B1301" s="107">
        <v>132.78</v>
      </c>
      <c r="C1301" s="52"/>
      <c r="D1301" s="52"/>
      <c r="E1301" s="52"/>
      <c r="F1301" s="52"/>
      <c r="G1301" s="52"/>
      <c r="H1301" s="52"/>
    </row>
    <row r="1302" spans="1:8" ht="15.75">
      <c r="A1302" s="106">
        <v>41305</v>
      </c>
      <c r="B1302" s="107">
        <v>133.12</v>
      </c>
      <c r="C1302" s="52"/>
      <c r="D1302" s="52"/>
      <c r="E1302" s="52"/>
      <c r="F1302" s="52"/>
      <c r="G1302" s="52"/>
      <c r="H1302" s="52"/>
    </row>
    <row r="1303" spans="1:8" ht="15.75">
      <c r="A1303" s="106">
        <v>41306</v>
      </c>
      <c r="B1303" s="107">
        <v>133.15</v>
      </c>
      <c r="C1303" s="52"/>
      <c r="D1303" s="52"/>
      <c r="E1303" s="52"/>
      <c r="F1303" s="52"/>
      <c r="G1303" s="52"/>
      <c r="H1303" s="52"/>
    </row>
    <row r="1304" spans="1:8" ht="15.75">
      <c r="A1304" s="106">
        <v>41309</v>
      </c>
      <c r="B1304" s="107">
        <v>133.13999999999999</v>
      </c>
      <c r="C1304" s="52"/>
      <c r="D1304" s="52"/>
      <c r="E1304" s="52"/>
      <c r="F1304" s="52"/>
      <c r="G1304" s="52"/>
      <c r="H1304" s="52"/>
    </row>
    <row r="1305" spans="1:8" ht="15.75">
      <c r="A1305" s="106">
        <v>41310</v>
      </c>
      <c r="B1305" s="107">
        <v>133.46</v>
      </c>
      <c r="C1305" s="52"/>
      <c r="D1305" s="52"/>
      <c r="E1305" s="52"/>
      <c r="F1305" s="52"/>
      <c r="G1305" s="52"/>
      <c r="H1305" s="52"/>
    </row>
    <row r="1306" spans="1:8" ht="15.75">
      <c r="A1306" s="106">
        <v>41311</v>
      </c>
      <c r="B1306" s="107">
        <v>133.47999999999999</v>
      </c>
      <c r="C1306" s="52"/>
      <c r="D1306" s="52"/>
      <c r="E1306" s="52"/>
      <c r="F1306" s="52"/>
      <c r="G1306" s="52"/>
      <c r="H1306" s="52"/>
    </row>
    <row r="1307" spans="1:8" ht="15.75">
      <c r="A1307" s="106">
        <v>41312</v>
      </c>
      <c r="B1307" s="107">
        <v>133.41</v>
      </c>
      <c r="C1307" s="52"/>
      <c r="D1307" s="52"/>
      <c r="E1307" s="52"/>
      <c r="F1307" s="52"/>
      <c r="G1307" s="52"/>
      <c r="H1307" s="52"/>
    </row>
    <row r="1308" spans="1:8" ht="15.75">
      <c r="A1308" s="106">
        <v>41313</v>
      </c>
      <c r="B1308" s="107">
        <v>133.68</v>
      </c>
      <c r="C1308" s="52"/>
      <c r="D1308" s="52"/>
      <c r="E1308" s="52"/>
      <c r="F1308" s="52"/>
      <c r="G1308" s="52"/>
      <c r="H1308" s="52"/>
    </row>
    <row r="1309" spans="1:8" ht="15.75">
      <c r="A1309" s="106">
        <v>41316</v>
      </c>
      <c r="B1309" s="107">
        <v>133.63999999999999</v>
      </c>
      <c r="C1309" s="52"/>
      <c r="D1309" s="52"/>
      <c r="E1309" s="52"/>
      <c r="F1309" s="52"/>
      <c r="G1309" s="52"/>
      <c r="H1309" s="52"/>
    </row>
    <row r="1310" spans="1:8" ht="15.75">
      <c r="A1310" s="106">
        <v>41317</v>
      </c>
      <c r="B1310" s="107">
        <v>133.72999999999999</v>
      </c>
      <c r="C1310" s="52"/>
      <c r="D1310" s="52"/>
      <c r="E1310" s="52"/>
      <c r="F1310" s="52"/>
      <c r="G1310" s="52"/>
      <c r="H1310" s="52"/>
    </row>
    <row r="1311" spans="1:8" ht="15.75">
      <c r="A1311" s="106">
        <v>41318</v>
      </c>
      <c r="B1311" s="107">
        <v>133.35</v>
      </c>
      <c r="C1311" s="52"/>
      <c r="D1311" s="52"/>
      <c r="E1311" s="52"/>
      <c r="F1311" s="52"/>
      <c r="G1311" s="52"/>
      <c r="H1311" s="52"/>
    </row>
    <row r="1312" spans="1:8" ht="15.75">
      <c r="A1312" s="106">
        <v>41319</v>
      </c>
      <c r="B1312" s="107">
        <v>133.43</v>
      </c>
      <c r="C1312" s="52"/>
      <c r="D1312" s="52"/>
      <c r="E1312" s="52"/>
      <c r="F1312" s="52"/>
      <c r="G1312" s="52"/>
      <c r="H1312" s="52"/>
    </row>
    <row r="1313" spans="1:8" ht="15.75">
      <c r="A1313" s="106">
        <v>41320</v>
      </c>
      <c r="B1313" s="107">
        <v>133.63999999999999</v>
      </c>
      <c r="C1313" s="52"/>
      <c r="D1313" s="52"/>
      <c r="E1313" s="52"/>
      <c r="F1313" s="52"/>
      <c r="G1313" s="52"/>
      <c r="H1313" s="52"/>
    </row>
    <row r="1314" spans="1:8" ht="15.75">
      <c r="A1314" s="106">
        <v>41323</v>
      </c>
      <c r="B1314" s="107">
        <v>133.65</v>
      </c>
      <c r="C1314" s="52"/>
      <c r="D1314" s="52"/>
      <c r="E1314" s="52"/>
      <c r="F1314" s="52"/>
      <c r="G1314" s="52"/>
      <c r="H1314" s="52"/>
    </row>
    <row r="1315" spans="1:8" ht="15.75">
      <c r="A1315" s="106">
        <v>41324</v>
      </c>
      <c r="B1315" s="107">
        <v>133.63</v>
      </c>
      <c r="C1315" s="52"/>
      <c r="D1315" s="52"/>
      <c r="E1315" s="52"/>
      <c r="F1315" s="52"/>
      <c r="G1315" s="52"/>
      <c r="H1315" s="52"/>
    </row>
    <row r="1316" spans="1:8" ht="15.75">
      <c r="A1316" s="106">
        <v>41325</v>
      </c>
      <c r="B1316" s="107">
        <v>133.53</v>
      </c>
      <c r="C1316" s="52"/>
      <c r="D1316" s="52"/>
      <c r="E1316" s="52"/>
      <c r="F1316" s="52"/>
      <c r="G1316" s="52"/>
      <c r="H1316" s="52"/>
    </row>
    <row r="1317" spans="1:8" ht="15.75">
      <c r="A1317" s="106">
        <v>41326</v>
      </c>
      <c r="B1317" s="107">
        <v>133.69</v>
      </c>
      <c r="C1317" s="52"/>
      <c r="D1317" s="52"/>
      <c r="E1317" s="52"/>
      <c r="F1317" s="52"/>
      <c r="G1317" s="52"/>
      <c r="H1317" s="52"/>
    </row>
    <row r="1318" spans="1:8" ht="15.75">
      <c r="A1318" s="106">
        <v>41327</v>
      </c>
      <c r="B1318" s="107">
        <v>133.86000000000001</v>
      </c>
      <c r="C1318" s="52"/>
      <c r="D1318" s="52"/>
      <c r="E1318" s="52"/>
      <c r="F1318" s="52"/>
      <c r="G1318" s="52"/>
      <c r="H1318" s="52"/>
    </row>
    <row r="1319" spans="1:8" ht="15.75">
      <c r="A1319" s="106">
        <v>41330</v>
      </c>
      <c r="B1319" s="107">
        <v>134.1</v>
      </c>
      <c r="C1319" s="52"/>
      <c r="D1319" s="52"/>
      <c r="E1319" s="52"/>
      <c r="F1319" s="52"/>
      <c r="G1319" s="52"/>
      <c r="H1319" s="52"/>
    </row>
    <row r="1320" spans="1:8" ht="15.75">
      <c r="A1320" s="106">
        <v>41331</v>
      </c>
      <c r="B1320" s="107">
        <v>134.5</v>
      </c>
      <c r="C1320" s="52"/>
      <c r="D1320" s="52"/>
      <c r="E1320" s="52"/>
      <c r="F1320" s="52"/>
      <c r="G1320" s="52"/>
      <c r="H1320" s="52"/>
    </row>
    <row r="1321" spans="1:8" ht="15.75">
      <c r="A1321" s="106">
        <v>41332</v>
      </c>
      <c r="B1321" s="107">
        <v>134.77000000000001</v>
      </c>
      <c r="C1321" s="52"/>
      <c r="D1321" s="52"/>
      <c r="E1321" s="52"/>
      <c r="F1321" s="52"/>
      <c r="G1321" s="52"/>
      <c r="H1321" s="52"/>
    </row>
    <row r="1322" spans="1:8" ht="15.75">
      <c r="A1322" s="106">
        <v>41333</v>
      </c>
      <c r="B1322" s="107">
        <v>134.63</v>
      </c>
      <c r="C1322" s="52"/>
      <c r="D1322" s="52"/>
      <c r="E1322" s="52"/>
      <c r="F1322" s="52"/>
      <c r="G1322" s="52"/>
      <c r="H1322" s="52"/>
    </row>
    <row r="1323" spans="1:8" ht="15.75">
      <c r="A1323" s="106">
        <v>41334</v>
      </c>
      <c r="B1323" s="107">
        <v>134.75</v>
      </c>
      <c r="C1323" s="52"/>
      <c r="D1323" s="52"/>
      <c r="E1323" s="52"/>
      <c r="F1323" s="52"/>
      <c r="G1323" s="52"/>
      <c r="H1323" s="52"/>
    </row>
    <row r="1324" spans="1:8" ht="15.75">
      <c r="A1324" s="106">
        <v>41337</v>
      </c>
      <c r="B1324" s="107">
        <v>134.96</v>
      </c>
      <c r="C1324" s="52"/>
      <c r="D1324" s="52"/>
      <c r="E1324" s="52"/>
      <c r="F1324" s="52"/>
      <c r="G1324" s="52"/>
      <c r="H1324" s="52"/>
    </row>
    <row r="1325" spans="1:8" ht="15.75">
      <c r="A1325" s="106">
        <v>41338</v>
      </c>
      <c r="B1325" s="107">
        <v>134.9</v>
      </c>
      <c r="C1325" s="52"/>
      <c r="D1325" s="52"/>
      <c r="E1325" s="52"/>
      <c r="F1325" s="52"/>
      <c r="G1325" s="52"/>
      <c r="H1325" s="52"/>
    </row>
    <row r="1326" spans="1:8" ht="15.75">
      <c r="A1326" s="106">
        <v>41339</v>
      </c>
      <c r="B1326" s="107">
        <v>134.79</v>
      </c>
      <c r="C1326" s="52"/>
      <c r="D1326" s="52"/>
      <c r="E1326" s="52"/>
      <c r="F1326" s="52"/>
      <c r="G1326" s="52"/>
      <c r="H1326" s="52"/>
    </row>
    <row r="1327" spans="1:8" ht="15.75">
      <c r="A1327" s="106">
        <v>41340</v>
      </c>
      <c r="B1327" s="107">
        <v>134.63</v>
      </c>
      <c r="C1327" s="52"/>
      <c r="D1327" s="52"/>
      <c r="E1327" s="52"/>
      <c r="F1327" s="52"/>
      <c r="G1327" s="52"/>
      <c r="H1327" s="52"/>
    </row>
    <row r="1328" spans="1:8" ht="15.75">
      <c r="A1328" s="106">
        <v>41341</v>
      </c>
      <c r="B1328" s="107">
        <v>134.38</v>
      </c>
      <c r="C1328" s="52"/>
      <c r="D1328" s="52"/>
      <c r="E1328" s="52"/>
      <c r="F1328" s="52"/>
      <c r="G1328" s="52"/>
      <c r="H1328" s="52"/>
    </row>
    <row r="1329" spans="1:8" ht="15.75">
      <c r="A1329" s="106">
        <v>41344</v>
      </c>
      <c r="B1329" s="107">
        <v>134.38</v>
      </c>
      <c r="C1329" s="52"/>
      <c r="D1329" s="52"/>
      <c r="E1329" s="52"/>
      <c r="F1329" s="52"/>
      <c r="G1329" s="52"/>
      <c r="H1329" s="52"/>
    </row>
    <row r="1330" spans="1:8" ht="15.75">
      <c r="A1330" s="106">
        <v>41345</v>
      </c>
      <c r="B1330" s="107">
        <v>134.43</v>
      </c>
      <c r="C1330" s="52"/>
      <c r="D1330" s="52"/>
      <c r="E1330" s="52"/>
      <c r="F1330" s="52"/>
      <c r="G1330" s="52"/>
      <c r="H1330" s="52"/>
    </row>
    <row r="1331" spans="1:8" ht="15.75">
      <c r="A1331" s="106">
        <v>41346</v>
      </c>
      <c r="B1331" s="107">
        <v>134.41</v>
      </c>
      <c r="C1331" s="52"/>
      <c r="D1331" s="52"/>
      <c r="E1331" s="52"/>
      <c r="F1331" s="52"/>
      <c r="G1331" s="52"/>
      <c r="H1331" s="52"/>
    </row>
    <row r="1332" spans="1:8" ht="15.75">
      <c r="A1332" s="106">
        <v>41347</v>
      </c>
      <c r="B1332" s="107">
        <v>134.34</v>
      </c>
      <c r="C1332" s="52"/>
      <c r="D1332" s="52"/>
      <c r="E1332" s="52"/>
      <c r="F1332" s="52"/>
      <c r="G1332" s="52"/>
      <c r="H1332" s="52"/>
    </row>
    <row r="1333" spans="1:8" ht="15.75">
      <c r="A1333" s="106">
        <v>41348</v>
      </c>
      <c r="B1333" s="107">
        <v>134.5</v>
      </c>
      <c r="C1333" s="52"/>
      <c r="D1333" s="52"/>
      <c r="E1333" s="52"/>
      <c r="F1333" s="52"/>
      <c r="G1333" s="52"/>
      <c r="H1333" s="52"/>
    </row>
    <row r="1334" spans="1:8" ht="15.75">
      <c r="A1334" s="106">
        <v>41351</v>
      </c>
      <c r="B1334" s="107">
        <v>134.94999999999999</v>
      </c>
      <c r="C1334" s="52"/>
      <c r="D1334" s="52"/>
      <c r="E1334" s="52"/>
      <c r="F1334" s="52"/>
      <c r="G1334" s="52"/>
      <c r="H1334" s="52"/>
    </row>
    <row r="1335" spans="1:8" ht="15.75">
      <c r="A1335" s="106">
        <v>41352</v>
      </c>
      <c r="B1335" s="107">
        <v>135.05000000000001</v>
      </c>
      <c r="C1335" s="52"/>
      <c r="D1335" s="52"/>
      <c r="E1335" s="52"/>
      <c r="F1335" s="52"/>
      <c r="G1335" s="52"/>
      <c r="H1335" s="52"/>
    </row>
    <row r="1336" spans="1:8" ht="15.75">
      <c r="A1336" s="106">
        <v>41353</v>
      </c>
      <c r="B1336" s="107">
        <v>135.15</v>
      </c>
      <c r="C1336" s="52"/>
      <c r="D1336" s="52"/>
      <c r="E1336" s="52"/>
      <c r="F1336" s="52"/>
      <c r="G1336" s="52"/>
      <c r="H1336" s="52"/>
    </row>
    <row r="1337" spans="1:8" ht="15.75">
      <c r="A1337" s="106">
        <v>41354</v>
      </c>
      <c r="B1337" s="107">
        <v>135.19999999999999</v>
      </c>
      <c r="C1337" s="52"/>
      <c r="D1337" s="52"/>
      <c r="E1337" s="52"/>
      <c r="F1337" s="52"/>
      <c r="G1337" s="52"/>
      <c r="H1337" s="52"/>
    </row>
    <row r="1338" spans="1:8" ht="15.75">
      <c r="A1338" s="106">
        <v>41355</v>
      </c>
      <c r="B1338" s="107">
        <v>135.37</v>
      </c>
      <c r="C1338" s="52"/>
      <c r="D1338" s="52"/>
      <c r="E1338" s="52"/>
      <c r="F1338" s="52"/>
      <c r="G1338" s="52"/>
      <c r="H1338" s="52"/>
    </row>
    <row r="1339" spans="1:8" ht="15.75">
      <c r="A1339" s="106">
        <v>41358</v>
      </c>
      <c r="B1339" s="107">
        <v>135.34</v>
      </c>
      <c r="C1339" s="52"/>
      <c r="D1339" s="52"/>
      <c r="E1339" s="52"/>
      <c r="F1339" s="52"/>
      <c r="G1339" s="52"/>
      <c r="H1339" s="52"/>
    </row>
    <row r="1340" spans="1:8" ht="15.75">
      <c r="A1340" s="106">
        <v>41359</v>
      </c>
      <c r="B1340" s="107">
        <v>135.25</v>
      </c>
      <c r="C1340" s="52"/>
      <c r="D1340" s="52"/>
      <c r="E1340" s="52"/>
      <c r="F1340" s="52"/>
      <c r="G1340" s="52"/>
      <c r="H1340" s="52"/>
    </row>
    <row r="1341" spans="1:8" ht="15.75">
      <c r="A1341" s="106">
        <v>41360</v>
      </c>
      <c r="B1341" s="107">
        <v>135.69999999999999</v>
      </c>
      <c r="C1341" s="52"/>
      <c r="D1341" s="52"/>
      <c r="E1341" s="52"/>
      <c r="F1341" s="52"/>
      <c r="G1341" s="52"/>
      <c r="H1341" s="52"/>
    </row>
    <row r="1342" spans="1:8" ht="15.75">
      <c r="A1342" s="106">
        <v>41361</v>
      </c>
      <c r="B1342" s="107">
        <v>135.85</v>
      </c>
      <c r="C1342" s="52"/>
      <c r="D1342" s="52"/>
      <c r="E1342" s="52"/>
      <c r="F1342" s="52"/>
      <c r="G1342" s="52"/>
      <c r="H1342" s="52"/>
    </row>
    <row r="1343" spans="1:8" ht="15.75">
      <c r="A1343" s="106">
        <v>41366</v>
      </c>
      <c r="B1343" s="107">
        <v>135.52000000000001</v>
      </c>
      <c r="C1343" s="52"/>
      <c r="D1343" s="52"/>
      <c r="E1343" s="52"/>
      <c r="F1343" s="52"/>
      <c r="G1343" s="52"/>
      <c r="H1343" s="52"/>
    </row>
    <row r="1344" spans="1:8" ht="15.75">
      <c r="A1344" s="106">
        <v>41367</v>
      </c>
      <c r="B1344" s="107">
        <v>135.44999999999999</v>
      </c>
      <c r="C1344" s="52"/>
      <c r="D1344" s="52"/>
      <c r="E1344" s="52"/>
      <c r="F1344" s="52"/>
      <c r="G1344" s="52"/>
      <c r="H1344" s="52"/>
    </row>
    <row r="1345" spans="1:8" ht="15.75">
      <c r="A1345" s="106">
        <v>41368</v>
      </c>
      <c r="B1345" s="107">
        <v>135.68</v>
      </c>
      <c r="C1345" s="52"/>
      <c r="D1345" s="52"/>
      <c r="E1345" s="52"/>
      <c r="F1345" s="52"/>
      <c r="G1345" s="52"/>
      <c r="H1345" s="52"/>
    </row>
    <row r="1346" spans="1:8" ht="15.75">
      <c r="A1346" s="106">
        <v>41369</v>
      </c>
      <c r="B1346" s="107">
        <v>135.71</v>
      </c>
      <c r="C1346" s="52"/>
      <c r="D1346" s="52"/>
      <c r="E1346" s="52"/>
      <c r="F1346" s="52"/>
      <c r="G1346" s="52"/>
      <c r="H1346" s="52"/>
    </row>
    <row r="1347" spans="1:8" ht="15.75">
      <c r="A1347" s="106">
        <v>41372</v>
      </c>
      <c r="B1347" s="107">
        <v>135.94999999999999</v>
      </c>
      <c r="C1347" s="52"/>
      <c r="D1347" s="52"/>
      <c r="E1347" s="52"/>
      <c r="F1347" s="52"/>
      <c r="G1347" s="52"/>
      <c r="H1347" s="52"/>
    </row>
    <row r="1348" spans="1:8" ht="15.75">
      <c r="A1348" s="106">
        <v>41373</v>
      </c>
      <c r="B1348" s="107">
        <v>135.72999999999999</v>
      </c>
      <c r="C1348" s="52"/>
      <c r="D1348" s="52"/>
      <c r="E1348" s="52"/>
      <c r="F1348" s="52"/>
      <c r="G1348" s="52"/>
      <c r="H1348" s="52"/>
    </row>
    <row r="1349" spans="1:8" ht="15.75">
      <c r="A1349" s="106">
        <v>41374</v>
      </c>
      <c r="B1349" s="107">
        <v>135.4</v>
      </c>
      <c r="C1349" s="52"/>
      <c r="D1349" s="52"/>
      <c r="E1349" s="52"/>
      <c r="F1349" s="52"/>
      <c r="G1349" s="52"/>
      <c r="H1349" s="52"/>
    </row>
    <row r="1350" spans="1:8" ht="15.75">
      <c r="A1350" s="106">
        <v>41375</v>
      </c>
      <c r="B1350" s="107">
        <v>135.36000000000001</v>
      </c>
      <c r="C1350" s="52"/>
      <c r="D1350" s="52"/>
      <c r="E1350" s="52"/>
      <c r="F1350" s="52"/>
      <c r="G1350" s="52"/>
      <c r="H1350" s="52"/>
    </row>
    <row r="1351" spans="1:8" ht="15.75">
      <c r="A1351" s="106">
        <v>41376</v>
      </c>
      <c r="B1351" s="107">
        <v>135.85</v>
      </c>
      <c r="C1351" s="52"/>
      <c r="D1351" s="52"/>
      <c r="E1351" s="52"/>
      <c r="F1351" s="52"/>
      <c r="G1351" s="52"/>
      <c r="H1351" s="52"/>
    </row>
    <row r="1352" spans="1:8" ht="15.75">
      <c r="A1352" s="106">
        <v>41379</v>
      </c>
      <c r="B1352" s="107">
        <v>135.57</v>
      </c>
      <c r="C1352" s="52"/>
      <c r="D1352" s="52"/>
      <c r="E1352" s="52"/>
      <c r="F1352" s="52"/>
      <c r="G1352" s="52"/>
      <c r="H1352" s="52"/>
    </row>
    <row r="1353" spans="1:8" ht="15.75">
      <c r="A1353" s="106">
        <v>41380</v>
      </c>
      <c r="B1353" s="107">
        <v>135.54</v>
      </c>
      <c r="C1353" s="52"/>
      <c r="D1353" s="52"/>
      <c r="E1353" s="52"/>
      <c r="F1353" s="52"/>
      <c r="G1353" s="52"/>
      <c r="H1353" s="52"/>
    </row>
    <row r="1354" spans="1:8" ht="15.75">
      <c r="A1354" s="106">
        <v>41381</v>
      </c>
      <c r="B1354" s="107">
        <v>135.51</v>
      </c>
      <c r="C1354" s="52"/>
      <c r="D1354" s="52"/>
      <c r="E1354" s="52"/>
      <c r="F1354" s="52"/>
      <c r="G1354" s="52"/>
      <c r="H1354" s="52"/>
    </row>
    <row r="1355" spans="1:8" ht="15.75">
      <c r="A1355" s="106">
        <v>41382</v>
      </c>
      <c r="B1355" s="107">
        <v>135.72</v>
      </c>
      <c r="C1355" s="52"/>
      <c r="D1355" s="52"/>
      <c r="E1355" s="52"/>
      <c r="F1355" s="52"/>
      <c r="G1355" s="52"/>
      <c r="H1355" s="52"/>
    </row>
    <row r="1356" spans="1:8" ht="15.75">
      <c r="A1356" s="106">
        <v>41383</v>
      </c>
      <c r="B1356" s="107">
        <v>135.69</v>
      </c>
      <c r="C1356" s="52"/>
      <c r="D1356" s="52"/>
      <c r="E1356" s="52"/>
      <c r="F1356" s="52"/>
      <c r="G1356" s="52"/>
      <c r="H1356" s="52"/>
    </row>
    <row r="1357" spans="1:8" ht="15.75">
      <c r="A1357" s="106">
        <v>41386</v>
      </c>
      <c r="B1357" s="107">
        <v>135.57</v>
      </c>
      <c r="C1357" s="52"/>
      <c r="D1357" s="52"/>
      <c r="E1357" s="52"/>
      <c r="F1357" s="52"/>
      <c r="G1357" s="52"/>
      <c r="H1357" s="52"/>
    </row>
    <row r="1358" spans="1:8" ht="15.75">
      <c r="A1358" s="106">
        <v>41387</v>
      </c>
      <c r="B1358" s="107">
        <v>135.97</v>
      </c>
      <c r="C1358" s="52"/>
      <c r="D1358" s="52"/>
      <c r="E1358" s="52"/>
      <c r="F1358" s="52"/>
      <c r="G1358" s="52"/>
      <c r="H1358" s="52"/>
    </row>
    <row r="1359" spans="1:8" ht="15.75">
      <c r="A1359" s="106">
        <v>41388</v>
      </c>
      <c r="B1359" s="107">
        <v>135.6</v>
      </c>
      <c r="C1359" s="52"/>
      <c r="D1359" s="52"/>
      <c r="E1359" s="52"/>
      <c r="F1359" s="52"/>
      <c r="G1359" s="52"/>
      <c r="H1359" s="52"/>
    </row>
    <row r="1360" spans="1:8" ht="15.75">
      <c r="A1360" s="106">
        <v>41389</v>
      </c>
      <c r="B1360" s="107">
        <v>135.72999999999999</v>
      </c>
      <c r="C1360" s="52"/>
      <c r="D1360" s="52"/>
      <c r="E1360" s="52"/>
      <c r="F1360" s="52"/>
      <c r="G1360" s="52"/>
      <c r="H1360" s="52"/>
    </row>
    <row r="1361" spans="1:8" ht="15.75">
      <c r="A1361" s="106">
        <v>41390</v>
      </c>
      <c r="B1361" s="107">
        <v>135.72999999999999</v>
      </c>
      <c r="C1361" s="52"/>
      <c r="D1361" s="52"/>
      <c r="E1361" s="52"/>
      <c r="F1361" s="52"/>
      <c r="G1361" s="52"/>
      <c r="H1361" s="52"/>
    </row>
    <row r="1362" spans="1:8" ht="15.75">
      <c r="A1362" s="106">
        <v>41393</v>
      </c>
      <c r="B1362" s="107">
        <v>135.78</v>
      </c>
      <c r="C1362" s="52"/>
      <c r="D1362" s="52"/>
      <c r="E1362" s="52"/>
      <c r="F1362" s="52"/>
      <c r="G1362" s="52"/>
      <c r="H1362" s="52"/>
    </row>
    <row r="1363" spans="1:8" ht="15.75">
      <c r="A1363" s="106">
        <v>41394</v>
      </c>
      <c r="B1363" s="107">
        <v>135.75</v>
      </c>
      <c r="C1363" s="52"/>
      <c r="D1363" s="52"/>
      <c r="E1363" s="52"/>
      <c r="F1363" s="52"/>
      <c r="G1363" s="52"/>
      <c r="H1363" s="52"/>
    </row>
    <row r="1364" spans="1:8" ht="15.75">
      <c r="A1364" s="106">
        <v>41396</v>
      </c>
      <c r="B1364" s="107">
        <v>135.82</v>
      </c>
      <c r="C1364" s="52"/>
      <c r="D1364" s="52"/>
      <c r="E1364" s="52"/>
      <c r="F1364" s="52"/>
      <c r="G1364" s="52"/>
      <c r="H1364" s="52"/>
    </row>
    <row r="1365" spans="1:8" ht="15.75">
      <c r="A1365" s="106">
        <v>41397</v>
      </c>
      <c r="B1365" s="107">
        <v>135.84</v>
      </c>
      <c r="C1365" s="52"/>
      <c r="D1365" s="52"/>
      <c r="E1365" s="52"/>
      <c r="F1365" s="52"/>
      <c r="G1365" s="52"/>
      <c r="H1365" s="52"/>
    </row>
    <row r="1366" spans="1:8" ht="15.75">
      <c r="A1366" s="106">
        <v>41400</v>
      </c>
      <c r="B1366" s="107">
        <v>135.56</v>
      </c>
      <c r="C1366" s="52"/>
      <c r="D1366" s="52"/>
      <c r="E1366" s="52"/>
      <c r="F1366" s="52"/>
      <c r="G1366" s="52"/>
      <c r="H1366" s="52"/>
    </row>
    <row r="1367" spans="1:8" ht="15.75">
      <c r="A1367" s="106">
        <v>41401</v>
      </c>
      <c r="B1367" s="107">
        <v>135.38</v>
      </c>
      <c r="C1367" s="52"/>
      <c r="D1367" s="52"/>
      <c r="E1367" s="52"/>
      <c r="F1367" s="52"/>
      <c r="G1367" s="52"/>
      <c r="H1367" s="52"/>
    </row>
    <row r="1368" spans="1:8" ht="15.75">
      <c r="A1368" s="106">
        <v>41402</v>
      </c>
      <c r="B1368" s="107">
        <v>135.21</v>
      </c>
      <c r="C1368" s="52"/>
      <c r="D1368" s="52"/>
      <c r="E1368" s="52"/>
      <c r="F1368" s="52"/>
      <c r="G1368" s="52"/>
      <c r="H1368" s="52"/>
    </row>
    <row r="1369" spans="1:8" ht="15.75">
      <c r="A1369" s="106">
        <v>41403</v>
      </c>
      <c r="B1369" s="107">
        <v>135.5</v>
      </c>
      <c r="C1369" s="52"/>
      <c r="D1369" s="52"/>
      <c r="E1369" s="52"/>
      <c r="F1369" s="52"/>
      <c r="G1369" s="52"/>
      <c r="H1369" s="52"/>
    </row>
    <row r="1370" spans="1:8" ht="15.75">
      <c r="A1370" s="106">
        <v>41404</v>
      </c>
      <c r="B1370" s="107">
        <v>135.09</v>
      </c>
      <c r="C1370" s="52"/>
      <c r="D1370" s="52"/>
      <c r="E1370" s="52"/>
      <c r="F1370" s="52"/>
      <c r="G1370" s="52"/>
      <c r="H1370" s="52"/>
    </row>
    <row r="1371" spans="1:8" ht="15.75">
      <c r="A1371" s="106">
        <v>41407</v>
      </c>
      <c r="B1371" s="107">
        <v>134.96</v>
      </c>
      <c r="C1371" s="52"/>
      <c r="D1371" s="52"/>
      <c r="E1371" s="52"/>
      <c r="F1371" s="52"/>
      <c r="G1371" s="52"/>
      <c r="H1371" s="52"/>
    </row>
    <row r="1372" spans="1:8" ht="15.75">
      <c r="A1372" s="106">
        <v>41408</v>
      </c>
      <c r="B1372" s="107">
        <v>134.93</v>
      </c>
      <c r="C1372" s="52"/>
      <c r="D1372" s="52"/>
      <c r="E1372" s="52"/>
      <c r="F1372" s="52"/>
      <c r="G1372" s="52"/>
      <c r="H1372" s="52"/>
    </row>
    <row r="1373" spans="1:8" ht="15.75">
      <c r="A1373" s="106">
        <v>41409</v>
      </c>
      <c r="B1373" s="107">
        <v>134.88999999999999</v>
      </c>
      <c r="C1373" s="52"/>
      <c r="D1373" s="52"/>
      <c r="E1373" s="52"/>
      <c r="F1373" s="52"/>
      <c r="G1373" s="52"/>
      <c r="H1373" s="52"/>
    </row>
    <row r="1374" spans="1:8" ht="15.75">
      <c r="A1374" s="106">
        <v>41410</v>
      </c>
      <c r="B1374" s="107">
        <v>134.83000000000001</v>
      </c>
      <c r="C1374" s="52"/>
      <c r="D1374" s="52"/>
      <c r="E1374" s="52"/>
      <c r="F1374" s="52"/>
      <c r="G1374" s="52"/>
      <c r="H1374" s="52"/>
    </row>
    <row r="1375" spans="1:8" ht="15.75">
      <c r="A1375" s="106">
        <v>41411</v>
      </c>
      <c r="B1375" s="107">
        <v>135.25</v>
      </c>
      <c r="C1375" s="52"/>
      <c r="D1375" s="52"/>
      <c r="E1375" s="52"/>
      <c r="F1375" s="52"/>
      <c r="G1375" s="52"/>
      <c r="H1375" s="52"/>
    </row>
    <row r="1376" spans="1:8" ht="15.75">
      <c r="A1376" s="106">
        <v>41414</v>
      </c>
      <c r="B1376" s="107">
        <v>135</v>
      </c>
      <c r="C1376" s="52"/>
      <c r="D1376" s="52"/>
      <c r="E1376" s="52"/>
      <c r="F1376" s="52"/>
      <c r="G1376" s="52"/>
      <c r="H1376" s="52"/>
    </row>
    <row r="1377" spans="1:8" ht="15.75">
      <c r="A1377" s="106">
        <v>41415</v>
      </c>
      <c r="B1377" s="107">
        <v>134.96</v>
      </c>
      <c r="C1377" s="52"/>
      <c r="D1377" s="52"/>
      <c r="E1377" s="52"/>
      <c r="F1377" s="52"/>
      <c r="G1377" s="52"/>
      <c r="H1377" s="52"/>
    </row>
    <row r="1378" spans="1:8" ht="15.75">
      <c r="A1378" s="106">
        <v>41416</v>
      </c>
      <c r="B1378" s="107">
        <v>134.91999999999999</v>
      </c>
      <c r="C1378" s="52"/>
      <c r="D1378" s="52"/>
      <c r="E1378" s="52"/>
      <c r="F1378" s="52"/>
      <c r="G1378" s="52"/>
      <c r="H1378" s="52"/>
    </row>
    <row r="1379" spans="1:8" ht="15.75">
      <c r="A1379" s="106">
        <v>41417</v>
      </c>
      <c r="B1379" s="107">
        <v>134.97</v>
      </c>
      <c r="C1379" s="52"/>
      <c r="D1379" s="52"/>
      <c r="E1379" s="52"/>
      <c r="F1379" s="52"/>
      <c r="G1379" s="52"/>
      <c r="H1379" s="52"/>
    </row>
    <row r="1380" spans="1:8" ht="15.75">
      <c r="A1380" s="106">
        <v>41418</v>
      </c>
      <c r="B1380" s="107">
        <v>134.63999999999999</v>
      </c>
      <c r="C1380" s="52"/>
      <c r="D1380" s="52"/>
      <c r="E1380" s="52"/>
      <c r="F1380" s="52"/>
      <c r="G1380" s="52"/>
      <c r="H1380" s="52"/>
    </row>
    <row r="1381" spans="1:8" ht="15.75">
      <c r="A1381" s="106">
        <v>41421</v>
      </c>
      <c r="B1381" s="107">
        <v>134.68</v>
      </c>
      <c r="C1381" s="52"/>
      <c r="D1381" s="52"/>
      <c r="E1381" s="52"/>
      <c r="F1381" s="52"/>
      <c r="G1381" s="52"/>
      <c r="H1381" s="52"/>
    </row>
    <row r="1382" spans="1:8" ht="15.75">
      <c r="A1382" s="106">
        <v>41422</v>
      </c>
      <c r="B1382" s="107">
        <v>134.52000000000001</v>
      </c>
      <c r="C1382" s="52"/>
      <c r="D1382" s="52"/>
      <c r="E1382" s="52"/>
      <c r="F1382" s="52"/>
      <c r="G1382" s="52"/>
      <c r="H1382" s="52"/>
    </row>
    <row r="1383" spans="1:8" ht="15.75">
      <c r="A1383" s="106">
        <v>41423</v>
      </c>
      <c r="B1383" s="107">
        <v>134.24</v>
      </c>
      <c r="C1383" s="52"/>
      <c r="D1383" s="52"/>
      <c r="E1383" s="52"/>
      <c r="F1383" s="52"/>
      <c r="G1383" s="52"/>
      <c r="H1383" s="52"/>
    </row>
    <row r="1384" spans="1:8" ht="15.75">
      <c r="A1384" s="106">
        <v>41424</v>
      </c>
      <c r="B1384" s="107">
        <v>134.33000000000001</v>
      </c>
      <c r="C1384" s="52"/>
      <c r="D1384" s="52"/>
      <c r="E1384" s="52"/>
      <c r="F1384" s="52"/>
      <c r="G1384" s="52"/>
      <c r="H1384" s="52"/>
    </row>
    <row r="1385" spans="1:8" ht="15.75">
      <c r="A1385" s="106">
        <v>41425</v>
      </c>
      <c r="B1385" s="107">
        <v>134.63</v>
      </c>
      <c r="C1385" s="52"/>
      <c r="D1385" s="52"/>
      <c r="E1385" s="52"/>
      <c r="F1385" s="52"/>
      <c r="G1385" s="52"/>
      <c r="H1385" s="52"/>
    </row>
    <row r="1386" spans="1:8" ht="15.75">
      <c r="A1386" s="106">
        <v>41428</v>
      </c>
      <c r="B1386" s="107">
        <v>134.13999999999999</v>
      </c>
      <c r="C1386" s="52"/>
      <c r="D1386" s="52"/>
      <c r="E1386" s="52"/>
      <c r="F1386" s="52"/>
      <c r="G1386" s="52"/>
      <c r="H1386" s="52"/>
    </row>
    <row r="1387" spans="1:8" ht="15.75">
      <c r="A1387" s="106">
        <v>41429</v>
      </c>
      <c r="B1387" s="107">
        <v>133.91</v>
      </c>
      <c r="C1387" s="52"/>
      <c r="D1387" s="52"/>
      <c r="E1387" s="52"/>
      <c r="F1387" s="52"/>
      <c r="G1387" s="52"/>
      <c r="H1387" s="52"/>
    </row>
    <row r="1388" spans="1:8" ht="15.75">
      <c r="A1388" s="106">
        <v>41430</v>
      </c>
      <c r="B1388" s="107">
        <v>134.19</v>
      </c>
      <c r="C1388" s="52"/>
      <c r="D1388" s="52"/>
      <c r="E1388" s="52"/>
      <c r="F1388" s="52"/>
      <c r="G1388" s="52"/>
      <c r="H1388" s="52"/>
    </row>
    <row r="1389" spans="1:8" ht="15.75">
      <c r="A1389" s="106">
        <v>41431</v>
      </c>
      <c r="B1389" s="107">
        <v>134.29</v>
      </c>
      <c r="C1389" s="52"/>
      <c r="D1389" s="52"/>
      <c r="E1389" s="52"/>
      <c r="F1389" s="52"/>
      <c r="G1389" s="52"/>
      <c r="H1389" s="52"/>
    </row>
    <row r="1390" spans="1:8" ht="15.75">
      <c r="A1390" s="106">
        <v>41432</v>
      </c>
      <c r="B1390" s="107">
        <v>134.28</v>
      </c>
      <c r="C1390" s="52"/>
      <c r="D1390" s="52"/>
      <c r="E1390" s="52"/>
      <c r="F1390" s="52"/>
      <c r="G1390" s="52"/>
      <c r="H1390" s="52"/>
    </row>
    <row r="1391" spans="1:8" ht="15.75">
      <c r="A1391" s="106">
        <v>41435</v>
      </c>
      <c r="B1391" s="107">
        <v>134.03</v>
      </c>
      <c r="C1391" s="52"/>
      <c r="D1391" s="52"/>
      <c r="E1391" s="52"/>
      <c r="F1391" s="52"/>
      <c r="G1391" s="52"/>
      <c r="H1391" s="52"/>
    </row>
    <row r="1392" spans="1:8" ht="15.75">
      <c r="A1392" s="106">
        <v>41436</v>
      </c>
      <c r="B1392" s="107">
        <v>133.47</v>
      </c>
      <c r="C1392" s="52"/>
      <c r="D1392" s="52"/>
      <c r="E1392" s="52"/>
      <c r="F1392" s="52"/>
      <c r="G1392" s="52"/>
      <c r="H1392" s="52"/>
    </row>
    <row r="1393" spans="1:8" ht="15.75">
      <c r="A1393" s="106">
        <v>41437</v>
      </c>
      <c r="B1393" s="107">
        <v>133.44</v>
      </c>
      <c r="C1393" s="52"/>
      <c r="D1393" s="52"/>
      <c r="E1393" s="52"/>
      <c r="F1393" s="52"/>
      <c r="G1393" s="52"/>
      <c r="H1393" s="52"/>
    </row>
    <row r="1394" spans="1:8" ht="15.75">
      <c r="A1394" s="106">
        <v>41438</v>
      </c>
      <c r="B1394" s="107">
        <v>133.78</v>
      </c>
      <c r="C1394" s="52"/>
      <c r="D1394" s="52"/>
      <c r="E1394" s="52"/>
      <c r="F1394" s="52"/>
      <c r="G1394" s="52"/>
      <c r="H1394" s="52"/>
    </row>
    <row r="1395" spans="1:8" ht="15.75">
      <c r="A1395" s="106">
        <v>41439</v>
      </c>
      <c r="B1395" s="107">
        <v>134.13999999999999</v>
      </c>
      <c r="C1395" s="52"/>
      <c r="D1395" s="52"/>
      <c r="E1395" s="52"/>
      <c r="F1395" s="52"/>
      <c r="G1395" s="52"/>
      <c r="H1395" s="52"/>
    </row>
    <row r="1396" spans="1:8" ht="15.75">
      <c r="A1396" s="106">
        <v>41442</v>
      </c>
      <c r="B1396" s="107">
        <v>134.06</v>
      </c>
      <c r="C1396" s="52"/>
      <c r="D1396" s="52"/>
      <c r="E1396" s="52"/>
      <c r="F1396" s="52"/>
      <c r="G1396" s="52"/>
      <c r="H1396" s="52"/>
    </row>
    <row r="1397" spans="1:8" ht="15.75">
      <c r="A1397" s="106">
        <v>41443</v>
      </c>
      <c r="B1397" s="107">
        <v>133.91</v>
      </c>
      <c r="C1397" s="52"/>
      <c r="D1397" s="52"/>
      <c r="E1397" s="52"/>
      <c r="F1397" s="52"/>
      <c r="G1397" s="52"/>
      <c r="H1397" s="52"/>
    </row>
    <row r="1398" spans="1:8" ht="15.75">
      <c r="A1398" s="106">
        <v>41444</v>
      </c>
      <c r="B1398" s="107">
        <v>133.88</v>
      </c>
      <c r="C1398" s="52"/>
      <c r="D1398" s="52"/>
      <c r="E1398" s="52"/>
      <c r="F1398" s="52"/>
      <c r="G1398" s="52"/>
      <c r="H1398" s="52"/>
    </row>
    <row r="1399" spans="1:8" ht="15.75">
      <c r="A1399" s="106">
        <v>41445</v>
      </c>
      <c r="B1399" s="107">
        <v>133.31</v>
      </c>
      <c r="C1399" s="52"/>
      <c r="D1399" s="52"/>
      <c r="E1399" s="52"/>
      <c r="F1399" s="52"/>
      <c r="G1399" s="52"/>
      <c r="H1399" s="52"/>
    </row>
    <row r="1400" spans="1:8" ht="15.75">
      <c r="A1400" s="106">
        <v>41446</v>
      </c>
      <c r="B1400" s="107">
        <v>133.22</v>
      </c>
      <c r="C1400" s="52"/>
      <c r="D1400" s="52"/>
      <c r="E1400" s="52"/>
      <c r="F1400" s="52"/>
      <c r="G1400" s="52"/>
      <c r="H1400" s="52"/>
    </row>
    <row r="1401" spans="1:8" ht="15.75">
      <c r="A1401" s="106">
        <v>41449</v>
      </c>
      <c r="B1401" s="107">
        <v>132.51</v>
      </c>
      <c r="C1401" s="52"/>
      <c r="D1401" s="52"/>
      <c r="E1401" s="52"/>
      <c r="F1401" s="52"/>
      <c r="G1401" s="52"/>
      <c r="H1401" s="52"/>
    </row>
    <row r="1402" spans="1:8" ht="15.75">
      <c r="A1402" s="106">
        <v>41450</v>
      </c>
      <c r="B1402" s="107">
        <v>132.71</v>
      </c>
      <c r="C1402" s="52"/>
      <c r="D1402" s="52"/>
      <c r="E1402" s="52"/>
      <c r="F1402" s="52"/>
      <c r="G1402" s="52"/>
      <c r="H1402" s="52"/>
    </row>
    <row r="1403" spans="1:8" ht="15.75">
      <c r="A1403" s="106">
        <v>41451</v>
      </c>
      <c r="B1403" s="107">
        <v>132.77000000000001</v>
      </c>
      <c r="C1403" s="52"/>
      <c r="D1403" s="52"/>
      <c r="E1403" s="52"/>
      <c r="F1403" s="52"/>
      <c r="G1403" s="52"/>
      <c r="H1403" s="52"/>
    </row>
    <row r="1404" spans="1:8" ht="15.75">
      <c r="A1404" s="106">
        <v>41452</v>
      </c>
      <c r="B1404" s="107">
        <v>132.97999999999999</v>
      </c>
      <c r="C1404" s="52"/>
      <c r="D1404" s="52"/>
      <c r="E1404" s="52"/>
      <c r="F1404" s="52"/>
      <c r="G1404" s="52"/>
      <c r="H1404" s="52"/>
    </row>
    <row r="1405" spans="1:8" ht="15.75">
      <c r="A1405" s="106">
        <v>41453</v>
      </c>
      <c r="B1405" s="107">
        <v>133.13</v>
      </c>
      <c r="C1405" s="52"/>
      <c r="D1405" s="52"/>
      <c r="E1405" s="52"/>
      <c r="F1405" s="52"/>
      <c r="G1405" s="52"/>
      <c r="H1405" s="52"/>
    </row>
    <row r="1406" spans="1:8" ht="15.75">
      <c r="A1406" s="106">
        <v>41456</v>
      </c>
      <c r="B1406" s="107">
        <v>132.82</v>
      </c>
      <c r="C1406" s="52"/>
      <c r="D1406" s="52"/>
      <c r="E1406" s="52"/>
      <c r="F1406" s="52"/>
      <c r="G1406" s="52"/>
      <c r="H1406" s="52"/>
    </row>
    <row r="1407" spans="1:8" ht="15.75">
      <c r="A1407" s="106">
        <v>41457</v>
      </c>
      <c r="B1407" s="107">
        <v>133.13</v>
      </c>
      <c r="C1407" s="52"/>
      <c r="D1407" s="52"/>
      <c r="E1407" s="52"/>
      <c r="F1407" s="52"/>
      <c r="G1407" s="52"/>
      <c r="H1407" s="52"/>
    </row>
    <row r="1408" spans="1:8" ht="15.75">
      <c r="A1408" s="106">
        <v>41458</v>
      </c>
      <c r="B1408" s="107">
        <v>133.46</v>
      </c>
      <c r="C1408" s="52"/>
      <c r="D1408" s="52"/>
      <c r="E1408" s="52"/>
      <c r="F1408" s="52"/>
      <c r="G1408" s="52"/>
      <c r="H1408" s="52"/>
    </row>
    <row r="1409" spans="1:8" ht="15.75">
      <c r="A1409" s="106">
        <v>41459</v>
      </c>
      <c r="B1409" s="107">
        <v>133.74</v>
      </c>
      <c r="C1409" s="52"/>
      <c r="D1409" s="52"/>
      <c r="E1409" s="52"/>
      <c r="F1409" s="52"/>
      <c r="G1409" s="52"/>
      <c r="H1409" s="52"/>
    </row>
    <row r="1410" spans="1:8" ht="15.75">
      <c r="A1410" s="106">
        <v>41460</v>
      </c>
      <c r="B1410" s="107">
        <v>134.04</v>
      </c>
      <c r="C1410" s="52"/>
      <c r="D1410" s="52"/>
      <c r="E1410" s="52"/>
      <c r="F1410" s="52"/>
      <c r="G1410" s="52"/>
      <c r="H1410" s="52"/>
    </row>
    <row r="1411" spans="1:8" ht="15.75">
      <c r="A1411" s="106">
        <v>41463</v>
      </c>
      <c r="B1411" s="107">
        <v>133.9</v>
      </c>
      <c r="C1411" s="52"/>
      <c r="D1411" s="52"/>
      <c r="E1411" s="52"/>
      <c r="F1411" s="52"/>
      <c r="G1411" s="52"/>
      <c r="H1411" s="52"/>
    </row>
    <row r="1412" spans="1:8" ht="15.75">
      <c r="A1412" s="106">
        <v>41464</v>
      </c>
      <c r="B1412" s="107">
        <v>134.03</v>
      </c>
      <c r="C1412" s="52"/>
      <c r="D1412" s="52"/>
      <c r="E1412" s="52"/>
      <c r="F1412" s="52"/>
      <c r="G1412" s="52"/>
      <c r="H1412" s="52"/>
    </row>
    <row r="1413" spans="1:8" ht="15.75">
      <c r="A1413" s="106">
        <v>41465</v>
      </c>
      <c r="B1413" s="107">
        <v>134.29</v>
      </c>
      <c r="C1413" s="52"/>
      <c r="D1413" s="52"/>
      <c r="E1413" s="52"/>
      <c r="F1413" s="52"/>
      <c r="G1413" s="52"/>
      <c r="H1413" s="52"/>
    </row>
    <row r="1414" spans="1:8" ht="15.75">
      <c r="A1414" s="106">
        <v>41466</v>
      </c>
      <c r="B1414" s="107">
        <v>134.19</v>
      </c>
      <c r="C1414" s="52"/>
      <c r="D1414" s="52"/>
      <c r="E1414" s="52"/>
      <c r="F1414" s="52"/>
      <c r="G1414" s="52"/>
      <c r="H1414" s="52"/>
    </row>
    <row r="1415" spans="1:8" ht="15.75">
      <c r="A1415" s="106">
        <v>41467</v>
      </c>
      <c r="B1415" s="107">
        <v>134.31</v>
      </c>
      <c r="C1415" s="52"/>
      <c r="D1415" s="52"/>
      <c r="E1415" s="52"/>
      <c r="F1415" s="52"/>
      <c r="G1415" s="52"/>
      <c r="H1415" s="52"/>
    </row>
    <row r="1416" spans="1:8" ht="15.75">
      <c r="A1416" s="106">
        <v>41470</v>
      </c>
      <c r="B1416" s="107">
        <v>134.31</v>
      </c>
      <c r="C1416" s="52"/>
      <c r="D1416" s="52"/>
      <c r="E1416" s="52"/>
      <c r="F1416" s="52"/>
      <c r="G1416" s="52"/>
      <c r="H1416" s="52"/>
    </row>
    <row r="1417" spans="1:8" ht="15.75">
      <c r="A1417" s="106">
        <v>41471</v>
      </c>
      <c r="B1417" s="107">
        <v>134.47999999999999</v>
      </c>
      <c r="C1417" s="52"/>
      <c r="D1417" s="52"/>
      <c r="E1417" s="52"/>
      <c r="F1417" s="52"/>
      <c r="G1417" s="52"/>
      <c r="H1417" s="52"/>
    </row>
    <row r="1418" spans="1:8" ht="15.75">
      <c r="A1418" s="106">
        <v>41472</v>
      </c>
      <c r="B1418" s="107">
        <v>134.34</v>
      </c>
      <c r="C1418" s="52"/>
      <c r="D1418" s="52"/>
      <c r="E1418" s="52"/>
      <c r="F1418" s="52"/>
      <c r="G1418" s="52"/>
      <c r="H1418" s="52"/>
    </row>
    <row r="1419" spans="1:8" ht="15.75">
      <c r="A1419" s="106">
        <v>41473</v>
      </c>
      <c r="B1419" s="107">
        <v>134.63</v>
      </c>
      <c r="C1419" s="52"/>
      <c r="D1419" s="52"/>
      <c r="E1419" s="52"/>
      <c r="F1419" s="52"/>
      <c r="G1419" s="52"/>
      <c r="H1419" s="52"/>
    </row>
    <row r="1420" spans="1:8" ht="15.75">
      <c r="A1420" s="106">
        <v>41474</v>
      </c>
      <c r="B1420" s="107">
        <v>134.66999999999999</v>
      </c>
      <c r="C1420" s="52"/>
      <c r="D1420" s="52"/>
      <c r="E1420" s="52"/>
      <c r="F1420" s="52"/>
      <c r="G1420" s="52"/>
      <c r="H1420" s="52"/>
    </row>
    <row r="1421" spans="1:8" ht="15.75">
      <c r="A1421" s="106">
        <v>41477</v>
      </c>
      <c r="B1421" s="107">
        <v>134.62</v>
      </c>
      <c r="C1421" s="52"/>
      <c r="D1421" s="52"/>
      <c r="E1421" s="52"/>
      <c r="F1421" s="52"/>
      <c r="G1421" s="52"/>
      <c r="H1421" s="52"/>
    </row>
    <row r="1422" spans="1:8" ht="15.75">
      <c r="A1422" s="106">
        <v>41478</v>
      </c>
      <c r="B1422" s="107">
        <v>134.51</v>
      </c>
      <c r="C1422" s="52"/>
      <c r="D1422" s="52"/>
      <c r="E1422" s="52"/>
      <c r="F1422" s="52"/>
      <c r="G1422" s="52"/>
      <c r="H1422" s="52"/>
    </row>
    <row r="1423" spans="1:8" ht="15.75">
      <c r="A1423" s="106">
        <v>41479</v>
      </c>
      <c r="B1423" s="107">
        <v>134.21</v>
      </c>
      <c r="C1423" s="52"/>
      <c r="D1423" s="52"/>
      <c r="E1423" s="52"/>
      <c r="F1423" s="52"/>
      <c r="G1423" s="52"/>
      <c r="H1423" s="52"/>
    </row>
    <row r="1424" spans="1:8" ht="15.75">
      <c r="A1424" s="106">
        <v>41480</v>
      </c>
      <c r="B1424" s="107">
        <v>134.04</v>
      </c>
      <c r="C1424" s="52"/>
      <c r="D1424" s="52"/>
      <c r="E1424" s="52"/>
      <c r="F1424" s="52"/>
      <c r="G1424" s="52"/>
      <c r="H1424" s="52"/>
    </row>
    <row r="1425" spans="1:8" ht="15.75">
      <c r="A1425" s="106">
        <v>41481</v>
      </c>
      <c r="B1425" s="107">
        <v>133.94</v>
      </c>
      <c r="C1425" s="52"/>
      <c r="D1425" s="52"/>
      <c r="E1425" s="52"/>
      <c r="F1425" s="52"/>
      <c r="G1425" s="52"/>
      <c r="H1425" s="52"/>
    </row>
    <row r="1426" spans="1:8" ht="15.75">
      <c r="A1426" s="106">
        <v>41484</v>
      </c>
      <c r="B1426" s="107">
        <v>133.85</v>
      </c>
      <c r="C1426" s="52"/>
      <c r="D1426" s="52"/>
      <c r="E1426" s="52"/>
      <c r="F1426" s="52"/>
      <c r="G1426" s="52"/>
      <c r="H1426" s="52"/>
    </row>
    <row r="1427" spans="1:8" ht="15.75">
      <c r="A1427" s="106">
        <v>41485</v>
      </c>
      <c r="B1427" s="107">
        <v>133.83000000000001</v>
      </c>
      <c r="C1427" s="52"/>
      <c r="D1427" s="52"/>
      <c r="E1427" s="52"/>
      <c r="F1427" s="52"/>
      <c r="G1427" s="52"/>
      <c r="H1427" s="52"/>
    </row>
    <row r="1428" spans="1:8" ht="15.75">
      <c r="A1428" s="106">
        <v>41486</v>
      </c>
      <c r="B1428" s="107">
        <v>133.63</v>
      </c>
      <c r="C1428" s="52"/>
      <c r="D1428" s="52"/>
      <c r="E1428" s="52"/>
      <c r="F1428" s="52"/>
      <c r="G1428" s="52"/>
      <c r="H1428" s="52"/>
    </row>
    <row r="1429" spans="1:8" ht="15.75">
      <c r="A1429" s="106">
        <v>41487</v>
      </c>
      <c r="B1429" s="107">
        <v>134.09</v>
      </c>
      <c r="C1429" s="52"/>
      <c r="D1429" s="52"/>
      <c r="E1429" s="52"/>
      <c r="F1429" s="52"/>
      <c r="G1429" s="52"/>
      <c r="H1429" s="52"/>
    </row>
    <row r="1430" spans="1:8" ht="15.75">
      <c r="A1430" s="106">
        <v>41488</v>
      </c>
      <c r="B1430" s="107">
        <v>133.43</v>
      </c>
      <c r="C1430" s="52"/>
      <c r="D1430" s="52"/>
      <c r="E1430" s="52"/>
      <c r="F1430" s="52"/>
      <c r="G1430" s="52"/>
      <c r="H1430" s="52"/>
    </row>
    <row r="1431" spans="1:8" ht="15.75">
      <c r="A1431" s="106">
        <v>41491</v>
      </c>
      <c r="B1431" s="107">
        <v>133.80000000000001</v>
      </c>
      <c r="C1431" s="52"/>
      <c r="D1431" s="52"/>
      <c r="E1431" s="52"/>
      <c r="F1431" s="52"/>
      <c r="G1431" s="52"/>
      <c r="H1431" s="52"/>
    </row>
    <row r="1432" spans="1:8" ht="15.75">
      <c r="A1432" s="106">
        <v>41492</v>
      </c>
      <c r="B1432" s="107">
        <v>133.38</v>
      </c>
      <c r="C1432" s="52"/>
      <c r="D1432" s="52"/>
      <c r="E1432" s="52"/>
      <c r="F1432" s="52"/>
      <c r="G1432" s="52"/>
      <c r="H1432" s="52"/>
    </row>
    <row r="1433" spans="1:8" ht="15.75">
      <c r="A1433" s="106">
        <v>41493</v>
      </c>
      <c r="B1433" s="107">
        <v>133.62</v>
      </c>
      <c r="C1433" s="52"/>
      <c r="D1433" s="52"/>
      <c r="E1433" s="52"/>
      <c r="F1433" s="52"/>
      <c r="G1433" s="52"/>
      <c r="H1433" s="52"/>
    </row>
    <row r="1434" spans="1:8" ht="15.75">
      <c r="A1434" s="106">
        <v>41494</v>
      </c>
      <c r="B1434" s="107">
        <v>133.68</v>
      </c>
      <c r="C1434" s="52"/>
      <c r="D1434" s="52"/>
      <c r="E1434" s="52"/>
      <c r="F1434" s="52"/>
      <c r="G1434" s="52"/>
      <c r="H1434" s="52"/>
    </row>
    <row r="1435" spans="1:8" ht="15.75">
      <c r="A1435" s="106">
        <v>41495</v>
      </c>
      <c r="B1435" s="107">
        <v>133.55000000000001</v>
      </c>
      <c r="C1435" s="52"/>
      <c r="D1435" s="52"/>
      <c r="E1435" s="52"/>
      <c r="F1435" s="52"/>
      <c r="G1435" s="52"/>
      <c r="H1435" s="52"/>
    </row>
    <row r="1436" spans="1:8" ht="15.75">
      <c r="A1436" s="106">
        <v>41498</v>
      </c>
      <c r="B1436" s="107">
        <v>133.44</v>
      </c>
      <c r="C1436" s="52"/>
      <c r="D1436" s="52"/>
      <c r="E1436" s="52"/>
      <c r="F1436" s="52"/>
      <c r="G1436" s="52"/>
      <c r="H1436" s="52"/>
    </row>
    <row r="1437" spans="1:8" ht="15.75">
      <c r="A1437" s="106">
        <v>41499</v>
      </c>
      <c r="B1437" s="107">
        <v>133.33000000000001</v>
      </c>
      <c r="C1437" s="52"/>
      <c r="D1437" s="52"/>
      <c r="E1437" s="52"/>
      <c r="F1437" s="52"/>
      <c r="G1437" s="52"/>
      <c r="H1437" s="52"/>
    </row>
    <row r="1438" spans="1:8" ht="15.75">
      <c r="A1438" s="106">
        <v>41500</v>
      </c>
      <c r="B1438" s="107">
        <v>133.01</v>
      </c>
      <c r="C1438" s="52"/>
      <c r="D1438" s="52"/>
      <c r="E1438" s="52"/>
      <c r="F1438" s="52"/>
      <c r="G1438" s="52"/>
      <c r="H1438" s="52"/>
    </row>
    <row r="1439" spans="1:8" ht="15.75">
      <c r="A1439" s="106">
        <v>41501</v>
      </c>
      <c r="B1439" s="107">
        <v>132.94999999999999</v>
      </c>
      <c r="C1439" s="52"/>
      <c r="D1439" s="52"/>
      <c r="E1439" s="52"/>
      <c r="F1439" s="52"/>
      <c r="G1439" s="52"/>
      <c r="H1439" s="52"/>
    </row>
    <row r="1440" spans="1:8" ht="15.75">
      <c r="A1440" s="106">
        <v>41502</v>
      </c>
      <c r="B1440" s="107">
        <v>132.63</v>
      </c>
      <c r="C1440" s="52"/>
      <c r="D1440" s="52"/>
      <c r="E1440" s="52"/>
      <c r="F1440" s="52"/>
      <c r="G1440" s="52"/>
      <c r="H1440" s="52"/>
    </row>
    <row r="1441" spans="1:8" ht="15.75">
      <c r="A1441" s="106">
        <v>41505</v>
      </c>
      <c r="B1441" s="107">
        <v>132.58000000000001</v>
      </c>
      <c r="C1441" s="52"/>
      <c r="D1441" s="52"/>
      <c r="E1441" s="52"/>
      <c r="F1441" s="52"/>
      <c r="G1441" s="52"/>
      <c r="H1441" s="52"/>
    </row>
    <row r="1442" spans="1:8" ht="15.75">
      <c r="A1442" s="106">
        <v>41506</v>
      </c>
      <c r="B1442" s="107">
        <v>132.69999999999999</v>
      </c>
      <c r="C1442" s="52"/>
      <c r="D1442" s="52"/>
      <c r="E1442" s="52"/>
      <c r="F1442" s="52"/>
      <c r="G1442" s="52"/>
      <c r="H1442" s="52"/>
    </row>
    <row r="1443" spans="1:8" ht="15.75">
      <c r="A1443" s="106">
        <v>41507</v>
      </c>
      <c r="B1443" s="107">
        <v>132.77000000000001</v>
      </c>
      <c r="C1443" s="52"/>
      <c r="D1443" s="52"/>
      <c r="E1443" s="52"/>
      <c r="F1443" s="52"/>
      <c r="G1443" s="52"/>
      <c r="H1443" s="52"/>
    </row>
    <row r="1444" spans="1:8" ht="15.75">
      <c r="A1444" s="106">
        <v>41508</v>
      </c>
      <c r="B1444" s="107">
        <v>132.25</v>
      </c>
      <c r="C1444" s="52"/>
      <c r="D1444" s="52"/>
      <c r="E1444" s="52"/>
      <c r="F1444" s="52"/>
      <c r="G1444" s="52"/>
      <c r="H1444" s="52"/>
    </row>
    <row r="1445" spans="1:8" ht="15.75">
      <c r="A1445" s="106">
        <v>41509</v>
      </c>
      <c r="B1445" s="107">
        <v>132.16999999999999</v>
      </c>
      <c r="C1445" s="52"/>
      <c r="D1445" s="52"/>
      <c r="E1445" s="52"/>
      <c r="F1445" s="52"/>
      <c r="G1445" s="52"/>
      <c r="H1445" s="52"/>
    </row>
    <row r="1446" spans="1:8" ht="15.75">
      <c r="A1446" s="106">
        <v>41512</v>
      </c>
      <c r="B1446" s="107">
        <v>132.26</v>
      </c>
      <c r="C1446" s="52"/>
      <c r="D1446" s="52"/>
      <c r="E1446" s="52"/>
      <c r="F1446" s="52"/>
      <c r="G1446" s="52"/>
      <c r="H1446" s="52"/>
    </row>
    <row r="1447" spans="1:8" ht="15.75">
      <c r="A1447" s="106">
        <v>41513</v>
      </c>
      <c r="B1447" s="107">
        <v>132.52000000000001</v>
      </c>
      <c r="C1447" s="52"/>
      <c r="D1447" s="52"/>
      <c r="E1447" s="52"/>
      <c r="F1447" s="52"/>
      <c r="G1447" s="52"/>
      <c r="H1447" s="52"/>
    </row>
    <row r="1448" spans="1:8" ht="15.75">
      <c r="A1448" s="106">
        <v>41514</v>
      </c>
      <c r="B1448" s="107">
        <v>132.72999999999999</v>
      </c>
      <c r="C1448" s="52"/>
      <c r="D1448" s="52"/>
      <c r="E1448" s="52"/>
      <c r="F1448" s="52"/>
      <c r="G1448" s="52"/>
      <c r="H1448" s="52"/>
    </row>
    <row r="1449" spans="1:8" ht="15.75">
      <c r="A1449" s="106">
        <v>41515</v>
      </c>
      <c r="B1449" s="107">
        <v>132.53</v>
      </c>
      <c r="C1449" s="52"/>
      <c r="D1449" s="52"/>
      <c r="E1449" s="52"/>
      <c r="F1449" s="52"/>
      <c r="G1449" s="52"/>
      <c r="H1449" s="52"/>
    </row>
    <row r="1450" spans="1:8" ht="15.75">
      <c r="A1450" s="106">
        <v>41516</v>
      </c>
      <c r="B1450" s="107">
        <v>132.71</v>
      </c>
      <c r="C1450" s="52"/>
      <c r="D1450" s="52"/>
      <c r="E1450" s="52"/>
      <c r="F1450" s="52"/>
      <c r="G1450" s="52"/>
      <c r="H1450" s="52"/>
    </row>
    <row r="1451" spans="1:8" ht="15.75">
      <c r="A1451" s="106">
        <v>41519</v>
      </c>
      <c r="B1451" s="107">
        <v>132.25</v>
      </c>
      <c r="C1451" s="52"/>
      <c r="D1451" s="52"/>
      <c r="E1451" s="52"/>
      <c r="F1451" s="52"/>
      <c r="G1451" s="52"/>
      <c r="H1451" s="52"/>
    </row>
    <row r="1452" spans="1:8" ht="15.75">
      <c r="A1452" s="106">
        <v>41520</v>
      </c>
      <c r="B1452" s="107">
        <v>132.36000000000001</v>
      </c>
      <c r="C1452" s="52"/>
      <c r="D1452" s="52"/>
      <c r="E1452" s="52"/>
      <c r="F1452" s="52"/>
      <c r="G1452" s="52"/>
      <c r="H1452" s="52"/>
    </row>
    <row r="1453" spans="1:8" ht="15.75">
      <c r="A1453" s="106">
        <v>41521</v>
      </c>
      <c r="B1453" s="107">
        <v>132.19</v>
      </c>
      <c r="C1453" s="52"/>
      <c r="D1453" s="52"/>
      <c r="E1453" s="52"/>
      <c r="F1453" s="52"/>
      <c r="G1453" s="52"/>
      <c r="H1453" s="52"/>
    </row>
    <row r="1454" spans="1:8" ht="15.75">
      <c r="A1454" s="106">
        <v>41522</v>
      </c>
      <c r="B1454" s="107">
        <v>132.03</v>
      </c>
      <c r="C1454" s="52"/>
      <c r="D1454" s="52"/>
      <c r="E1454" s="52"/>
      <c r="F1454" s="52"/>
      <c r="G1454" s="52"/>
      <c r="H1454" s="52"/>
    </row>
    <row r="1455" spans="1:8" ht="15.75">
      <c r="A1455" s="106">
        <v>41523</v>
      </c>
      <c r="B1455" s="107">
        <v>131.91999999999999</v>
      </c>
      <c r="C1455" s="52"/>
      <c r="D1455" s="52"/>
      <c r="E1455" s="52"/>
      <c r="F1455" s="52"/>
      <c r="G1455" s="52"/>
      <c r="H1455" s="52"/>
    </row>
    <row r="1456" spans="1:8" ht="15.75">
      <c r="A1456" s="106">
        <v>41526</v>
      </c>
      <c r="B1456" s="107">
        <v>132.19</v>
      </c>
      <c r="C1456" s="52"/>
      <c r="D1456" s="52"/>
      <c r="E1456" s="52"/>
      <c r="F1456" s="52"/>
      <c r="G1456" s="52"/>
      <c r="H1456" s="52"/>
    </row>
    <row r="1457" spans="1:8" ht="15.75">
      <c r="A1457" s="106">
        <v>41527</v>
      </c>
      <c r="B1457" s="107">
        <v>131.94999999999999</v>
      </c>
      <c r="C1457" s="52"/>
      <c r="D1457" s="52"/>
      <c r="E1457" s="52"/>
      <c r="F1457" s="52"/>
      <c r="G1457" s="52"/>
      <c r="H1457" s="52"/>
    </row>
    <row r="1458" spans="1:8" ht="15.75">
      <c r="A1458" s="106">
        <v>41528</v>
      </c>
      <c r="B1458" s="107">
        <v>131.88</v>
      </c>
      <c r="C1458" s="52"/>
      <c r="D1458" s="52"/>
      <c r="E1458" s="52"/>
      <c r="F1458" s="52"/>
      <c r="G1458" s="52"/>
      <c r="H1458" s="52"/>
    </row>
    <row r="1459" spans="1:8" ht="15.75">
      <c r="A1459" s="106">
        <v>41529</v>
      </c>
      <c r="B1459" s="107">
        <v>132.37</v>
      </c>
      <c r="C1459" s="52"/>
      <c r="D1459" s="52"/>
      <c r="E1459" s="52"/>
      <c r="F1459" s="52"/>
      <c r="G1459" s="52"/>
      <c r="H1459" s="52"/>
    </row>
    <row r="1460" spans="1:8" ht="15.75">
      <c r="A1460" s="106">
        <v>41530</v>
      </c>
      <c r="B1460" s="107">
        <v>132.34</v>
      </c>
      <c r="C1460" s="52"/>
      <c r="D1460" s="52"/>
      <c r="E1460" s="52"/>
      <c r="F1460" s="52"/>
      <c r="G1460" s="52"/>
      <c r="H1460" s="52"/>
    </row>
    <row r="1461" spans="1:8" ht="15.75">
      <c r="A1461" s="106">
        <v>41533</v>
      </c>
      <c r="B1461" s="107">
        <v>132.68</v>
      </c>
      <c r="C1461" s="52"/>
      <c r="D1461" s="52"/>
      <c r="E1461" s="52"/>
      <c r="F1461" s="52"/>
      <c r="G1461" s="52"/>
      <c r="H1461" s="52"/>
    </row>
    <row r="1462" spans="1:8" ht="15.75">
      <c r="A1462" s="106">
        <v>41534</v>
      </c>
      <c r="B1462" s="107">
        <v>132.71</v>
      </c>
      <c r="C1462" s="52"/>
      <c r="D1462" s="52"/>
      <c r="E1462" s="52"/>
      <c r="F1462" s="52"/>
      <c r="G1462" s="52"/>
      <c r="H1462" s="52"/>
    </row>
    <row r="1463" spans="1:8" ht="15.75">
      <c r="A1463" s="106">
        <v>41535</v>
      </c>
      <c r="B1463" s="107">
        <v>132.55000000000001</v>
      </c>
      <c r="C1463" s="52"/>
      <c r="D1463" s="52"/>
      <c r="E1463" s="52"/>
      <c r="F1463" s="52"/>
      <c r="G1463" s="52"/>
      <c r="H1463" s="52"/>
    </row>
    <row r="1464" spans="1:8" ht="15.75">
      <c r="A1464" s="106">
        <v>41536</v>
      </c>
      <c r="B1464" s="107">
        <v>133.03</v>
      </c>
      <c r="C1464" s="52"/>
      <c r="D1464" s="52"/>
      <c r="E1464" s="52"/>
      <c r="F1464" s="52"/>
      <c r="G1464" s="52"/>
      <c r="H1464" s="52"/>
    </row>
    <row r="1465" spans="1:8" ht="15.75">
      <c r="A1465" s="106">
        <v>41537</v>
      </c>
      <c r="B1465" s="107">
        <v>132.97</v>
      </c>
      <c r="C1465" s="52"/>
      <c r="D1465" s="52"/>
      <c r="E1465" s="52"/>
      <c r="F1465" s="52"/>
      <c r="G1465" s="52"/>
      <c r="H1465" s="52"/>
    </row>
    <row r="1466" spans="1:8" ht="15.75">
      <c r="A1466" s="106">
        <v>41540</v>
      </c>
      <c r="B1466" s="107">
        <v>132.80000000000001</v>
      </c>
      <c r="C1466" s="52"/>
      <c r="D1466" s="52"/>
      <c r="E1466" s="52"/>
      <c r="F1466" s="52"/>
      <c r="G1466" s="52"/>
      <c r="H1466" s="52"/>
    </row>
    <row r="1467" spans="1:8" ht="15.75">
      <c r="A1467" s="106">
        <v>41541</v>
      </c>
      <c r="B1467" s="107">
        <v>133.26</v>
      </c>
      <c r="C1467" s="52"/>
      <c r="D1467" s="52"/>
      <c r="E1467" s="52"/>
      <c r="F1467" s="52"/>
      <c r="G1467" s="52"/>
      <c r="H1467" s="52"/>
    </row>
    <row r="1468" spans="1:8" ht="15.75">
      <c r="A1468" s="106">
        <v>41542</v>
      </c>
      <c r="B1468" s="107">
        <v>133.34</v>
      </c>
      <c r="C1468" s="52"/>
      <c r="D1468" s="52"/>
      <c r="E1468" s="52"/>
      <c r="F1468" s="52"/>
      <c r="G1468" s="52"/>
      <c r="H1468" s="52"/>
    </row>
    <row r="1469" spans="1:8" ht="15.75">
      <c r="A1469" s="106">
        <v>41543</v>
      </c>
      <c r="B1469" s="107">
        <v>133.41999999999999</v>
      </c>
      <c r="C1469" s="52"/>
      <c r="D1469" s="52"/>
      <c r="E1469" s="52"/>
      <c r="F1469" s="52"/>
      <c r="G1469" s="52"/>
      <c r="H1469" s="52"/>
    </row>
    <row r="1470" spans="1:8" ht="15.75">
      <c r="A1470" s="106">
        <v>41544</v>
      </c>
      <c r="B1470" s="107">
        <v>133.44999999999999</v>
      </c>
      <c r="C1470" s="52"/>
      <c r="D1470" s="52"/>
      <c r="E1470" s="52"/>
      <c r="F1470" s="52"/>
      <c r="G1470" s="52"/>
      <c r="H1470" s="52"/>
    </row>
    <row r="1471" spans="1:8" ht="15.75">
      <c r="A1471" s="106">
        <v>41547</v>
      </c>
      <c r="B1471" s="107">
        <v>133.66</v>
      </c>
      <c r="C1471" s="52"/>
      <c r="D1471" s="52"/>
      <c r="E1471" s="52"/>
      <c r="F1471" s="52"/>
      <c r="G1471" s="52"/>
      <c r="H1471" s="52"/>
    </row>
    <row r="1472" spans="1:8" ht="15.75">
      <c r="A1472" s="106">
        <v>41548</v>
      </c>
      <c r="B1472" s="107">
        <v>133.53</v>
      </c>
      <c r="C1472" s="52"/>
      <c r="D1472" s="52"/>
      <c r="E1472" s="52"/>
      <c r="F1472" s="52"/>
      <c r="G1472" s="52"/>
      <c r="H1472" s="52"/>
    </row>
    <row r="1473" spans="1:8" ht="15.75">
      <c r="A1473" s="106">
        <v>41549</v>
      </c>
      <c r="B1473" s="107">
        <v>133.71</v>
      </c>
      <c r="C1473" s="52"/>
      <c r="D1473" s="52"/>
      <c r="E1473" s="52"/>
      <c r="F1473" s="52"/>
      <c r="G1473" s="52"/>
      <c r="H1473" s="52"/>
    </row>
    <row r="1474" spans="1:8" ht="15.75">
      <c r="A1474" s="106">
        <v>41550</v>
      </c>
      <c r="B1474" s="107">
        <v>133.26</v>
      </c>
      <c r="C1474" s="52"/>
      <c r="D1474" s="52"/>
      <c r="E1474" s="52"/>
      <c r="F1474" s="52"/>
      <c r="G1474" s="52"/>
      <c r="H1474" s="52"/>
    </row>
    <row r="1475" spans="1:8" ht="15.75">
      <c r="A1475" s="106">
        <v>41551</v>
      </c>
      <c r="B1475" s="107">
        <v>133.41</v>
      </c>
      <c r="C1475" s="52"/>
      <c r="D1475" s="52"/>
      <c r="E1475" s="52"/>
      <c r="F1475" s="52"/>
      <c r="G1475" s="52"/>
      <c r="H1475" s="52"/>
    </row>
    <row r="1476" spans="1:8" ht="15.75">
      <c r="A1476" s="106">
        <v>41554</v>
      </c>
      <c r="B1476" s="107">
        <v>133.41</v>
      </c>
      <c r="C1476" s="52"/>
      <c r="D1476" s="52"/>
      <c r="E1476" s="52"/>
      <c r="F1476" s="52"/>
      <c r="G1476" s="52"/>
      <c r="H1476" s="52"/>
    </row>
    <row r="1477" spans="1:8" ht="15.75">
      <c r="A1477" s="106">
        <v>41555</v>
      </c>
      <c r="B1477" s="107">
        <v>133.38</v>
      </c>
      <c r="C1477" s="52"/>
      <c r="D1477" s="52"/>
      <c r="E1477" s="52"/>
      <c r="F1477" s="52"/>
      <c r="G1477" s="52"/>
      <c r="H1477" s="52"/>
    </row>
    <row r="1478" spans="1:8" ht="15.75">
      <c r="A1478" s="106">
        <v>41556</v>
      </c>
      <c r="B1478" s="107">
        <v>133.69</v>
      </c>
      <c r="C1478" s="52"/>
      <c r="D1478" s="52"/>
      <c r="E1478" s="52"/>
      <c r="F1478" s="52"/>
      <c r="G1478" s="52"/>
      <c r="H1478" s="52"/>
    </row>
    <row r="1479" spans="1:8" ht="15.75">
      <c r="A1479" s="106">
        <v>41557</v>
      </c>
      <c r="B1479" s="107">
        <v>133.44</v>
      </c>
      <c r="C1479" s="52"/>
      <c r="D1479" s="52"/>
      <c r="E1479" s="52"/>
      <c r="F1479" s="52"/>
      <c r="G1479" s="52"/>
      <c r="H1479" s="52"/>
    </row>
    <row r="1480" spans="1:8" ht="15.75">
      <c r="A1480" s="106">
        <v>41558</v>
      </c>
      <c r="B1480" s="107">
        <v>133.28</v>
      </c>
      <c r="C1480" s="52"/>
      <c r="D1480" s="52"/>
      <c r="E1480" s="52"/>
      <c r="F1480" s="52"/>
      <c r="G1480" s="52"/>
      <c r="H1480" s="52"/>
    </row>
    <row r="1481" spans="1:8" ht="15.75">
      <c r="A1481" s="106">
        <v>41561</v>
      </c>
      <c r="B1481" s="107">
        <v>133.27000000000001</v>
      </c>
      <c r="C1481" s="52"/>
      <c r="D1481" s="52"/>
      <c r="E1481" s="52"/>
      <c r="F1481" s="52"/>
      <c r="G1481" s="52"/>
      <c r="H1481" s="52"/>
    </row>
    <row r="1482" spans="1:8" ht="15.75">
      <c r="A1482" s="106">
        <v>41562</v>
      </c>
      <c r="B1482" s="107">
        <v>133.12</v>
      </c>
      <c r="C1482" s="52"/>
      <c r="D1482" s="52"/>
      <c r="E1482" s="52"/>
      <c r="F1482" s="52"/>
      <c r="G1482" s="52"/>
      <c r="H1482" s="52"/>
    </row>
    <row r="1483" spans="1:8" ht="15.75">
      <c r="A1483" s="106">
        <v>41563</v>
      </c>
      <c r="B1483" s="107">
        <v>132.94999999999999</v>
      </c>
      <c r="C1483" s="52"/>
      <c r="D1483" s="52"/>
      <c r="E1483" s="52"/>
      <c r="F1483" s="52"/>
      <c r="G1483" s="52"/>
      <c r="H1483" s="52"/>
    </row>
    <row r="1484" spans="1:8" ht="15.75">
      <c r="A1484" s="106">
        <v>41564</v>
      </c>
      <c r="B1484" s="107">
        <v>133.01</v>
      </c>
      <c r="C1484" s="52"/>
      <c r="D1484" s="52"/>
      <c r="E1484" s="52"/>
      <c r="F1484" s="52"/>
      <c r="G1484" s="52"/>
      <c r="H1484" s="52"/>
    </row>
    <row r="1485" spans="1:8" ht="15.75">
      <c r="A1485" s="106">
        <v>41565</v>
      </c>
      <c r="B1485" s="107">
        <v>133.33000000000001</v>
      </c>
      <c r="C1485" s="52"/>
      <c r="D1485" s="52"/>
      <c r="E1485" s="52"/>
      <c r="F1485" s="52"/>
      <c r="G1485" s="52"/>
      <c r="H1485" s="52"/>
    </row>
    <row r="1486" spans="1:8" ht="15.75">
      <c r="A1486" s="106">
        <v>41568</v>
      </c>
      <c r="B1486" s="107">
        <v>133.27000000000001</v>
      </c>
      <c r="C1486" s="52"/>
      <c r="D1486" s="52"/>
      <c r="E1486" s="52"/>
      <c r="F1486" s="52"/>
      <c r="G1486" s="52"/>
      <c r="H1486" s="52"/>
    </row>
    <row r="1487" spans="1:8" ht="15.75">
      <c r="A1487" s="106">
        <v>41569</v>
      </c>
      <c r="B1487" s="107">
        <v>133.18</v>
      </c>
      <c r="C1487" s="52"/>
      <c r="D1487" s="52"/>
      <c r="E1487" s="52"/>
      <c r="F1487" s="52"/>
      <c r="G1487" s="52"/>
      <c r="H1487" s="52"/>
    </row>
    <row r="1488" spans="1:8" ht="15.75">
      <c r="A1488" s="106">
        <v>41570</v>
      </c>
      <c r="B1488" s="107">
        <v>133.63</v>
      </c>
      <c r="C1488" s="52"/>
      <c r="D1488" s="52"/>
      <c r="E1488" s="52"/>
      <c r="F1488" s="52"/>
      <c r="G1488" s="52"/>
      <c r="H1488" s="52"/>
    </row>
    <row r="1489" spans="1:8" ht="15.75">
      <c r="A1489" s="106">
        <v>41571</v>
      </c>
      <c r="B1489" s="107">
        <v>133.66999999999999</v>
      </c>
      <c r="C1489" s="52"/>
      <c r="D1489" s="52"/>
      <c r="E1489" s="52"/>
      <c r="F1489" s="52"/>
      <c r="G1489" s="52"/>
      <c r="H1489" s="52"/>
    </row>
    <row r="1490" spans="1:8" ht="15.75">
      <c r="A1490" s="106">
        <v>41572</v>
      </c>
      <c r="B1490" s="107">
        <v>133.61000000000001</v>
      </c>
      <c r="C1490" s="52"/>
      <c r="D1490" s="52"/>
      <c r="E1490" s="52"/>
      <c r="F1490" s="52"/>
      <c r="G1490" s="52"/>
      <c r="H1490" s="52"/>
    </row>
    <row r="1491" spans="1:8" ht="15.75">
      <c r="A1491" s="106">
        <v>41575</v>
      </c>
      <c r="B1491" s="107">
        <v>133.58000000000001</v>
      </c>
      <c r="C1491" s="52"/>
      <c r="D1491" s="52"/>
      <c r="E1491" s="52"/>
      <c r="F1491" s="52"/>
      <c r="G1491" s="52"/>
      <c r="H1491" s="52"/>
    </row>
    <row r="1492" spans="1:8" ht="15.75">
      <c r="A1492" s="106">
        <v>41576</v>
      </c>
      <c r="B1492" s="107">
        <v>133.72999999999999</v>
      </c>
      <c r="C1492" s="52"/>
      <c r="D1492" s="52"/>
      <c r="E1492" s="52"/>
      <c r="F1492" s="52"/>
      <c r="G1492" s="52"/>
      <c r="H1492" s="52"/>
    </row>
    <row r="1493" spans="1:8" ht="15.75">
      <c r="A1493" s="106">
        <v>41577</v>
      </c>
      <c r="B1493" s="107">
        <v>134.01</v>
      </c>
      <c r="C1493" s="52"/>
      <c r="D1493" s="52"/>
      <c r="E1493" s="52"/>
      <c r="F1493" s="52"/>
      <c r="G1493" s="52"/>
      <c r="H1493" s="52"/>
    </row>
    <row r="1494" spans="1:8" ht="15.75">
      <c r="A1494" s="106">
        <v>41578</v>
      </c>
      <c r="B1494" s="107">
        <v>134.19</v>
      </c>
      <c r="C1494" s="52"/>
      <c r="D1494" s="52"/>
      <c r="E1494" s="52"/>
      <c r="F1494" s="52"/>
      <c r="G1494" s="52"/>
      <c r="H1494" s="52"/>
    </row>
    <row r="1495" spans="1:8" ht="15.75">
      <c r="A1495" s="106">
        <v>41579</v>
      </c>
      <c r="B1495" s="107">
        <v>134.27000000000001</v>
      </c>
      <c r="C1495" s="52"/>
      <c r="D1495" s="52"/>
      <c r="E1495" s="52"/>
      <c r="F1495" s="52"/>
      <c r="G1495" s="52"/>
      <c r="H1495" s="52"/>
    </row>
    <row r="1496" spans="1:8" ht="15.75">
      <c r="A1496" s="106">
        <v>41582</v>
      </c>
      <c r="B1496" s="107">
        <v>134.22</v>
      </c>
      <c r="C1496" s="52"/>
      <c r="D1496" s="52"/>
      <c r="E1496" s="52"/>
      <c r="F1496" s="52"/>
      <c r="G1496" s="52"/>
      <c r="H1496" s="52"/>
    </row>
    <row r="1497" spans="1:8" ht="15.75">
      <c r="A1497" s="106">
        <v>41583</v>
      </c>
      <c r="B1497" s="107">
        <v>134</v>
      </c>
      <c r="C1497" s="52"/>
      <c r="D1497" s="52"/>
      <c r="E1497" s="52"/>
      <c r="F1497" s="52"/>
      <c r="G1497" s="52"/>
      <c r="H1497" s="52"/>
    </row>
    <row r="1498" spans="1:8" ht="15.75">
      <c r="A1498" s="106">
        <v>41584</v>
      </c>
      <c r="B1498" s="107">
        <v>133.97</v>
      </c>
      <c r="C1498" s="52"/>
      <c r="D1498" s="52"/>
      <c r="E1498" s="52"/>
      <c r="F1498" s="52"/>
      <c r="G1498" s="52"/>
      <c r="H1498" s="52"/>
    </row>
    <row r="1499" spans="1:8" ht="15.75">
      <c r="A1499" s="106">
        <v>41585</v>
      </c>
      <c r="B1499" s="107">
        <v>133.9</v>
      </c>
      <c r="C1499" s="52"/>
      <c r="D1499" s="52"/>
      <c r="E1499" s="52"/>
      <c r="F1499" s="52"/>
      <c r="G1499" s="52"/>
      <c r="H1499" s="52"/>
    </row>
    <row r="1500" spans="1:8" ht="15.75">
      <c r="A1500" s="106">
        <v>41586</v>
      </c>
      <c r="B1500" s="107">
        <v>134.03</v>
      </c>
      <c r="C1500" s="52"/>
      <c r="D1500" s="52"/>
      <c r="E1500" s="52"/>
      <c r="F1500" s="52"/>
      <c r="G1500" s="52"/>
      <c r="H1500" s="52"/>
    </row>
    <row r="1501" spans="1:8" ht="15.75">
      <c r="A1501" s="106">
        <v>41589</v>
      </c>
      <c r="B1501" s="107">
        <v>133.91</v>
      </c>
      <c r="C1501" s="52"/>
      <c r="D1501" s="52"/>
      <c r="E1501" s="52"/>
      <c r="F1501" s="52"/>
      <c r="G1501" s="52"/>
      <c r="H1501" s="52"/>
    </row>
    <row r="1502" spans="1:8" ht="15.75">
      <c r="A1502" s="106">
        <v>41590</v>
      </c>
      <c r="B1502" s="107">
        <v>133.61000000000001</v>
      </c>
      <c r="C1502" s="52"/>
      <c r="D1502" s="52"/>
      <c r="E1502" s="52"/>
      <c r="F1502" s="52"/>
      <c r="G1502" s="52"/>
      <c r="H1502" s="52"/>
    </row>
    <row r="1503" spans="1:8" ht="15.75">
      <c r="A1503" s="106">
        <v>41591</v>
      </c>
      <c r="B1503" s="107">
        <v>133.66</v>
      </c>
      <c r="C1503" s="52"/>
      <c r="D1503" s="52"/>
      <c r="E1503" s="52"/>
      <c r="F1503" s="52"/>
      <c r="G1503" s="52"/>
      <c r="H1503" s="52"/>
    </row>
    <row r="1504" spans="1:8" ht="15.75">
      <c r="A1504" s="106">
        <v>41592</v>
      </c>
      <c r="B1504" s="107">
        <v>133.97</v>
      </c>
      <c r="C1504" s="52"/>
      <c r="D1504" s="52"/>
      <c r="E1504" s="52"/>
      <c r="F1504" s="52"/>
      <c r="G1504" s="52"/>
      <c r="H1504" s="52"/>
    </row>
    <row r="1505" spans="1:8" ht="15.75">
      <c r="A1505" s="106">
        <v>41593</v>
      </c>
      <c r="B1505" s="107">
        <v>134.06</v>
      </c>
      <c r="C1505" s="52"/>
      <c r="D1505" s="52"/>
      <c r="E1505" s="52"/>
      <c r="F1505" s="52"/>
      <c r="G1505" s="52"/>
      <c r="H1505" s="52"/>
    </row>
    <row r="1506" spans="1:8" ht="15.75">
      <c r="A1506" s="106">
        <v>41596</v>
      </c>
      <c r="B1506" s="107">
        <v>134.01</v>
      </c>
      <c r="C1506" s="52"/>
      <c r="D1506" s="52"/>
      <c r="E1506" s="52"/>
      <c r="F1506" s="52"/>
      <c r="G1506" s="52"/>
      <c r="H1506" s="52"/>
    </row>
    <row r="1507" spans="1:8" ht="15.75">
      <c r="A1507" s="106">
        <v>41597</v>
      </c>
      <c r="B1507" s="107">
        <v>134.11000000000001</v>
      </c>
      <c r="C1507" s="52"/>
      <c r="D1507" s="52"/>
      <c r="E1507" s="52"/>
      <c r="F1507" s="52"/>
      <c r="G1507" s="52"/>
      <c r="H1507" s="52"/>
    </row>
    <row r="1508" spans="1:8" ht="15.75">
      <c r="A1508" s="106">
        <v>41598</v>
      </c>
      <c r="B1508" s="107">
        <v>133.96</v>
      </c>
      <c r="C1508" s="52"/>
      <c r="D1508" s="52"/>
      <c r="E1508" s="52"/>
      <c r="F1508" s="52"/>
      <c r="G1508" s="52"/>
      <c r="H1508" s="52"/>
    </row>
    <row r="1509" spans="1:8" ht="15.75">
      <c r="A1509" s="106">
        <v>41599</v>
      </c>
      <c r="B1509" s="107">
        <v>133.88999999999999</v>
      </c>
      <c r="C1509" s="52"/>
      <c r="D1509" s="52"/>
      <c r="E1509" s="52"/>
      <c r="F1509" s="52"/>
      <c r="G1509" s="52"/>
      <c r="H1509" s="52"/>
    </row>
    <row r="1510" spans="1:8" ht="15.75">
      <c r="A1510" s="106">
        <v>41600</v>
      </c>
      <c r="B1510" s="107">
        <v>133.66</v>
      </c>
      <c r="C1510" s="52"/>
      <c r="D1510" s="52"/>
      <c r="E1510" s="52"/>
      <c r="F1510" s="52"/>
      <c r="G1510" s="52"/>
      <c r="H1510" s="52"/>
    </row>
    <row r="1511" spans="1:8" ht="15.75">
      <c r="A1511" s="106">
        <v>41603</v>
      </c>
      <c r="B1511" s="107">
        <v>133.88</v>
      </c>
      <c r="C1511" s="52"/>
      <c r="D1511" s="52"/>
      <c r="E1511" s="52"/>
      <c r="F1511" s="52"/>
      <c r="G1511" s="52"/>
      <c r="H1511" s="52"/>
    </row>
    <row r="1512" spans="1:8" ht="15.75">
      <c r="A1512" s="106">
        <v>41604</v>
      </c>
      <c r="B1512" s="107">
        <v>133.88999999999999</v>
      </c>
      <c r="C1512" s="52"/>
      <c r="D1512" s="52"/>
      <c r="E1512" s="52"/>
      <c r="F1512" s="52"/>
      <c r="G1512" s="52"/>
      <c r="H1512" s="52"/>
    </row>
    <row r="1513" spans="1:8" ht="15.75">
      <c r="A1513" s="106">
        <v>41605</v>
      </c>
      <c r="B1513" s="107">
        <v>133.96</v>
      </c>
      <c r="C1513" s="52"/>
      <c r="D1513" s="52"/>
      <c r="E1513" s="52"/>
      <c r="F1513" s="52"/>
      <c r="G1513" s="52"/>
      <c r="H1513" s="52"/>
    </row>
    <row r="1514" spans="1:8" ht="15.75">
      <c r="A1514" s="106">
        <v>41606</v>
      </c>
      <c r="B1514" s="107">
        <v>133.85</v>
      </c>
      <c r="C1514" s="52"/>
      <c r="D1514" s="52"/>
      <c r="E1514" s="52"/>
      <c r="F1514" s="52"/>
      <c r="G1514" s="52"/>
      <c r="H1514" s="52"/>
    </row>
    <row r="1515" spans="1:8" ht="15.75">
      <c r="A1515" s="106">
        <v>41607</v>
      </c>
      <c r="B1515" s="107">
        <v>133.97</v>
      </c>
      <c r="C1515" s="52"/>
      <c r="D1515" s="52"/>
      <c r="E1515" s="52"/>
      <c r="F1515" s="52"/>
      <c r="G1515" s="52"/>
      <c r="H1515" s="52"/>
    </row>
    <row r="1516" spans="1:8" ht="15.75">
      <c r="A1516" s="106">
        <v>41610</v>
      </c>
      <c r="B1516" s="107">
        <v>133.83000000000001</v>
      </c>
      <c r="C1516" s="52"/>
      <c r="D1516" s="52"/>
      <c r="E1516" s="52"/>
      <c r="F1516" s="52"/>
      <c r="G1516" s="52"/>
      <c r="H1516" s="52"/>
    </row>
    <row r="1517" spans="1:8" ht="15.75">
      <c r="A1517" s="106">
        <v>41611</v>
      </c>
      <c r="B1517" s="107">
        <v>133.77000000000001</v>
      </c>
      <c r="C1517" s="52"/>
      <c r="D1517" s="52"/>
      <c r="E1517" s="52"/>
      <c r="F1517" s="52"/>
      <c r="G1517" s="52"/>
      <c r="H1517" s="52"/>
    </row>
    <row r="1518" spans="1:8" ht="15.75">
      <c r="A1518" s="106">
        <v>41612</v>
      </c>
      <c r="B1518" s="107">
        <v>133.80000000000001</v>
      </c>
      <c r="C1518" s="52"/>
      <c r="D1518" s="52"/>
      <c r="E1518" s="52"/>
      <c r="F1518" s="52"/>
      <c r="G1518" s="52"/>
      <c r="H1518" s="52"/>
    </row>
    <row r="1519" spans="1:8" ht="15.75">
      <c r="A1519" s="106">
        <v>41613</v>
      </c>
      <c r="B1519" s="107">
        <v>133.47</v>
      </c>
      <c r="C1519" s="52"/>
      <c r="D1519" s="52"/>
      <c r="E1519" s="52"/>
      <c r="F1519" s="52"/>
      <c r="G1519" s="52"/>
      <c r="H1519" s="52"/>
    </row>
    <row r="1520" spans="1:8" ht="15.75">
      <c r="A1520" s="106">
        <v>41614</v>
      </c>
      <c r="B1520" s="107">
        <v>133.03</v>
      </c>
      <c r="C1520" s="52"/>
      <c r="D1520" s="52"/>
      <c r="E1520" s="52"/>
      <c r="F1520" s="52"/>
      <c r="G1520" s="52"/>
      <c r="H1520" s="52"/>
    </row>
    <row r="1521" spans="1:8" ht="15.75">
      <c r="A1521" s="106">
        <v>41617</v>
      </c>
      <c r="B1521" s="107">
        <v>133.1</v>
      </c>
      <c r="C1521" s="52"/>
      <c r="D1521" s="52"/>
      <c r="E1521" s="52"/>
      <c r="F1521" s="52"/>
      <c r="G1521" s="52"/>
      <c r="H1521" s="52"/>
    </row>
    <row r="1522" spans="1:8" ht="15.75">
      <c r="A1522" s="106">
        <v>41618</v>
      </c>
      <c r="B1522" s="107">
        <v>133.06</v>
      </c>
      <c r="C1522" s="52"/>
      <c r="D1522" s="52"/>
      <c r="E1522" s="52"/>
      <c r="F1522" s="52"/>
      <c r="G1522" s="52"/>
      <c r="H1522" s="52"/>
    </row>
    <row r="1523" spans="1:8" ht="15.75">
      <c r="A1523" s="106">
        <v>41619</v>
      </c>
      <c r="B1523" s="107">
        <v>133.11000000000001</v>
      </c>
      <c r="C1523" s="52"/>
      <c r="D1523" s="52"/>
      <c r="E1523" s="52"/>
      <c r="F1523" s="52"/>
      <c r="G1523" s="52"/>
      <c r="H1523" s="52"/>
    </row>
    <row r="1524" spans="1:8" ht="15.75">
      <c r="A1524" s="106">
        <v>41620</v>
      </c>
      <c r="B1524" s="107">
        <v>133.15</v>
      </c>
      <c r="C1524" s="52"/>
      <c r="D1524" s="52"/>
      <c r="E1524" s="52"/>
      <c r="F1524" s="52"/>
      <c r="G1524" s="52"/>
      <c r="H1524" s="52"/>
    </row>
    <row r="1525" spans="1:8" ht="15.75">
      <c r="A1525" s="106">
        <v>41621</v>
      </c>
      <c r="B1525" s="107">
        <v>133.01</v>
      </c>
      <c r="C1525" s="52"/>
      <c r="D1525" s="52"/>
      <c r="E1525" s="52"/>
      <c r="F1525" s="52"/>
      <c r="G1525" s="52"/>
      <c r="H1525" s="52"/>
    </row>
    <row r="1526" spans="1:8" ht="15.75">
      <c r="A1526" s="106">
        <v>41624</v>
      </c>
      <c r="B1526" s="107">
        <v>132.97999999999999</v>
      </c>
      <c r="C1526" s="52"/>
      <c r="D1526" s="52"/>
      <c r="E1526" s="52"/>
      <c r="F1526" s="52"/>
      <c r="G1526" s="52"/>
      <c r="H1526" s="52"/>
    </row>
    <row r="1527" spans="1:8" ht="15.75">
      <c r="A1527" s="106">
        <v>41625</v>
      </c>
      <c r="B1527" s="107">
        <v>133.06</v>
      </c>
      <c r="C1527" s="52"/>
      <c r="D1527" s="52"/>
      <c r="E1527" s="52"/>
      <c r="F1527" s="52"/>
      <c r="G1527" s="52"/>
      <c r="H1527" s="52"/>
    </row>
    <row r="1528" spans="1:8" ht="15.75">
      <c r="A1528" s="106">
        <v>41626</v>
      </c>
      <c r="B1528" s="107">
        <v>133.02000000000001</v>
      </c>
      <c r="C1528" s="52"/>
      <c r="D1528" s="52"/>
      <c r="E1528" s="52"/>
      <c r="F1528" s="52"/>
      <c r="G1528" s="52"/>
      <c r="H1528" s="52"/>
    </row>
    <row r="1529" spans="1:8" ht="15.75">
      <c r="A1529" s="106">
        <v>41627</v>
      </c>
      <c r="B1529" s="107">
        <v>132.88999999999999</v>
      </c>
      <c r="C1529" s="52"/>
      <c r="D1529" s="52"/>
      <c r="E1529" s="52"/>
      <c r="F1529" s="52"/>
      <c r="G1529" s="52"/>
      <c r="H1529" s="52"/>
    </row>
    <row r="1530" spans="1:8" ht="15.75">
      <c r="A1530" s="106">
        <v>41628</v>
      </c>
      <c r="B1530" s="107">
        <v>132.62</v>
      </c>
      <c r="C1530" s="52"/>
      <c r="D1530" s="52"/>
      <c r="E1530" s="52"/>
      <c r="F1530" s="52"/>
      <c r="G1530" s="52"/>
      <c r="H1530" s="52"/>
    </row>
    <row r="1531" spans="1:8" ht="15.75">
      <c r="A1531" s="106">
        <v>41631</v>
      </c>
      <c r="B1531" s="107">
        <v>132.44999999999999</v>
      </c>
      <c r="C1531" s="52"/>
      <c r="D1531" s="52"/>
      <c r="E1531" s="52"/>
      <c r="F1531" s="52"/>
      <c r="G1531" s="52"/>
      <c r="H1531" s="52"/>
    </row>
    <row r="1532" spans="1:8" ht="15.75">
      <c r="A1532" s="106">
        <v>41635</v>
      </c>
      <c r="B1532" s="107">
        <v>132.22999999999999</v>
      </c>
      <c r="C1532" s="52"/>
      <c r="D1532" s="52"/>
      <c r="E1532" s="52"/>
      <c r="F1532" s="52"/>
      <c r="G1532" s="52"/>
      <c r="H1532" s="52"/>
    </row>
    <row r="1533" spans="1:8" ht="15.75">
      <c r="A1533" s="106">
        <v>41638</v>
      </c>
      <c r="B1533" s="107">
        <v>132.11000000000001</v>
      </c>
      <c r="C1533" s="52"/>
      <c r="D1533" s="52"/>
      <c r="E1533" s="52"/>
      <c r="F1533" s="52"/>
      <c r="G1533" s="52"/>
      <c r="H1533" s="52"/>
    </row>
    <row r="1534" spans="1:8" ht="15.75">
      <c r="A1534" s="106">
        <v>41641</v>
      </c>
      <c r="B1534" s="107">
        <v>132.08000000000001</v>
      </c>
      <c r="C1534" s="52"/>
      <c r="D1534" s="52"/>
      <c r="E1534" s="52"/>
      <c r="F1534" s="52"/>
      <c r="G1534" s="52"/>
      <c r="H1534" s="52"/>
    </row>
    <row r="1535" spans="1:8" ht="15.75">
      <c r="A1535" s="106">
        <v>41642</v>
      </c>
      <c r="B1535" s="107">
        <v>132.16</v>
      </c>
      <c r="C1535" s="52"/>
      <c r="D1535" s="52"/>
      <c r="E1535" s="52"/>
      <c r="F1535" s="52"/>
      <c r="G1535" s="52"/>
      <c r="H1535" s="52"/>
    </row>
    <row r="1536" spans="1:8" ht="15.75">
      <c r="A1536" s="106">
        <v>41645</v>
      </c>
      <c r="B1536" s="107">
        <v>132.37</v>
      </c>
      <c r="C1536" s="52"/>
      <c r="D1536" s="52"/>
      <c r="E1536" s="52"/>
      <c r="F1536" s="52"/>
      <c r="G1536" s="52"/>
      <c r="H1536" s="52"/>
    </row>
    <row r="1537" spans="1:8" ht="15.75">
      <c r="A1537" s="106">
        <v>41646</v>
      </c>
      <c r="B1537" s="107">
        <v>132.44999999999999</v>
      </c>
      <c r="C1537" s="52"/>
      <c r="D1537" s="52"/>
      <c r="E1537" s="52"/>
      <c r="F1537" s="52"/>
      <c r="G1537" s="52"/>
      <c r="H1537" s="52"/>
    </row>
    <row r="1538" spans="1:8" ht="15.75">
      <c r="A1538" s="106">
        <v>41647</v>
      </c>
      <c r="B1538" s="107">
        <v>132.41999999999999</v>
      </c>
      <c r="C1538" s="52"/>
      <c r="D1538" s="52"/>
      <c r="E1538" s="52"/>
      <c r="F1538" s="52"/>
      <c r="G1538" s="52"/>
      <c r="H1538" s="52"/>
    </row>
    <row r="1539" spans="1:8" ht="15.75">
      <c r="A1539" s="106">
        <v>41648</v>
      </c>
      <c r="B1539" s="107">
        <v>132.19999999999999</v>
      </c>
      <c r="C1539" s="52"/>
      <c r="D1539" s="52"/>
      <c r="E1539" s="52"/>
      <c r="F1539" s="52"/>
      <c r="G1539" s="52"/>
      <c r="H1539" s="52"/>
    </row>
    <row r="1540" spans="1:8" ht="15.75">
      <c r="A1540" s="106">
        <v>41649</v>
      </c>
      <c r="B1540" s="107">
        <v>132.36000000000001</v>
      </c>
      <c r="C1540" s="52"/>
      <c r="D1540" s="52"/>
      <c r="E1540" s="52"/>
      <c r="F1540" s="52"/>
      <c r="G1540" s="52"/>
      <c r="H1540" s="52"/>
    </row>
    <row r="1541" spans="1:8" ht="15.75">
      <c r="A1541" s="106">
        <v>41652</v>
      </c>
      <c r="B1541" s="107">
        <v>132.78</v>
      </c>
      <c r="C1541" s="52"/>
      <c r="D1541" s="52"/>
      <c r="E1541" s="52"/>
      <c r="F1541" s="52"/>
      <c r="G1541" s="52"/>
      <c r="H1541" s="52"/>
    </row>
    <row r="1542" spans="1:8" ht="15.75">
      <c r="A1542" s="106">
        <v>41653</v>
      </c>
      <c r="B1542" s="107">
        <v>132.93</v>
      </c>
      <c r="C1542" s="52"/>
      <c r="D1542" s="52"/>
      <c r="E1542" s="52"/>
      <c r="F1542" s="52"/>
      <c r="G1542" s="52"/>
      <c r="H1542" s="52"/>
    </row>
    <row r="1543" spans="1:8" ht="15.75">
      <c r="A1543" s="106">
        <v>41654</v>
      </c>
      <c r="B1543" s="107">
        <v>132.88</v>
      </c>
      <c r="C1543" s="52"/>
      <c r="D1543" s="52"/>
      <c r="E1543" s="52"/>
      <c r="F1543" s="52"/>
      <c r="G1543" s="52"/>
      <c r="H1543" s="52"/>
    </row>
    <row r="1544" spans="1:8" ht="15.75">
      <c r="A1544" s="106">
        <v>41655</v>
      </c>
      <c r="B1544" s="107">
        <v>132.87</v>
      </c>
      <c r="C1544" s="52"/>
      <c r="D1544" s="52"/>
      <c r="E1544" s="52"/>
      <c r="F1544" s="52"/>
      <c r="G1544" s="52"/>
      <c r="H1544" s="52"/>
    </row>
    <row r="1545" spans="1:8" ht="15.75">
      <c r="A1545" s="106">
        <v>41656</v>
      </c>
      <c r="B1545" s="107">
        <v>133.16999999999999</v>
      </c>
      <c r="C1545" s="52"/>
      <c r="D1545" s="52"/>
      <c r="E1545" s="52"/>
      <c r="F1545" s="52"/>
      <c r="G1545" s="52"/>
      <c r="H1545" s="52"/>
    </row>
    <row r="1546" spans="1:8" ht="15.75">
      <c r="A1546" s="106">
        <v>41659</v>
      </c>
      <c r="B1546" s="107">
        <v>133.33000000000001</v>
      </c>
      <c r="C1546" s="52"/>
      <c r="D1546" s="52"/>
      <c r="E1546" s="52"/>
      <c r="F1546" s="52"/>
      <c r="G1546" s="52"/>
      <c r="H1546" s="52"/>
    </row>
    <row r="1547" spans="1:8" ht="15.75">
      <c r="A1547" s="106">
        <v>41660</v>
      </c>
      <c r="B1547" s="107">
        <v>133.34</v>
      </c>
      <c r="C1547" s="52"/>
      <c r="D1547" s="52"/>
      <c r="E1547" s="52"/>
      <c r="F1547" s="52"/>
      <c r="G1547" s="52"/>
      <c r="H1547" s="52"/>
    </row>
    <row r="1548" spans="1:8" ht="15.75">
      <c r="A1548" s="106">
        <v>41661</v>
      </c>
      <c r="B1548" s="107">
        <v>133.28</v>
      </c>
      <c r="C1548" s="52"/>
      <c r="D1548" s="52"/>
      <c r="E1548" s="52"/>
      <c r="F1548" s="52"/>
      <c r="G1548" s="52"/>
      <c r="H1548" s="52"/>
    </row>
    <row r="1549" spans="1:8" ht="15.75">
      <c r="A1549" s="106">
        <v>41662</v>
      </c>
      <c r="B1549" s="107">
        <v>133.27000000000001</v>
      </c>
      <c r="C1549" s="52"/>
      <c r="D1549" s="52"/>
      <c r="E1549" s="52"/>
      <c r="F1549" s="52"/>
      <c r="G1549" s="52"/>
      <c r="H1549" s="52"/>
    </row>
    <row r="1550" spans="1:8" ht="15.75">
      <c r="A1550" s="106">
        <v>41663</v>
      </c>
      <c r="B1550" s="107">
        <v>133.81</v>
      </c>
      <c r="C1550" s="52"/>
      <c r="D1550" s="52"/>
      <c r="E1550" s="52"/>
      <c r="F1550" s="52"/>
      <c r="G1550" s="52"/>
      <c r="H1550" s="52"/>
    </row>
    <row r="1551" spans="1:8" ht="15.75">
      <c r="A1551" s="106">
        <v>41666</v>
      </c>
      <c r="B1551" s="107">
        <v>133.77000000000001</v>
      </c>
      <c r="C1551" s="52"/>
      <c r="D1551" s="52"/>
      <c r="E1551" s="52"/>
      <c r="F1551" s="52"/>
      <c r="G1551" s="52"/>
      <c r="H1551" s="52"/>
    </row>
    <row r="1552" spans="1:8" ht="15.75">
      <c r="A1552" s="106">
        <v>41667</v>
      </c>
      <c r="B1552" s="107">
        <v>133.66999999999999</v>
      </c>
      <c r="C1552" s="52"/>
      <c r="D1552" s="52"/>
      <c r="E1552" s="52"/>
      <c r="F1552" s="52"/>
      <c r="G1552" s="52"/>
      <c r="H1552" s="52"/>
    </row>
    <row r="1553" spans="1:8" ht="15.75">
      <c r="A1553" s="106">
        <v>41668</v>
      </c>
      <c r="B1553" s="107">
        <v>133.72999999999999</v>
      </c>
      <c r="C1553" s="52"/>
      <c r="D1553" s="52"/>
      <c r="E1553" s="52"/>
      <c r="F1553" s="52"/>
      <c r="G1553" s="52"/>
      <c r="H1553" s="52"/>
    </row>
    <row r="1554" spans="1:8" ht="15.75">
      <c r="A1554" s="106">
        <v>41669</v>
      </c>
      <c r="B1554" s="107">
        <v>134.13999999999999</v>
      </c>
      <c r="C1554" s="52"/>
      <c r="D1554" s="52"/>
      <c r="E1554" s="52"/>
      <c r="F1554" s="52"/>
      <c r="G1554" s="52"/>
      <c r="H1554" s="52"/>
    </row>
    <row r="1555" spans="1:8" ht="15.75">
      <c r="A1555" s="106">
        <v>41670</v>
      </c>
      <c r="B1555" s="107">
        <v>134.32</v>
      </c>
      <c r="C1555" s="52"/>
      <c r="D1555" s="52"/>
      <c r="E1555" s="52"/>
      <c r="F1555" s="52"/>
      <c r="G1555" s="52"/>
      <c r="H1555" s="52"/>
    </row>
    <row r="1556" spans="1:8" ht="15.75">
      <c r="A1556" s="106">
        <v>41673</v>
      </c>
      <c r="B1556" s="107">
        <v>134.34</v>
      </c>
      <c r="C1556" s="52"/>
      <c r="D1556" s="52"/>
      <c r="E1556" s="52"/>
      <c r="F1556" s="52"/>
      <c r="G1556" s="52"/>
      <c r="H1556" s="52"/>
    </row>
    <row r="1557" spans="1:8" ht="15.75">
      <c r="A1557" s="106">
        <v>41674</v>
      </c>
      <c r="B1557" s="107">
        <v>134.47999999999999</v>
      </c>
      <c r="C1557" s="52"/>
      <c r="D1557" s="52"/>
      <c r="E1557" s="52"/>
      <c r="F1557" s="52"/>
      <c r="G1557" s="52"/>
      <c r="H1557" s="52"/>
    </row>
    <row r="1558" spans="1:8" ht="15.75">
      <c r="A1558" s="106">
        <v>41675</v>
      </c>
      <c r="B1558" s="107">
        <v>134.61000000000001</v>
      </c>
      <c r="C1558" s="52"/>
      <c r="D1558" s="52"/>
      <c r="E1558" s="52"/>
      <c r="F1558" s="52"/>
      <c r="G1558" s="52"/>
      <c r="H1558" s="52"/>
    </row>
    <row r="1559" spans="1:8" ht="15.75">
      <c r="A1559" s="106">
        <v>41676</v>
      </c>
      <c r="B1559" s="107">
        <v>134.43</v>
      </c>
      <c r="C1559" s="52"/>
      <c r="D1559" s="52"/>
      <c r="E1559" s="52"/>
      <c r="F1559" s="52"/>
      <c r="G1559" s="52"/>
      <c r="H1559" s="52"/>
    </row>
    <row r="1560" spans="1:8" ht="15.75">
      <c r="A1560" s="106">
        <v>41677</v>
      </c>
      <c r="B1560" s="107">
        <v>134.34</v>
      </c>
      <c r="C1560" s="52"/>
      <c r="D1560" s="52"/>
      <c r="E1560" s="52"/>
      <c r="F1560" s="52"/>
      <c r="G1560" s="52"/>
      <c r="H1560" s="52"/>
    </row>
    <row r="1561" spans="1:8" ht="15.75">
      <c r="A1561" s="106">
        <v>41680</v>
      </c>
      <c r="B1561" s="107">
        <v>134.38999999999999</v>
      </c>
      <c r="C1561" s="52"/>
      <c r="D1561" s="52"/>
      <c r="E1561" s="52"/>
      <c r="F1561" s="52"/>
      <c r="G1561" s="52"/>
      <c r="H1561" s="52"/>
    </row>
    <row r="1562" spans="1:8" ht="15.75">
      <c r="A1562" s="106">
        <v>41681</v>
      </c>
      <c r="B1562" s="107">
        <v>134.24</v>
      </c>
      <c r="C1562" s="52"/>
      <c r="D1562" s="52"/>
      <c r="E1562" s="52"/>
      <c r="F1562" s="52"/>
      <c r="G1562" s="52"/>
      <c r="H1562" s="52"/>
    </row>
    <row r="1563" spans="1:8" ht="15.75">
      <c r="A1563" s="106">
        <v>41682</v>
      </c>
      <c r="B1563" s="107">
        <v>134.30000000000001</v>
      </c>
      <c r="C1563" s="52"/>
      <c r="D1563" s="52"/>
      <c r="E1563" s="52"/>
      <c r="F1563" s="52"/>
      <c r="G1563" s="52"/>
      <c r="H1563" s="52"/>
    </row>
    <row r="1564" spans="1:8" ht="15.75">
      <c r="A1564" s="106">
        <v>41683</v>
      </c>
      <c r="B1564" s="107">
        <v>134.33000000000001</v>
      </c>
      <c r="C1564" s="52"/>
      <c r="D1564" s="52"/>
      <c r="E1564" s="52"/>
      <c r="F1564" s="52"/>
      <c r="G1564" s="52"/>
      <c r="H1564" s="52"/>
    </row>
    <row r="1565" spans="1:8" ht="15.75">
      <c r="A1565" s="106">
        <v>41684</v>
      </c>
      <c r="B1565" s="107">
        <v>134.33000000000001</v>
      </c>
      <c r="C1565" s="52"/>
      <c r="D1565" s="52"/>
      <c r="E1565" s="52"/>
      <c r="F1565" s="52"/>
      <c r="G1565" s="52"/>
      <c r="H1565" s="52"/>
    </row>
    <row r="1566" spans="1:8" ht="15.75">
      <c r="A1566" s="106">
        <v>41687</v>
      </c>
      <c r="B1566" s="107">
        <v>134.25</v>
      </c>
      <c r="C1566" s="52"/>
      <c r="D1566" s="52"/>
      <c r="E1566" s="52"/>
      <c r="F1566" s="52"/>
      <c r="G1566" s="52"/>
      <c r="H1566" s="52"/>
    </row>
    <row r="1567" spans="1:8" ht="15.75">
      <c r="A1567" s="106">
        <v>41688</v>
      </c>
      <c r="B1567" s="107">
        <v>134.5</v>
      </c>
      <c r="C1567" s="52"/>
      <c r="D1567" s="52"/>
      <c r="E1567" s="52"/>
      <c r="F1567" s="52"/>
      <c r="G1567" s="52"/>
      <c r="H1567" s="52"/>
    </row>
    <row r="1568" spans="1:8" ht="15.75">
      <c r="A1568" s="106">
        <v>41689</v>
      </c>
      <c r="B1568" s="107">
        <v>134.56</v>
      </c>
      <c r="C1568" s="52"/>
      <c r="D1568" s="52"/>
      <c r="E1568" s="52"/>
      <c r="F1568" s="52"/>
      <c r="G1568" s="52"/>
      <c r="H1568" s="52"/>
    </row>
    <row r="1569" spans="1:8" ht="15.75">
      <c r="A1569" s="106">
        <v>41690</v>
      </c>
      <c r="B1569" s="107">
        <v>134.51</v>
      </c>
      <c r="C1569" s="52"/>
      <c r="D1569" s="52"/>
      <c r="E1569" s="52"/>
      <c r="F1569" s="52"/>
      <c r="G1569" s="52"/>
      <c r="H1569" s="52"/>
    </row>
    <row r="1570" spans="1:8" ht="15.75">
      <c r="A1570" s="106">
        <v>41691</v>
      </c>
      <c r="B1570" s="107">
        <v>134.31</v>
      </c>
      <c r="C1570" s="52"/>
      <c r="D1570" s="52"/>
      <c r="E1570" s="52"/>
      <c r="F1570" s="52"/>
      <c r="G1570" s="52"/>
      <c r="H1570" s="52"/>
    </row>
    <row r="1571" spans="1:8" ht="15.75">
      <c r="A1571" s="106">
        <v>41694</v>
      </c>
      <c r="B1571" s="107">
        <v>134.25</v>
      </c>
      <c r="C1571" s="52"/>
      <c r="D1571" s="52"/>
      <c r="E1571" s="52"/>
      <c r="F1571" s="52"/>
      <c r="G1571" s="52"/>
      <c r="H1571" s="52"/>
    </row>
    <row r="1572" spans="1:8" ht="15.75">
      <c r="A1572" s="106">
        <v>41695</v>
      </c>
      <c r="B1572" s="107">
        <v>134.12</v>
      </c>
      <c r="C1572" s="52"/>
      <c r="D1572" s="52"/>
      <c r="E1572" s="52"/>
      <c r="F1572" s="52"/>
      <c r="G1572" s="52"/>
      <c r="H1572" s="52"/>
    </row>
    <row r="1573" spans="1:8" ht="15.75">
      <c r="A1573" s="106">
        <v>41696</v>
      </c>
      <c r="B1573" s="107">
        <v>134.44999999999999</v>
      </c>
      <c r="C1573" s="52"/>
      <c r="D1573" s="52"/>
      <c r="E1573" s="52"/>
      <c r="F1573" s="52"/>
      <c r="G1573" s="52"/>
      <c r="H1573" s="52"/>
    </row>
    <row r="1574" spans="1:8" ht="15.75">
      <c r="A1574" s="106">
        <v>41697</v>
      </c>
      <c r="B1574" s="107">
        <v>134.94999999999999</v>
      </c>
      <c r="C1574" s="52"/>
      <c r="D1574" s="52"/>
      <c r="E1574" s="52"/>
      <c r="F1574" s="52"/>
      <c r="G1574" s="52"/>
      <c r="H1574" s="52"/>
    </row>
    <row r="1575" spans="1:8" ht="15.75">
      <c r="A1575" s="106">
        <v>41698</v>
      </c>
      <c r="B1575" s="107">
        <v>134.66999999999999</v>
      </c>
      <c r="C1575" s="52"/>
      <c r="D1575" s="52"/>
      <c r="E1575" s="52"/>
      <c r="F1575" s="52"/>
      <c r="G1575" s="52"/>
      <c r="H1575" s="52"/>
    </row>
    <row r="1576" spans="1:8" ht="15.75">
      <c r="A1576" s="106">
        <v>41701</v>
      </c>
      <c r="B1576" s="107">
        <v>134.80000000000001</v>
      </c>
      <c r="C1576" s="52"/>
      <c r="D1576" s="52"/>
      <c r="E1576" s="52"/>
      <c r="F1576" s="52"/>
      <c r="G1576" s="52"/>
      <c r="H1576" s="52"/>
    </row>
    <row r="1577" spans="1:8" ht="15.75">
      <c r="A1577" s="106">
        <v>41702</v>
      </c>
      <c r="B1577" s="107">
        <v>134.76</v>
      </c>
      <c r="C1577" s="52"/>
      <c r="D1577" s="52"/>
      <c r="E1577" s="52"/>
      <c r="F1577" s="52"/>
      <c r="G1577" s="52"/>
      <c r="H1577" s="52"/>
    </row>
    <row r="1578" spans="1:8" ht="15.75">
      <c r="A1578" s="106">
        <v>41703</v>
      </c>
      <c r="B1578" s="107">
        <v>134.59</v>
      </c>
      <c r="C1578" s="52"/>
      <c r="D1578" s="52"/>
      <c r="E1578" s="52"/>
      <c r="F1578" s="52"/>
      <c r="G1578" s="52"/>
      <c r="H1578" s="52"/>
    </row>
    <row r="1579" spans="1:8" ht="15.75">
      <c r="A1579" s="106">
        <v>41704</v>
      </c>
      <c r="B1579" s="107">
        <v>134.56</v>
      </c>
      <c r="C1579" s="52"/>
      <c r="D1579" s="52"/>
      <c r="E1579" s="52"/>
      <c r="F1579" s="52"/>
      <c r="G1579" s="52"/>
      <c r="H1579" s="52"/>
    </row>
    <row r="1580" spans="1:8" ht="15.75">
      <c r="A1580" s="106">
        <v>41705</v>
      </c>
      <c r="B1580" s="107">
        <v>134.27000000000001</v>
      </c>
      <c r="C1580" s="52"/>
      <c r="D1580" s="52"/>
      <c r="E1580" s="52"/>
      <c r="F1580" s="52"/>
      <c r="G1580" s="52"/>
      <c r="H1580" s="52"/>
    </row>
    <row r="1581" spans="1:8" ht="15.75">
      <c r="A1581" s="106">
        <v>41708</v>
      </c>
      <c r="B1581" s="107">
        <v>134.28</v>
      </c>
      <c r="C1581" s="52"/>
      <c r="D1581" s="52"/>
      <c r="E1581" s="52"/>
      <c r="F1581" s="52"/>
      <c r="G1581" s="52"/>
      <c r="H1581" s="52"/>
    </row>
    <row r="1582" spans="1:8" ht="15.75">
      <c r="A1582" s="106">
        <v>41709</v>
      </c>
      <c r="B1582" s="107">
        <v>134.47</v>
      </c>
      <c r="C1582" s="52"/>
      <c r="D1582" s="52"/>
      <c r="E1582" s="52"/>
      <c r="F1582" s="52"/>
      <c r="G1582" s="52"/>
      <c r="H1582" s="52"/>
    </row>
    <row r="1583" spans="1:8" ht="15.75">
      <c r="A1583" s="106">
        <v>41710</v>
      </c>
      <c r="B1583" s="107">
        <v>134.63999999999999</v>
      </c>
      <c r="C1583" s="52"/>
      <c r="D1583" s="52"/>
      <c r="E1583" s="52"/>
      <c r="F1583" s="52"/>
      <c r="G1583" s="52"/>
      <c r="H1583" s="52"/>
    </row>
    <row r="1584" spans="1:8" ht="15.75">
      <c r="A1584" s="106">
        <v>41711</v>
      </c>
      <c r="B1584" s="107">
        <v>134.63</v>
      </c>
      <c r="C1584" s="52"/>
      <c r="D1584" s="52"/>
      <c r="E1584" s="52"/>
      <c r="F1584" s="52"/>
      <c r="G1584" s="52"/>
      <c r="H1584" s="52"/>
    </row>
    <row r="1585" spans="1:8" ht="15.75">
      <c r="A1585" s="106">
        <v>41712</v>
      </c>
      <c r="B1585" s="107">
        <v>134.97</v>
      </c>
      <c r="C1585" s="52"/>
      <c r="D1585" s="52"/>
      <c r="E1585" s="52"/>
      <c r="F1585" s="52"/>
      <c r="G1585" s="52"/>
      <c r="H1585" s="52"/>
    </row>
    <row r="1586" spans="1:8" ht="15.75">
      <c r="A1586" s="106">
        <v>41715</v>
      </c>
      <c r="B1586" s="107">
        <v>134.79</v>
      </c>
      <c r="C1586" s="52"/>
      <c r="D1586" s="52"/>
      <c r="E1586" s="52"/>
      <c r="F1586" s="52"/>
      <c r="G1586" s="52"/>
      <c r="H1586" s="52"/>
    </row>
    <row r="1587" spans="1:8" ht="15.75">
      <c r="A1587" s="106">
        <v>41716</v>
      </c>
      <c r="B1587" s="107">
        <v>134.80000000000001</v>
      </c>
      <c r="C1587" s="52"/>
      <c r="D1587" s="52"/>
      <c r="E1587" s="52"/>
      <c r="F1587" s="52"/>
      <c r="G1587" s="52"/>
      <c r="H1587" s="52"/>
    </row>
    <row r="1588" spans="1:8" ht="15.75">
      <c r="A1588" s="106">
        <v>41717</v>
      </c>
      <c r="B1588" s="107">
        <v>134.68</v>
      </c>
      <c r="C1588" s="52"/>
      <c r="D1588" s="52"/>
      <c r="E1588" s="52"/>
      <c r="F1588" s="52"/>
      <c r="G1588" s="52"/>
      <c r="H1588" s="52"/>
    </row>
    <row r="1589" spans="1:8" ht="15.75">
      <c r="A1589" s="106">
        <v>41718</v>
      </c>
      <c r="B1589" s="107">
        <v>134.26</v>
      </c>
      <c r="C1589" s="52"/>
      <c r="D1589" s="52"/>
      <c r="E1589" s="52"/>
      <c r="F1589" s="52"/>
      <c r="G1589" s="52"/>
      <c r="H1589" s="52"/>
    </row>
    <row r="1590" spans="1:8" ht="15.75">
      <c r="A1590" s="106">
        <v>41719</v>
      </c>
      <c r="B1590" s="107">
        <v>134.28</v>
      </c>
      <c r="C1590" s="52"/>
      <c r="D1590" s="52"/>
      <c r="E1590" s="52"/>
      <c r="F1590" s="52"/>
      <c r="G1590" s="52"/>
      <c r="H1590" s="52"/>
    </row>
    <row r="1591" spans="1:8" ht="15.75">
      <c r="A1591" s="106">
        <v>41722</v>
      </c>
      <c r="B1591" s="107">
        <v>134.21</v>
      </c>
      <c r="C1591" s="52"/>
      <c r="D1591" s="52"/>
      <c r="E1591" s="52"/>
      <c r="F1591" s="52"/>
      <c r="G1591" s="52"/>
      <c r="H1591" s="52"/>
    </row>
    <row r="1592" spans="1:8" ht="15.75">
      <c r="A1592" s="106">
        <v>41723</v>
      </c>
      <c r="B1592" s="107">
        <v>134.65</v>
      </c>
      <c r="C1592" s="52"/>
      <c r="D1592" s="52"/>
      <c r="E1592" s="52"/>
      <c r="F1592" s="52"/>
      <c r="G1592" s="52"/>
      <c r="H1592" s="52"/>
    </row>
    <row r="1593" spans="1:8" ht="15.75">
      <c r="A1593" s="106">
        <v>41724</v>
      </c>
      <c r="B1593" s="107">
        <v>134.76</v>
      </c>
      <c r="C1593" s="52"/>
      <c r="D1593" s="52"/>
      <c r="E1593" s="52"/>
      <c r="F1593" s="52"/>
      <c r="G1593" s="52"/>
      <c r="H1593" s="52"/>
    </row>
    <row r="1594" spans="1:8" ht="15.75">
      <c r="A1594" s="106">
        <v>41725</v>
      </c>
      <c r="B1594" s="107">
        <v>134.86000000000001</v>
      </c>
      <c r="C1594" s="52"/>
      <c r="D1594" s="52"/>
      <c r="E1594" s="52"/>
      <c r="F1594" s="52"/>
      <c r="G1594" s="52"/>
      <c r="H1594" s="52"/>
    </row>
    <row r="1595" spans="1:8" ht="15.75">
      <c r="A1595" s="106">
        <v>41726</v>
      </c>
      <c r="B1595" s="107">
        <v>134.97</v>
      </c>
      <c r="C1595" s="52"/>
      <c r="D1595" s="52"/>
      <c r="E1595" s="52"/>
      <c r="F1595" s="52"/>
      <c r="G1595" s="52"/>
      <c r="H1595" s="52"/>
    </row>
    <row r="1596" spans="1:8" ht="15.75">
      <c r="A1596" s="106">
        <v>41729</v>
      </c>
      <c r="B1596" s="107">
        <v>134.69999999999999</v>
      </c>
      <c r="C1596" s="52"/>
      <c r="D1596" s="52"/>
      <c r="E1596" s="52"/>
      <c r="F1596" s="52"/>
      <c r="G1596" s="52"/>
      <c r="H1596" s="52"/>
    </row>
    <row r="1597" spans="1:8" ht="15.75">
      <c r="A1597" s="106">
        <v>41730</v>
      </c>
      <c r="B1597" s="107">
        <v>134.6</v>
      </c>
      <c r="C1597" s="52"/>
      <c r="D1597" s="52"/>
      <c r="E1597" s="52"/>
      <c r="F1597" s="52"/>
      <c r="G1597" s="52"/>
      <c r="H1597" s="52"/>
    </row>
    <row r="1598" spans="1:8" ht="15.75">
      <c r="A1598" s="106">
        <v>41731</v>
      </c>
      <c r="B1598" s="107">
        <v>134.53</v>
      </c>
      <c r="C1598" s="52"/>
      <c r="D1598" s="52"/>
      <c r="E1598" s="52"/>
      <c r="F1598" s="52"/>
      <c r="G1598" s="52"/>
      <c r="H1598" s="52"/>
    </row>
    <row r="1599" spans="1:8" ht="15.75">
      <c r="A1599" s="106">
        <v>41732</v>
      </c>
      <c r="B1599" s="107">
        <v>134.32</v>
      </c>
      <c r="C1599" s="52"/>
      <c r="D1599" s="52"/>
      <c r="E1599" s="52"/>
      <c r="F1599" s="52"/>
      <c r="G1599" s="52"/>
      <c r="H1599" s="52"/>
    </row>
    <row r="1600" spans="1:8" ht="15.75">
      <c r="A1600" s="106">
        <v>41733</v>
      </c>
      <c r="B1600" s="107">
        <v>134.38</v>
      </c>
      <c r="C1600" s="52"/>
      <c r="D1600" s="52"/>
      <c r="E1600" s="52"/>
      <c r="F1600" s="52"/>
      <c r="G1600" s="52"/>
      <c r="H1600" s="52"/>
    </row>
    <row r="1601" spans="1:8" ht="15.75">
      <c r="A1601" s="106">
        <v>41736</v>
      </c>
      <c r="B1601" s="107">
        <v>134.63</v>
      </c>
      <c r="C1601" s="52"/>
      <c r="D1601" s="52"/>
      <c r="E1601" s="52"/>
      <c r="F1601" s="52"/>
      <c r="G1601" s="52"/>
      <c r="H1601" s="52"/>
    </row>
    <row r="1602" spans="1:8" ht="15.75">
      <c r="A1602" s="106">
        <v>41737</v>
      </c>
      <c r="B1602" s="107">
        <v>134.69999999999999</v>
      </c>
      <c r="C1602" s="52"/>
      <c r="D1602" s="52"/>
      <c r="E1602" s="52"/>
      <c r="F1602" s="52"/>
      <c r="G1602" s="52"/>
      <c r="H1602" s="52"/>
    </row>
    <row r="1603" spans="1:8" ht="15.75">
      <c r="A1603" s="106">
        <v>41738</v>
      </c>
      <c r="B1603" s="107">
        <v>134.63999999999999</v>
      </c>
      <c r="C1603" s="52"/>
      <c r="D1603" s="52"/>
      <c r="E1603" s="52"/>
      <c r="F1603" s="52"/>
      <c r="G1603" s="52"/>
      <c r="H1603" s="52"/>
    </row>
    <row r="1604" spans="1:8" ht="15.75">
      <c r="A1604" s="106">
        <v>41739</v>
      </c>
      <c r="B1604" s="107">
        <v>134.88999999999999</v>
      </c>
      <c r="C1604" s="52"/>
      <c r="D1604" s="52"/>
      <c r="E1604" s="52"/>
      <c r="F1604" s="52"/>
      <c r="G1604" s="52"/>
      <c r="H1604" s="52"/>
    </row>
    <row r="1605" spans="1:8" ht="15.75">
      <c r="A1605" s="106">
        <v>41740</v>
      </c>
      <c r="B1605" s="107">
        <v>134.84</v>
      </c>
      <c r="C1605" s="52"/>
      <c r="D1605" s="52"/>
      <c r="E1605" s="52"/>
      <c r="F1605" s="52"/>
      <c r="G1605" s="52"/>
      <c r="H1605" s="52"/>
    </row>
    <row r="1606" spans="1:8" ht="15.75">
      <c r="A1606" s="106">
        <v>41743</v>
      </c>
      <c r="B1606" s="107">
        <v>134.88999999999999</v>
      </c>
      <c r="C1606" s="52"/>
      <c r="D1606" s="52"/>
      <c r="E1606" s="52"/>
      <c r="F1606" s="52"/>
      <c r="G1606" s="52"/>
      <c r="H1606" s="52"/>
    </row>
    <row r="1607" spans="1:8" ht="15.75">
      <c r="A1607" s="106">
        <v>41744</v>
      </c>
      <c r="B1607" s="107">
        <v>134.91</v>
      </c>
      <c r="C1607" s="52"/>
      <c r="D1607" s="52"/>
      <c r="E1607" s="52"/>
      <c r="F1607" s="52"/>
      <c r="G1607" s="52"/>
      <c r="H1607" s="52"/>
    </row>
    <row r="1608" spans="1:8" ht="15.75">
      <c r="A1608" s="106">
        <v>41745</v>
      </c>
      <c r="B1608" s="107">
        <v>135.09</v>
      </c>
      <c r="C1608" s="52"/>
      <c r="D1608" s="52"/>
      <c r="E1608" s="52"/>
      <c r="F1608" s="52"/>
      <c r="G1608" s="52"/>
      <c r="H1608" s="52"/>
    </row>
    <row r="1609" spans="1:8" ht="15.75">
      <c r="A1609" s="106">
        <v>41746</v>
      </c>
      <c r="B1609" s="107">
        <v>135.05000000000001</v>
      </c>
      <c r="C1609" s="52"/>
      <c r="D1609" s="52"/>
      <c r="E1609" s="52"/>
      <c r="F1609" s="52"/>
      <c r="G1609" s="52"/>
      <c r="H1609" s="52"/>
    </row>
    <row r="1610" spans="1:8" ht="15.75">
      <c r="A1610" s="106">
        <v>41751</v>
      </c>
      <c r="B1610" s="107">
        <v>134.78</v>
      </c>
      <c r="C1610" s="52"/>
      <c r="D1610" s="52"/>
      <c r="E1610" s="52"/>
      <c r="F1610" s="52"/>
      <c r="G1610" s="52"/>
      <c r="H1610" s="52"/>
    </row>
    <row r="1611" spans="1:8" ht="15.75">
      <c r="A1611" s="106">
        <v>41752</v>
      </c>
      <c r="B1611" s="107">
        <v>134.72999999999999</v>
      </c>
      <c r="C1611" s="52"/>
      <c r="D1611" s="52"/>
      <c r="E1611" s="52"/>
      <c r="F1611" s="52"/>
      <c r="G1611" s="52"/>
      <c r="H1611" s="52"/>
    </row>
    <row r="1612" spans="1:8" ht="15.75">
      <c r="A1612" s="106">
        <v>41753</v>
      </c>
      <c r="B1612" s="107">
        <v>134.68</v>
      </c>
      <c r="C1612" s="52"/>
      <c r="D1612" s="52"/>
      <c r="E1612" s="52"/>
      <c r="F1612" s="52"/>
      <c r="G1612" s="52"/>
      <c r="H1612" s="52"/>
    </row>
    <row r="1613" spans="1:8" ht="15.75">
      <c r="A1613" s="106">
        <v>41754</v>
      </c>
      <c r="B1613" s="107">
        <v>134.87</v>
      </c>
      <c r="C1613" s="52"/>
      <c r="D1613" s="52"/>
      <c r="E1613" s="52"/>
      <c r="F1613" s="52"/>
      <c r="G1613" s="52"/>
      <c r="H1613" s="52"/>
    </row>
    <row r="1614" spans="1:8" ht="15.75">
      <c r="A1614" s="106">
        <v>41757</v>
      </c>
      <c r="B1614" s="107">
        <v>134.94999999999999</v>
      </c>
      <c r="C1614" s="52"/>
      <c r="D1614" s="52"/>
      <c r="E1614" s="52"/>
      <c r="F1614" s="52"/>
      <c r="G1614" s="52"/>
      <c r="H1614" s="52"/>
    </row>
    <row r="1615" spans="1:8" ht="15.75">
      <c r="A1615" s="106">
        <v>41758</v>
      </c>
      <c r="B1615" s="107">
        <v>134.74</v>
      </c>
      <c r="C1615" s="52"/>
      <c r="D1615" s="52"/>
      <c r="E1615" s="52"/>
      <c r="F1615" s="52"/>
      <c r="G1615" s="52"/>
      <c r="H1615" s="52"/>
    </row>
    <row r="1616" spans="1:8" ht="15.75">
      <c r="A1616" s="106">
        <v>41759</v>
      </c>
      <c r="B1616" s="107">
        <v>134.91</v>
      </c>
      <c r="C1616" s="52"/>
      <c r="D1616" s="52"/>
      <c r="E1616" s="52"/>
      <c r="F1616" s="52"/>
      <c r="G1616" s="52"/>
      <c r="H1616" s="52"/>
    </row>
    <row r="1617" spans="1:8" ht="15.75">
      <c r="A1617" s="106">
        <v>41761</v>
      </c>
      <c r="B1617" s="107">
        <v>135.16999999999999</v>
      </c>
      <c r="C1617" s="52"/>
      <c r="D1617" s="52"/>
      <c r="E1617" s="52"/>
      <c r="F1617" s="52"/>
      <c r="G1617" s="52"/>
      <c r="H1617" s="52"/>
    </row>
    <row r="1618" spans="1:8" ht="15.75">
      <c r="A1618" s="106">
        <v>41764</v>
      </c>
      <c r="B1618" s="107">
        <v>135.31</v>
      </c>
      <c r="C1618" s="52"/>
      <c r="D1618" s="52"/>
      <c r="E1618" s="52"/>
      <c r="F1618" s="52"/>
      <c r="G1618" s="52"/>
      <c r="H1618" s="52"/>
    </row>
    <row r="1619" spans="1:8" ht="15.75">
      <c r="A1619" s="106">
        <v>41765</v>
      </c>
      <c r="B1619" s="107">
        <v>135.09</v>
      </c>
      <c r="C1619" s="52"/>
      <c r="D1619" s="52"/>
      <c r="E1619" s="52"/>
      <c r="F1619" s="52"/>
      <c r="G1619" s="52"/>
      <c r="H1619" s="52"/>
    </row>
    <row r="1620" spans="1:8" ht="15.75">
      <c r="A1620" s="106">
        <v>41766</v>
      </c>
      <c r="B1620" s="107">
        <v>135.22999999999999</v>
      </c>
      <c r="C1620" s="52"/>
      <c r="D1620" s="52"/>
      <c r="E1620" s="52"/>
      <c r="F1620" s="52"/>
      <c r="G1620" s="52"/>
      <c r="H1620" s="52"/>
    </row>
    <row r="1621" spans="1:8" ht="15.75">
      <c r="A1621" s="106">
        <v>41767</v>
      </c>
      <c r="B1621" s="107">
        <v>135.05000000000001</v>
      </c>
      <c r="C1621" s="52"/>
      <c r="D1621" s="52"/>
      <c r="E1621" s="52"/>
      <c r="F1621" s="52"/>
      <c r="G1621" s="52"/>
      <c r="H1621" s="52"/>
    </row>
    <row r="1622" spans="1:8" ht="15.75">
      <c r="A1622" s="106">
        <v>41768</v>
      </c>
      <c r="B1622" s="107">
        <v>135.28</v>
      </c>
      <c r="C1622" s="52"/>
      <c r="D1622" s="52"/>
      <c r="E1622" s="52"/>
      <c r="F1622" s="52"/>
      <c r="G1622" s="52"/>
      <c r="H1622" s="52"/>
    </row>
    <row r="1623" spans="1:8" ht="15.75">
      <c r="A1623" s="106">
        <v>41771</v>
      </c>
      <c r="B1623" s="107">
        <v>135.06</v>
      </c>
      <c r="C1623" s="52"/>
      <c r="D1623" s="52"/>
      <c r="E1623" s="52"/>
      <c r="F1623" s="52"/>
      <c r="G1623" s="52"/>
      <c r="H1623" s="52"/>
    </row>
    <row r="1624" spans="1:8" ht="15.75">
      <c r="A1624" s="106">
        <v>41772</v>
      </c>
      <c r="B1624" s="107">
        <v>135.27000000000001</v>
      </c>
      <c r="C1624" s="52"/>
      <c r="D1624" s="52"/>
      <c r="E1624" s="52"/>
      <c r="F1624" s="52"/>
      <c r="G1624" s="52"/>
      <c r="H1624" s="52"/>
    </row>
    <row r="1625" spans="1:8" ht="15.75">
      <c r="A1625" s="106">
        <v>41773</v>
      </c>
      <c r="B1625" s="107">
        <v>135.6</v>
      </c>
      <c r="C1625" s="52"/>
      <c r="D1625" s="52"/>
      <c r="E1625" s="52"/>
      <c r="F1625" s="52"/>
      <c r="G1625" s="52"/>
      <c r="H1625" s="52"/>
    </row>
    <row r="1626" spans="1:8" ht="15.75">
      <c r="A1626" s="106">
        <v>41774</v>
      </c>
      <c r="B1626" s="107">
        <v>135.72</v>
      </c>
      <c r="C1626" s="52"/>
      <c r="D1626" s="52"/>
      <c r="E1626" s="52"/>
      <c r="F1626" s="52"/>
      <c r="G1626" s="52"/>
      <c r="H1626" s="52"/>
    </row>
    <row r="1627" spans="1:8" ht="15.75">
      <c r="A1627" s="106">
        <v>41775</v>
      </c>
      <c r="B1627" s="107">
        <v>135.83000000000001</v>
      </c>
      <c r="C1627" s="52"/>
      <c r="D1627" s="52"/>
      <c r="E1627" s="52"/>
      <c r="F1627" s="52"/>
      <c r="G1627" s="52"/>
      <c r="H1627" s="52"/>
    </row>
    <row r="1628" spans="1:8" ht="15.75">
      <c r="A1628" s="106">
        <v>41778</v>
      </c>
      <c r="B1628" s="107">
        <v>135.97</v>
      </c>
      <c r="C1628" s="52"/>
      <c r="D1628" s="52"/>
      <c r="E1628" s="52"/>
      <c r="F1628" s="52"/>
      <c r="G1628" s="52"/>
      <c r="H1628" s="52"/>
    </row>
    <row r="1629" spans="1:8" ht="15.75">
      <c r="A1629" s="106">
        <v>41779</v>
      </c>
      <c r="B1629" s="107">
        <v>135.88999999999999</v>
      </c>
      <c r="C1629" s="52"/>
      <c r="D1629" s="52"/>
      <c r="E1629" s="52"/>
      <c r="F1629" s="52"/>
      <c r="G1629" s="52"/>
      <c r="H1629" s="52"/>
    </row>
    <row r="1630" spans="1:8" ht="15.75">
      <c r="A1630" s="106">
        <v>41780</v>
      </c>
      <c r="B1630" s="107">
        <v>135.68</v>
      </c>
      <c r="C1630" s="52"/>
      <c r="D1630" s="52"/>
      <c r="E1630" s="52"/>
      <c r="F1630" s="52"/>
      <c r="G1630" s="52"/>
      <c r="H1630" s="52"/>
    </row>
    <row r="1631" spans="1:8" ht="15.75">
      <c r="A1631" s="106">
        <v>41781</v>
      </c>
      <c r="B1631" s="107">
        <v>135.78</v>
      </c>
      <c r="C1631" s="52"/>
      <c r="D1631" s="52"/>
      <c r="E1631" s="52"/>
      <c r="F1631" s="52"/>
      <c r="G1631" s="52"/>
      <c r="H1631" s="52"/>
    </row>
    <row r="1632" spans="1:8" ht="15.75">
      <c r="A1632" s="106">
        <v>41782</v>
      </c>
      <c r="B1632" s="107">
        <v>135.82</v>
      </c>
      <c r="C1632" s="52"/>
      <c r="D1632" s="52"/>
      <c r="E1632" s="52"/>
      <c r="F1632" s="52"/>
      <c r="G1632" s="52"/>
      <c r="H1632" s="52"/>
    </row>
    <row r="1633" spans="1:8" ht="15.75">
      <c r="A1633" s="106">
        <v>41785</v>
      </c>
      <c r="B1633" s="107">
        <v>135.72999999999999</v>
      </c>
      <c r="C1633" s="52"/>
      <c r="D1633" s="52"/>
      <c r="E1633" s="52"/>
      <c r="F1633" s="52"/>
      <c r="G1633" s="52"/>
      <c r="H1633" s="52"/>
    </row>
    <row r="1634" spans="1:8" ht="15.75">
      <c r="A1634" s="106">
        <v>41786</v>
      </c>
      <c r="B1634" s="107">
        <v>135.83000000000001</v>
      </c>
      <c r="C1634" s="52"/>
      <c r="D1634" s="52"/>
      <c r="E1634" s="52"/>
      <c r="F1634" s="52"/>
      <c r="G1634" s="52"/>
      <c r="H1634" s="52"/>
    </row>
    <row r="1635" spans="1:8" ht="15.75">
      <c r="A1635" s="106">
        <v>41787</v>
      </c>
      <c r="B1635" s="107">
        <v>136.1</v>
      </c>
      <c r="C1635" s="52"/>
      <c r="D1635" s="52"/>
      <c r="E1635" s="52"/>
      <c r="F1635" s="52"/>
      <c r="G1635" s="52"/>
      <c r="H1635" s="52"/>
    </row>
    <row r="1636" spans="1:8" ht="15.75">
      <c r="A1636" s="106">
        <v>41788</v>
      </c>
      <c r="B1636" s="107">
        <v>136.18</v>
      </c>
      <c r="C1636" s="52"/>
      <c r="D1636" s="52"/>
      <c r="E1636" s="52"/>
      <c r="F1636" s="52"/>
      <c r="G1636" s="52"/>
      <c r="H1636" s="52"/>
    </row>
    <row r="1637" spans="1:8" ht="15.75">
      <c r="A1637" s="106">
        <v>41789</v>
      </c>
      <c r="B1637" s="107">
        <v>136</v>
      </c>
      <c r="C1637" s="52"/>
      <c r="D1637" s="52"/>
      <c r="E1637" s="52"/>
      <c r="F1637" s="52"/>
      <c r="G1637" s="52"/>
      <c r="H1637" s="52"/>
    </row>
    <row r="1638" spans="1:8" ht="15.75">
      <c r="A1638" s="106">
        <v>41792</v>
      </c>
      <c r="B1638" s="107">
        <v>136.08000000000001</v>
      </c>
      <c r="C1638" s="52"/>
      <c r="D1638" s="52"/>
      <c r="E1638" s="52"/>
      <c r="F1638" s="52"/>
      <c r="G1638" s="52"/>
      <c r="H1638" s="52"/>
    </row>
    <row r="1639" spans="1:8" ht="15.75">
      <c r="A1639" s="106">
        <v>41793</v>
      </c>
      <c r="B1639" s="107">
        <v>135.99</v>
      </c>
      <c r="C1639" s="52"/>
      <c r="D1639" s="52"/>
      <c r="E1639" s="52"/>
      <c r="F1639" s="52"/>
      <c r="G1639" s="52"/>
      <c r="H1639" s="52"/>
    </row>
    <row r="1640" spans="1:8" ht="15.75">
      <c r="A1640" s="106">
        <v>41794</v>
      </c>
      <c r="B1640" s="107">
        <v>135.87</v>
      </c>
      <c r="C1640" s="52"/>
      <c r="D1640" s="52"/>
      <c r="E1640" s="52"/>
      <c r="F1640" s="52"/>
      <c r="G1640" s="52"/>
      <c r="H1640" s="52"/>
    </row>
    <row r="1641" spans="1:8" ht="15.75">
      <c r="A1641" s="106">
        <v>41795</v>
      </c>
      <c r="B1641" s="107">
        <v>135.61000000000001</v>
      </c>
      <c r="C1641" s="52"/>
      <c r="D1641" s="52"/>
      <c r="E1641" s="52"/>
      <c r="F1641" s="52"/>
      <c r="G1641" s="52"/>
      <c r="H1641" s="52"/>
    </row>
    <row r="1642" spans="1:8" ht="15.75">
      <c r="A1642" s="106">
        <v>41796</v>
      </c>
      <c r="B1642" s="107">
        <v>136.09</v>
      </c>
      <c r="C1642" s="52"/>
      <c r="D1642" s="52"/>
      <c r="E1642" s="52"/>
      <c r="F1642" s="52"/>
      <c r="G1642" s="52"/>
      <c r="H1642" s="52"/>
    </row>
    <row r="1643" spans="1:8" ht="15.75">
      <c r="A1643" s="106">
        <v>41799</v>
      </c>
      <c r="B1643" s="107">
        <v>136.13999999999999</v>
      </c>
      <c r="C1643" s="52"/>
      <c r="D1643" s="52"/>
      <c r="E1643" s="52"/>
      <c r="F1643" s="52"/>
      <c r="G1643" s="52"/>
      <c r="H1643" s="52"/>
    </row>
    <row r="1644" spans="1:8" ht="15.75">
      <c r="A1644" s="106">
        <v>41800</v>
      </c>
      <c r="B1644" s="107">
        <v>135.97</v>
      </c>
      <c r="C1644" s="52"/>
      <c r="D1644" s="52"/>
      <c r="E1644" s="52"/>
      <c r="F1644" s="52"/>
      <c r="G1644" s="52"/>
      <c r="H1644" s="52"/>
    </row>
    <row r="1645" spans="1:8" ht="15.75">
      <c r="A1645" s="106">
        <v>41801</v>
      </c>
      <c r="B1645" s="107">
        <v>135.77000000000001</v>
      </c>
      <c r="C1645" s="52"/>
      <c r="D1645" s="52"/>
      <c r="E1645" s="52"/>
      <c r="F1645" s="52"/>
      <c r="G1645" s="52"/>
      <c r="H1645" s="52"/>
    </row>
    <row r="1646" spans="1:8" ht="15.75">
      <c r="A1646" s="106">
        <v>41802</v>
      </c>
      <c r="B1646" s="107">
        <v>135.93</v>
      </c>
      <c r="C1646" s="52"/>
      <c r="D1646" s="52"/>
      <c r="E1646" s="52"/>
      <c r="F1646" s="52"/>
      <c r="G1646" s="52"/>
      <c r="H1646" s="52"/>
    </row>
    <row r="1647" spans="1:8" ht="15.75">
      <c r="A1647" s="106">
        <v>41803</v>
      </c>
      <c r="B1647" s="107">
        <v>136.01</v>
      </c>
      <c r="C1647" s="52"/>
      <c r="D1647" s="52"/>
      <c r="E1647" s="52"/>
      <c r="F1647" s="52"/>
      <c r="G1647" s="52"/>
      <c r="H1647" s="52"/>
    </row>
    <row r="1648" spans="1:8" ht="15.75">
      <c r="A1648" s="106">
        <v>41806</v>
      </c>
      <c r="B1648" s="107">
        <v>136.07</v>
      </c>
      <c r="C1648" s="52"/>
      <c r="D1648" s="52"/>
      <c r="E1648" s="52"/>
      <c r="F1648" s="52"/>
      <c r="G1648" s="52"/>
      <c r="H1648" s="52"/>
    </row>
    <row r="1649" spans="1:8" ht="15.75">
      <c r="A1649" s="106">
        <v>41807</v>
      </c>
      <c r="B1649" s="107">
        <v>135.99</v>
      </c>
      <c r="C1649" s="52"/>
      <c r="D1649" s="52"/>
      <c r="E1649" s="52"/>
      <c r="F1649" s="52"/>
      <c r="G1649" s="52"/>
      <c r="H1649" s="52"/>
    </row>
    <row r="1650" spans="1:8" ht="15.75">
      <c r="A1650" s="106">
        <v>41808</v>
      </c>
      <c r="B1650" s="107">
        <v>135.83000000000001</v>
      </c>
      <c r="C1650" s="52"/>
      <c r="D1650" s="52"/>
      <c r="E1650" s="52"/>
      <c r="F1650" s="52"/>
      <c r="G1650" s="52"/>
      <c r="H1650" s="52"/>
    </row>
    <row r="1651" spans="1:8" ht="15.75">
      <c r="A1651" s="106">
        <v>41809</v>
      </c>
      <c r="B1651" s="107">
        <v>136.04</v>
      </c>
      <c r="C1651" s="52"/>
      <c r="D1651" s="52"/>
      <c r="E1651" s="52"/>
      <c r="F1651" s="52"/>
      <c r="G1651" s="52"/>
      <c r="H1651" s="52"/>
    </row>
    <row r="1652" spans="1:8" ht="15.75">
      <c r="A1652" s="106">
        <v>41810</v>
      </c>
      <c r="B1652" s="107">
        <v>136.1</v>
      </c>
      <c r="C1652" s="52"/>
      <c r="D1652" s="52"/>
      <c r="E1652" s="52"/>
      <c r="F1652" s="52"/>
      <c r="G1652" s="52"/>
      <c r="H1652" s="52"/>
    </row>
    <row r="1653" spans="1:8" ht="15.75">
      <c r="A1653" s="106">
        <v>41813</v>
      </c>
      <c r="B1653" s="107">
        <v>136.15</v>
      </c>
      <c r="C1653" s="52"/>
      <c r="D1653" s="52"/>
      <c r="E1653" s="52"/>
      <c r="F1653" s="52"/>
      <c r="G1653" s="52"/>
      <c r="H1653" s="52"/>
    </row>
    <row r="1654" spans="1:8" ht="15.75">
      <c r="A1654" s="106">
        <v>41814</v>
      </c>
      <c r="B1654" s="107">
        <v>136.18</v>
      </c>
      <c r="C1654" s="52"/>
      <c r="D1654" s="52"/>
      <c r="E1654" s="52"/>
      <c r="F1654" s="52"/>
      <c r="G1654" s="52"/>
      <c r="H1654" s="52"/>
    </row>
    <row r="1655" spans="1:8" ht="15.75">
      <c r="A1655" s="106">
        <v>41815</v>
      </c>
      <c r="B1655" s="107">
        <v>136.24</v>
      </c>
      <c r="C1655" s="52"/>
      <c r="D1655" s="52"/>
      <c r="E1655" s="52"/>
      <c r="F1655" s="52"/>
      <c r="G1655" s="52"/>
      <c r="H1655" s="52"/>
    </row>
    <row r="1656" spans="1:8" ht="15.75">
      <c r="A1656" s="106">
        <v>41816</v>
      </c>
      <c r="B1656" s="107">
        <v>136.46</v>
      </c>
      <c r="C1656" s="52"/>
      <c r="D1656" s="52"/>
      <c r="E1656" s="52"/>
      <c r="F1656" s="52"/>
      <c r="G1656" s="52"/>
      <c r="H1656" s="52"/>
    </row>
    <row r="1657" spans="1:8" ht="15.75">
      <c r="A1657" s="106">
        <v>41817</v>
      </c>
      <c r="B1657" s="107">
        <v>136.41</v>
      </c>
      <c r="C1657" s="52"/>
      <c r="D1657" s="52"/>
      <c r="E1657" s="52"/>
      <c r="F1657" s="52"/>
      <c r="G1657" s="52"/>
      <c r="H1657" s="52"/>
    </row>
    <row r="1658" spans="1:8" ht="15.75">
      <c r="A1658" s="106">
        <v>41820</v>
      </c>
      <c r="B1658" s="107">
        <v>136.38</v>
      </c>
      <c r="C1658" s="52"/>
      <c r="D1658" s="52"/>
      <c r="E1658" s="52"/>
      <c r="F1658" s="52"/>
      <c r="G1658" s="52"/>
      <c r="H1658" s="52"/>
    </row>
    <row r="1659" spans="1:8" ht="15.75">
      <c r="A1659" s="106">
        <v>41821</v>
      </c>
      <c r="B1659" s="107">
        <v>136.38999999999999</v>
      </c>
      <c r="C1659" s="52"/>
      <c r="D1659" s="52"/>
      <c r="E1659" s="52"/>
      <c r="F1659" s="52"/>
      <c r="G1659" s="52"/>
      <c r="H1659" s="52"/>
    </row>
    <row r="1660" spans="1:8" ht="15.75">
      <c r="A1660" s="106">
        <v>41822</v>
      </c>
      <c r="B1660" s="107">
        <v>136.51</v>
      </c>
      <c r="C1660" s="52"/>
      <c r="D1660" s="52"/>
      <c r="E1660" s="52"/>
      <c r="F1660" s="52"/>
      <c r="G1660" s="52"/>
      <c r="H1660" s="52"/>
    </row>
    <row r="1661" spans="1:8" ht="15.75">
      <c r="A1661" s="106">
        <v>41823</v>
      </c>
      <c r="B1661" s="107">
        <v>136.19</v>
      </c>
      <c r="C1661" s="52"/>
      <c r="D1661" s="52"/>
      <c r="E1661" s="52"/>
      <c r="F1661" s="52"/>
      <c r="G1661" s="52"/>
      <c r="H1661" s="52"/>
    </row>
    <row r="1662" spans="1:8" ht="15.75">
      <c r="A1662" s="106">
        <v>41824</v>
      </c>
      <c r="B1662" s="107">
        <v>136.69999999999999</v>
      </c>
      <c r="C1662" s="52"/>
      <c r="D1662" s="52"/>
      <c r="E1662" s="52"/>
      <c r="F1662" s="52"/>
      <c r="G1662" s="52"/>
      <c r="H1662" s="52"/>
    </row>
    <row r="1663" spans="1:8" ht="15.75">
      <c r="A1663" s="106">
        <v>41827</v>
      </c>
      <c r="B1663" s="107">
        <v>136.43</v>
      </c>
      <c r="C1663" s="52"/>
      <c r="D1663" s="52"/>
      <c r="E1663" s="52"/>
      <c r="F1663" s="52"/>
      <c r="G1663" s="52"/>
      <c r="H1663" s="52"/>
    </row>
    <row r="1664" spans="1:8" ht="15.75">
      <c r="A1664" s="106">
        <v>41828</v>
      </c>
      <c r="B1664" s="107">
        <v>136.5</v>
      </c>
      <c r="C1664" s="52"/>
      <c r="D1664" s="52"/>
      <c r="E1664" s="52"/>
      <c r="F1664" s="52"/>
      <c r="G1664" s="52"/>
      <c r="H1664" s="52"/>
    </row>
    <row r="1665" spans="1:8" ht="15.75">
      <c r="A1665" s="106">
        <v>41829</v>
      </c>
      <c r="B1665" s="107">
        <v>136.58000000000001</v>
      </c>
      <c r="C1665" s="52"/>
      <c r="D1665" s="52"/>
      <c r="E1665" s="52"/>
      <c r="F1665" s="52"/>
      <c r="G1665" s="52"/>
      <c r="H1665" s="52"/>
    </row>
    <row r="1666" spans="1:8" ht="15.75">
      <c r="A1666" s="106">
        <v>41830</v>
      </c>
      <c r="B1666" s="107">
        <v>136.76</v>
      </c>
      <c r="C1666" s="52"/>
      <c r="D1666" s="52"/>
      <c r="E1666" s="52"/>
      <c r="F1666" s="52"/>
      <c r="G1666" s="52"/>
      <c r="H1666" s="52"/>
    </row>
    <row r="1667" spans="1:8" ht="15.75">
      <c r="A1667" s="106">
        <v>41831</v>
      </c>
      <c r="B1667" s="107">
        <v>136.66999999999999</v>
      </c>
      <c r="C1667" s="52"/>
      <c r="D1667" s="52"/>
      <c r="E1667" s="52"/>
      <c r="F1667" s="52"/>
      <c r="G1667" s="52"/>
      <c r="H1667" s="52"/>
    </row>
    <row r="1668" spans="1:8" ht="15.75">
      <c r="A1668" s="106">
        <v>41834</v>
      </c>
      <c r="B1668" s="107">
        <v>136.71</v>
      </c>
      <c r="C1668" s="52"/>
      <c r="D1668" s="52"/>
      <c r="E1668" s="52"/>
      <c r="F1668" s="52"/>
      <c r="G1668" s="52"/>
      <c r="H1668" s="52"/>
    </row>
    <row r="1669" spans="1:8" ht="15.75">
      <c r="A1669" s="106">
        <v>41835</v>
      </c>
      <c r="B1669" s="107">
        <v>136.79</v>
      </c>
      <c r="C1669" s="52"/>
      <c r="D1669" s="52"/>
      <c r="E1669" s="52"/>
      <c r="F1669" s="52"/>
      <c r="G1669" s="52"/>
      <c r="H1669" s="52"/>
    </row>
    <row r="1670" spans="1:8" ht="15.75">
      <c r="A1670" s="106">
        <v>41836</v>
      </c>
      <c r="B1670" s="107">
        <v>136.72999999999999</v>
      </c>
      <c r="C1670" s="52"/>
      <c r="D1670" s="52"/>
      <c r="E1670" s="52"/>
      <c r="F1670" s="52"/>
      <c r="G1670" s="52"/>
      <c r="H1670" s="52"/>
    </row>
    <row r="1671" spans="1:8" ht="15.75">
      <c r="A1671" s="106">
        <v>41837</v>
      </c>
      <c r="B1671" s="107">
        <v>136.84</v>
      </c>
      <c r="C1671" s="52"/>
      <c r="D1671" s="52"/>
      <c r="E1671" s="52"/>
      <c r="F1671" s="52"/>
      <c r="G1671" s="52"/>
      <c r="H1671" s="52"/>
    </row>
    <row r="1672" spans="1:8" ht="15.75">
      <c r="A1672" s="106">
        <v>41838</v>
      </c>
      <c r="B1672" s="107">
        <v>136.88999999999999</v>
      </c>
      <c r="C1672" s="52"/>
      <c r="D1672" s="52"/>
      <c r="E1672" s="52"/>
      <c r="F1672" s="52"/>
      <c r="G1672" s="52"/>
      <c r="H1672" s="52"/>
    </row>
    <row r="1673" spans="1:8" ht="15.75">
      <c r="A1673" s="106">
        <v>41841</v>
      </c>
      <c r="B1673" s="107">
        <v>136.91999999999999</v>
      </c>
      <c r="C1673" s="52"/>
      <c r="D1673" s="52"/>
      <c r="E1673" s="52"/>
      <c r="F1673" s="52"/>
      <c r="G1673" s="52"/>
      <c r="H1673" s="52"/>
    </row>
    <row r="1674" spans="1:8" ht="15.75">
      <c r="A1674" s="106">
        <v>41842</v>
      </c>
      <c r="B1674" s="107">
        <v>136.83000000000001</v>
      </c>
      <c r="C1674" s="52"/>
      <c r="D1674" s="52"/>
      <c r="E1674" s="52"/>
      <c r="F1674" s="52"/>
      <c r="G1674" s="52"/>
      <c r="H1674" s="52"/>
    </row>
    <row r="1675" spans="1:8" ht="15.75">
      <c r="A1675" s="106">
        <v>41843</v>
      </c>
      <c r="B1675" s="107">
        <v>136.79</v>
      </c>
      <c r="C1675" s="52"/>
      <c r="D1675" s="52"/>
      <c r="E1675" s="52"/>
      <c r="F1675" s="52"/>
      <c r="G1675" s="52"/>
      <c r="H1675" s="52"/>
    </row>
    <row r="1676" spans="1:8" ht="15.75">
      <c r="A1676" s="106">
        <v>41844</v>
      </c>
      <c r="B1676" s="107">
        <v>136.72999999999999</v>
      </c>
      <c r="C1676" s="52"/>
      <c r="D1676" s="52"/>
      <c r="E1676" s="52"/>
      <c r="F1676" s="52"/>
      <c r="G1676" s="52"/>
      <c r="H1676" s="52"/>
    </row>
    <row r="1677" spans="1:8" ht="15.75">
      <c r="A1677" s="106">
        <v>41845</v>
      </c>
      <c r="B1677" s="107">
        <v>136.68</v>
      </c>
      <c r="C1677" s="52"/>
      <c r="D1677" s="52"/>
      <c r="E1677" s="52"/>
      <c r="F1677" s="52"/>
      <c r="G1677" s="52"/>
      <c r="H1677" s="52"/>
    </row>
    <row r="1678" spans="1:8" ht="15.75">
      <c r="A1678" s="106">
        <v>41848</v>
      </c>
      <c r="B1678" s="107">
        <v>136.76</v>
      </c>
      <c r="C1678" s="52"/>
      <c r="D1678" s="52"/>
      <c r="E1678" s="52"/>
      <c r="F1678" s="52"/>
      <c r="G1678" s="52"/>
      <c r="H1678" s="52"/>
    </row>
    <row r="1679" spans="1:8" ht="15.75">
      <c r="A1679" s="106">
        <v>41849</v>
      </c>
      <c r="B1679" s="107">
        <v>136.93</v>
      </c>
      <c r="C1679" s="52"/>
      <c r="D1679" s="52"/>
      <c r="E1679" s="52"/>
      <c r="F1679" s="52"/>
      <c r="G1679" s="52"/>
      <c r="H1679" s="52"/>
    </row>
    <row r="1680" spans="1:8" ht="15.75">
      <c r="A1680" s="106">
        <v>41850</v>
      </c>
      <c r="B1680" s="107">
        <v>136.94999999999999</v>
      </c>
      <c r="C1680" s="52"/>
      <c r="D1680" s="52"/>
      <c r="E1680" s="52"/>
      <c r="F1680" s="52"/>
      <c r="G1680" s="52"/>
      <c r="H1680" s="52"/>
    </row>
    <row r="1681" spans="1:8" ht="15.75">
      <c r="A1681" s="106">
        <v>41851</v>
      </c>
      <c r="B1681" s="107">
        <v>136.83000000000001</v>
      </c>
      <c r="C1681" s="52"/>
      <c r="D1681" s="52"/>
      <c r="E1681" s="52"/>
      <c r="F1681" s="52"/>
      <c r="G1681" s="52"/>
      <c r="H1681" s="52"/>
    </row>
    <row r="1682" spans="1:8" ht="15.75">
      <c r="A1682" s="106">
        <v>41852</v>
      </c>
      <c r="B1682" s="107">
        <v>136.78</v>
      </c>
      <c r="C1682" s="52"/>
      <c r="D1682" s="52"/>
      <c r="E1682" s="52"/>
      <c r="F1682" s="52"/>
      <c r="G1682" s="52"/>
      <c r="H1682" s="52"/>
    </row>
    <row r="1683" spans="1:8" ht="15.75">
      <c r="A1683" s="106">
        <v>41855</v>
      </c>
      <c r="B1683" s="107">
        <v>136.91</v>
      </c>
      <c r="C1683" s="52"/>
      <c r="D1683" s="52"/>
      <c r="E1683" s="52"/>
      <c r="F1683" s="52"/>
      <c r="G1683" s="52"/>
      <c r="H1683" s="52"/>
    </row>
    <row r="1684" spans="1:8" ht="15.75">
      <c r="A1684" s="106">
        <v>41856</v>
      </c>
      <c r="B1684" s="107">
        <v>136.83000000000001</v>
      </c>
      <c r="C1684" s="52"/>
      <c r="D1684" s="52"/>
      <c r="E1684" s="52"/>
      <c r="F1684" s="52"/>
      <c r="G1684" s="52"/>
      <c r="H1684" s="52"/>
    </row>
    <row r="1685" spans="1:8" ht="15.75">
      <c r="A1685" s="106">
        <v>41857</v>
      </c>
      <c r="B1685" s="107">
        <v>136.94</v>
      </c>
      <c r="C1685" s="52"/>
      <c r="D1685" s="52"/>
      <c r="E1685" s="52"/>
      <c r="F1685" s="52"/>
      <c r="G1685" s="52"/>
      <c r="H1685" s="52"/>
    </row>
    <row r="1686" spans="1:8" ht="15.75">
      <c r="A1686" s="106">
        <v>41858</v>
      </c>
      <c r="B1686" s="107">
        <v>137.12</v>
      </c>
      <c r="C1686" s="52"/>
      <c r="D1686" s="52"/>
      <c r="E1686" s="52"/>
      <c r="F1686" s="52"/>
      <c r="G1686" s="52"/>
      <c r="H1686" s="52"/>
    </row>
    <row r="1687" spans="1:8" ht="15.75">
      <c r="A1687" s="106">
        <v>41859</v>
      </c>
      <c r="B1687" s="107">
        <v>137.35</v>
      </c>
      <c r="C1687" s="52"/>
      <c r="D1687" s="52"/>
      <c r="E1687" s="52"/>
      <c r="F1687" s="52"/>
      <c r="G1687" s="52"/>
      <c r="H1687" s="52"/>
    </row>
    <row r="1688" spans="1:8" ht="15.75">
      <c r="A1688" s="106">
        <v>41862</v>
      </c>
      <c r="B1688" s="107">
        <v>137.25</v>
      </c>
      <c r="C1688" s="52"/>
      <c r="D1688" s="52"/>
      <c r="E1688" s="52"/>
      <c r="F1688" s="52"/>
      <c r="G1688" s="52"/>
      <c r="H1688" s="52"/>
    </row>
    <row r="1689" spans="1:8" ht="15.75">
      <c r="A1689" s="106">
        <v>41863</v>
      </c>
      <c r="B1689" s="107">
        <v>137.28</v>
      </c>
      <c r="C1689" s="52"/>
      <c r="D1689" s="52"/>
      <c r="E1689" s="52"/>
      <c r="F1689" s="52"/>
      <c r="G1689" s="52"/>
      <c r="H1689" s="52"/>
    </row>
    <row r="1690" spans="1:8" ht="15.75">
      <c r="A1690" s="106">
        <v>41864</v>
      </c>
      <c r="B1690" s="107">
        <v>137.18</v>
      </c>
      <c r="C1690" s="52"/>
      <c r="D1690" s="52"/>
      <c r="E1690" s="52"/>
      <c r="F1690" s="52"/>
      <c r="G1690" s="52"/>
      <c r="H1690" s="52"/>
    </row>
    <row r="1691" spans="1:8" ht="15.75">
      <c r="A1691" s="106">
        <v>41865</v>
      </c>
      <c r="B1691" s="107">
        <v>137.53</v>
      </c>
      <c r="C1691" s="52"/>
      <c r="D1691" s="52"/>
      <c r="E1691" s="52"/>
      <c r="F1691" s="52"/>
      <c r="G1691" s="52"/>
      <c r="H1691" s="52"/>
    </row>
    <row r="1692" spans="1:8" ht="15.75">
      <c r="A1692" s="106">
        <v>41866</v>
      </c>
      <c r="B1692" s="107">
        <v>137.51</v>
      </c>
      <c r="C1692" s="52"/>
      <c r="D1692" s="52"/>
      <c r="E1692" s="52"/>
      <c r="F1692" s="52"/>
      <c r="G1692" s="52"/>
      <c r="H1692" s="52"/>
    </row>
    <row r="1693" spans="1:8" ht="15.75">
      <c r="A1693" s="106">
        <v>41869</v>
      </c>
      <c r="B1693" s="107">
        <v>137.57</v>
      </c>
      <c r="C1693" s="52"/>
      <c r="D1693" s="52"/>
      <c r="E1693" s="52"/>
      <c r="F1693" s="52"/>
      <c r="G1693" s="52"/>
      <c r="H1693" s="52"/>
    </row>
    <row r="1694" spans="1:8" ht="15.75">
      <c r="A1694" s="106">
        <v>41870</v>
      </c>
      <c r="B1694" s="107">
        <v>137.59</v>
      </c>
      <c r="C1694" s="52"/>
      <c r="D1694" s="52"/>
      <c r="E1694" s="52"/>
      <c r="F1694" s="52"/>
      <c r="G1694" s="52"/>
      <c r="H1694" s="52"/>
    </row>
    <row r="1695" spans="1:8" ht="15.75">
      <c r="A1695" s="106">
        <v>41871</v>
      </c>
      <c r="B1695" s="107">
        <v>137.61000000000001</v>
      </c>
      <c r="C1695" s="52"/>
      <c r="D1695" s="52"/>
      <c r="E1695" s="52"/>
      <c r="F1695" s="52"/>
      <c r="G1695" s="52"/>
      <c r="H1695" s="52"/>
    </row>
    <row r="1696" spans="1:8" ht="15.75">
      <c r="A1696" s="106">
        <v>41872</v>
      </c>
      <c r="B1696" s="107">
        <v>137.62</v>
      </c>
      <c r="C1696" s="52"/>
      <c r="D1696" s="52"/>
      <c r="E1696" s="52"/>
      <c r="F1696" s="52"/>
      <c r="G1696" s="52"/>
      <c r="H1696" s="52"/>
    </row>
    <row r="1697" spans="1:8" ht="15.75">
      <c r="A1697" s="106">
        <v>41873</v>
      </c>
      <c r="B1697" s="107">
        <v>137.68</v>
      </c>
      <c r="C1697" s="52"/>
      <c r="D1697" s="52"/>
      <c r="E1697" s="52"/>
      <c r="F1697" s="52"/>
      <c r="G1697" s="52"/>
      <c r="H1697" s="52"/>
    </row>
    <row r="1698" spans="1:8" ht="15.75">
      <c r="A1698" s="106">
        <v>41876</v>
      </c>
      <c r="B1698" s="107">
        <v>138.02000000000001</v>
      </c>
      <c r="C1698" s="52"/>
      <c r="D1698" s="52"/>
      <c r="E1698" s="52"/>
      <c r="F1698" s="52"/>
      <c r="G1698" s="52"/>
      <c r="H1698" s="52"/>
    </row>
    <row r="1699" spans="1:8" ht="15.75">
      <c r="A1699" s="106">
        <v>41877</v>
      </c>
      <c r="B1699" s="107">
        <v>137.99</v>
      </c>
      <c r="C1699" s="52"/>
      <c r="D1699" s="52"/>
      <c r="E1699" s="52"/>
      <c r="F1699" s="52"/>
      <c r="G1699" s="52"/>
      <c r="H1699" s="52"/>
    </row>
    <row r="1700" spans="1:8" ht="15.75">
      <c r="A1700" s="106">
        <v>41878</v>
      </c>
      <c r="B1700" s="107">
        <v>138.13</v>
      </c>
      <c r="C1700" s="52"/>
      <c r="D1700" s="52"/>
      <c r="E1700" s="52"/>
      <c r="F1700" s="52"/>
      <c r="G1700" s="52"/>
      <c r="H1700" s="52"/>
    </row>
    <row r="1701" spans="1:8" ht="15.75">
      <c r="A1701" s="106">
        <v>41879</v>
      </c>
      <c r="B1701" s="107">
        <v>138.16</v>
      </c>
      <c r="C1701" s="52"/>
      <c r="D1701" s="52"/>
      <c r="E1701" s="52"/>
      <c r="F1701" s="52"/>
      <c r="G1701" s="52"/>
      <c r="H1701" s="52"/>
    </row>
    <row r="1702" spans="1:8" ht="15.75">
      <c r="A1702" s="106">
        <v>41880</v>
      </c>
      <c r="B1702" s="107">
        <v>138.12</v>
      </c>
      <c r="C1702" s="52"/>
      <c r="D1702" s="52"/>
      <c r="E1702" s="52"/>
      <c r="F1702" s="52"/>
      <c r="G1702" s="52"/>
      <c r="H1702" s="52"/>
    </row>
    <row r="1703" spans="1:8" ht="15.75">
      <c r="A1703" s="106">
        <v>41883</v>
      </c>
      <c r="B1703" s="107">
        <v>138.27000000000001</v>
      </c>
      <c r="C1703" s="52"/>
      <c r="D1703" s="52"/>
      <c r="E1703" s="52"/>
      <c r="F1703" s="52"/>
      <c r="G1703" s="52"/>
      <c r="H1703" s="52"/>
    </row>
    <row r="1704" spans="1:8" ht="15.75">
      <c r="A1704" s="106">
        <v>41884</v>
      </c>
      <c r="B1704" s="107">
        <v>138.07</v>
      </c>
      <c r="C1704" s="52"/>
      <c r="D1704" s="52"/>
      <c r="E1704" s="52"/>
      <c r="F1704" s="52"/>
      <c r="G1704" s="52"/>
      <c r="H1704" s="52"/>
    </row>
    <row r="1705" spans="1:8" ht="15.75">
      <c r="A1705" s="106">
        <v>41885</v>
      </c>
      <c r="B1705" s="107">
        <v>137.91999999999999</v>
      </c>
      <c r="C1705" s="52"/>
      <c r="D1705" s="52"/>
      <c r="E1705" s="52"/>
      <c r="F1705" s="52"/>
      <c r="G1705" s="52"/>
      <c r="H1705" s="52"/>
    </row>
    <row r="1706" spans="1:8" ht="15.75">
      <c r="A1706" s="106">
        <v>41886</v>
      </c>
      <c r="B1706" s="107">
        <v>137.94999999999999</v>
      </c>
      <c r="C1706" s="52"/>
      <c r="D1706" s="52"/>
      <c r="E1706" s="52"/>
      <c r="F1706" s="52"/>
      <c r="G1706" s="52"/>
      <c r="H1706" s="52"/>
    </row>
    <row r="1707" spans="1:8" ht="15.75">
      <c r="A1707" s="106">
        <v>41887</v>
      </c>
      <c r="B1707" s="107">
        <v>138.34</v>
      </c>
      <c r="C1707" s="52"/>
      <c r="D1707" s="52"/>
      <c r="E1707" s="52"/>
      <c r="F1707" s="52"/>
      <c r="G1707" s="52"/>
      <c r="H1707" s="52"/>
    </row>
    <row r="1708" spans="1:8" ht="15.75">
      <c r="A1708" s="106">
        <v>41890</v>
      </c>
      <c r="B1708" s="107">
        <v>138.19</v>
      </c>
      <c r="C1708" s="52"/>
      <c r="D1708" s="52"/>
      <c r="E1708" s="52"/>
      <c r="F1708" s="52"/>
      <c r="G1708" s="52"/>
      <c r="H1708" s="52"/>
    </row>
    <row r="1709" spans="1:8" ht="15.75">
      <c r="A1709" s="106">
        <v>41891</v>
      </c>
      <c r="B1709" s="107">
        <v>137.81</v>
      </c>
      <c r="C1709" s="52"/>
      <c r="D1709" s="52"/>
      <c r="E1709" s="52"/>
      <c r="F1709" s="52"/>
      <c r="G1709" s="52"/>
      <c r="H1709" s="52"/>
    </row>
    <row r="1710" spans="1:8" ht="15.75">
      <c r="A1710" s="106">
        <v>41892</v>
      </c>
      <c r="B1710" s="107">
        <v>137.69999999999999</v>
      </c>
      <c r="C1710" s="52"/>
      <c r="D1710" s="52"/>
      <c r="E1710" s="52"/>
      <c r="F1710" s="52"/>
      <c r="G1710" s="52"/>
      <c r="H1710" s="52"/>
    </row>
    <row r="1711" spans="1:8" ht="15.75">
      <c r="A1711" s="106">
        <v>41893</v>
      </c>
      <c r="B1711" s="107">
        <v>137.94</v>
      </c>
      <c r="C1711" s="52"/>
      <c r="D1711" s="52"/>
      <c r="E1711" s="52"/>
      <c r="F1711" s="52"/>
      <c r="G1711" s="52"/>
      <c r="H1711" s="52"/>
    </row>
    <row r="1712" spans="1:8" ht="15.75">
      <c r="A1712" s="106">
        <v>41894</v>
      </c>
      <c r="B1712" s="107">
        <v>137.22999999999999</v>
      </c>
      <c r="C1712" s="52"/>
      <c r="D1712" s="52"/>
      <c r="E1712" s="52"/>
      <c r="F1712" s="52"/>
      <c r="G1712" s="52"/>
      <c r="H1712" s="52"/>
    </row>
    <row r="1713" spans="1:8" ht="15.75">
      <c r="A1713" s="106">
        <v>41897</v>
      </c>
      <c r="B1713" s="107">
        <v>137.16</v>
      </c>
      <c r="C1713" s="52"/>
      <c r="D1713" s="52"/>
      <c r="E1713" s="52"/>
      <c r="F1713" s="52"/>
      <c r="G1713" s="52"/>
      <c r="H1713" s="52"/>
    </row>
    <row r="1714" spans="1:8" ht="15.75">
      <c r="A1714" s="106">
        <v>41898</v>
      </c>
      <c r="B1714" s="107">
        <v>137.28</v>
      </c>
      <c r="C1714" s="52"/>
      <c r="D1714" s="52"/>
      <c r="E1714" s="52"/>
      <c r="F1714" s="52"/>
      <c r="G1714" s="52"/>
      <c r="H1714" s="52"/>
    </row>
    <row r="1715" spans="1:8" ht="15.75">
      <c r="A1715" s="106">
        <v>41899</v>
      </c>
      <c r="B1715" s="107">
        <v>137.15</v>
      </c>
      <c r="C1715" s="52"/>
      <c r="D1715" s="52"/>
      <c r="E1715" s="52"/>
      <c r="F1715" s="52"/>
      <c r="G1715" s="52"/>
      <c r="H1715" s="52"/>
    </row>
    <row r="1716" spans="1:8" ht="15.75">
      <c r="A1716" s="106">
        <v>41900</v>
      </c>
      <c r="B1716" s="107">
        <v>137.47</v>
      </c>
      <c r="C1716" s="52"/>
      <c r="D1716" s="52"/>
      <c r="E1716" s="52"/>
      <c r="F1716" s="52"/>
      <c r="G1716" s="52"/>
      <c r="H1716" s="52"/>
    </row>
    <row r="1717" spans="1:8" ht="15.75">
      <c r="A1717" s="106">
        <v>41901</v>
      </c>
      <c r="B1717" s="107">
        <v>137.26</v>
      </c>
      <c r="C1717" s="52"/>
      <c r="D1717" s="52"/>
      <c r="E1717" s="52"/>
      <c r="F1717" s="52"/>
      <c r="G1717" s="52"/>
      <c r="H1717" s="52"/>
    </row>
    <row r="1718" spans="1:8" ht="15.75">
      <c r="A1718" s="106">
        <v>41904</v>
      </c>
      <c r="B1718" s="107">
        <v>137.58000000000001</v>
      </c>
      <c r="C1718" s="52"/>
      <c r="D1718" s="52"/>
      <c r="E1718" s="52"/>
      <c r="F1718" s="52"/>
      <c r="G1718" s="52"/>
      <c r="H1718" s="52"/>
    </row>
    <row r="1719" spans="1:8" ht="15.75">
      <c r="A1719" s="106">
        <v>41905</v>
      </c>
      <c r="B1719" s="107">
        <v>137.75</v>
      </c>
      <c r="C1719" s="52"/>
      <c r="D1719" s="52"/>
      <c r="E1719" s="52"/>
      <c r="F1719" s="52"/>
      <c r="G1719" s="52"/>
      <c r="H1719" s="52"/>
    </row>
    <row r="1720" spans="1:8" ht="15.75">
      <c r="A1720" s="106">
        <v>41906</v>
      </c>
      <c r="B1720" s="107">
        <v>137.72999999999999</v>
      </c>
      <c r="C1720" s="52"/>
      <c r="D1720" s="52"/>
      <c r="E1720" s="52"/>
      <c r="F1720" s="52"/>
      <c r="G1720" s="52"/>
      <c r="H1720" s="52"/>
    </row>
    <row r="1721" spans="1:8" ht="15.75">
      <c r="A1721" s="106">
        <v>41907</v>
      </c>
      <c r="B1721" s="107">
        <v>137.69999999999999</v>
      </c>
      <c r="C1721" s="52"/>
      <c r="D1721" s="52"/>
      <c r="E1721" s="52"/>
      <c r="F1721" s="52"/>
      <c r="G1721" s="52"/>
      <c r="H1721" s="52"/>
    </row>
    <row r="1722" spans="1:8" ht="15.75">
      <c r="A1722" s="106">
        <v>41908</v>
      </c>
      <c r="B1722" s="107">
        <v>137.97</v>
      </c>
      <c r="C1722" s="52"/>
      <c r="D1722" s="52"/>
      <c r="E1722" s="52"/>
      <c r="F1722" s="52"/>
      <c r="G1722" s="52"/>
      <c r="H1722" s="52"/>
    </row>
    <row r="1723" spans="1:8" ht="15.75">
      <c r="A1723" s="106">
        <v>41911</v>
      </c>
      <c r="B1723" s="107">
        <v>137.82</v>
      </c>
      <c r="C1723" s="52"/>
      <c r="D1723" s="52"/>
      <c r="E1723" s="52"/>
      <c r="F1723" s="52"/>
      <c r="G1723" s="52"/>
      <c r="H1723" s="52"/>
    </row>
    <row r="1724" spans="1:8" ht="15.75">
      <c r="A1724" s="106">
        <v>41912</v>
      </c>
      <c r="B1724" s="107">
        <v>137.91999999999999</v>
      </c>
      <c r="C1724" s="52"/>
      <c r="D1724" s="52"/>
      <c r="E1724" s="52"/>
      <c r="F1724" s="52"/>
      <c r="G1724" s="52"/>
      <c r="H1724" s="52"/>
    </row>
    <row r="1725" spans="1:8" ht="15.75">
      <c r="A1725" s="106">
        <v>41913</v>
      </c>
      <c r="B1725" s="107">
        <v>137.91</v>
      </c>
      <c r="C1725" s="52"/>
      <c r="D1725" s="52"/>
      <c r="E1725" s="52"/>
      <c r="F1725" s="52"/>
      <c r="G1725" s="52"/>
      <c r="H1725" s="52"/>
    </row>
    <row r="1726" spans="1:8" ht="15.75">
      <c r="A1726" s="106">
        <v>41914</v>
      </c>
      <c r="B1726" s="107">
        <v>137.97999999999999</v>
      </c>
      <c r="C1726" s="52"/>
      <c r="D1726" s="52"/>
      <c r="E1726" s="52"/>
      <c r="F1726" s="52"/>
      <c r="G1726" s="52"/>
      <c r="H1726" s="52"/>
    </row>
    <row r="1727" spans="1:8" ht="15.75">
      <c r="A1727" s="106">
        <v>41918</v>
      </c>
      <c r="B1727" s="107">
        <v>137.78</v>
      </c>
      <c r="C1727" s="52"/>
      <c r="D1727" s="52"/>
      <c r="E1727" s="52"/>
      <c r="F1727" s="52"/>
      <c r="G1727" s="52"/>
      <c r="H1727" s="52"/>
    </row>
    <row r="1728" spans="1:8" ht="15.75">
      <c r="A1728" s="106">
        <v>41919</v>
      </c>
      <c r="B1728" s="107">
        <v>137.83000000000001</v>
      </c>
      <c r="C1728" s="52"/>
      <c r="D1728" s="52"/>
      <c r="E1728" s="52"/>
      <c r="F1728" s="52"/>
      <c r="G1728" s="52"/>
      <c r="H1728" s="52"/>
    </row>
    <row r="1729" spans="1:8" ht="15.75">
      <c r="A1729" s="106">
        <v>41920</v>
      </c>
      <c r="B1729" s="107">
        <v>137.93</v>
      </c>
      <c r="C1729" s="52"/>
      <c r="D1729" s="52"/>
      <c r="E1729" s="52"/>
      <c r="F1729" s="52"/>
      <c r="G1729" s="52"/>
      <c r="H1729" s="52"/>
    </row>
    <row r="1730" spans="1:8" ht="15.75">
      <c r="A1730" s="106">
        <v>41921</v>
      </c>
      <c r="B1730" s="107">
        <v>137.91999999999999</v>
      </c>
      <c r="C1730" s="52"/>
      <c r="D1730" s="52"/>
      <c r="E1730" s="52"/>
      <c r="F1730" s="52"/>
      <c r="G1730" s="52"/>
      <c r="H1730" s="52"/>
    </row>
    <row r="1731" spans="1:8" ht="15.75">
      <c r="A1731" s="106">
        <v>41922</v>
      </c>
      <c r="B1731" s="107">
        <v>137.85</v>
      </c>
      <c r="C1731" s="52"/>
      <c r="D1731" s="52"/>
      <c r="E1731" s="52"/>
      <c r="F1731" s="52"/>
      <c r="G1731" s="52"/>
      <c r="H1731" s="52"/>
    </row>
    <row r="1732" spans="1:8" ht="15.75">
      <c r="A1732" s="106">
        <v>41925</v>
      </c>
      <c r="B1732" s="107">
        <v>137.87</v>
      </c>
      <c r="C1732" s="52"/>
      <c r="D1732" s="52"/>
      <c r="E1732" s="52"/>
      <c r="F1732" s="52"/>
      <c r="G1732" s="52"/>
      <c r="H1732" s="52"/>
    </row>
    <row r="1733" spans="1:8" ht="15.75">
      <c r="A1733" s="106">
        <v>41926</v>
      </c>
      <c r="B1733" s="107">
        <v>137.85</v>
      </c>
      <c r="C1733" s="52"/>
      <c r="D1733" s="52"/>
      <c r="E1733" s="52"/>
      <c r="F1733" s="52"/>
      <c r="G1733" s="52"/>
      <c r="H1733" s="52"/>
    </row>
    <row r="1734" spans="1:8" ht="15.75">
      <c r="A1734" s="106">
        <v>41927</v>
      </c>
      <c r="B1734" s="107">
        <v>138.69999999999999</v>
      </c>
      <c r="C1734" s="52"/>
      <c r="D1734" s="52"/>
      <c r="E1734" s="52"/>
      <c r="F1734" s="52"/>
      <c r="G1734" s="52"/>
      <c r="H1734" s="52"/>
    </row>
    <row r="1735" spans="1:8" ht="15.75">
      <c r="A1735" s="106">
        <v>41928</v>
      </c>
      <c r="B1735" s="107">
        <v>138.96</v>
      </c>
      <c r="C1735" s="52"/>
      <c r="D1735" s="52"/>
      <c r="E1735" s="52"/>
      <c r="F1735" s="52"/>
      <c r="G1735" s="52"/>
      <c r="H1735" s="52"/>
    </row>
    <row r="1736" spans="1:8" ht="15.75">
      <c r="A1736" s="106">
        <v>41929</v>
      </c>
      <c r="B1736" s="107">
        <v>137.66</v>
      </c>
      <c r="C1736" s="52"/>
      <c r="D1736" s="52"/>
      <c r="E1736" s="52"/>
      <c r="F1736" s="52"/>
      <c r="G1736" s="52"/>
      <c r="H1736" s="52"/>
    </row>
    <row r="1737" spans="1:8" ht="15.75">
      <c r="A1737" s="106">
        <v>41932</v>
      </c>
      <c r="B1737" s="107">
        <v>137.93</v>
      </c>
      <c r="C1737" s="52"/>
      <c r="D1737" s="52"/>
      <c r="E1737" s="52"/>
      <c r="F1737" s="52"/>
      <c r="G1737" s="52"/>
      <c r="H1737" s="52"/>
    </row>
    <row r="1738" spans="1:8" ht="15.75">
      <c r="A1738" s="106">
        <v>41933</v>
      </c>
      <c r="B1738" s="107">
        <v>138.5</v>
      </c>
      <c r="C1738" s="52"/>
      <c r="D1738" s="52"/>
      <c r="E1738" s="52"/>
      <c r="F1738" s="52"/>
      <c r="G1738" s="52"/>
      <c r="H1738" s="52"/>
    </row>
    <row r="1739" spans="1:8" ht="15.75">
      <c r="A1739" s="106">
        <v>41934</v>
      </c>
      <c r="B1739" s="107">
        <v>138.16</v>
      </c>
      <c r="C1739" s="52"/>
      <c r="D1739" s="52"/>
      <c r="E1739" s="52"/>
      <c r="F1739" s="52"/>
      <c r="G1739" s="52"/>
      <c r="H1739" s="52"/>
    </row>
    <row r="1740" spans="1:8" ht="15.75">
      <c r="A1740" s="106">
        <v>41935</v>
      </c>
      <c r="B1740" s="107">
        <v>137.71</v>
      </c>
      <c r="C1740" s="52"/>
      <c r="D1740" s="52"/>
      <c r="E1740" s="52"/>
      <c r="F1740" s="52"/>
      <c r="G1740" s="52"/>
      <c r="H1740" s="52"/>
    </row>
    <row r="1741" spans="1:8" ht="15.75">
      <c r="A1741" s="106">
        <v>41936</v>
      </c>
      <c r="B1741" s="107">
        <v>137.74</v>
      </c>
      <c r="C1741" s="52"/>
      <c r="D1741" s="52"/>
      <c r="E1741" s="52"/>
      <c r="F1741" s="52"/>
      <c r="G1741" s="52"/>
      <c r="H1741" s="52"/>
    </row>
    <row r="1742" spans="1:8" ht="15.75">
      <c r="A1742" s="106">
        <v>41939</v>
      </c>
      <c r="B1742" s="107">
        <v>137.78</v>
      </c>
      <c r="C1742" s="52"/>
      <c r="D1742" s="52"/>
      <c r="E1742" s="52"/>
      <c r="F1742" s="52"/>
      <c r="G1742" s="52"/>
      <c r="H1742" s="52"/>
    </row>
    <row r="1743" spans="1:8" ht="15.75">
      <c r="A1743" s="106">
        <v>41940</v>
      </c>
      <c r="B1743" s="107">
        <v>137.76</v>
      </c>
      <c r="C1743" s="52"/>
      <c r="D1743" s="52"/>
      <c r="E1743" s="52"/>
      <c r="F1743" s="52"/>
      <c r="G1743" s="52"/>
      <c r="H1743" s="52"/>
    </row>
    <row r="1744" spans="1:8" ht="15.75">
      <c r="A1744" s="106">
        <v>41941</v>
      </c>
      <c r="B1744" s="107">
        <v>137.78</v>
      </c>
      <c r="C1744" s="52"/>
      <c r="D1744" s="52"/>
      <c r="E1744" s="52"/>
      <c r="F1744" s="52"/>
      <c r="G1744" s="52"/>
      <c r="H1744" s="52"/>
    </row>
    <row r="1745" spans="1:8" ht="15.75">
      <c r="A1745" s="106">
        <v>41942</v>
      </c>
      <c r="B1745" s="107">
        <v>137.84</v>
      </c>
      <c r="C1745" s="52"/>
      <c r="D1745" s="52"/>
      <c r="E1745" s="52"/>
      <c r="F1745" s="52"/>
      <c r="G1745" s="52"/>
      <c r="H1745" s="52"/>
    </row>
    <row r="1746" spans="1:8" ht="15.75">
      <c r="A1746" s="106">
        <v>41943</v>
      </c>
      <c r="B1746" s="107">
        <v>138.01</v>
      </c>
      <c r="C1746" s="52"/>
      <c r="D1746" s="52"/>
      <c r="E1746" s="52"/>
      <c r="F1746" s="52"/>
      <c r="G1746" s="52"/>
      <c r="H1746" s="52"/>
    </row>
    <row r="1747" spans="1:8" ht="15.75">
      <c r="A1747" s="106">
        <v>41946</v>
      </c>
      <c r="B1747" s="107">
        <v>138.30000000000001</v>
      </c>
      <c r="C1747" s="52"/>
      <c r="D1747" s="52"/>
      <c r="E1747" s="52"/>
      <c r="F1747" s="52"/>
      <c r="G1747" s="52"/>
      <c r="H1747" s="52"/>
    </row>
    <row r="1748" spans="1:8" ht="15.75">
      <c r="A1748" s="106">
        <v>41947</v>
      </c>
      <c r="B1748" s="107">
        <v>138.37</v>
      </c>
      <c r="C1748" s="52"/>
      <c r="D1748" s="52"/>
      <c r="E1748" s="52"/>
      <c r="F1748" s="52"/>
      <c r="G1748" s="52"/>
      <c r="H1748" s="52"/>
    </row>
    <row r="1749" spans="1:8" ht="15.75">
      <c r="A1749" s="106">
        <v>41948</v>
      </c>
      <c r="B1749" s="107">
        <v>138.19</v>
      </c>
      <c r="C1749" s="52"/>
      <c r="D1749" s="52"/>
      <c r="E1749" s="52"/>
      <c r="F1749" s="52"/>
      <c r="G1749" s="52"/>
      <c r="H1749" s="52"/>
    </row>
    <row r="1750" spans="1:8" ht="15.75">
      <c r="A1750" s="106">
        <v>41949</v>
      </c>
      <c r="B1750" s="107">
        <v>138.13999999999999</v>
      </c>
      <c r="C1750" s="52"/>
      <c r="D1750" s="52"/>
      <c r="E1750" s="52"/>
      <c r="F1750" s="52"/>
      <c r="G1750" s="52"/>
      <c r="H1750" s="52"/>
    </row>
    <row r="1751" spans="1:8" ht="15.75">
      <c r="A1751" s="106">
        <v>41950</v>
      </c>
      <c r="B1751" s="107">
        <v>138.06</v>
      </c>
      <c r="C1751" s="52"/>
      <c r="D1751" s="52"/>
      <c r="E1751" s="52"/>
      <c r="F1751" s="52"/>
      <c r="G1751" s="52"/>
      <c r="H1751" s="52"/>
    </row>
    <row r="1752" spans="1:8" ht="15.75">
      <c r="A1752" s="106">
        <v>41953</v>
      </c>
      <c r="B1752" s="107">
        <v>138.18</v>
      </c>
      <c r="C1752" s="52"/>
      <c r="D1752" s="52"/>
      <c r="E1752" s="52"/>
      <c r="F1752" s="52"/>
      <c r="G1752" s="52"/>
      <c r="H1752" s="52"/>
    </row>
    <row r="1753" spans="1:8" ht="15.75">
      <c r="A1753" s="106">
        <v>41954</v>
      </c>
      <c r="B1753" s="107">
        <v>137.88</v>
      </c>
      <c r="C1753" s="52"/>
      <c r="D1753" s="52"/>
      <c r="E1753" s="52"/>
      <c r="F1753" s="52"/>
      <c r="G1753" s="52"/>
      <c r="H1753" s="52"/>
    </row>
    <row r="1754" spans="1:8" ht="15.75">
      <c r="A1754" s="106">
        <v>41955</v>
      </c>
      <c r="B1754" s="107">
        <v>138.02000000000001</v>
      </c>
      <c r="C1754" s="52"/>
      <c r="D1754" s="52"/>
      <c r="E1754" s="52"/>
      <c r="F1754" s="52"/>
      <c r="G1754" s="52"/>
      <c r="H1754" s="52"/>
    </row>
    <row r="1755" spans="1:8" ht="15.75">
      <c r="A1755" s="106">
        <v>41956</v>
      </c>
      <c r="B1755" s="107">
        <v>138.19999999999999</v>
      </c>
      <c r="C1755" s="52"/>
      <c r="D1755" s="52"/>
      <c r="E1755" s="52"/>
      <c r="F1755" s="52"/>
      <c r="G1755" s="52"/>
      <c r="H1755" s="52"/>
    </row>
    <row r="1756" spans="1:8" ht="15.75">
      <c r="A1756" s="106">
        <v>41957</v>
      </c>
      <c r="B1756" s="107">
        <v>138.55000000000001</v>
      </c>
      <c r="C1756" s="52"/>
      <c r="D1756" s="52"/>
      <c r="E1756" s="52"/>
      <c r="F1756" s="52"/>
      <c r="G1756" s="52"/>
      <c r="H1756" s="52"/>
    </row>
    <row r="1757" spans="1:8" ht="15.75">
      <c r="A1757" s="106">
        <v>41960</v>
      </c>
      <c r="B1757" s="107">
        <v>138.30000000000001</v>
      </c>
      <c r="C1757" s="52"/>
      <c r="D1757" s="52"/>
      <c r="E1757" s="52"/>
      <c r="F1757" s="52"/>
      <c r="G1757" s="52"/>
      <c r="H1757" s="52"/>
    </row>
    <row r="1758" spans="1:8" ht="15.75">
      <c r="A1758" s="106">
        <v>41961</v>
      </c>
      <c r="B1758" s="107">
        <v>138.41999999999999</v>
      </c>
      <c r="C1758" s="52"/>
      <c r="D1758" s="52"/>
      <c r="E1758" s="52"/>
      <c r="F1758" s="52"/>
      <c r="G1758" s="52"/>
      <c r="H1758" s="52"/>
    </row>
    <row r="1759" spans="1:8" ht="15.75">
      <c r="A1759" s="106">
        <v>41962</v>
      </c>
      <c r="B1759" s="107">
        <v>138.09</v>
      </c>
      <c r="C1759" s="52"/>
      <c r="D1759" s="52"/>
      <c r="E1759" s="52"/>
      <c r="F1759" s="52"/>
      <c r="G1759" s="52"/>
      <c r="H1759" s="52"/>
    </row>
    <row r="1760" spans="1:8" ht="15.75">
      <c r="A1760" s="106">
        <v>41963</v>
      </c>
      <c r="B1760" s="107">
        <v>138.19999999999999</v>
      </c>
      <c r="C1760" s="52"/>
      <c r="D1760" s="52"/>
      <c r="E1760" s="52"/>
      <c r="F1760" s="52"/>
      <c r="G1760" s="52"/>
      <c r="H1760" s="52"/>
    </row>
    <row r="1761" spans="1:8" ht="15.75">
      <c r="A1761" s="106">
        <v>41964</v>
      </c>
      <c r="B1761" s="107">
        <v>138.11000000000001</v>
      </c>
      <c r="C1761" s="52"/>
      <c r="D1761" s="52"/>
      <c r="E1761" s="52"/>
      <c r="F1761" s="52"/>
      <c r="G1761" s="52"/>
      <c r="H1761" s="52"/>
    </row>
    <row r="1762" spans="1:8" ht="15.75">
      <c r="A1762" s="106">
        <v>41967</v>
      </c>
      <c r="B1762" s="107">
        <v>138.13</v>
      </c>
      <c r="C1762" s="52"/>
      <c r="D1762" s="52"/>
      <c r="E1762" s="52"/>
      <c r="F1762" s="52"/>
      <c r="G1762" s="52"/>
      <c r="H1762" s="52"/>
    </row>
    <row r="1763" spans="1:8" ht="15.75">
      <c r="A1763" s="106">
        <v>41968</v>
      </c>
      <c r="B1763" s="107">
        <v>138.13999999999999</v>
      </c>
      <c r="C1763" s="52"/>
      <c r="D1763" s="52"/>
      <c r="E1763" s="52"/>
      <c r="F1763" s="52"/>
      <c r="G1763" s="52"/>
      <c r="H1763" s="52"/>
    </row>
    <row r="1764" spans="1:8" ht="15.75">
      <c r="A1764" s="106">
        <v>41969</v>
      </c>
      <c r="B1764" s="107">
        <v>138.27000000000001</v>
      </c>
      <c r="C1764" s="52"/>
      <c r="D1764" s="52"/>
      <c r="E1764" s="52"/>
      <c r="F1764" s="52"/>
      <c r="G1764" s="52"/>
      <c r="H1764" s="52"/>
    </row>
    <row r="1765" spans="1:8" ht="15.75">
      <c r="A1765" s="106">
        <v>41970</v>
      </c>
      <c r="B1765" s="107">
        <v>138.74</v>
      </c>
      <c r="C1765" s="52"/>
      <c r="D1765" s="52"/>
      <c r="E1765" s="52"/>
      <c r="F1765" s="52"/>
      <c r="G1765" s="52"/>
      <c r="H1765" s="52"/>
    </row>
    <row r="1766" spans="1:8" ht="15.75">
      <c r="A1766" s="106">
        <v>41971</v>
      </c>
      <c r="B1766" s="107">
        <v>138.4</v>
      </c>
      <c r="C1766" s="52"/>
      <c r="D1766" s="52"/>
      <c r="E1766" s="52"/>
      <c r="F1766" s="52"/>
      <c r="G1766" s="52"/>
      <c r="H1766" s="52"/>
    </row>
    <row r="1767" spans="1:8" ht="15.75">
      <c r="A1767" s="106">
        <v>41974</v>
      </c>
      <c r="B1767" s="107">
        <v>138.32</v>
      </c>
      <c r="C1767" s="52"/>
      <c r="D1767" s="52"/>
      <c r="E1767" s="52"/>
      <c r="F1767" s="52"/>
      <c r="G1767" s="52"/>
      <c r="H1767" s="52"/>
    </row>
    <row r="1768" spans="1:8" ht="15.75">
      <c r="A1768" s="106">
        <v>41975</v>
      </c>
      <c r="B1768" s="107">
        <v>138.16</v>
      </c>
      <c r="C1768" s="52"/>
      <c r="D1768" s="52"/>
      <c r="E1768" s="52"/>
      <c r="F1768" s="52"/>
      <c r="G1768" s="52"/>
      <c r="H1768" s="52"/>
    </row>
    <row r="1769" spans="1:8" ht="15.75">
      <c r="A1769" s="106">
        <v>41976</v>
      </c>
      <c r="B1769" s="107">
        <v>138.19</v>
      </c>
      <c r="C1769" s="52"/>
      <c r="D1769" s="52"/>
      <c r="E1769" s="52"/>
      <c r="F1769" s="52"/>
      <c r="G1769" s="52"/>
      <c r="H1769" s="52"/>
    </row>
    <row r="1770" spans="1:8" ht="15.75">
      <c r="A1770" s="106">
        <v>41977</v>
      </c>
      <c r="B1770" s="107">
        <v>138.21</v>
      </c>
      <c r="C1770" s="52"/>
      <c r="D1770" s="52"/>
      <c r="E1770" s="52"/>
      <c r="F1770" s="52"/>
      <c r="G1770" s="52"/>
      <c r="H1770" s="52"/>
    </row>
    <row r="1771" spans="1:8" ht="15.75">
      <c r="A1771" s="106">
        <v>41978</v>
      </c>
      <c r="B1771" s="107">
        <v>138.16</v>
      </c>
      <c r="C1771" s="52"/>
      <c r="D1771" s="52"/>
      <c r="E1771" s="52"/>
      <c r="F1771" s="52"/>
      <c r="G1771" s="52"/>
      <c r="H1771" s="52"/>
    </row>
    <row r="1772" spans="1:8" ht="15.75">
      <c r="A1772" s="106">
        <v>41981</v>
      </c>
      <c r="B1772" s="107">
        <v>138.38999999999999</v>
      </c>
      <c r="C1772" s="52"/>
      <c r="D1772" s="52"/>
      <c r="E1772" s="52"/>
      <c r="F1772" s="52"/>
      <c r="G1772" s="52"/>
      <c r="H1772" s="52"/>
    </row>
    <row r="1773" spans="1:8" ht="15.75">
      <c r="A1773" s="106">
        <v>41982</v>
      </c>
      <c r="B1773" s="107">
        <v>138.49</v>
      </c>
      <c r="C1773" s="52"/>
      <c r="D1773" s="52"/>
      <c r="E1773" s="52"/>
      <c r="F1773" s="52"/>
      <c r="G1773" s="52"/>
      <c r="H1773" s="52"/>
    </row>
    <row r="1774" spans="1:8" ht="15.75">
      <c r="A1774" s="106">
        <v>41983</v>
      </c>
      <c r="B1774" s="107">
        <v>138.58000000000001</v>
      </c>
      <c r="C1774" s="52"/>
      <c r="D1774" s="52"/>
      <c r="E1774" s="52"/>
      <c r="F1774" s="52"/>
      <c r="G1774" s="52"/>
      <c r="H1774" s="52"/>
    </row>
    <row r="1775" spans="1:8" ht="15.75">
      <c r="A1775" s="106">
        <v>41984</v>
      </c>
      <c r="B1775" s="107">
        <v>139.1</v>
      </c>
      <c r="C1775" s="52"/>
      <c r="D1775" s="52"/>
      <c r="E1775" s="52"/>
      <c r="F1775" s="52"/>
      <c r="G1775" s="52"/>
      <c r="H1775" s="52"/>
    </row>
    <row r="1776" spans="1:8" ht="15.75">
      <c r="A1776" s="106">
        <v>41985</v>
      </c>
      <c r="B1776" s="107">
        <v>139.18</v>
      </c>
      <c r="C1776" s="52"/>
      <c r="D1776" s="52"/>
      <c r="E1776" s="52"/>
      <c r="F1776" s="52"/>
      <c r="G1776" s="52"/>
      <c r="H1776" s="52"/>
    </row>
    <row r="1777" spans="1:8" ht="15.75">
      <c r="A1777" s="106">
        <v>41988</v>
      </c>
      <c r="B1777" s="107">
        <v>139.44</v>
      </c>
      <c r="C1777" s="52"/>
      <c r="D1777" s="52"/>
      <c r="E1777" s="52"/>
      <c r="F1777" s="52"/>
      <c r="G1777" s="52"/>
      <c r="H1777" s="52"/>
    </row>
    <row r="1778" spans="1:8" ht="15.75">
      <c r="A1778" s="106">
        <v>41989</v>
      </c>
      <c r="B1778" s="107">
        <v>139.34</v>
      </c>
      <c r="C1778" s="52"/>
      <c r="D1778" s="52"/>
      <c r="E1778" s="52"/>
      <c r="F1778" s="52"/>
      <c r="G1778" s="52"/>
      <c r="H1778" s="52"/>
    </row>
    <row r="1779" spans="1:8" ht="15.75">
      <c r="A1779" s="106">
        <v>41990</v>
      </c>
      <c r="B1779" s="107">
        <v>139.41999999999999</v>
      </c>
      <c r="C1779" s="52"/>
      <c r="D1779" s="52"/>
      <c r="E1779" s="52"/>
      <c r="F1779" s="52"/>
      <c r="G1779" s="52"/>
      <c r="H1779" s="52"/>
    </row>
    <row r="1780" spans="1:8" ht="15.75">
      <c r="A1780" s="106">
        <v>41991</v>
      </c>
      <c r="B1780" s="107">
        <v>139.41</v>
      </c>
      <c r="C1780" s="52"/>
      <c r="D1780" s="52"/>
      <c r="E1780" s="52"/>
      <c r="F1780" s="52"/>
      <c r="G1780" s="52"/>
      <c r="H1780" s="52"/>
    </row>
    <row r="1781" spans="1:8" ht="15.75">
      <c r="A1781" s="106">
        <v>41992</v>
      </c>
      <c r="B1781" s="107">
        <v>139.26</v>
      </c>
      <c r="C1781" s="52"/>
      <c r="D1781" s="52"/>
      <c r="E1781" s="52"/>
      <c r="F1781" s="52"/>
      <c r="G1781" s="52"/>
      <c r="H1781" s="52"/>
    </row>
    <row r="1782" spans="1:8" ht="15.75">
      <c r="A1782" s="106">
        <v>41995</v>
      </c>
      <c r="B1782" s="107">
        <v>139.53</v>
      </c>
      <c r="C1782" s="52"/>
      <c r="D1782" s="52"/>
      <c r="E1782" s="52"/>
      <c r="F1782" s="52"/>
      <c r="G1782" s="52"/>
      <c r="H1782" s="52"/>
    </row>
    <row r="1783" spans="1:8" ht="15.75">
      <c r="A1783" s="106">
        <v>41996</v>
      </c>
      <c r="B1783" s="107">
        <v>139.41999999999999</v>
      </c>
      <c r="C1783" s="52"/>
      <c r="D1783" s="52"/>
      <c r="E1783" s="52"/>
      <c r="F1783" s="52"/>
      <c r="G1783" s="52"/>
      <c r="H1783" s="52"/>
    </row>
    <row r="1784" spans="1:8" ht="15.75">
      <c r="A1784" s="106">
        <v>42002</v>
      </c>
      <c r="B1784" s="107">
        <v>139.51</v>
      </c>
      <c r="C1784" s="52"/>
      <c r="D1784" s="52"/>
      <c r="E1784" s="52"/>
      <c r="F1784" s="52"/>
      <c r="G1784" s="52"/>
      <c r="H1784" s="52"/>
    </row>
    <row r="1785" spans="1:8" ht="15.75">
      <c r="A1785" s="106">
        <v>42003</v>
      </c>
      <c r="B1785" s="107">
        <v>139.68</v>
      </c>
      <c r="C1785" s="52"/>
      <c r="D1785" s="52"/>
      <c r="E1785" s="52"/>
      <c r="F1785" s="52"/>
      <c r="G1785" s="52"/>
      <c r="H1785" s="52"/>
    </row>
    <row r="1786" spans="1:8" ht="15.75">
      <c r="A1786" s="106">
        <v>42006</v>
      </c>
      <c r="B1786" s="107">
        <v>139.86000000000001</v>
      </c>
      <c r="C1786" s="52"/>
      <c r="D1786" s="52"/>
      <c r="E1786" s="52"/>
      <c r="F1786" s="52"/>
      <c r="G1786" s="52"/>
      <c r="H1786" s="52"/>
    </row>
    <row r="1787" spans="1:8" ht="15.75">
      <c r="A1787" s="106">
        <v>42009</v>
      </c>
      <c r="B1787" s="107">
        <v>139.77000000000001</v>
      </c>
      <c r="C1787" s="52"/>
      <c r="D1787" s="52"/>
      <c r="E1787" s="52"/>
      <c r="F1787" s="52"/>
      <c r="G1787" s="52"/>
      <c r="H1787" s="52"/>
    </row>
    <row r="1788" spans="1:8" ht="15.75">
      <c r="A1788" s="106">
        <v>42010</v>
      </c>
      <c r="B1788" s="107">
        <v>139.87</v>
      </c>
      <c r="C1788" s="52"/>
      <c r="D1788" s="52"/>
      <c r="E1788" s="52"/>
      <c r="F1788" s="52"/>
      <c r="G1788" s="52"/>
      <c r="H1788" s="52"/>
    </row>
    <row r="1789" spans="1:8" ht="15.75">
      <c r="A1789" s="106">
        <v>42011</v>
      </c>
      <c r="B1789" s="107">
        <v>139.91</v>
      </c>
      <c r="C1789" s="52"/>
      <c r="D1789" s="52"/>
      <c r="E1789" s="52"/>
      <c r="F1789" s="52"/>
      <c r="G1789" s="52"/>
      <c r="H1789" s="52"/>
    </row>
    <row r="1790" spans="1:8" ht="15.75">
      <c r="A1790" s="106">
        <v>42012</v>
      </c>
      <c r="B1790" s="107">
        <v>139.77000000000001</v>
      </c>
      <c r="C1790" s="52"/>
      <c r="D1790" s="52"/>
      <c r="E1790" s="52"/>
      <c r="F1790" s="52"/>
      <c r="G1790" s="52"/>
      <c r="H1790" s="52"/>
    </row>
    <row r="1791" spans="1:8" ht="15.75">
      <c r="A1791" s="106">
        <v>42013</v>
      </c>
      <c r="B1791" s="107">
        <v>139.75</v>
      </c>
      <c r="C1791" s="52"/>
      <c r="D1791" s="52"/>
      <c r="E1791" s="52"/>
      <c r="F1791" s="52"/>
      <c r="G1791" s="52"/>
      <c r="H1791" s="52"/>
    </row>
    <row r="1792" spans="1:8" ht="15.75">
      <c r="A1792" s="106">
        <v>42016</v>
      </c>
      <c r="B1792" s="107">
        <v>139.72</v>
      </c>
      <c r="C1792" s="52"/>
      <c r="D1792" s="52"/>
      <c r="E1792" s="52"/>
      <c r="F1792" s="52"/>
      <c r="G1792" s="52"/>
      <c r="H1792" s="52"/>
    </row>
    <row r="1793" spans="1:8" ht="15.75">
      <c r="A1793" s="106">
        <v>42017</v>
      </c>
      <c r="B1793" s="107">
        <v>139.87</v>
      </c>
      <c r="C1793" s="52"/>
      <c r="D1793" s="52"/>
      <c r="E1793" s="52"/>
      <c r="F1793" s="52"/>
      <c r="G1793" s="52"/>
      <c r="H1793" s="52"/>
    </row>
    <row r="1794" spans="1:8" ht="15.75">
      <c r="A1794" s="106">
        <v>42018</v>
      </c>
      <c r="B1794" s="107">
        <v>139.93</v>
      </c>
      <c r="C1794" s="52"/>
      <c r="D1794" s="52"/>
      <c r="E1794" s="52"/>
      <c r="F1794" s="52"/>
      <c r="G1794" s="52"/>
      <c r="H1794" s="52"/>
    </row>
    <row r="1795" spans="1:8" ht="15.75">
      <c r="A1795" s="106">
        <v>42019</v>
      </c>
      <c r="B1795" s="107">
        <v>140.09</v>
      </c>
      <c r="C1795" s="52"/>
      <c r="D1795" s="52"/>
      <c r="E1795" s="52"/>
      <c r="F1795" s="52"/>
      <c r="G1795" s="52"/>
      <c r="H1795" s="52"/>
    </row>
    <row r="1796" spans="1:8" ht="15.75">
      <c r="A1796" s="106">
        <v>42020</v>
      </c>
      <c r="B1796" s="107">
        <v>140.28</v>
      </c>
      <c r="C1796" s="52"/>
      <c r="D1796" s="52"/>
      <c r="E1796" s="52"/>
      <c r="F1796" s="52"/>
      <c r="G1796" s="52"/>
      <c r="H1796" s="52"/>
    </row>
    <row r="1797" spans="1:8" ht="15.75">
      <c r="A1797" s="106">
        <v>42023</v>
      </c>
      <c r="B1797" s="107">
        <v>139.79</v>
      </c>
      <c r="C1797" s="52"/>
      <c r="D1797" s="52"/>
      <c r="E1797" s="52"/>
      <c r="F1797" s="52"/>
      <c r="G1797" s="52"/>
      <c r="H1797" s="52"/>
    </row>
    <row r="1798" spans="1:8" ht="15.75">
      <c r="A1798" s="106">
        <v>42024</v>
      </c>
      <c r="B1798" s="107">
        <v>140.28</v>
      </c>
      <c r="C1798" s="52"/>
      <c r="D1798" s="52"/>
      <c r="E1798" s="52"/>
      <c r="F1798" s="52"/>
      <c r="G1798" s="52"/>
      <c r="H1798" s="52"/>
    </row>
    <row r="1799" spans="1:8" ht="15.75">
      <c r="A1799" s="106">
        <v>42025</v>
      </c>
      <c r="B1799" s="107">
        <v>140.01</v>
      </c>
      <c r="C1799" s="52"/>
      <c r="D1799" s="52"/>
      <c r="E1799" s="52"/>
      <c r="F1799" s="52"/>
      <c r="G1799" s="52"/>
      <c r="H1799" s="52"/>
    </row>
    <row r="1800" spans="1:8" ht="15.75">
      <c r="A1800" s="106">
        <v>42026</v>
      </c>
      <c r="B1800" s="107">
        <v>139.87</v>
      </c>
      <c r="C1800" s="52"/>
      <c r="D1800" s="52"/>
      <c r="E1800" s="52"/>
      <c r="F1800" s="52"/>
      <c r="G1800" s="52"/>
      <c r="H1800" s="52"/>
    </row>
    <row r="1801" spans="1:8" ht="15.75">
      <c r="A1801" s="106">
        <v>42027</v>
      </c>
      <c r="B1801" s="107">
        <v>140.53</v>
      </c>
      <c r="C1801" s="52"/>
      <c r="D1801" s="52"/>
      <c r="E1801" s="52"/>
      <c r="F1801" s="52"/>
      <c r="G1801" s="52"/>
      <c r="H1801" s="52"/>
    </row>
    <row r="1802" spans="1:8" ht="15.75">
      <c r="A1802" s="106">
        <v>42030</v>
      </c>
      <c r="B1802" s="107">
        <v>140.63</v>
      </c>
      <c r="C1802" s="52"/>
      <c r="D1802" s="52"/>
      <c r="E1802" s="52"/>
      <c r="F1802" s="52"/>
      <c r="G1802" s="52"/>
      <c r="H1802" s="52"/>
    </row>
    <row r="1803" spans="1:8" ht="15.75">
      <c r="A1803" s="106">
        <v>42031</v>
      </c>
      <c r="B1803" s="107">
        <v>139.85</v>
      </c>
      <c r="C1803" s="52"/>
      <c r="D1803" s="52"/>
      <c r="E1803" s="52"/>
      <c r="F1803" s="52"/>
      <c r="G1803" s="52"/>
      <c r="H1803" s="52"/>
    </row>
    <row r="1804" spans="1:8" ht="15.75">
      <c r="A1804" s="106">
        <v>42032</v>
      </c>
      <c r="B1804" s="107">
        <v>139.97999999999999</v>
      </c>
      <c r="C1804" s="52"/>
      <c r="D1804" s="52"/>
      <c r="E1804" s="52"/>
      <c r="F1804" s="52"/>
      <c r="G1804" s="52"/>
      <c r="H1804" s="52"/>
    </row>
    <row r="1805" spans="1:8" ht="15.75">
      <c r="A1805" s="106">
        <v>42033</v>
      </c>
      <c r="B1805" s="107">
        <v>140.04</v>
      </c>
      <c r="C1805" s="52"/>
      <c r="D1805" s="52"/>
      <c r="E1805" s="52"/>
      <c r="F1805" s="52"/>
      <c r="G1805" s="52"/>
      <c r="H1805" s="52"/>
    </row>
    <row r="1806" spans="1:8" ht="15.75">
      <c r="A1806" s="106">
        <v>42034</v>
      </c>
      <c r="B1806" s="107">
        <v>140.04</v>
      </c>
      <c r="C1806" s="52"/>
      <c r="D1806" s="52"/>
      <c r="E1806" s="52"/>
      <c r="F1806" s="52"/>
      <c r="G1806" s="52"/>
      <c r="H1806" s="52"/>
    </row>
    <row r="1807" spans="1:8" ht="15.75">
      <c r="A1807" s="106">
        <v>42037</v>
      </c>
      <c r="B1807" s="107">
        <v>140.19999999999999</v>
      </c>
      <c r="C1807" s="52"/>
      <c r="D1807" s="52"/>
      <c r="E1807" s="52"/>
      <c r="F1807" s="52"/>
      <c r="G1807" s="52"/>
      <c r="H1807" s="52"/>
    </row>
    <row r="1808" spans="1:8" ht="15.75">
      <c r="A1808" s="106">
        <v>42038</v>
      </c>
      <c r="B1808" s="107">
        <v>140.15</v>
      </c>
      <c r="C1808" s="52"/>
      <c r="D1808" s="52"/>
      <c r="E1808" s="52"/>
      <c r="F1808" s="52"/>
      <c r="G1808" s="52"/>
      <c r="H1808" s="52"/>
    </row>
    <row r="1809" spans="1:8" ht="15.75">
      <c r="A1809" s="106">
        <v>42039</v>
      </c>
      <c r="B1809" s="107">
        <v>140.11000000000001</v>
      </c>
      <c r="C1809" s="52"/>
      <c r="D1809" s="52"/>
      <c r="E1809" s="52"/>
      <c r="F1809" s="52"/>
      <c r="G1809" s="52"/>
      <c r="H1809" s="52"/>
    </row>
    <row r="1810" spans="1:8" ht="15.75">
      <c r="A1810" s="106">
        <v>42040</v>
      </c>
      <c r="B1810" s="107">
        <v>140.08000000000001</v>
      </c>
      <c r="C1810" s="52"/>
      <c r="D1810" s="52"/>
      <c r="E1810" s="52"/>
      <c r="F1810" s="52"/>
      <c r="G1810" s="52"/>
      <c r="H1810" s="52"/>
    </row>
    <row r="1811" spans="1:8" ht="15.75">
      <c r="A1811" s="106">
        <v>42041</v>
      </c>
      <c r="B1811" s="107">
        <v>140.11000000000001</v>
      </c>
      <c r="C1811" s="52"/>
      <c r="D1811" s="52"/>
      <c r="E1811" s="52"/>
      <c r="F1811" s="52"/>
      <c r="G1811" s="52"/>
      <c r="H1811" s="52"/>
    </row>
    <row r="1812" spans="1:8" ht="15.75">
      <c r="A1812" s="106">
        <v>42044</v>
      </c>
      <c r="B1812" s="107">
        <v>140.22</v>
      </c>
      <c r="C1812" s="52"/>
      <c r="D1812" s="52"/>
      <c r="E1812" s="52"/>
      <c r="F1812" s="52"/>
      <c r="G1812" s="52"/>
      <c r="H1812" s="52"/>
    </row>
    <row r="1813" spans="1:8" ht="15.75">
      <c r="A1813" s="106">
        <v>42045</v>
      </c>
      <c r="B1813" s="107">
        <v>140.1</v>
      </c>
      <c r="C1813" s="52"/>
      <c r="D1813" s="52"/>
      <c r="E1813" s="52"/>
      <c r="F1813" s="52"/>
      <c r="G1813" s="52"/>
      <c r="H1813" s="52"/>
    </row>
    <row r="1814" spans="1:8" ht="15.75">
      <c r="A1814" s="106">
        <v>42046</v>
      </c>
      <c r="B1814" s="107">
        <v>140.04</v>
      </c>
      <c r="C1814" s="52"/>
      <c r="D1814" s="52"/>
      <c r="E1814" s="52"/>
      <c r="F1814" s="52"/>
      <c r="G1814" s="52"/>
      <c r="H1814" s="52"/>
    </row>
    <row r="1815" spans="1:8" ht="15.75">
      <c r="A1815" s="106">
        <v>42047</v>
      </c>
      <c r="B1815" s="107">
        <v>140.13</v>
      </c>
      <c r="C1815" s="52"/>
      <c r="D1815" s="52"/>
      <c r="E1815" s="52"/>
      <c r="F1815" s="52"/>
      <c r="G1815" s="52"/>
      <c r="H1815" s="52"/>
    </row>
    <row r="1816" spans="1:8" ht="15.75">
      <c r="A1816" s="106">
        <v>42048</v>
      </c>
      <c r="B1816" s="107">
        <v>140.22999999999999</v>
      </c>
      <c r="C1816" s="52"/>
      <c r="D1816" s="52"/>
      <c r="E1816" s="52"/>
      <c r="F1816" s="52"/>
      <c r="G1816" s="52"/>
      <c r="H1816" s="52"/>
    </row>
    <row r="1817" spans="1:8" ht="15.75">
      <c r="A1817" s="106">
        <v>42051</v>
      </c>
      <c r="B1817" s="107">
        <v>140.31</v>
      </c>
      <c r="C1817" s="52"/>
      <c r="D1817" s="52"/>
      <c r="E1817" s="52"/>
      <c r="F1817" s="52"/>
      <c r="G1817" s="52"/>
      <c r="H1817" s="52"/>
    </row>
    <row r="1818" spans="1:8" ht="15.75">
      <c r="A1818" s="106">
        <v>42052</v>
      </c>
      <c r="B1818" s="107">
        <v>140.35</v>
      </c>
      <c r="C1818" s="52"/>
      <c r="D1818" s="52"/>
      <c r="E1818" s="52"/>
      <c r="F1818" s="52"/>
      <c r="G1818" s="52"/>
      <c r="H1818" s="52"/>
    </row>
    <row r="1819" spans="1:8" ht="15.75">
      <c r="A1819" s="106">
        <v>42053</v>
      </c>
      <c r="B1819" s="107">
        <v>140.31</v>
      </c>
      <c r="C1819" s="52"/>
      <c r="D1819" s="52"/>
      <c r="E1819" s="52"/>
      <c r="F1819" s="52"/>
      <c r="G1819" s="52"/>
      <c r="H1819" s="52"/>
    </row>
    <row r="1820" spans="1:8" ht="15.75">
      <c r="A1820" s="106">
        <v>42054</v>
      </c>
      <c r="B1820" s="107">
        <v>140.09</v>
      </c>
      <c r="C1820" s="52"/>
      <c r="D1820" s="52"/>
      <c r="E1820" s="52"/>
      <c r="F1820" s="52"/>
      <c r="G1820" s="52"/>
      <c r="H1820" s="52"/>
    </row>
    <row r="1821" spans="1:8" ht="15.75">
      <c r="A1821" s="106">
        <v>42055</v>
      </c>
      <c r="B1821" s="107">
        <v>140.16</v>
      </c>
      <c r="C1821" s="52"/>
      <c r="D1821" s="52"/>
      <c r="E1821" s="52"/>
      <c r="F1821" s="52"/>
      <c r="G1821" s="52"/>
      <c r="H1821" s="52"/>
    </row>
    <row r="1822" spans="1:8" ht="15.75">
      <c r="A1822" s="106">
        <v>42058</v>
      </c>
      <c r="B1822" s="107">
        <v>140.68</v>
      </c>
      <c r="C1822" s="52"/>
      <c r="D1822" s="52"/>
      <c r="E1822" s="52"/>
      <c r="F1822" s="52"/>
      <c r="G1822" s="52"/>
      <c r="H1822" s="52"/>
    </row>
    <row r="1823" spans="1:8" ht="15.75">
      <c r="A1823" s="106">
        <v>42059</v>
      </c>
      <c r="B1823" s="107">
        <v>139.97999999999999</v>
      </c>
      <c r="C1823" s="52"/>
      <c r="D1823" s="52"/>
      <c r="E1823" s="52"/>
      <c r="F1823" s="52"/>
      <c r="G1823" s="52"/>
      <c r="H1823" s="52"/>
    </row>
    <row r="1824" spans="1:8" ht="15.75">
      <c r="A1824" s="106">
        <v>42060</v>
      </c>
      <c r="B1824" s="107">
        <v>140.31</v>
      </c>
      <c r="C1824" s="52"/>
      <c r="D1824" s="52"/>
      <c r="E1824" s="52"/>
      <c r="F1824" s="52"/>
      <c r="G1824" s="52"/>
      <c r="H1824" s="52"/>
    </row>
    <row r="1825" spans="1:8" ht="15.75">
      <c r="A1825" s="106">
        <v>42061</v>
      </c>
      <c r="B1825" s="107">
        <v>140.38</v>
      </c>
      <c r="C1825" s="52"/>
      <c r="D1825" s="52"/>
      <c r="E1825" s="52"/>
      <c r="F1825" s="52"/>
      <c r="G1825" s="52"/>
      <c r="H1825" s="52"/>
    </row>
    <row r="1826" spans="1:8" ht="15.75">
      <c r="A1826" s="106">
        <v>42062</v>
      </c>
      <c r="B1826" s="107">
        <v>140.18</v>
      </c>
      <c r="C1826" s="52"/>
      <c r="D1826" s="52"/>
      <c r="E1826" s="52"/>
      <c r="F1826" s="52"/>
      <c r="G1826" s="52"/>
      <c r="H1826" s="52"/>
    </row>
    <row r="1827" spans="1:8" ht="15.75">
      <c r="A1827" s="106">
        <v>42065</v>
      </c>
      <c r="B1827" s="107">
        <v>140.19999999999999</v>
      </c>
      <c r="C1827" s="52"/>
      <c r="D1827" s="52"/>
      <c r="E1827" s="52"/>
      <c r="F1827" s="52"/>
      <c r="G1827" s="52"/>
      <c r="H1827" s="52"/>
    </row>
    <row r="1828" spans="1:8" ht="15.75">
      <c r="A1828" s="106">
        <v>42066</v>
      </c>
      <c r="B1828" s="107">
        <v>140.1</v>
      </c>
      <c r="C1828" s="52"/>
      <c r="D1828" s="52"/>
      <c r="E1828" s="52"/>
      <c r="F1828" s="52"/>
      <c r="G1828" s="52"/>
      <c r="H1828" s="52"/>
    </row>
    <row r="1829" spans="1:8" ht="15.75">
      <c r="A1829" s="106">
        <v>42067</v>
      </c>
      <c r="B1829" s="107">
        <v>140.04</v>
      </c>
      <c r="C1829" s="52"/>
      <c r="D1829" s="52"/>
      <c r="E1829" s="52"/>
      <c r="F1829" s="52"/>
      <c r="G1829" s="52"/>
      <c r="H1829" s="52"/>
    </row>
    <row r="1830" spans="1:8" ht="15.75">
      <c r="A1830" s="106">
        <v>42068</v>
      </c>
      <c r="B1830" s="107">
        <v>139.87</v>
      </c>
      <c r="C1830" s="52"/>
      <c r="D1830" s="52"/>
      <c r="E1830" s="52"/>
      <c r="F1830" s="52"/>
      <c r="G1830" s="52"/>
      <c r="H1830" s="52"/>
    </row>
    <row r="1831" spans="1:8" ht="15.75">
      <c r="A1831" s="106">
        <v>42069</v>
      </c>
      <c r="B1831" s="107">
        <v>140.06</v>
      </c>
      <c r="C1831" s="52"/>
      <c r="D1831" s="52"/>
      <c r="E1831" s="52"/>
      <c r="F1831" s="52"/>
      <c r="G1831" s="52"/>
      <c r="H1831" s="52"/>
    </row>
    <row r="1832" spans="1:8" ht="15.75">
      <c r="A1832" s="106">
        <v>42072</v>
      </c>
      <c r="B1832" s="107">
        <v>139.97999999999999</v>
      </c>
      <c r="C1832" s="52"/>
      <c r="D1832" s="52"/>
      <c r="E1832" s="52"/>
      <c r="F1832" s="52"/>
      <c r="G1832" s="52"/>
      <c r="H1832" s="52"/>
    </row>
    <row r="1833" spans="1:8" ht="15.75">
      <c r="A1833" s="106">
        <v>42073</v>
      </c>
      <c r="B1833" s="107">
        <v>140.33000000000001</v>
      </c>
      <c r="C1833" s="52"/>
      <c r="D1833" s="52"/>
      <c r="E1833" s="52"/>
      <c r="F1833" s="52"/>
      <c r="G1833" s="52"/>
      <c r="H1833" s="52"/>
    </row>
    <row r="1834" spans="1:8" ht="15.75">
      <c r="A1834" s="106">
        <v>42074</v>
      </c>
      <c r="B1834" s="107">
        <v>140.49</v>
      </c>
      <c r="C1834" s="52"/>
      <c r="D1834" s="52"/>
      <c r="E1834" s="52"/>
      <c r="F1834" s="52"/>
      <c r="G1834" s="52"/>
      <c r="H1834" s="52"/>
    </row>
    <row r="1835" spans="1:8" ht="15.75">
      <c r="A1835" s="106">
        <v>42075</v>
      </c>
      <c r="B1835" s="107">
        <v>140.6</v>
      </c>
      <c r="C1835" s="52"/>
      <c r="D1835" s="52"/>
      <c r="E1835" s="52"/>
      <c r="F1835" s="52"/>
      <c r="G1835" s="52"/>
      <c r="H1835" s="52"/>
    </row>
    <row r="1836" spans="1:8" ht="15.75">
      <c r="A1836" s="106">
        <v>42076</v>
      </c>
      <c r="B1836" s="107">
        <v>140.46</v>
      </c>
      <c r="C1836" s="52"/>
      <c r="D1836" s="52"/>
      <c r="E1836" s="52"/>
      <c r="F1836" s="52"/>
      <c r="G1836" s="52"/>
      <c r="H1836" s="52"/>
    </row>
    <row r="1837" spans="1:8" ht="15.75">
      <c r="A1837" s="106">
        <v>42079</v>
      </c>
      <c r="B1837" s="107">
        <v>140.28</v>
      </c>
      <c r="C1837" s="52"/>
      <c r="D1837" s="52"/>
      <c r="E1837" s="52"/>
      <c r="F1837" s="52"/>
      <c r="G1837" s="52"/>
      <c r="H1837" s="52"/>
    </row>
    <row r="1838" spans="1:8" ht="15.75">
      <c r="A1838" s="106">
        <v>42080</v>
      </c>
      <c r="B1838" s="107">
        <v>140.13</v>
      </c>
      <c r="C1838" s="52"/>
      <c r="D1838" s="52"/>
      <c r="E1838" s="52"/>
      <c r="F1838" s="52"/>
      <c r="G1838" s="52"/>
      <c r="H1838" s="52"/>
    </row>
    <row r="1839" spans="1:8" ht="15.75">
      <c r="A1839" s="106">
        <v>42081</v>
      </c>
      <c r="B1839" s="107">
        <v>140.26</v>
      </c>
      <c r="C1839" s="52"/>
      <c r="D1839" s="52"/>
      <c r="E1839" s="52"/>
      <c r="F1839" s="52"/>
      <c r="G1839" s="52"/>
      <c r="H1839" s="52"/>
    </row>
    <row r="1840" spans="1:8" ht="15.75">
      <c r="A1840" s="106">
        <v>42082</v>
      </c>
      <c r="B1840" s="107">
        <v>140.63999999999999</v>
      </c>
      <c r="C1840" s="52"/>
      <c r="D1840" s="52"/>
      <c r="E1840" s="52"/>
      <c r="F1840" s="52"/>
      <c r="G1840" s="52"/>
      <c r="H1840" s="52"/>
    </row>
    <row r="1841" spans="1:8" ht="15.75">
      <c r="A1841" s="106">
        <v>42083</v>
      </c>
      <c r="B1841" s="107">
        <v>140.66</v>
      </c>
      <c r="C1841" s="52"/>
      <c r="D1841" s="52"/>
      <c r="E1841" s="52"/>
      <c r="F1841" s="52"/>
      <c r="G1841" s="52"/>
      <c r="H1841" s="52"/>
    </row>
    <row r="1842" spans="1:8" ht="15.75">
      <c r="A1842" s="106">
        <v>42086</v>
      </c>
      <c r="B1842" s="107">
        <v>140.63999999999999</v>
      </c>
      <c r="C1842" s="52"/>
      <c r="D1842" s="52"/>
      <c r="E1842" s="52"/>
      <c r="F1842" s="52"/>
      <c r="G1842" s="52"/>
      <c r="H1842" s="52"/>
    </row>
    <row r="1843" spans="1:8" ht="15.75">
      <c r="A1843" s="106">
        <v>42087</v>
      </c>
      <c r="B1843" s="107">
        <v>140.44</v>
      </c>
      <c r="C1843" s="52"/>
      <c r="D1843" s="52"/>
      <c r="E1843" s="52"/>
      <c r="F1843" s="52"/>
      <c r="G1843" s="52"/>
      <c r="H1843" s="52"/>
    </row>
    <row r="1844" spans="1:8" ht="15.75">
      <c r="A1844" s="106">
        <v>42088</v>
      </c>
      <c r="B1844" s="107">
        <v>141.02000000000001</v>
      </c>
      <c r="C1844" s="52"/>
      <c r="D1844" s="52"/>
      <c r="E1844" s="52"/>
      <c r="F1844" s="52"/>
      <c r="G1844" s="52"/>
      <c r="H1844" s="52"/>
    </row>
    <row r="1845" spans="1:8" ht="15.75">
      <c r="A1845" s="106">
        <v>42089</v>
      </c>
      <c r="B1845" s="107">
        <v>140.41</v>
      </c>
      <c r="C1845" s="52"/>
      <c r="D1845" s="52"/>
      <c r="E1845" s="52"/>
      <c r="F1845" s="52"/>
      <c r="G1845" s="52"/>
      <c r="H1845" s="52"/>
    </row>
    <row r="1846" spans="1:8" ht="15.75">
      <c r="A1846" s="106">
        <v>42090</v>
      </c>
      <c r="B1846" s="107">
        <v>140.44999999999999</v>
      </c>
      <c r="C1846" s="52"/>
      <c r="D1846" s="52"/>
      <c r="E1846" s="52"/>
      <c r="F1846" s="52"/>
      <c r="G1846" s="52"/>
      <c r="H1846" s="52"/>
    </row>
    <row r="1847" spans="1:8" ht="15.75">
      <c r="A1847" s="106">
        <v>42093</v>
      </c>
      <c r="B1847" s="107">
        <v>140.63999999999999</v>
      </c>
      <c r="C1847" s="52"/>
      <c r="D1847" s="52"/>
      <c r="E1847" s="52"/>
      <c r="F1847" s="52"/>
      <c r="G1847" s="52"/>
      <c r="H1847" s="52"/>
    </row>
    <row r="1848" spans="1:8" ht="15.75">
      <c r="A1848" s="106">
        <v>42094</v>
      </c>
      <c r="B1848" s="107">
        <v>140.52000000000001</v>
      </c>
      <c r="C1848" s="52"/>
      <c r="D1848" s="52"/>
      <c r="E1848" s="52"/>
      <c r="F1848" s="52"/>
      <c r="G1848" s="52"/>
      <c r="H1848" s="52"/>
    </row>
    <row r="1849" spans="1:8" ht="15.75">
      <c r="A1849" s="106">
        <v>42095</v>
      </c>
      <c r="B1849" s="107">
        <v>140.66999999999999</v>
      </c>
      <c r="C1849" s="52"/>
      <c r="D1849" s="52"/>
      <c r="E1849" s="52"/>
      <c r="F1849" s="52"/>
      <c r="G1849" s="52"/>
      <c r="H1849" s="52"/>
    </row>
    <row r="1850" spans="1:8" ht="15.75">
      <c r="A1850" s="106">
        <v>42096</v>
      </c>
      <c r="B1850" s="107">
        <v>140.63999999999999</v>
      </c>
      <c r="C1850" s="52"/>
      <c r="D1850" s="52"/>
      <c r="E1850" s="52"/>
      <c r="F1850" s="52"/>
      <c r="G1850" s="52"/>
      <c r="H1850" s="52"/>
    </row>
    <row r="1851" spans="1:8" ht="15.75">
      <c r="A1851" s="106">
        <v>42101</v>
      </c>
      <c r="B1851" s="107">
        <v>140.61000000000001</v>
      </c>
      <c r="C1851" s="52"/>
      <c r="D1851" s="52"/>
      <c r="E1851" s="52"/>
      <c r="F1851" s="52"/>
      <c r="G1851" s="52"/>
      <c r="H1851" s="52"/>
    </row>
    <row r="1852" spans="1:8" ht="15.75">
      <c r="A1852" s="106">
        <v>42102</v>
      </c>
      <c r="B1852" s="107">
        <v>140.78</v>
      </c>
      <c r="C1852" s="52"/>
      <c r="D1852" s="52"/>
      <c r="E1852" s="52"/>
      <c r="F1852" s="52"/>
      <c r="G1852" s="52"/>
      <c r="H1852" s="52"/>
    </row>
    <row r="1853" spans="1:8" ht="15.75">
      <c r="A1853" s="106">
        <v>42103</v>
      </c>
      <c r="B1853" s="107">
        <v>140.86000000000001</v>
      </c>
      <c r="C1853" s="52"/>
      <c r="D1853" s="52"/>
      <c r="E1853" s="52"/>
      <c r="F1853" s="52"/>
      <c r="G1853" s="52"/>
      <c r="H1853" s="52"/>
    </row>
    <row r="1854" spans="1:8" ht="15.75">
      <c r="A1854" s="106">
        <v>42104</v>
      </c>
      <c r="B1854" s="107">
        <v>140.85</v>
      </c>
      <c r="C1854" s="52"/>
      <c r="D1854" s="52"/>
      <c r="E1854" s="52"/>
      <c r="F1854" s="52"/>
      <c r="G1854" s="52"/>
      <c r="H1854" s="52"/>
    </row>
    <row r="1855" spans="1:8" ht="15.75">
      <c r="A1855" s="106">
        <v>42107</v>
      </c>
      <c r="B1855" s="107">
        <v>140.79</v>
      </c>
      <c r="C1855" s="52"/>
      <c r="D1855" s="52"/>
      <c r="E1855" s="52"/>
      <c r="F1855" s="52"/>
      <c r="G1855" s="52"/>
      <c r="H1855" s="52"/>
    </row>
    <row r="1856" spans="1:8" ht="15.75">
      <c r="A1856" s="106">
        <v>42108</v>
      </c>
      <c r="B1856" s="107">
        <v>140.93</v>
      </c>
      <c r="C1856" s="52"/>
      <c r="D1856" s="52"/>
      <c r="E1856" s="52"/>
      <c r="F1856" s="52"/>
      <c r="G1856" s="52"/>
      <c r="H1856" s="52"/>
    </row>
    <row r="1857" spans="1:8" ht="15.75">
      <c r="A1857" s="106">
        <v>42109</v>
      </c>
      <c r="B1857" s="107">
        <v>140.91</v>
      </c>
      <c r="C1857" s="52"/>
      <c r="D1857" s="52"/>
      <c r="E1857" s="52"/>
      <c r="F1857" s="52"/>
      <c r="G1857" s="52"/>
      <c r="H1857" s="52"/>
    </row>
    <row r="1858" spans="1:8" ht="15.75">
      <c r="A1858" s="106">
        <v>42110</v>
      </c>
      <c r="B1858" s="107">
        <v>141.1</v>
      </c>
      <c r="C1858" s="52"/>
      <c r="D1858" s="52"/>
      <c r="E1858" s="52"/>
      <c r="F1858" s="52"/>
      <c r="G1858" s="52"/>
      <c r="H1858" s="52"/>
    </row>
    <row r="1859" spans="1:8" ht="15.75">
      <c r="A1859" s="106">
        <v>42111</v>
      </c>
      <c r="B1859" s="107">
        <v>141.22</v>
      </c>
      <c r="C1859" s="52"/>
      <c r="D1859" s="52"/>
      <c r="E1859" s="52"/>
      <c r="F1859" s="52"/>
      <c r="G1859" s="52"/>
      <c r="H1859" s="52"/>
    </row>
    <row r="1860" spans="1:8" ht="15.75">
      <c r="A1860" s="106">
        <v>42114</v>
      </c>
      <c r="B1860" s="107">
        <v>141.16</v>
      </c>
      <c r="C1860" s="52"/>
      <c r="D1860" s="52"/>
      <c r="E1860" s="52"/>
      <c r="F1860" s="52"/>
      <c r="G1860" s="52"/>
      <c r="H1860" s="52"/>
    </row>
    <row r="1861" spans="1:8" ht="15.75">
      <c r="A1861" s="106">
        <v>42115</v>
      </c>
      <c r="B1861" s="107">
        <v>141.21</v>
      </c>
      <c r="C1861" s="52"/>
      <c r="D1861" s="52"/>
      <c r="E1861" s="52"/>
      <c r="F1861" s="52"/>
      <c r="G1861" s="52"/>
      <c r="H1861" s="52"/>
    </row>
    <row r="1862" spans="1:8" ht="15.75">
      <c r="A1862" s="106">
        <v>42116</v>
      </c>
      <c r="B1862" s="107">
        <v>141.01</v>
      </c>
      <c r="C1862" s="52"/>
      <c r="D1862" s="52"/>
      <c r="E1862" s="52"/>
      <c r="F1862" s="52"/>
      <c r="G1862" s="52"/>
      <c r="H1862" s="52"/>
    </row>
    <row r="1863" spans="1:8" ht="15.75">
      <c r="A1863" s="106">
        <v>42117</v>
      </c>
      <c r="B1863" s="107">
        <v>140.72999999999999</v>
      </c>
      <c r="C1863" s="52"/>
      <c r="D1863" s="52"/>
      <c r="E1863" s="52"/>
      <c r="F1863" s="52"/>
      <c r="G1863" s="52"/>
      <c r="H1863" s="52"/>
    </row>
    <row r="1864" spans="1:8" ht="15.75">
      <c r="A1864" s="106">
        <v>42118</v>
      </c>
      <c r="B1864" s="107">
        <v>140.68</v>
      </c>
      <c r="C1864" s="52"/>
      <c r="D1864" s="52"/>
      <c r="E1864" s="52"/>
      <c r="F1864" s="52"/>
      <c r="G1864" s="52"/>
      <c r="H1864" s="52"/>
    </row>
    <row r="1865" spans="1:8" ht="15.75">
      <c r="A1865" s="106">
        <v>42121</v>
      </c>
      <c r="B1865" s="107">
        <v>140.72999999999999</v>
      </c>
      <c r="C1865" s="52"/>
      <c r="D1865" s="52"/>
      <c r="E1865" s="52"/>
      <c r="F1865" s="52"/>
      <c r="G1865" s="52"/>
      <c r="H1865" s="52"/>
    </row>
    <row r="1866" spans="1:8" ht="15.75">
      <c r="A1866" s="106">
        <v>42122</v>
      </c>
      <c r="B1866" s="107">
        <v>140.97999999999999</v>
      </c>
      <c r="C1866" s="52"/>
      <c r="D1866" s="52"/>
      <c r="E1866" s="52"/>
      <c r="F1866" s="52"/>
      <c r="G1866" s="52"/>
      <c r="H1866" s="52"/>
    </row>
    <row r="1867" spans="1:8" ht="15.75">
      <c r="A1867" s="106">
        <v>42123</v>
      </c>
      <c r="B1867" s="107">
        <v>140.44</v>
      </c>
      <c r="C1867" s="52"/>
      <c r="D1867" s="52"/>
      <c r="E1867" s="52"/>
      <c r="F1867" s="52"/>
      <c r="G1867" s="52"/>
      <c r="H1867" s="52"/>
    </row>
    <row r="1868" spans="1:8" ht="15.75">
      <c r="A1868" s="106">
        <v>42124</v>
      </c>
      <c r="B1868" s="107">
        <v>139.85</v>
      </c>
      <c r="C1868" s="52"/>
      <c r="D1868" s="52"/>
      <c r="E1868" s="52"/>
      <c r="F1868" s="52"/>
      <c r="G1868" s="52"/>
      <c r="H1868" s="52"/>
    </row>
    <row r="1869" spans="1:8" ht="15.75">
      <c r="A1869" s="106">
        <v>42128</v>
      </c>
      <c r="B1869" s="107">
        <v>139.66</v>
      </c>
      <c r="C1869" s="52"/>
      <c r="D1869" s="52"/>
      <c r="E1869" s="52"/>
      <c r="F1869" s="52"/>
      <c r="G1869" s="52"/>
      <c r="H1869" s="52"/>
    </row>
    <row r="1870" spans="1:8" ht="15.75">
      <c r="A1870" s="106">
        <v>42129</v>
      </c>
      <c r="B1870" s="107">
        <v>139.44999999999999</v>
      </c>
      <c r="C1870" s="52"/>
      <c r="D1870" s="52"/>
      <c r="E1870" s="52"/>
      <c r="F1870" s="52"/>
      <c r="G1870" s="52"/>
      <c r="H1870" s="52"/>
    </row>
    <row r="1871" spans="1:8" ht="15.75">
      <c r="A1871" s="106">
        <v>42130</v>
      </c>
      <c r="B1871" s="107">
        <v>139.02000000000001</v>
      </c>
      <c r="C1871" s="52"/>
      <c r="D1871" s="52"/>
      <c r="E1871" s="52"/>
      <c r="F1871" s="52"/>
      <c r="G1871" s="52"/>
      <c r="H1871" s="52"/>
    </row>
    <row r="1872" spans="1:8" ht="15.75">
      <c r="A1872" s="106">
        <v>42131</v>
      </c>
      <c r="B1872" s="107">
        <v>138.33000000000001</v>
      </c>
      <c r="C1872" s="52"/>
      <c r="D1872" s="52"/>
      <c r="E1872" s="52"/>
      <c r="F1872" s="52"/>
      <c r="G1872" s="52"/>
      <c r="H1872" s="52"/>
    </row>
    <row r="1873" spans="1:8" ht="15.75">
      <c r="A1873" s="106">
        <v>42132</v>
      </c>
      <c r="B1873" s="107">
        <v>138.75</v>
      </c>
      <c r="C1873" s="52"/>
      <c r="D1873" s="52"/>
      <c r="E1873" s="52"/>
      <c r="F1873" s="52"/>
      <c r="G1873" s="52"/>
      <c r="H1873" s="52"/>
    </row>
    <row r="1874" spans="1:8" ht="15.75">
      <c r="A1874" s="106">
        <v>42135</v>
      </c>
      <c r="B1874" s="107">
        <v>138.69999999999999</v>
      </c>
      <c r="C1874" s="52"/>
      <c r="D1874" s="52"/>
      <c r="E1874" s="52"/>
      <c r="F1874" s="52"/>
      <c r="G1874" s="52"/>
      <c r="H1874" s="52"/>
    </row>
    <row r="1875" spans="1:8" ht="15.75">
      <c r="A1875" s="106">
        <v>42136</v>
      </c>
      <c r="B1875" s="107">
        <v>138.63</v>
      </c>
      <c r="C1875" s="52"/>
      <c r="D1875" s="52"/>
      <c r="E1875" s="52"/>
      <c r="F1875" s="52"/>
      <c r="G1875" s="52"/>
      <c r="H1875" s="52"/>
    </row>
    <row r="1876" spans="1:8" ht="15.75">
      <c r="A1876" s="106">
        <v>42137</v>
      </c>
      <c r="B1876" s="107">
        <v>138.41</v>
      </c>
      <c r="C1876" s="52"/>
      <c r="D1876" s="52"/>
      <c r="E1876" s="52"/>
      <c r="F1876" s="52"/>
      <c r="G1876" s="52"/>
      <c r="H1876" s="52"/>
    </row>
    <row r="1877" spans="1:8" ht="15.75">
      <c r="A1877" s="106">
        <v>42138</v>
      </c>
      <c r="B1877" s="107">
        <v>138.01</v>
      </c>
      <c r="C1877" s="52"/>
      <c r="D1877" s="52"/>
      <c r="E1877" s="52"/>
      <c r="F1877" s="52"/>
      <c r="G1877" s="52"/>
      <c r="H1877" s="52"/>
    </row>
    <row r="1878" spans="1:8" ht="15.75">
      <c r="A1878" s="106">
        <v>42139</v>
      </c>
      <c r="B1878" s="107">
        <v>138.34</v>
      </c>
      <c r="C1878" s="52"/>
      <c r="D1878" s="52"/>
      <c r="E1878" s="52"/>
      <c r="F1878" s="52"/>
      <c r="G1878" s="52"/>
      <c r="H1878" s="52"/>
    </row>
    <row r="1879" spans="1:8" ht="15.75">
      <c r="A1879" s="106">
        <v>42142</v>
      </c>
      <c r="B1879" s="107">
        <v>138.41</v>
      </c>
      <c r="C1879" s="52"/>
      <c r="D1879" s="52"/>
      <c r="E1879" s="52"/>
      <c r="F1879" s="52"/>
      <c r="G1879" s="52"/>
      <c r="H1879" s="52"/>
    </row>
    <row r="1880" spans="1:8" ht="15.75">
      <c r="A1880" s="106">
        <v>42143</v>
      </c>
      <c r="B1880" s="107">
        <v>138.94</v>
      </c>
      <c r="C1880" s="52"/>
      <c r="D1880" s="52"/>
      <c r="E1880" s="52"/>
      <c r="F1880" s="52"/>
      <c r="G1880" s="52"/>
      <c r="H1880" s="52"/>
    </row>
    <row r="1881" spans="1:8" ht="15.75">
      <c r="A1881" s="106">
        <v>42144</v>
      </c>
      <c r="B1881" s="107">
        <v>138.66999999999999</v>
      </c>
      <c r="C1881" s="52"/>
      <c r="D1881" s="52"/>
      <c r="E1881" s="52"/>
      <c r="F1881" s="52"/>
      <c r="G1881" s="52"/>
      <c r="H1881" s="52"/>
    </row>
    <row r="1882" spans="1:8" ht="15.75">
      <c r="A1882" s="106">
        <v>42145</v>
      </c>
      <c r="B1882" s="107">
        <v>138.41999999999999</v>
      </c>
      <c r="C1882" s="52"/>
      <c r="D1882" s="52"/>
      <c r="E1882" s="52"/>
      <c r="F1882" s="52"/>
      <c r="G1882" s="52"/>
      <c r="H1882" s="52"/>
    </row>
    <row r="1883" spans="1:8" ht="15.75">
      <c r="A1883" s="106">
        <v>42146</v>
      </c>
      <c r="B1883" s="107">
        <v>139.13</v>
      </c>
      <c r="C1883" s="52"/>
      <c r="D1883" s="52"/>
      <c r="E1883" s="52"/>
      <c r="F1883" s="52"/>
      <c r="G1883" s="52"/>
      <c r="H1883" s="52"/>
    </row>
    <row r="1884" spans="1:8" ht="15.75">
      <c r="A1884" s="106">
        <v>42150</v>
      </c>
      <c r="B1884" s="107">
        <v>138.87</v>
      </c>
      <c r="C1884" s="52"/>
      <c r="D1884" s="52"/>
      <c r="E1884" s="52"/>
      <c r="F1884" s="52"/>
      <c r="G1884" s="52"/>
      <c r="H1884" s="52"/>
    </row>
    <row r="1885" spans="1:8" ht="15.75">
      <c r="A1885" s="106">
        <v>42151</v>
      </c>
      <c r="B1885" s="107">
        <v>139.41</v>
      </c>
      <c r="C1885" s="52"/>
      <c r="D1885" s="52"/>
      <c r="E1885" s="52"/>
      <c r="F1885" s="52"/>
      <c r="G1885" s="52"/>
      <c r="H1885" s="52"/>
    </row>
    <row r="1886" spans="1:8" ht="15.75">
      <c r="A1886" s="106">
        <v>42152</v>
      </c>
      <c r="B1886" s="107">
        <v>138.91</v>
      </c>
      <c r="C1886" s="52"/>
      <c r="D1886" s="52"/>
      <c r="E1886" s="52"/>
      <c r="F1886" s="52"/>
      <c r="G1886" s="52"/>
      <c r="H1886" s="52"/>
    </row>
    <row r="1887" spans="1:8" ht="15.75">
      <c r="A1887" s="106">
        <v>42153</v>
      </c>
      <c r="B1887" s="107">
        <v>139.56</v>
      </c>
      <c r="C1887" s="52"/>
      <c r="D1887" s="52"/>
      <c r="E1887" s="52"/>
      <c r="F1887" s="52"/>
      <c r="G1887" s="52"/>
      <c r="H1887" s="52"/>
    </row>
    <row r="1888" spans="1:8" ht="15.75">
      <c r="A1888" s="106">
        <v>42156</v>
      </c>
      <c r="B1888" s="107">
        <v>139.63999999999999</v>
      </c>
      <c r="C1888" s="52"/>
      <c r="D1888" s="52"/>
      <c r="E1888" s="52"/>
      <c r="F1888" s="52"/>
      <c r="G1888" s="52"/>
      <c r="H1888" s="52"/>
    </row>
    <row r="1889" spans="1:8" ht="15.75">
      <c r="A1889" s="106">
        <v>42157</v>
      </c>
      <c r="B1889" s="107">
        <v>139.12</v>
      </c>
      <c r="C1889" s="52"/>
      <c r="D1889" s="52"/>
      <c r="E1889" s="52"/>
      <c r="F1889" s="52"/>
      <c r="G1889" s="52"/>
      <c r="H1889" s="52"/>
    </row>
    <row r="1890" spans="1:8" ht="15.75">
      <c r="A1890" s="106">
        <v>42158</v>
      </c>
      <c r="B1890" s="107">
        <v>138.71</v>
      </c>
      <c r="C1890" s="52"/>
      <c r="D1890" s="52"/>
      <c r="E1890" s="52"/>
      <c r="F1890" s="52"/>
      <c r="G1890" s="52"/>
      <c r="H1890" s="52"/>
    </row>
    <row r="1891" spans="1:8" ht="15.75">
      <c r="A1891" s="106">
        <v>42159</v>
      </c>
      <c r="B1891" s="107">
        <v>137.54</v>
      </c>
      <c r="C1891" s="52"/>
      <c r="D1891" s="52"/>
      <c r="E1891" s="52"/>
      <c r="F1891" s="52"/>
      <c r="G1891" s="52"/>
      <c r="H1891" s="52"/>
    </row>
    <row r="1892" spans="1:8" ht="15.75">
      <c r="A1892" s="106">
        <v>42160</v>
      </c>
      <c r="B1892" s="107">
        <v>137.9</v>
      </c>
      <c r="C1892" s="52"/>
      <c r="D1892" s="52"/>
      <c r="E1892" s="52"/>
      <c r="F1892" s="52"/>
      <c r="G1892" s="52"/>
      <c r="H1892" s="52"/>
    </row>
    <row r="1893" spans="1:8" ht="15.75">
      <c r="A1893" s="106">
        <v>42163</v>
      </c>
      <c r="B1893" s="107">
        <v>137.9</v>
      </c>
      <c r="C1893" s="52"/>
      <c r="D1893" s="52"/>
      <c r="E1893" s="52"/>
      <c r="F1893" s="52"/>
      <c r="G1893" s="52"/>
      <c r="H1893" s="52"/>
    </row>
    <row r="1894" spans="1:8" ht="15.75">
      <c r="A1894" s="106">
        <v>42164</v>
      </c>
      <c r="B1894" s="107">
        <v>137.82</v>
      </c>
      <c r="C1894" s="52"/>
      <c r="D1894" s="52"/>
      <c r="E1894" s="52"/>
      <c r="F1894" s="52"/>
      <c r="G1894" s="52"/>
      <c r="H1894" s="52"/>
    </row>
    <row r="1895" spans="1:8" ht="15.75">
      <c r="A1895" s="106">
        <v>42165</v>
      </c>
      <c r="B1895" s="107">
        <v>137.18</v>
      </c>
      <c r="C1895" s="52"/>
      <c r="D1895" s="52"/>
      <c r="E1895" s="52"/>
      <c r="F1895" s="52"/>
      <c r="G1895" s="52"/>
      <c r="H1895" s="52"/>
    </row>
    <row r="1896" spans="1:8" ht="15.75">
      <c r="A1896" s="106">
        <v>42166</v>
      </c>
      <c r="B1896" s="107">
        <v>137.26</v>
      </c>
      <c r="C1896" s="52"/>
      <c r="D1896" s="52"/>
      <c r="E1896" s="52"/>
      <c r="F1896" s="52"/>
      <c r="G1896" s="52"/>
      <c r="H1896" s="52"/>
    </row>
    <row r="1897" spans="1:8" ht="15.75">
      <c r="A1897" s="106">
        <v>42167</v>
      </c>
      <c r="B1897" s="107">
        <v>137.66</v>
      </c>
      <c r="C1897" s="52"/>
      <c r="D1897" s="52"/>
      <c r="E1897" s="52"/>
      <c r="F1897" s="52"/>
      <c r="G1897" s="52"/>
      <c r="H1897" s="52"/>
    </row>
    <row r="1898" spans="1:8" ht="15.75">
      <c r="A1898" s="106">
        <v>42170</v>
      </c>
      <c r="B1898" s="107">
        <v>138.1</v>
      </c>
      <c r="C1898" s="52"/>
      <c r="D1898" s="52"/>
      <c r="E1898" s="52"/>
      <c r="F1898" s="52"/>
      <c r="G1898" s="52"/>
      <c r="H1898" s="52"/>
    </row>
    <row r="1899" spans="1:8" ht="15.75">
      <c r="A1899" s="106">
        <v>42171</v>
      </c>
      <c r="B1899" s="107">
        <v>138.32</v>
      </c>
      <c r="C1899" s="52"/>
      <c r="D1899" s="52"/>
      <c r="E1899" s="52"/>
      <c r="F1899" s="52"/>
      <c r="G1899" s="52"/>
      <c r="H1899" s="52"/>
    </row>
    <row r="1900" spans="1:8" ht="15.75">
      <c r="A1900" s="106">
        <v>42172</v>
      </c>
      <c r="B1900" s="107">
        <v>138.19</v>
      </c>
      <c r="C1900" s="52"/>
      <c r="D1900" s="52"/>
      <c r="E1900" s="52"/>
      <c r="F1900" s="52"/>
      <c r="G1900" s="52"/>
      <c r="H1900" s="52"/>
    </row>
    <row r="1901" spans="1:8" ht="15.75">
      <c r="A1901" s="106">
        <v>42173</v>
      </c>
      <c r="B1901" s="107">
        <v>138.69999999999999</v>
      </c>
      <c r="C1901" s="52"/>
      <c r="D1901" s="52"/>
      <c r="E1901" s="52"/>
      <c r="F1901" s="52"/>
      <c r="G1901" s="52"/>
      <c r="H1901" s="52"/>
    </row>
    <row r="1902" spans="1:8" ht="15.75">
      <c r="A1902" s="106">
        <v>42174</v>
      </c>
      <c r="B1902" s="107">
        <v>138.36000000000001</v>
      </c>
      <c r="C1902" s="52"/>
      <c r="D1902" s="52"/>
      <c r="E1902" s="52"/>
      <c r="F1902" s="52"/>
      <c r="G1902" s="52"/>
      <c r="H1902" s="52"/>
    </row>
    <row r="1903" spans="1:8" ht="15.75">
      <c r="A1903" s="106">
        <v>42177</v>
      </c>
      <c r="B1903" s="107">
        <v>138.18</v>
      </c>
      <c r="C1903" s="52"/>
      <c r="D1903" s="52"/>
      <c r="E1903" s="52"/>
      <c r="F1903" s="52"/>
      <c r="G1903" s="52"/>
      <c r="H1903" s="52"/>
    </row>
    <row r="1904" spans="1:8" ht="15.75">
      <c r="A1904" s="106">
        <v>42178</v>
      </c>
      <c r="B1904" s="107">
        <v>137.91999999999999</v>
      </c>
      <c r="C1904" s="52"/>
      <c r="D1904" s="52"/>
      <c r="E1904" s="52"/>
      <c r="F1904" s="52"/>
      <c r="G1904" s="52"/>
      <c r="H1904" s="52"/>
    </row>
    <row r="1905" spans="1:8" ht="15.75">
      <c r="A1905" s="106">
        <v>42179</v>
      </c>
      <c r="B1905" s="107">
        <v>137.97999999999999</v>
      </c>
      <c r="C1905" s="52"/>
      <c r="D1905" s="52"/>
      <c r="E1905" s="52"/>
      <c r="F1905" s="52"/>
      <c r="G1905" s="52"/>
      <c r="H1905" s="52"/>
    </row>
    <row r="1906" spans="1:8" ht="15.75">
      <c r="A1906" s="106">
        <v>42180</v>
      </c>
      <c r="B1906" s="107">
        <v>138.02000000000001</v>
      </c>
      <c r="C1906" s="52"/>
      <c r="D1906" s="52"/>
      <c r="E1906" s="52"/>
      <c r="F1906" s="52"/>
      <c r="G1906" s="52"/>
      <c r="H1906" s="52"/>
    </row>
    <row r="1907" spans="1:8" ht="15.75">
      <c r="A1907" s="106">
        <v>42181</v>
      </c>
      <c r="B1907" s="107">
        <v>137.99</v>
      </c>
      <c r="C1907" s="52"/>
      <c r="D1907" s="52"/>
      <c r="E1907" s="52"/>
      <c r="F1907" s="52"/>
      <c r="G1907" s="52"/>
      <c r="H1907" s="52"/>
    </row>
    <row r="1908" spans="1:8" ht="15.75">
      <c r="A1908" s="106">
        <v>42184</v>
      </c>
      <c r="B1908" s="107">
        <v>138.35</v>
      </c>
      <c r="C1908" s="52"/>
      <c r="D1908" s="52"/>
      <c r="E1908" s="52"/>
      <c r="F1908" s="52"/>
      <c r="G1908" s="52"/>
      <c r="H1908" s="52"/>
    </row>
    <row r="1909" spans="1:8" ht="15.75">
      <c r="A1909" s="106">
        <v>42185</v>
      </c>
      <c r="B1909" s="107">
        <v>138.37</v>
      </c>
      <c r="C1909" s="52"/>
      <c r="D1909" s="52"/>
      <c r="E1909" s="52"/>
      <c r="F1909" s="52"/>
      <c r="G1909" s="52"/>
      <c r="H1909" s="52"/>
    </row>
    <row r="1910" spans="1:8" ht="15.75">
      <c r="A1910" s="106">
        <v>42186</v>
      </c>
      <c r="B1910" s="107">
        <v>138.38999999999999</v>
      </c>
      <c r="C1910" s="52"/>
      <c r="D1910" s="52"/>
      <c r="E1910" s="52"/>
      <c r="F1910" s="52"/>
      <c r="G1910" s="52"/>
      <c r="H1910" s="52"/>
    </row>
    <row r="1911" spans="1:8" ht="15.75">
      <c r="A1911" s="106">
        <v>42187</v>
      </c>
      <c r="B1911" s="107">
        <v>138.28</v>
      </c>
      <c r="C1911" s="52"/>
      <c r="D1911" s="52"/>
      <c r="E1911" s="52"/>
      <c r="F1911" s="52"/>
      <c r="G1911" s="52"/>
      <c r="H1911" s="52"/>
    </row>
    <row r="1912" spans="1:8" ht="15.75">
      <c r="A1912" s="106">
        <v>42188</v>
      </c>
      <c r="B1912" s="107">
        <v>138.55000000000001</v>
      </c>
      <c r="C1912" s="52"/>
      <c r="D1912" s="52"/>
      <c r="E1912" s="52"/>
      <c r="F1912" s="52"/>
      <c r="G1912" s="52"/>
      <c r="H1912" s="52"/>
    </row>
    <row r="1913" spans="1:8" ht="15.75">
      <c r="A1913" s="106">
        <v>42191</v>
      </c>
      <c r="B1913" s="107">
        <v>138.87</v>
      </c>
      <c r="C1913" s="52"/>
      <c r="D1913" s="52"/>
      <c r="E1913" s="52"/>
      <c r="F1913" s="52"/>
      <c r="G1913" s="52"/>
      <c r="H1913" s="52"/>
    </row>
    <row r="1914" spans="1:8" ht="15.75">
      <c r="A1914" s="106">
        <v>42192</v>
      </c>
      <c r="B1914" s="107">
        <v>138.88</v>
      </c>
      <c r="C1914" s="52"/>
      <c r="D1914" s="52"/>
      <c r="E1914" s="52"/>
      <c r="F1914" s="52"/>
      <c r="G1914" s="52"/>
      <c r="H1914" s="52"/>
    </row>
    <row r="1915" spans="1:8" ht="15.75">
      <c r="A1915" s="106">
        <v>42193</v>
      </c>
      <c r="B1915" s="107">
        <v>139.13999999999999</v>
      </c>
      <c r="C1915" s="52"/>
      <c r="D1915" s="52"/>
      <c r="E1915" s="52"/>
      <c r="F1915" s="52"/>
      <c r="G1915" s="52"/>
      <c r="H1915" s="52"/>
    </row>
    <row r="1916" spans="1:8" ht="15.75">
      <c r="A1916" s="106">
        <v>42194</v>
      </c>
      <c r="B1916" s="107">
        <v>138.88</v>
      </c>
      <c r="C1916" s="52"/>
      <c r="D1916" s="52"/>
      <c r="E1916" s="52"/>
      <c r="F1916" s="52"/>
      <c r="G1916" s="52"/>
      <c r="H1916" s="52"/>
    </row>
    <row r="1917" spans="1:8" ht="15.75">
      <c r="A1917" s="106">
        <v>42195</v>
      </c>
      <c r="B1917" s="107">
        <v>138.32</v>
      </c>
      <c r="C1917" s="52"/>
      <c r="D1917" s="52"/>
      <c r="E1917" s="52"/>
      <c r="F1917" s="52"/>
      <c r="G1917" s="52"/>
      <c r="H1917" s="52"/>
    </row>
    <row r="1918" spans="1:8" ht="15.75">
      <c r="A1918" s="106">
        <v>42198</v>
      </c>
      <c r="B1918" s="107">
        <v>137.9</v>
      </c>
      <c r="C1918" s="52"/>
      <c r="D1918" s="52"/>
      <c r="E1918" s="52"/>
      <c r="F1918" s="52"/>
      <c r="G1918" s="52"/>
      <c r="H1918" s="52"/>
    </row>
    <row r="1919" spans="1:8" ht="15.75">
      <c r="A1919" s="106">
        <v>42199</v>
      </c>
      <c r="B1919" s="107">
        <v>138.11000000000001</v>
      </c>
      <c r="C1919" s="52"/>
      <c r="D1919" s="52"/>
      <c r="E1919" s="52"/>
      <c r="F1919" s="52"/>
      <c r="G1919" s="52"/>
      <c r="H1919" s="52"/>
    </row>
    <row r="1920" spans="1:8" ht="15.75">
      <c r="A1920" s="106">
        <v>42200</v>
      </c>
      <c r="B1920" s="107">
        <v>138.30000000000001</v>
      </c>
      <c r="C1920" s="52"/>
      <c r="D1920" s="52"/>
      <c r="E1920" s="52"/>
      <c r="F1920" s="52"/>
      <c r="G1920" s="52"/>
      <c r="H1920" s="52"/>
    </row>
    <row r="1921" spans="1:8" ht="15.75">
      <c r="A1921" s="106">
        <v>42201</v>
      </c>
      <c r="B1921" s="107">
        <v>138.41</v>
      </c>
      <c r="C1921" s="52"/>
      <c r="D1921" s="52"/>
      <c r="E1921" s="52"/>
      <c r="F1921" s="52"/>
      <c r="G1921" s="52"/>
      <c r="H1921" s="52"/>
    </row>
    <row r="1922" spans="1:8" ht="15.75">
      <c r="A1922" s="106">
        <v>42202</v>
      </c>
      <c r="B1922" s="107">
        <v>138.59</v>
      </c>
      <c r="C1922" s="52"/>
      <c r="D1922" s="52"/>
      <c r="E1922" s="52"/>
      <c r="F1922" s="52"/>
      <c r="G1922" s="52"/>
      <c r="H1922" s="52"/>
    </row>
    <row r="1923" spans="1:8" ht="15.75">
      <c r="A1923" s="106">
        <v>42205</v>
      </c>
      <c r="B1923" s="107">
        <v>138.75</v>
      </c>
      <c r="C1923" s="52"/>
      <c r="D1923" s="52"/>
      <c r="E1923" s="52"/>
      <c r="F1923" s="52"/>
      <c r="G1923" s="52"/>
      <c r="H1923" s="52"/>
    </row>
    <row r="1924" spans="1:8" ht="15.75">
      <c r="A1924" s="106">
        <v>42206</v>
      </c>
      <c r="B1924" s="107">
        <v>138.83000000000001</v>
      </c>
      <c r="C1924" s="52"/>
      <c r="D1924" s="52"/>
      <c r="E1924" s="52"/>
      <c r="F1924" s="52"/>
      <c r="G1924" s="52"/>
      <c r="H1924" s="52"/>
    </row>
    <row r="1925" spans="1:8" ht="15.75">
      <c r="A1925" s="106">
        <v>42207</v>
      </c>
      <c r="B1925" s="107">
        <v>138.63999999999999</v>
      </c>
      <c r="C1925" s="52"/>
      <c r="D1925" s="52"/>
      <c r="E1925" s="52"/>
      <c r="F1925" s="52"/>
      <c r="G1925" s="52"/>
      <c r="H1925" s="52"/>
    </row>
    <row r="1926" spans="1:8" ht="15.75">
      <c r="A1926" s="106">
        <v>42208</v>
      </c>
      <c r="B1926" s="107">
        <v>138.91999999999999</v>
      </c>
      <c r="C1926" s="52"/>
      <c r="D1926" s="52"/>
      <c r="E1926" s="52"/>
      <c r="F1926" s="52"/>
      <c r="G1926" s="52"/>
      <c r="H1926" s="52"/>
    </row>
    <row r="1927" spans="1:8" ht="15.75">
      <c r="A1927" s="106">
        <v>42209</v>
      </c>
      <c r="B1927" s="107">
        <v>138.91</v>
      </c>
      <c r="C1927" s="52"/>
      <c r="D1927" s="52"/>
      <c r="E1927" s="52"/>
      <c r="F1927" s="52"/>
      <c r="G1927" s="52"/>
      <c r="H1927" s="52"/>
    </row>
    <row r="1928" spans="1:8" ht="15.75">
      <c r="A1928" s="106">
        <v>42212</v>
      </c>
      <c r="B1928" s="107">
        <v>139.13</v>
      </c>
      <c r="C1928" s="52"/>
      <c r="D1928" s="52"/>
      <c r="E1928" s="52"/>
      <c r="F1928" s="52"/>
      <c r="G1928" s="52"/>
      <c r="H1928" s="52"/>
    </row>
    <row r="1929" spans="1:8" ht="15.75">
      <c r="A1929" s="106">
        <v>42213</v>
      </c>
      <c r="B1929" s="107">
        <v>138.94</v>
      </c>
      <c r="C1929" s="52"/>
      <c r="D1929" s="52"/>
      <c r="E1929" s="52"/>
      <c r="F1929" s="52"/>
      <c r="G1929" s="52"/>
      <c r="H1929" s="52"/>
    </row>
    <row r="1930" spans="1:8" ht="15.75">
      <c r="A1930" s="106">
        <v>42214</v>
      </c>
      <c r="B1930" s="107">
        <v>139.01</v>
      </c>
      <c r="C1930" s="52"/>
      <c r="D1930" s="52"/>
      <c r="E1930" s="52"/>
      <c r="F1930" s="52"/>
      <c r="G1930" s="52"/>
      <c r="H1930" s="52"/>
    </row>
    <row r="1931" spans="1:8" ht="15.75">
      <c r="A1931" s="106">
        <v>42215</v>
      </c>
      <c r="B1931" s="107">
        <v>139.08000000000001</v>
      </c>
      <c r="C1931" s="52"/>
      <c r="D1931" s="52"/>
      <c r="E1931" s="52"/>
      <c r="F1931" s="52"/>
      <c r="G1931" s="52"/>
      <c r="H1931" s="52"/>
    </row>
    <row r="1932" spans="1:8" ht="15.75">
      <c r="A1932" s="106">
        <v>42216</v>
      </c>
      <c r="B1932" s="107">
        <v>139.21</v>
      </c>
      <c r="C1932" s="52"/>
      <c r="D1932" s="52"/>
      <c r="E1932" s="52"/>
      <c r="F1932" s="52"/>
      <c r="G1932" s="52"/>
      <c r="H1932" s="52"/>
    </row>
    <row r="1933" spans="1:8" ht="15.75">
      <c r="A1933" s="106">
        <v>42219</v>
      </c>
      <c r="B1933" s="107">
        <v>139.18</v>
      </c>
      <c r="C1933" s="52"/>
      <c r="D1933" s="52"/>
      <c r="E1933" s="52"/>
      <c r="F1933" s="52"/>
      <c r="G1933" s="52"/>
      <c r="H1933" s="52"/>
    </row>
    <row r="1934" spans="1:8" ht="15.75">
      <c r="A1934" s="106">
        <v>42220</v>
      </c>
      <c r="B1934" s="107">
        <v>139.41999999999999</v>
      </c>
      <c r="C1934" s="52"/>
      <c r="D1934" s="52"/>
      <c r="E1934" s="52"/>
      <c r="F1934" s="52"/>
      <c r="G1934" s="52"/>
      <c r="H1934" s="52"/>
    </row>
    <row r="1935" spans="1:8" ht="15.75">
      <c r="A1935" s="106">
        <v>42221</v>
      </c>
      <c r="B1935" s="107">
        <v>138.61000000000001</v>
      </c>
      <c r="C1935" s="52"/>
      <c r="D1935" s="52"/>
      <c r="E1935" s="52"/>
      <c r="F1935" s="52"/>
      <c r="G1935" s="52"/>
      <c r="H1935" s="52"/>
    </row>
    <row r="1936" spans="1:8" ht="15.75">
      <c r="A1936" s="106">
        <v>42222</v>
      </c>
      <c r="B1936" s="107">
        <v>138.33000000000001</v>
      </c>
      <c r="C1936" s="52"/>
      <c r="D1936" s="52"/>
      <c r="E1936" s="52"/>
      <c r="F1936" s="52"/>
      <c r="G1936" s="52"/>
      <c r="H1936" s="52"/>
    </row>
    <row r="1937" spans="1:8" ht="15.75">
      <c r="A1937" s="106">
        <v>42223</v>
      </c>
      <c r="B1937" s="107">
        <v>138.4</v>
      </c>
      <c r="C1937" s="52"/>
      <c r="D1937" s="52"/>
      <c r="E1937" s="52"/>
      <c r="F1937" s="52"/>
      <c r="G1937" s="52"/>
      <c r="H1937" s="52"/>
    </row>
    <row r="1938" spans="1:8" ht="15.75">
      <c r="A1938" s="106">
        <v>42226</v>
      </c>
      <c r="B1938" s="107">
        <v>139.31</v>
      </c>
      <c r="C1938" s="52"/>
      <c r="D1938" s="52"/>
      <c r="E1938" s="52"/>
      <c r="F1938" s="52"/>
      <c r="G1938" s="52"/>
      <c r="H1938" s="52"/>
    </row>
    <row r="1939" spans="1:8" ht="15.75">
      <c r="A1939" s="106">
        <v>42227</v>
      </c>
      <c r="B1939" s="107">
        <v>139.44999999999999</v>
      </c>
      <c r="C1939" s="52"/>
      <c r="D1939" s="52"/>
      <c r="E1939" s="52"/>
      <c r="F1939" s="52"/>
      <c r="G1939" s="52"/>
      <c r="H1939" s="52"/>
    </row>
    <row r="1940" spans="1:8" ht="15.75">
      <c r="A1940" s="106">
        <v>42228</v>
      </c>
      <c r="B1940" s="107">
        <v>139.71</v>
      </c>
      <c r="C1940" s="52"/>
      <c r="D1940" s="52"/>
      <c r="E1940" s="52"/>
      <c r="F1940" s="52"/>
      <c r="G1940" s="52"/>
      <c r="H1940" s="52"/>
    </row>
    <row r="1941" spans="1:8" ht="15.75">
      <c r="A1941" s="106">
        <v>42229</v>
      </c>
      <c r="B1941" s="107">
        <v>139.74</v>
      </c>
      <c r="C1941" s="52"/>
      <c r="D1941" s="52"/>
      <c r="E1941" s="52"/>
      <c r="F1941" s="52"/>
      <c r="G1941" s="52"/>
      <c r="H1941" s="52"/>
    </row>
    <row r="1942" spans="1:8" ht="15.75">
      <c r="A1942" s="106">
        <v>42230</v>
      </c>
      <c r="B1942" s="107">
        <v>139.71</v>
      </c>
      <c r="C1942" s="52"/>
      <c r="D1942" s="52"/>
      <c r="E1942" s="52"/>
      <c r="F1942" s="52"/>
      <c r="G1942" s="52"/>
      <c r="H1942" s="52"/>
    </row>
    <row r="1943" spans="1:8" ht="15.75">
      <c r="A1943" s="106">
        <v>42233</v>
      </c>
      <c r="B1943" s="107">
        <v>139.69999999999999</v>
      </c>
      <c r="C1943" s="52"/>
      <c r="D1943" s="52"/>
      <c r="E1943" s="52"/>
      <c r="F1943" s="52"/>
      <c r="G1943" s="52"/>
      <c r="H1943" s="52"/>
    </row>
    <row r="1944" spans="1:8" ht="15.75">
      <c r="A1944" s="106">
        <v>42234</v>
      </c>
      <c r="B1944" s="107">
        <v>139.71</v>
      </c>
      <c r="C1944" s="52"/>
      <c r="D1944" s="52"/>
      <c r="E1944" s="52"/>
      <c r="F1944" s="52"/>
      <c r="G1944" s="52"/>
      <c r="H1944" s="52"/>
    </row>
    <row r="1945" spans="1:8" ht="15.75">
      <c r="A1945" s="106">
        <v>42235</v>
      </c>
      <c r="B1945" s="107">
        <v>139.66999999999999</v>
      </c>
      <c r="C1945" s="52"/>
      <c r="D1945" s="52"/>
      <c r="E1945" s="52"/>
      <c r="F1945" s="52"/>
      <c r="G1945" s="52"/>
      <c r="H1945" s="52"/>
    </row>
    <row r="1946" spans="1:8" ht="15.75">
      <c r="A1946" s="106">
        <v>42236</v>
      </c>
      <c r="B1946" s="107">
        <v>139.30000000000001</v>
      </c>
      <c r="C1946" s="52"/>
      <c r="D1946" s="52"/>
      <c r="E1946" s="52"/>
      <c r="F1946" s="52"/>
      <c r="G1946" s="52"/>
      <c r="H1946" s="52"/>
    </row>
    <row r="1947" spans="1:8" ht="15.75">
      <c r="A1947" s="106">
        <v>42237</v>
      </c>
      <c r="B1947" s="107">
        <v>139.44999999999999</v>
      </c>
      <c r="C1947" s="52"/>
      <c r="D1947" s="52"/>
      <c r="E1947" s="52"/>
      <c r="F1947" s="52"/>
      <c r="G1947" s="52"/>
      <c r="H1947" s="52"/>
    </row>
    <row r="1948" spans="1:8" ht="15.75">
      <c r="A1948" s="106">
        <v>42240</v>
      </c>
      <c r="B1948" s="107">
        <v>139.44999999999999</v>
      </c>
      <c r="C1948" s="52"/>
      <c r="D1948" s="52"/>
      <c r="E1948" s="52"/>
      <c r="F1948" s="52"/>
      <c r="G1948" s="52"/>
      <c r="H1948" s="52"/>
    </row>
    <row r="1949" spans="1:8" ht="15.75">
      <c r="A1949" s="106">
        <v>42241</v>
      </c>
      <c r="B1949" s="107">
        <v>139.07</v>
      </c>
      <c r="C1949" s="52"/>
      <c r="D1949" s="52"/>
      <c r="E1949" s="52"/>
      <c r="F1949" s="52"/>
      <c r="G1949" s="52"/>
      <c r="H1949" s="52"/>
    </row>
    <row r="1950" spans="1:8" ht="15.75">
      <c r="A1950" s="106">
        <v>42242</v>
      </c>
      <c r="B1950" s="107">
        <v>139.35</v>
      </c>
      <c r="C1950" s="52"/>
      <c r="D1950" s="52"/>
      <c r="E1950" s="52"/>
      <c r="F1950" s="52"/>
      <c r="G1950" s="52"/>
      <c r="H1950" s="52"/>
    </row>
    <row r="1951" spans="1:8" ht="15.75">
      <c r="A1951" s="106">
        <v>42243</v>
      </c>
      <c r="B1951" s="107">
        <v>138.78</v>
      </c>
      <c r="C1951" s="52"/>
      <c r="D1951" s="52"/>
      <c r="E1951" s="52"/>
      <c r="F1951" s="52"/>
      <c r="G1951" s="52"/>
      <c r="H1951" s="52"/>
    </row>
    <row r="1952" spans="1:8" ht="15.75">
      <c r="A1952" s="106">
        <v>42244</v>
      </c>
      <c r="B1952" s="107">
        <v>138.71</v>
      </c>
      <c r="C1952" s="52"/>
      <c r="D1952" s="52"/>
      <c r="E1952" s="52"/>
      <c r="F1952" s="52"/>
      <c r="G1952" s="52"/>
      <c r="H1952" s="52"/>
    </row>
    <row r="1953" spans="1:8" ht="15.75">
      <c r="A1953" s="106">
        <v>42247</v>
      </c>
      <c r="B1953" s="107">
        <v>139.19</v>
      </c>
      <c r="C1953" s="52"/>
      <c r="D1953" s="52"/>
      <c r="E1953" s="52"/>
      <c r="F1953" s="52"/>
      <c r="G1953" s="52"/>
      <c r="H1953" s="52"/>
    </row>
    <row r="1954" spans="1:8" ht="15.75">
      <c r="A1954" s="106">
        <v>42248</v>
      </c>
      <c r="B1954" s="107">
        <v>138.78</v>
      </c>
      <c r="C1954" s="52"/>
      <c r="D1954" s="52"/>
      <c r="E1954" s="52"/>
      <c r="F1954" s="52"/>
      <c r="G1954" s="52"/>
      <c r="H1954" s="52"/>
    </row>
    <row r="1955" spans="1:8" ht="15.75">
      <c r="A1955" s="106">
        <v>42249</v>
      </c>
      <c r="B1955" s="107">
        <v>138.35</v>
      </c>
      <c r="C1955" s="52"/>
      <c r="D1955" s="52"/>
      <c r="E1955" s="52"/>
      <c r="F1955" s="52"/>
      <c r="G1955" s="52"/>
      <c r="H1955" s="52"/>
    </row>
    <row r="1956" spans="1:8" ht="15.75">
      <c r="A1956" s="106">
        <v>42250</v>
      </c>
      <c r="B1956" s="107">
        <v>138.28</v>
      </c>
      <c r="C1956" s="52"/>
      <c r="D1956" s="52"/>
      <c r="E1956" s="52"/>
      <c r="F1956" s="52"/>
      <c r="G1956" s="52"/>
      <c r="H1956" s="52"/>
    </row>
    <row r="1957" spans="1:8" ht="15.75">
      <c r="A1957" s="106">
        <v>42251</v>
      </c>
      <c r="B1957" s="107">
        <v>138.74</v>
      </c>
      <c r="C1957" s="52"/>
      <c r="D1957" s="52"/>
      <c r="E1957" s="52"/>
      <c r="F1957" s="52"/>
      <c r="G1957" s="52"/>
      <c r="H1957" s="52"/>
    </row>
    <row r="1958" spans="1:8" ht="15.75">
      <c r="A1958" s="106">
        <v>42254</v>
      </c>
      <c r="B1958" s="107">
        <v>138.96</v>
      </c>
      <c r="C1958" s="52"/>
      <c r="D1958" s="52"/>
      <c r="E1958" s="52"/>
      <c r="F1958" s="52"/>
      <c r="G1958" s="52"/>
      <c r="H1958" s="52"/>
    </row>
    <row r="1959" spans="1:8" ht="15.75">
      <c r="A1959" s="106">
        <v>42255</v>
      </c>
      <c r="B1959" s="107">
        <v>138.88999999999999</v>
      </c>
      <c r="C1959" s="52"/>
      <c r="D1959" s="52"/>
      <c r="E1959" s="52"/>
      <c r="F1959" s="52"/>
      <c r="G1959" s="52"/>
      <c r="H1959" s="52"/>
    </row>
    <row r="1960" spans="1:8" ht="15.75">
      <c r="A1960" s="106">
        <v>42256</v>
      </c>
      <c r="B1960" s="107">
        <v>138.87</v>
      </c>
      <c r="C1960" s="52"/>
      <c r="D1960" s="52"/>
      <c r="E1960" s="52"/>
      <c r="F1960" s="52"/>
      <c r="G1960" s="52"/>
      <c r="H1960" s="52"/>
    </row>
    <row r="1961" spans="1:8" ht="15.75">
      <c r="A1961" s="106">
        <v>42257</v>
      </c>
      <c r="B1961" s="107">
        <v>138.87</v>
      </c>
      <c r="C1961" s="52"/>
      <c r="D1961" s="52"/>
      <c r="E1961" s="52"/>
      <c r="F1961" s="52"/>
      <c r="G1961" s="52"/>
      <c r="H1961" s="52"/>
    </row>
    <row r="1962" spans="1:8" ht="15.75">
      <c r="A1962" s="106">
        <v>42258</v>
      </c>
      <c r="B1962" s="107">
        <v>139.38</v>
      </c>
      <c r="C1962" s="52"/>
      <c r="D1962" s="52"/>
      <c r="E1962" s="52"/>
      <c r="F1962" s="52"/>
      <c r="G1962" s="52"/>
      <c r="H1962" s="52"/>
    </row>
    <row r="1963" spans="1:8" ht="15.75">
      <c r="A1963" s="106">
        <v>42261</v>
      </c>
      <c r="B1963" s="107">
        <v>139.55000000000001</v>
      </c>
      <c r="C1963" s="52"/>
      <c r="D1963" s="52"/>
      <c r="E1963" s="52"/>
      <c r="F1963" s="52"/>
      <c r="G1963" s="52"/>
      <c r="H1963" s="52"/>
    </row>
    <row r="1964" spans="1:8" ht="15.75">
      <c r="A1964" s="106">
        <v>42262</v>
      </c>
      <c r="B1964" s="107">
        <v>138.97</v>
      </c>
      <c r="C1964" s="52"/>
      <c r="D1964" s="52"/>
      <c r="E1964" s="52"/>
      <c r="F1964" s="52"/>
      <c r="G1964" s="52"/>
      <c r="H1964" s="52"/>
    </row>
    <row r="1965" spans="1:8" ht="15.75">
      <c r="A1965" s="106">
        <v>42263</v>
      </c>
      <c r="B1965" s="107">
        <v>138.54</v>
      </c>
      <c r="C1965" s="52"/>
      <c r="D1965" s="52"/>
      <c r="E1965" s="52"/>
      <c r="F1965" s="52"/>
      <c r="G1965" s="52"/>
      <c r="H1965" s="52"/>
    </row>
    <row r="1966" spans="1:8" ht="15.75">
      <c r="A1966" s="106">
        <v>42264</v>
      </c>
      <c r="B1966" s="107">
        <v>138.87</v>
      </c>
      <c r="C1966" s="52"/>
      <c r="D1966" s="52"/>
      <c r="E1966" s="52"/>
      <c r="F1966" s="52"/>
      <c r="G1966" s="52"/>
      <c r="H1966" s="52"/>
    </row>
    <row r="1967" spans="1:8" ht="15.75">
      <c r="A1967" s="106">
        <v>42265</v>
      </c>
      <c r="B1967" s="107">
        <v>139.22999999999999</v>
      </c>
      <c r="C1967" s="52"/>
      <c r="D1967" s="52"/>
      <c r="E1967" s="52"/>
      <c r="F1967" s="52"/>
      <c r="G1967" s="52"/>
      <c r="H1967" s="52"/>
    </row>
    <row r="1968" spans="1:8" ht="15.75">
      <c r="A1968" s="106">
        <v>42268</v>
      </c>
      <c r="B1968" s="107">
        <v>138.72999999999999</v>
      </c>
      <c r="C1968" s="52"/>
      <c r="D1968" s="52"/>
      <c r="E1968" s="52"/>
      <c r="F1968" s="52"/>
      <c r="G1968" s="52"/>
      <c r="H1968" s="52"/>
    </row>
    <row r="1969" spans="1:8" ht="15.75">
      <c r="A1969" s="106">
        <v>42269</v>
      </c>
      <c r="B1969" s="107">
        <v>139.01</v>
      </c>
      <c r="C1969" s="52"/>
      <c r="D1969" s="52"/>
      <c r="E1969" s="52"/>
      <c r="F1969" s="52"/>
      <c r="G1969" s="52"/>
      <c r="H1969" s="52"/>
    </row>
    <row r="1970" spans="1:8" ht="15.75">
      <c r="A1970" s="106">
        <v>42270</v>
      </c>
      <c r="B1970" s="107">
        <v>139.66999999999999</v>
      </c>
      <c r="C1970" s="52"/>
      <c r="D1970" s="52"/>
      <c r="E1970" s="52"/>
      <c r="F1970" s="52"/>
      <c r="G1970" s="52"/>
      <c r="H1970" s="52"/>
    </row>
    <row r="1971" spans="1:8" ht="15.75">
      <c r="A1971" s="106">
        <v>42271</v>
      </c>
      <c r="B1971" s="107">
        <v>139.65</v>
      </c>
      <c r="C1971" s="52"/>
      <c r="D1971" s="52"/>
      <c r="E1971" s="52"/>
      <c r="F1971" s="52"/>
      <c r="G1971" s="52"/>
      <c r="H1971" s="52"/>
    </row>
    <row r="1972" spans="1:8" ht="15.75">
      <c r="A1972" s="106">
        <v>42272</v>
      </c>
      <c r="B1972" s="107">
        <v>139.47</v>
      </c>
      <c r="C1972" s="52"/>
      <c r="D1972" s="52"/>
      <c r="E1972" s="52"/>
      <c r="F1972" s="52"/>
      <c r="G1972" s="52"/>
      <c r="H1972" s="52"/>
    </row>
    <row r="1973" spans="1:8" ht="15.75">
      <c r="A1973" s="106">
        <v>42275</v>
      </c>
      <c r="B1973" s="107">
        <v>139.53</v>
      </c>
      <c r="C1973" s="52"/>
      <c r="D1973" s="52"/>
      <c r="E1973" s="52"/>
      <c r="F1973" s="52"/>
      <c r="G1973" s="52"/>
      <c r="H1973" s="52"/>
    </row>
    <row r="1974" spans="1:8" ht="15.75">
      <c r="A1974" s="106">
        <v>42276</v>
      </c>
      <c r="B1974" s="107">
        <v>139.63999999999999</v>
      </c>
      <c r="C1974" s="52"/>
      <c r="D1974" s="52"/>
      <c r="E1974" s="52"/>
      <c r="F1974" s="52"/>
      <c r="G1974" s="52"/>
      <c r="H1974" s="52"/>
    </row>
    <row r="1975" spans="1:8" ht="15.75">
      <c r="A1975" s="106">
        <v>42277</v>
      </c>
      <c r="B1975" s="107">
        <v>139.69</v>
      </c>
      <c r="C1975" s="52"/>
      <c r="D1975" s="52"/>
      <c r="E1975" s="52"/>
      <c r="F1975" s="52"/>
      <c r="G1975" s="52"/>
      <c r="H1975" s="52"/>
    </row>
    <row r="1976" spans="1:8" ht="15.75">
      <c r="A1976" s="106">
        <v>42278</v>
      </c>
      <c r="B1976" s="107">
        <v>139.79</v>
      </c>
      <c r="C1976" s="52"/>
      <c r="D1976" s="52"/>
      <c r="E1976" s="52"/>
      <c r="F1976" s="52"/>
      <c r="G1976" s="52"/>
      <c r="H1976" s="52"/>
    </row>
    <row r="1977" spans="1:8" ht="15.75">
      <c r="A1977" s="106">
        <v>42279</v>
      </c>
      <c r="B1977" s="107">
        <v>139.86000000000001</v>
      </c>
      <c r="C1977" s="52"/>
      <c r="D1977" s="52"/>
      <c r="E1977" s="52"/>
      <c r="F1977" s="52"/>
      <c r="G1977" s="52"/>
      <c r="H1977" s="52"/>
    </row>
    <row r="1978" spans="1:8" ht="15.75">
      <c r="A1978" s="106">
        <v>42282</v>
      </c>
      <c r="B1978" s="107">
        <v>139.96</v>
      </c>
      <c r="C1978" s="52"/>
      <c r="D1978" s="52"/>
      <c r="E1978" s="52"/>
      <c r="F1978" s="52"/>
      <c r="G1978" s="52"/>
      <c r="H1978" s="52"/>
    </row>
    <row r="1979" spans="1:8" ht="15.75">
      <c r="A1979" s="106">
        <v>42283</v>
      </c>
      <c r="B1979" s="107">
        <v>139.72</v>
      </c>
      <c r="C1979" s="52"/>
      <c r="D1979" s="52"/>
      <c r="E1979" s="52"/>
      <c r="F1979" s="52"/>
      <c r="G1979" s="52"/>
      <c r="H1979" s="52"/>
    </row>
    <row r="1980" spans="1:8" ht="15.75">
      <c r="A1980" s="106">
        <v>42284</v>
      </c>
      <c r="B1980" s="107">
        <v>139.56</v>
      </c>
      <c r="C1980" s="52"/>
      <c r="D1980" s="52"/>
      <c r="E1980" s="52"/>
      <c r="F1980" s="52"/>
      <c r="G1980" s="52"/>
      <c r="H1980" s="52"/>
    </row>
    <row r="1981" spans="1:8" ht="15.75">
      <c r="A1981" s="106">
        <v>42285</v>
      </c>
      <c r="B1981" s="107">
        <v>139.84</v>
      </c>
      <c r="C1981" s="52"/>
      <c r="D1981" s="52"/>
      <c r="E1981" s="52"/>
      <c r="F1981" s="52"/>
      <c r="G1981" s="52"/>
      <c r="H1981" s="52"/>
    </row>
    <row r="1982" spans="1:8" ht="15.75">
      <c r="A1982" s="106">
        <v>42286</v>
      </c>
      <c r="B1982" s="107">
        <v>139.66</v>
      </c>
      <c r="C1982" s="52"/>
      <c r="D1982" s="52"/>
      <c r="E1982" s="52"/>
      <c r="F1982" s="52"/>
      <c r="G1982" s="52"/>
      <c r="H1982" s="52"/>
    </row>
    <row r="1983" spans="1:8" ht="15.75">
      <c r="A1983" s="106">
        <v>42289</v>
      </c>
      <c r="B1983" s="107">
        <v>139.57</v>
      </c>
      <c r="C1983" s="52"/>
      <c r="D1983" s="52"/>
      <c r="E1983" s="52"/>
      <c r="F1983" s="52"/>
      <c r="G1983" s="52"/>
      <c r="H1983" s="52"/>
    </row>
    <row r="1984" spans="1:8" ht="15.75">
      <c r="A1984" s="106">
        <v>42290</v>
      </c>
      <c r="B1984" s="107">
        <v>139.84</v>
      </c>
      <c r="C1984" s="52"/>
      <c r="D1984" s="52"/>
      <c r="E1984" s="52"/>
      <c r="F1984" s="52"/>
      <c r="G1984" s="52"/>
      <c r="H1984" s="52"/>
    </row>
    <row r="1985" spans="1:8" ht="15.75">
      <c r="A1985" s="106">
        <v>42291</v>
      </c>
      <c r="B1985" s="107">
        <v>139.84</v>
      </c>
      <c r="C1985" s="52"/>
      <c r="D1985" s="52"/>
      <c r="E1985" s="52"/>
      <c r="F1985" s="52"/>
      <c r="G1985" s="52"/>
      <c r="H1985" s="52"/>
    </row>
    <row r="1986" spans="1:8" ht="15.75">
      <c r="A1986" s="106">
        <v>42292</v>
      </c>
      <c r="B1986" s="107">
        <v>139.94999999999999</v>
      </c>
      <c r="C1986" s="52"/>
      <c r="D1986" s="52"/>
      <c r="E1986" s="52"/>
      <c r="F1986" s="52"/>
      <c r="G1986" s="52"/>
      <c r="H1986" s="52"/>
    </row>
    <row r="1987" spans="1:8" ht="15.75">
      <c r="A1987" s="106">
        <v>42293</v>
      </c>
      <c r="B1987" s="107">
        <v>139.93</v>
      </c>
      <c r="C1987" s="52"/>
      <c r="D1987" s="52"/>
      <c r="E1987" s="52"/>
      <c r="F1987" s="52"/>
      <c r="G1987" s="52"/>
      <c r="H1987" s="52"/>
    </row>
    <row r="1988" spans="1:8" ht="15.75">
      <c r="A1988" s="106">
        <v>42296</v>
      </c>
      <c r="B1988" s="107">
        <v>139.88</v>
      </c>
      <c r="C1988" s="52"/>
      <c r="D1988" s="52"/>
      <c r="E1988" s="52"/>
      <c r="F1988" s="52"/>
      <c r="G1988" s="52"/>
      <c r="H1988" s="52"/>
    </row>
    <row r="1989" spans="1:8" ht="15.75">
      <c r="A1989" s="106">
        <v>42297</v>
      </c>
      <c r="B1989" s="107">
        <v>139.78</v>
      </c>
      <c r="C1989" s="52"/>
      <c r="D1989" s="52"/>
      <c r="E1989" s="52"/>
      <c r="F1989" s="52"/>
      <c r="G1989" s="52"/>
      <c r="H1989" s="52"/>
    </row>
    <row r="1990" spans="1:8" ht="15.75">
      <c r="A1990" s="106">
        <v>42298</v>
      </c>
      <c r="B1990" s="107">
        <v>139.53</v>
      </c>
      <c r="C1990" s="52"/>
      <c r="D1990" s="52"/>
      <c r="E1990" s="52"/>
      <c r="F1990" s="52"/>
      <c r="G1990" s="52"/>
      <c r="H1990" s="52"/>
    </row>
    <row r="1991" spans="1:8" ht="15.75">
      <c r="A1991" s="106">
        <v>42299</v>
      </c>
      <c r="B1991" s="107">
        <v>139.72</v>
      </c>
      <c r="C1991" s="52"/>
      <c r="D1991" s="52"/>
      <c r="E1991" s="52"/>
      <c r="F1991" s="52"/>
      <c r="G1991" s="52"/>
      <c r="H1991" s="52"/>
    </row>
    <row r="1992" spans="1:8" ht="15.75">
      <c r="A1992" s="106">
        <v>42300</v>
      </c>
      <c r="B1992" s="107">
        <v>140.18</v>
      </c>
      <c r="C1992" s="52"/>
      <c r="D1992" s="52"/>
      <c r="E1992" s="52"/>
      <c r="F1992" s="52"/>
      <c r="G1992" s="52"/>
      <c r="H1992" s="52"/>
    </row>
    <row r="1993" spans="1:8" ht="15.75">
      <c r="A1993" s="106">
        <v>42303</v>
      </c>
      <c r="B1993" s="107">
        <v>140.18</v>
      </c>
      <c r="C1993" s="52"/>
      <c r="D1993" s="52"/>
      <c r="E1993" s="52"/>
      <c r="F1993" s="52"/>
      <c r="G1993" s="52"/>
      <c r="H1993" s="52"/>
    </row>
    <row r="1994" spans="1:8" ht="15.75">
      <c r="A1994" s="106">
        <v>42304</v>
      </c>
      <c r="B1994" s="107">
        <v>140.24</v>
      </c>
      <c r="C1994" s="52"/>
      <c r="D1994" s="52"/>
      <c r="E1994" s="52"/>
      <c r="F1994" s="52"/>
      <c r="G1994" s="52"/>
      <c r="H1994" s="52"/>
    </row>
    <row r="1995" spans="1:8" ht="15.75">
      <c r="A1995" s="106">
        <v>42305</v>
      </c>
      <c r="B1995" s="107">
        <v>140.52000000000001</v>
      </c>
      <c r="C1995" s="52"/>
      <c r="D1995" s="52"/>
      <c r="E1995" s="52"/>
      <c r="F1995" s="52"/>
      <c r="G1995" s="52"/>
      <c r="H1995" s="52"/>
    </row>
    <row r="1996" spans="1:8" ht="15.75">
      <c r="A1996" s="106">
        <v>42306</v>
      </c>
      <c r="B1996" s="107">
        <v>140.41</v>
      </c>
      <c r="C1996" s="52"/>
      <c r="D1996" s="52"/>
      <c r="E1996" s="52"/>
      <c r="F1996" s="52"/>
      <c r="G1996" s="52"/>
      <c r="H1996" s="52"/>
    </row>
    <row r="1997" spans="1:8" ht="15.75">
      <c r="A1997" s="106">
        <v>42307</v>
      </c>
      <c r="B1997" s="107">
        <v>140.16999999999999</v>
      </c>
      <c r="C1997" s="52"/>
      <c r="D1997" s="52"/>
      <c r="E1997" s="52"/>
      <c r="F1997" s="52"/>
      <c r="G1997" s="52"/>
      <c r="H1997" s="52"/>
    </row>
    <row r="1998" spans="1:8" ht="15.75">
      <c r="A1998" s="106">
        <v>42310</v>
      </c>
      <c r="B1998" s="107">
        <v>139.87</v>
      </c>
      <c r="C1998" s="52"/>
      <c r="D1998" s="52"/>
      <c r="E1998" s="52"/>
      <c r="F1998" s="52"/>
      <c r="G1998" s="52"/>
      <c r="H1998" s="52"/>
    </row>
    <row r="1999" spans="1:8" ht="15.75">
      <c r="A1999" s="106">
        <v>42311</v>
      </c>
      <c r="B1999" s="107">
        <v>139.94999999999999</v>
      </c>
      <c r="C1999" s="52"/>
      <c r="D1999" s="52"/>
      <c r="E1999" s="52"/>
      <c r="F1999" s="52"/>
      <c r="G1999" s="52"/>
      <c r="H1999" s="52"/>
    </row>
    <row r="2000" spans="1:8" ht="15.75">
      <c r="A2000" s="106">
        <v>42312</v>
      </c>
      <c r="B2000" s="107">
        <v>139.88</v>
      </c>
      <c r="C2000" s="52"/>
      <c r="D2000" s="52"/>
      <c r="E2000" s="52"/>
      <c r="F2000" s="52"/>
      <c r="G2000" s="52"/>
      <c r="H2000" s="52"/>
    </row>
    <row r="2001" spans="1:8" ht="15.75">
      <c r="A2001" s="106">
        <v>42313</v>
      </c>
      <c r="B2001" s="107">
        <v>139.79</v>
      </c>
      <c r="C2001" s="52"/>
      <c r="D2001" s="52"/>
      <c r="E2001" s="52"/>
      <c r="F2001" s="52"/>
      <c r="G2001" s="52"/>
      <c r="H2001" s="52"/>
    </row>
    <row r="2002" spans="1:8" ht="15.75">
      <c r="A2002" s="106">
        <v>42314</v>
      </c>
      <c r="B2002" s="107">
        <v>139.68</v>
      </c>
      <c r="C2002" s="52"/>
      <c r="D2002" s="52"/>
      <c r="E2002" s="52"/>
      <c r="F2002" s="52"/>
      <c r="G2002" s="52"/>
      <c r="H2002" s="52"/>
    </row>
    <row r="2003" spans="1:8" ht="15.75">
      <c r="A2003" s="106">
        <v>42317</v>
      </c>
      <c r="B2003" s="107">
        <v>139.05000000000001</v>
      </c>
      <c r="C2003" s="52"/>
      <c r="D2003" s="52"/>
      <c r="E2003" s="52"/>
      <c r="F2003" s="52"/>
      <c r="G2003" s="52"/>
      <c r="H2003" s="52"/>
    </row>
    <row r="2004" spans="1:8" ht="15.75">
      <c r="A2004" s="106">
        <v>42318</v>
      </c>
      <c r="B2004" s="107">
        <v>139.63999999999999</v>
      </c>
      <c r="C2004" s="52"/>
      <c r="D2004" s="52"/>
      <c r="E2004" s="52"/>
      <c r="F2004" s="52"/>
      <c r="G2004" s="52"/>
      <c r="H2004" s="52"/>
    </row>
    <row r="2005" spans="1:8" ht="15.75">
      <c r="A2005" s="106">
        <v>42319</v>
      </c>
      <c r="B2005" s="107">
        <v>139.62</v>
      </c>
      <c r="C2005" s="52"/>
      <c r="D2005" s="52"/>
      <c r="E2005" s="52"/>
      <c r="F2005" s="52"/>
      <c r="G2005" s="52"/>
      <c r="H2005" s="52"/>
    </row>
    <row r="2006" spans="1:8" ht="15.75">
      <c r="A2006" s="106">
        <v>42320</v>
      </c>
      <c r="B2006" s="107">
        <v>139.76</v>
      </c>
      <c r="C2006" s="52"/>
      <c r="D2006" s="52"/>
      <c r="E2006" s="52"/>
      <c r="F2006" s="52"/>
      <c r="G2006" s="52"/>
      <c r="H2006" s="52"/>
    </row>
    <row r="2007" spans="1:8" ht="15.75">
      <c r="A2007" s="106">
        <v>42321</v>
      </c>
      <c r="B2007" s="107">
        <v>139.79</v>
      </c>
      <c r="C2007" s="52"/>
      <c r="D2007" s="52"/>
      <c r="E2007" s="52"/>
      <c r="F2007" s="52"/>
      <c r="G2007" s="52"/>
      <c r="H2007" s="52"/>
    </row>
    <row r="2008" spans="1:8" ht="15.75">
      <c r="A2008" s="106">
        <v>42324</v>
      </c>
      <c r="B2008" s="107">
        <v>139.97</v>
      </c>
      <c r="C2008" s="52"/>
      <c r="D2008" s="52"/>
      <c r="E2008" s="52"/>
      <c r="F2008" s="52"/>
      <c r="G2008" s="52"/>
      <c r="H2008" s="52"/>
    </row>
    <row r="2009" spans="1:8" ht="15.75">
      <c r="A2009" s="106">
        <v>42325</v>
      </c>
      <c r="B2009" s="107">
        <v>140.11000000000001</v>
      </c>
      <c r="C2009" s="52"/>
      <c r="D2009" s="52"/>
      <c r="E2009" s="52"/>
      <c r="F2009" s="52"/>
      <c r="G2009" s="52"/>
      <c r="H2009" s="52"/>
    </row>
    <row r="2010" spans="1:8" ht="15.75">
      <c r="A2010" s="106">
        <v>42326</v>
      </c>
      <c r="B2010" s="107">
        <v>140.28</v>
      </c>
      <c r="C2010" s="52"/>
      <c r="D2010" s="52"/>
      <c r="E2010" s="52"/>
      <c r="F2010" s="52"/>
      <c r="G2010" s="52"/>
      <c r="H2010" s="52"/>
    </row>
    <row r="2011" spans="1:8" ht="15.75">
      <c r="A2011" s="106">
        <v>42327</v>
      </c>
      <c r="B2011" s="107">
        <v>140.28</v>
      </c>
      <c r="C2011" s="52"/>
      <c r="D2011" s="52"/>
      <c r="E2011" s="52"/>
      <c r="F2011" s="52"/>
      <c r="G2011" s="52"/>
      <c r="H2011" s="52"/>
    </row>
    <row r="2012" spans="1:8" ht="15.75">
      <c r="A2012" s="106">
        <v>42328</v>
      </c>
      <c r="B2012" s="107">
        <v>140.30000000000001</v>
      </c>
      <c r="C2012" s="52"/>
      <c r="D2012" s="52"/>
      <c r="E2012" s="52"/>
      <c r="F2012" s="52"/>
      <c r="G2012" s="52"/>
      <c r="H2012" s="52"/>
    </row>
    <row r="2013" spans="1:8" ht="15.75">
      <c r="A2013" s="106">
        <v>42331</v>
      </c>
      <c r="B2013" s="107">
        <v>140.13999999999999</v>
      </c>
      <c r="C2013" s="52"/>
      <c r="D2013" s="52"/>
      <c r="E2013" s="52"/>
      <c r="F2013" s="52"/>
      <c r="G2013" s="52"/>
      <c r="H2013" s="52"/>
    </row>
    <row r="2014" spans="1:8" ht="15.75">
      <c r="A2014" s="106">
        <v>42332</v>
      </c>
      <c r="B2014" s="107">
        <v>140.32</v>
      </c>
      <c r="C2014" s="52"/>
      <c r="D2014" s="52"/>
      <c r="E2014" s="52"/>
      <c r="F2014" s="52"/>
      <c r="G2014" s="52"/>
      <c r="H2014" s="52"/>
    </row>
    <row r="2015" spans="1:8" ht="15.75">
      <c r="A2015" s="106">
        <v>42333</v>
      </c>
      <c r="B2015" s="107">
        <v>140.36000000000001</v>
      </c>
      <c r="C2015" s="52"/>
      <c r="D2015" s="52"/>
      <c r="E2015" s="52"/>
      <c r="F2015" s="52"/>
      <c r="G2015" s="52"/>
      <c r="H2015" s="52"/>
    </row>
    <row r="2016" spans="1:8" ht="15.75">
      <c r="A2016" s="106">
        <v>42334</v>
      </c>
      <c r="B2016" s="107">
        <v>140.43</v>
      </c>
      <c r="C2016" s="52"/>
      <c r="D2016" s="52"/>
      <c r="E2016" s="52"/>
      <c r="F2016" s="52"/>
      <c r="G2016" s="52"/>
      <c r="H2016" s="52"/>
    </row>
    <row r="2017" spans="1:8" ht="15.75">
      <c r="A2017" s="106">
        <v>42335</v>
      </c>
      <c r="B2017" s="107">
        <v>140.5</v>
      </c>
      <c r="C2017" s="52"/>
      <c r="D2017" s="52"/>
      <c r="E2017" s="52"/>
      <c r="F2017" s="52"/>
      <c r="G2017" s="52"/>
      <c r="H2017" s="52"/>
    </row>
    <row r="2018" spans="1:8" ht="15.75">
      <c r="A2018" s="106">
        <v>42338</v>
      </c>
      <c r="B2018" s="107">
        <v>140.47999999999999</v>
      </c>
      <c r="C2018" s="52"/>
      <c r="D2018" s="52"/>
      <c r="E2018" s="52"/>
      <c r="F2018" s="52"/>
      <c r="G2018" s="52"/>
      <c r="H2018" s="52"/>
    </row>
    <row r="2019" spans="1:8" ht="15.75">
      <c r="A2019" s="106">
        <v>42339</v>
      </c>
      <c r="B2019" s="107">
        <v>140.36000000000001</v>
      </c>
      <c r="C2019" s="52"/>
      <c r="D2019" s="52"/>
      <c r="E2019" s="52"/>
      <c r="F2019" s="52"/>
      <c r="G2019" s="52"/>
      <c r="H2019" s="52"/>
    </row>
    <row r="2020" spans="1:8" ht="15.75">
      <c r="A2020" s="106">
        <v>42340</v>
      </c>
      <c r="B2020" s="107">
        <v>140.69999999999999</v>
      </c>
      <c r="C2020" s="52"/>
      <c r="D2020" s="52"/>
      <c r="E2020" s="52"/>
      <c r="F2020" s="52"/>
      <c r="G2020" s="52"/>
      <c r="H2020" s="52"/>
    </row>
    <row r="2021" spans="1:8" ht="15.75">
      <c r="A2021" s="106">
        <v>42341</v>
      </c>
      <c r="B2021" s="107">
        <v>140.57</v>
      </c>
      <c r="C2021" s="52"/>
      <c r="D2021" s="52"/>
      <c r="E2021" s="52"/>
      <c r="F2021" s="52"/>
      <c r="G2021" s="52"/>
      <c r="H2021" s="52"/>
    </row>
    <row r="2022" spans="1:8" ht="15.75">
      <c r="A2022" s="106">
        <v>42342</v>
      </c>
      <c r="B2022" s="107">
        <v>139.34</v>
      </c>
      <c r="C2022" s="52"/>
      <c r="D2022" s="52"/>
      <c r="E2022" s="52"/>
      <c r="F2022" s="52"/>
      <c r="G2022" s="52"/>
      <c r="H2022" s="52"/>
    </row>
    <row r="2023" spans="1:8" ht="15.75">
      <c r="A2023" s="106">
        <v>42345</v>
      </c>
      <c r="B2023" s="107">
        <v>139.46</v>
      </c>
      <c r="C2023" s="52"/>
      <c r="D2023" s="52"/>
      <c r="E2023" s="52"/>
      <c r="F2023" s="52"/>
      <c r="G2023" s="52"/>
      <c r="H2023" s="52"/>
    </row>
    <row r="2024" spans="1:8" ht="15.75">
      <c r="A2024" s="106">
        <v>42346</v>
      </c>
      <c r="B2024" s="107">
        <v>139.61000000000001</v>
      </c>
      <c r="C2024" s="52"/>
      <c r="D2024" s="52"/>
      <c r="E2024" s="52"/>
      <c r="F2024" s="52"/>
      <c r="G2024" s="52"/>
      <c r="H2024" s="52"/>
    </row>
    <row r="2025" spans="1:8" ht="15.75">
      <c r="A2025" s="106">
        <v>42347</v>
      </c>
      <c r="B2025" s="107">
        <v>139.59</v>
      </c>
      <c r="C2025" s="52"/>
      <c r="D2025" s="52"/>
      <c r="E2025" s="52"/>
      <c r="F2025" s="52"/>
      <c r="G2025" s="52"/>
      <c r="H2025" s="52"/>
    </row>
    <row r="2026" spans="1:8" ht="15.75">
      <c r="A2026" s="106">
        <v>42348</v>
      </c>
      <c r="B2026" s="107">
        <v>139.68</v>
      </c>
      <c r="C2026" s="52"/>
      <c r="D2026" s="52"/>
      <c r="E2026" s="52"/>
      <c r="F2026" s="52"/>
      <c r="G2026" s="52"/>
      <c r="H2026" s="52"/>
    </row>
    <row r="2027" spans="1:8" ht="15.75">
      <c r="A2027" s="106">
        <v>42349</v>
      </c>
      <c r="B2027" s="107">
        <v>139.88999999999999</v>
      </c>
      <c r="C2027" s="52"/>
      <c r="D2027" s="52"/>
      <c r="E2027" s="52"/>
      <c r="F2027" s="52"/>
      <c r="G2027" s="52"/>
      <c r="H2027" s="52"/>
    </row>
    <row r="2028" spans="1:8" ht="15.75">
      <c r="A2028" s="106">
        <v>42352</v>
      </c>
      <c r="B2028" s="107">
        <v>139.91</v>
      </c>
      <c r="C2028" s="52"/>
      <c r="D2028" s="52"/>
      <c r="E2028" s="52"/>
      <c r="F2028" s="52"/>
      <c r="G2028" s="52"/>
      <c r="H2028" s="52"/>
    </row>
    <row r="2029" spans="1:8" ht="15.75">
      <c r="A2029" s="106">
        <v>42353</v>
      </c>
      <c r="B2029" s="107">
        <v>139.56</v>
      </c>
      <c r="C2029" s="52"/>
      <c r="D2029" s="52"/>
      <c r="E2029" s="52"/>
      <c r="F2029" s="52"/>
      <c r="G2029" s="52"/>
      <c r="H2029" s="52"/>
    </row>
    <row r="2030" spans="1:8" ht="15.75">
      <c r="A2030" s="106">
        <v>42354</v>
      </c>
      <c r="B2030" s="107">
        <v>139.57</v>
      </c>
      <c r="C2030" s="52"/>
      <c r="D2030" s="52"/>
      <c r="E2030" s="52"/>
      <c r="F2030" s="52"/>
      <c r="G2030" s="52"/>
      <c r="H2030" s="52"/>
    </row>
    <row r="2031" spans="1:8" ht="15.75">
      <c r="A2031" s="106">
        <v>42355</v>
      </c>
      <c r="B2031" s="107">
        <v>139.77000000000001</v>
      </c>
      <c r="C2031" s="52"/>
      <c r="D2031" s="52"/>
      <c r="E2031" s="52"/>
      <c r="F2031" s="52"/>
      <c r="G2031" s="52"/>
      <c r="H2031" s="52"/>
    </row>
    <row r="2032" spans="1:8" ht="15.75">
      <c r="A2032" s="106">
        <v>42356</v>
      </c>
      <c r="B2032" s="107">
        <v>139.94</v>
      </c>
      <c r="C2032" s="52"/>
      <c r="D2032" s="52"/>
      <c r="E2032" s="52"/>
      <c r="F2032" s="52"/>
      <c r="G2032" s="52"/>
      <c r="H2032" s="52"/>
    </row>
    <row r="2033" spans="1:8" ht="15.75">
      <c r="A2033" s="106">
        <v>42359</v>
      </c>
      <c r="B2033" s="107">
        <v>140.01</v>
      </c>
      <c r="C2033" s="52"/>
      <c r="D2033" s="52"/>
      <c r="E2033" s="52"/>
      <c r="F2033" s="52"/>
      <c r="G2033" s="52"/>
      <c r="H2033" s="52"/>
    </row>
    <row r="2034" spans="1:8" ht="15.75">
      <c r="A2034" s="106">
        <v>42360</v>
      </c>
      <c r="B2034" s="107">
        <v>140.13999999999999</v>
      </c>
      <c r="C2034" s="52"/>
      <c r="D2034" s="52"/>
      <c r="E2034" s="52"/>
      <c r="F2034" s="52"/>
      <c r="G2034" s="52"/>
      <c r="H2034" s="52"/>
    </row>
    <row r="2035" spans="1:8" ht="15.75">
      <c r="A2035" s="106">
        <v>42361</v>
      </c>
      <c r="B2035" s="107">
        <v>139.76</v>
      </c>
      <c r="C2035" s="52"/>
      <c r="D2035" s="52"/>
      <c r="E2035" s="52"/>
      <c r="F2035" s="52"/>
      <c r="G2035" s="52"/>
      <c r="H2035" s="52"/>
    </row>
    <row r="2036" spans="1:8" ht="15.75">
      <c r="A2036" s="106">
        <v>42366</v>
      </c>
      <c r="B2036" s="107">
        <v>139.68</v>
      </c>
      <c r="C2036" s="52"/>
      <c r="D2036" s="52"/>
      <c r="E2036" s="52"/>
      <c r="F2036" s="52"/>
      <c r="G2036" s="52"/>
      <c r="H2036" s="52"/>
    </row>
    <row r="2037" spans="1:8" ht="15.75">
      <c r="A2037" s="106">
        <v>42367</v>
      </c>
      <c r="B2037" s="107">
        <v>139.99</v>
      </c>
      <c r="C2037" s="52"/>
      <c r="D2037" s="52"/>
      <c r="E2037" s="52"/>
      <c r="F2037" s="52"/>
      <c r="G2037" s="52"/>
      <c r="H2037" s="52"/>
    </row>
    <row r="2038" spans="1:8" ht="15.75">
      <c r="A2038" s="106">
        <v>42368</v>
      </c>
      <c r="B2038" s="107">
        <v>139.52000000000001</v>
      </c>
      <c r="C2038" s="52"/>
      <c r="D2038" s="52"/>
      <c r="E2038" s="52"/>
      <c r="F2038" s="52"/>
      <c r="G2038" s="52"/>
      <c r="H2038" s="52"/>
    </row>
    <row r="2039" spans="1:8" ht="15.75">
      <c r="A2039" s="106">
        <v>42373</v>
      </c>
      <c r="B2039" s="107">
        <v>139.76</v>
      </c>
      <c r="C2039" s="52"/>
      <c r="D2039" s="52"/>
      <c r="E2039" s="52"/>
      <c r="F2039" s="52"/>
      <c r="G2039" s="52"/>
      <c r="H2039" s="52"/>
    </row>
    <row r="2040" spans="1:8" ht="15.75">
      <c r="A2040" s="106">
        <v>42374</v>
      </c>
      <c r="B2040" s="107">
        <v>139.94999999999999</v>
      </c>
      <c r="C2040" s="52"/>
      <c r="D2040" s="52"/>
      <c r="E2040" s="52"/>
      <c r="F2040" s="52"/>
      <c r="G2040" s="52"/>
      <c r="H2040" s="52"/>
    </row>
    <row r="2041" spans="1:8" ht="15.75">
      <c r="A2041" s="106">
        <v>42375</v>
      </c>
      <c r="B2041" s="107">
        <v>140.21</v>
      </c>
      <c r="C2041" s="52"/>
      <c r="D2041" s="52"/>
      <c r="E2041" s="52"/>
      <c r="F2041" s="52"/>
      <c r="G2041" s="52"/>
      <c r="H2041" s="52"/>
    </row>
    <row r="2042" spans="1:8" ht="15.75">
      <c r="A2042" s="106">
        <v>42376</v>
      </c>
      <c r="B2042" s="107">
        <v>140.33000000000001</v>
      </c>
      <c r="C2042" s="52"/>
      <c r="D2042" s="52"/>
      <c r="E2042" s="52"/>
      <c r="F2042" s="52"/>
      <c r="G2042" s="52"/>
      <c r="H2042" s="52"/>
    </row>
    <row r="2043" spans="1:8" ht="15.75">
      <c r="A2043" s="106">
        <v>42377</v>
      </c>
      <c r="B2043" s="107">
        <v>140.11000000000001</v>
      </c>
      <c r="C2043" s="52"/>
      <c r="D2043" s="52"/>
      <c r="E2043" s="52"/>
      <c r="F2043" s="52"/>
      <c r="G2043" s="52"/>
      <c r="H2043" s="52"/>
    </row>
    <row r="2044" spans="1:8" ht="15.75">
      <c r="A2044" s="106">
        <v>42380</v>
      </c>
      <c r="B2044" s="107">
        <v>140.18</v>
      </c>
      <c r="C2044" s="52"/>
      <c r="D2044" s="52"/>
      <c r="E2044" s="52"/>
      <c r="F2044" s="52"/>
      <c r="G2044" s="52"/>
      <c r="H2044" s="52"/>
    </row>
    <row r="2045" spans="1:8" ht="15.75">
      <c r="A2045" s="106">
        <v>42381</v>
      </c>
      <c r="B2045" s="107">
        <v>139.88</v>
      </c>
      <c r="C2045" s="52"/>
      <c r="D2045" s="52"/>
      <c r="E2045" s="52"/>
      <c r="F2045" s="52"/>
      <c r="G2045" s="52"/>
      <c r="H2045" s="52"/>
    </row>
    <row r="2046" spans="1:8" ht="15.75">
      <c r="A2046" s="106">
        <v>42382</v>
      </c>
      <c r="B2046" s="107">
        <v>140.07</v>
      </c>
      <c r="C2046" s="52"/>
      <c r="D2046" s="52"/>
      <c r="E2046" s="52"/>
      <c r="F2046" s="52"/>
      <c r="G2046" s="52"/>
      <c r="H2046" s="52"/>
    </row>
    <row r="2047" spans="1:8" ht="15.75">
      <c r="A2047" s="106">
        <v>42383</v>
      </c>
      <c r="B2047" s="107">
        <v>140.30000000000001</v>
      </c>
      <c r="C2047" s="52"/>
      <c r="D2047" s="52"/>
      <c r="E2047" s="52"/>
      <c r="F2047" s="52"/>
      <c r="G2047" s="52"/>
      <c r="H2047" s="52"/>
    </row>
    <row r="2048" spans="1:8" ht="15.75">
      <c r="A2048" s="106">
        <v>42384</v>
      </c>
      <c r="B2048" s="107">
        <v>140.35</v>
      </c>
      <c r="C2048" s="52"/>
      <c r="D2048" s="52"/>
      <c r="E2048" s="52"/>
      <c r="F2048" s="52"/>
      <c r="G2048" s="52"/>
      <c r="H2048" s="52"/>
    </row>
    <row r="2049" spans="1:8" ht="15.75">
      <c r="A2049" s="106">
        <v>42387</v>
      </c>
      <c r="B2049" s="107">
        <v>140.47999999999999</v>
      </c>
      <c r="C2049" s="52"/>
      <c r="D2049" s="52"/>
      <c r="E2049" s="52"/>
      <c r="F2049" s="52"/>
      <c r="G2049" s="52"/>
      <c r="H2049" s="52"/>
    </row>
    <row r="2050" spans="1:8" ht="15.75">
      <c r="A2050" s="106">
        <v>42388</v>
      </c>
      <c r="B2050" s="107">
        <v>140.44999999999999</v>
      </c>
      <c r="C2050" s="52"/>
      <c r="D2050" s="52"/>
      <c r="E2050" s="52"/>
      <c r="F2050" s="52"/>
      <c r="G2050" s="52"/>
      <c r="H2050" s="52"/>
    </row>
    <row r="2051" spans="1:8" ht="15.75">
      <c r="A2051" s="106">
        <v>42389</v>
      </c>
      <c r="B2051" s="107">
        <v>140.75</v>
      </c>
      <c r="C2051" s="52"/>
      <c r="D2051" s="52"/>
      <c r="E2051" s="52"/>
      <c r="F2051" s="52"/>
      <c r="G2051" s="52"/>
      <c r="H2051" s="52"/>
    </row>
    <row r="2052" spans="1:8" ht="15.75">
      <c r="A2052" s="106">
        <v>42390</v>
      </c>
      <c r="B2052" s="107">
        <v>140.85</v>
      </c>
      <c r="C2052" s="52"/>
      <c r="D2052" s="52"/>
      <c r="E2052" s="52"/>
      <c r="F2052" s="52"/>
      <c r="G2052" s="52"/>
      <c r="H2052" s="52"/>
    </row>
    <row r="2053" spans="1:8" ht="15.75">
      <c r="A2053" s="106">
        <v>42391</v>
      </c>
      <c r="B2053" s="107">
        <v>140.97999999999999</v>
      </c>
      <c r="C2053" s="52"/>
      <c r="D2053" s="52"/>
      <c r="E2053" s="52"/>
      <c r="F2053" s="52"/>
      <c r="G2053" s="52"/>
      <c r="H2053" s="52"/>
    </row>
    <row r="2054" spans="1:8" ht="15.75">
      <c r="A2054" s="106">
        <v>42394</v>
      </c>
      <c r="B2054" s="107">
        <v>140.88999999999999</v>
      </c>
      <c r="C2054" s="52"/>
      <c r="D2054" s="52"/>
      <c r="E2054" s="52"/>
      <c r="F2054" s="52"/>
      <c r="G2054" s="52"/>
      <c r="H2054" s="52"/>
    </row>
    <row r="2055" spans="1:8" ht="15.75">
      <c r="A2055" s="106">
        <v>42395</v>
      </c>
      <c r="B2055" s="107">
        <v>141.07</v>
      </c>
      <c r="C2055" s="52"/>
      <c r="D2055" s="52"/>
      <c r="E2055" s="52"/>
      <c r="F2055" s="52"/>
      <c r="G2055" s="52"/>
      <c r="H2055" s="52"/>
    </row>
    <row r="2056" spans="1:8" ht="15.75">
      <c r="A2056" s="106">
        <v>42396</v>
      </c>
      <c r="B2056" s="107">
        <v>141.1</v>
      </c>
      <c r="C2056" s="52"/>
      <c r="D2056" s="52"/>
      <c r="E2056" s="52"/>
      <c r="F2056" s="52"/>
      <c r="G2056" s="52"/>
      <c r="H2056" s="52"/>
    </row>
    <row r="2057" spans="1:8" ht="15.75">
      <c r="A2057" s="106">
        <v>42397</v>
      </c>
      <c r="B2057" s="107">
        <v>141.09</v>
      </c>
      <c r="C2057" s="52"/>
      <c r="D2057" s="52"/>
      <c r="E2057" s="52"/>
      <c r="F2057" s="52"/>
      <c r="G2057" s="52"/>
      <c r="H2057" s="52"/>
    </row>
    <row r="2058" spans="1:8" ht="15.75">
      <c r="A2058" s="106">
        <v>42398</v>
      </c>
      <c r="B2058" s="107">
        <v>141.46</v>
      </c>
      <c r="C2058" s="52"/>
      <c r="D2058" s="52"/>
      <c r="E2058" s="52"/>
      <c r="F2058" s="52"/>
      <c r="G2058" s="52"/>
      <c r="H2058" s="52"/>
    </row>
    <row r="2059" spans="1:8" ht="15.75">
      <c r="A2059" s="106">
        <v>42401</v>
      </c>
      <c r="B2059" s="107">
        <v>141.57</v>
      </c>
      <c r="C2059" s="52"/>
      <c r="D2059" s="52"/>
      <c r="E2059" s="52"/>
      <c r="F2059" s="52"/>
      <c r="G2059" s="52"/>
      <c r="H2059" s="52"/>
    </row>
    <row r="2060" spans="1:8" ht="15.75">
      <c r="A2060" s="106">
        <v>42402</v>
      </c>
      <c r="B2060" s="107">
        <v>141.58000000000001</v>
      </c>
      <c r="C2060" s="52"/>
      <c r="D2060" s="52"/>
      <c r="E2060" s="52"/>
      <c r="F2060" s="52"/>
      <c r="G2060" s="52"/>
      <c r="H2060" s="52"/>
    </row>
    <row r="2061" spans="1:8" ht="15.75">
      <c r="A2061" s="106">
        <v>42403</v>
      </c>
      <c r="B2061" s="107">
        <v>141.66</v>
      </c>
      <c r="C2061" s="52"/>
      <c r="D2061" s="52"/>
      <c r="E2061" s="52"/>
      <c r="F2061" s="52"/>
      <c r="G2061" s="52"/>
      <c r="H2061" s="52"/>
    </row>
    <row r="2062" spans="1:8" ht="15.75">
      <c r="A2062" s="106">
        <v>42404</v>
      </c>
      <c r="B2062" s="107">
        <v>141.61000000000001</v>
      </c>
      <c r="C2062" s="52"/>
      <c r="D2062" s="52"/>
      <c r="E2062" s="52"/>
      <c r="F2062" s="52"/>
      <c r="G2062" s="52"/>
      <c r="H2062" s="52"/>
    </row>
    <row r="2063" spans="1:8" ht="15.75">
      <c r="A2063" s="106">
        <v>42405</v>
      </c>
      <c r="B2063" s="107">
        <v>141.72</v>
      </c>
      <c r="C2063" s="52"/>
      <c r="D2063" s="52"/>
      <c r="E2063" s="52"/>
      <c r="F2063" s="52"/>
      <c r="G2063" s="52"/>
      <c r="H2063" s="52"/>
    </row>
    <row r="2064" spans="1:8" ht="15.75">
      <c r="A2064" s="106">
        <v>42408</v>
      </c>
      <c r="B2064" s="107">
        <v>141.99</v>
      </c>
      <c r="C2064" s="52"/>
      <c r="D2064" s="52"/>
      <c r="E2064" s="52"/>
      <c r="F2064" s="52"/>
      <c r="G2064" s="52"/>
      <c r="H2064" s="52"/>
    </row>
    <row r="2065" spans="1:8" ht="15.75">
      <c r="A2065" s="106">
        <v>42409</v>
      </c>
      <c r="B2065" s="107">
        <v>142.05000000000001</v>
      </c>
      <c r="C2065" s="52"/>
      <c r="D2065" s="52"/>
      <c r="E2065" s="52"/>
      <c r="F2065" s="52"/>
      <c r="G2065" s="52"/>
      <c r="H2065" s="52"/>
    </row>
    <row r="2066" spans="1:8" ht="15.75">
      <c r="A2066" s="106">
        <v>42410</v>
      </c>
      <c r="B2066" s="107">
        <v>141.91</v>
      </c>
      <c r="C2066" s="52"/>
      <c r="D2066" s="52"/>
      <c r="E2066" s="52"/>
      <c r="F2066" s="52"/>
      <c r="G2066" s="52"/>
      <c r="H2066" s="52"/>
    </row>
    <row r="2067" spans="1:8" ht="15.75">
      <c r="A2067" s="106">
        <v>42411</v>
      </c>
      <c r="B2067" s="107">
        <v>142.38</v>
      </c>
      <c r="C2067" s="52"/>
      <c r="D2067" s="52"/>
      <c r="E2067" s="52"/>
      <c r="F2067" s="52"/>
      <c r="G2067" s="52"/>
      <c r="H2067" s="52"/>
    </row>
    <row r="2068" spans="1:8" ht="15.75">
      <c r="A2068" s="106">
        <v>42412</v>
      </c>
      <c r="B2068" s="107">
        <v>142.27000000000001</v>
      </c>
      <c r="C2068" s="52"/>
      <c r="D2068" s="52"/>
      <c r="E2068" s="52"/>
      <c r="F2068" s="52"/>
      <c r="G2068" s="52"/>
      <c r="H2068" s="52"/>
    </row>
    <row r="2069" spans="1:8" ht="15.75">
      <c r="A2069" s="106">
        <v>42415</v>
      </c>
      <c r="B2069" s="107">
        <v>142.01</v>
      </c>
      <c r="C2069" s="52"/>
      <c r="D2069" s="52"/>
      <c r="E2069" s="52"/>
      <c r="F2069" s="52"/>
      <c r="G2069" s="52"/>
      <c r="H2069" s="52"/>
    </row>
    <row r="2070" spans="1:8" ht="15.75">
      <c r="A2070" s="106">
        <v>42416</v>
      </c>
      <c r="B2070" s="107">
        <v>142.11000000000001</v>
      </c>
      <c r="C2070" s="52"/>
      <c r="D2070" s="52"/>
      <c r="E2070" s="52"/>
      <c r="F2070" s="52"/>
      <c r="G2070" s="52"/>
      <c r="H2070" s="52"/>
    </row>
    <row r="2071" spans="1:8" ht="15.75">
      <c r="A2071" s="106">
        <v>42417</v>
      </c>
      <c r="B2071" s="107">
        <v>141.97999999999999</v>
      </c>
      <c r="C2071" s="52"/>
      <c r="D2071" s="52"/>
      <c r="E2071" s="52"/>
      <c r="F2071" s="52"/>
      <c r="G2071" s="52"/>
      <c r="H2071" s="52"/>
    </row>
    <row r="2072" spans="1:8" ht="15.75">
      <c r="A2072" s="106">
        <v>42418</v>
      </c>
      <c r="B2072" s="107">
        <v>141.94999999999999</v>
      </c>
      <c r="C2072" s="52"/>
      <c r="D2072" s="52"/>
      <c r="E2072" s="52"/>
      <c r="F2072" s="52"/>
      <c r="G2072" s="52"/>
      <c r="H2072" s="52"/>
    </row>
    <row r="2073" spans="1:8" ht="15.75">
      <c r="A2073" s="106">
        <v>42419</v>
      </c>
      <c r="B2073" s="107">
        <v>142.22</v>
      </c>
      <c r="C2073" s="52"/>
      <c r="D2073" s="52"/>
      <c r="E2073" s="52"/>
      <c r="F2073" s="52"/>
      <c r="G2073" s="52"/>
      <c r="H2073" s="52"/>
    </row>
    <row r="2074" spans="1:8" ht="15.75">
      <c r="A2074" s="106">
        <v>42422</v>
      </c>
      <c r="B2074" s="107">
        <v>142.19999999999999</v>
      </c>
      <c r="C2074" s="52"/>
      <c r="D2074" s="52"/>
      <c r="E2074" s="52"/>
      <c r="F2074" s="52"/>
      <c r="G2074" s="52"/>
      <c r="H2074" s="52"/>
    </row>
    <row r="2075" spans="1:8" ht="15.75">
      <c r="A2075" s="106">
        <v>42423</v>
      </c>
      <c r="B2075" s="107">
        <v>142.26</v>
      </c>
      <c r="C2075" s="52"/>
      <c r="D2075" s="52"/>
      <c r="E2075" s="52"/>
      <c r="F2075" s="52"/>
      <c r="G2075" s="52"/>
      <c r="H2075" s="52"/>
    </row>
    <row r="2076" spans="1:8" ht="15.75">
      <c r="A2076" s="106">
        <v>42424</v>
      </c>
      <c r="B2076" s="107">
        <v>142.46</v>
      </c>
      <c r="C2076" s="52"/>
      <c r="D2076" s="52"/>
      <c r="E2076" s="52"/>
      <c r="F2076" s="52"/>
      <c r="G2076" s="52"/>
      <c r="H2076" s="52"/>
    </row>
    <row r="2077" spans="1:8" ht="15.75">
      <c r="A2077" s="106">
        <v>42425</v>
      </c>
      <c r="B2077" s="107">
        <v>142.30000000000001</v>
      </c>
      <c r="C2077" s="52"/>
      <c r="D2077" s="52"/>
      <c r="E2077" s="52"/>
      <c r="F2077" s="52"/>
      <c r="G2077" s="52"/>
      <c r="H2077" s="52"/>
    </row>
    <row r="2078" spans="1:8" ht="15.75">
      <c r="A2078" s="106">
        <v>42426</v>
      </c>
      <c r="B2078" s="107">
        <v>142.28</v>
      </c>
      <c r="C2078" s="52"/>
      <c r="D2078" s="52"/>
      <c r="E2078" s="52"/>
      <c r="F2078" s="52"/>
      <c r="G2078" s="52"/>
      <c r="H2078" s="52"/>
    </row>
    <row r="2079" spans="1:8" ht="15.75">
      <c r="A2079" s="106">
        <v>42429</v>
      </c>
      <c r="B2079" s="107">
        <v>142.47999999999999</v>
      </c>
      <c r="C2079" s="52"/>
      <c r="D2079" s="52"/>
      <c r="E2079" s="52"/>
      <c r="F2079" s="52"/>
      <c r="G2079" s="52"/>
      <c r="H2079" s="52"/>
    </row>
    <row r="2080" spans="1:8" ht="15.75">
      <c r="A2080" s="106">
        <v>42430</v>
      </c>
      <c r="B2080" s="107">
        <v>142.49</v>
      </c>
      <c r="C2080" s="52"/>
      <c r="D2080" s="52"/>
      <c r="E2080" s="52"/>
      <c r="F2080" s="52"/>
      <c r="G2080" s="52"/>
      <c r="H2080" s="52"/>
    </row>
    <row r="2081" spans="1:8" ht="15.75">
      <c r="A2081" s="106">
        <v>42431</v>
      </c>
      <c r="B2081" s="107">
        <v>142.01</v>
      </c>
      <c r="C2081" s="52"/>
      <c r="D2081" s="52"/>
      <c r="E2081" s="52"/>
      <c r="F2081" s="52"/>
      <c r="G2081" s="52"/>
      <c r="H2081" s="52"/>
    </row>
    <row r="2082" spans="1:8" ht="15.75">
      <c r="A2082" s="106">
        <v>42432</v>
      </c>
      <c r="B2082" s="107">
        <v>142.09</v>
      </c>
      <c r="C2082" s="52"/>
      <c r="D2082" s="52"/>
      <c r="E2082" s="52"/>
      <c r="F2082" s="52"/>
      <c r="G2082" s="52"/>
      <c r="H2082" s="52"/>
    </row>
    <row r="2083" spans="1:8" ht="15.75">
      <c r="A2083" s="106">
        <v>42433</v>
      </c>
      <c r="B2083" s="107">
        <v>142.13999999999999</v>
      </c>
      <c r="C2083" s="52"/>
      <c r="D2083" s="52"/>
      <c r="E2083" s="52"/>
      <c r="F2083" s="52"/>
      <c r="G2083" s="52"/>
      <c r="H2083" s="52"/>
    </row>
    <row r="2084" spans="1:8" ht="15.75">
      <c r="A2084" s="106">
        <v>42436</v>
      </c>
      <c r="B2084" s="107">
        <v>142.04</v>
      </c>
      <c r="C2084" s="52"/>
      <c r="D2084" s="52"/>
      <c r="E2084" s="52"/>
      <c r="F2084" s="52"/>
      <c r="G2084" s="52"/>
      <c r="H2084" s="52"/>
    </row>
    <row r="2085" spans="1:8" ht="15.75">
      <c r="A2085" s="106">
        <v>42437</v>
      </c>
      <c r="B2085" s="107">
        <v>142.25</v>
      </c>
      <c r="C2085" s="52"/>
      <c r="D2085" s="52"/>
      <c r="E2085" s="52"/>
      <c r="F2085" s="52"/>
      <c r="G2085" s="52"/>
      <c r="H2085" s="52"/>
    </row>
    <row r="2086" spans="1:8" ht="15.75">
      <c r="A2086" s="106">
        <v>42438</v>
      </c>
      <c r="B2086" s="107">
        <v>142.08000000000001</v>
      </c>
      <c r="C2086" s="52"/>
      <c r="D2086" s="52"/>
      <c r="E2086" s="52"/>
      <c r="F2086" s="52"/>
      <c r="G2086" s="52"/>
      <c r="H2086" s="52"/>
    </row>
    <row r="2087" spans="1:8" ht="15.75">
      <c r="A2087" s="106">
        <v>42439</v>
      </c>
      <c r="B2087" s="107">
        <v>141.91999999999999</v>
      </c>
      <c r="C2087" s="52"/>
      <c r="D2087" s="52"/>
      <c r="E2087" s="52"/>
      <c r="F2087" s="52"/>
      <c r="G2087" s="52"/>
      <c r="H2087" s="52"/>
    </row>
    <row r="2088" spans="1:8" ht="15.75">
      <c r="A2088" s="106">
        <v>42440</v>
      </c>
      <c r="B2088" s="107">
        <v>141.35</v>
      </c>
      <c r="C2088" s="52"/>
      <c r="D2088" s="52"/>
      <c r="E2088" s="52"/>
      <c r="F2088" s="52"/>
      <c r="G2088" s="52"/>
      <c r="H2088" s="52"/>
    </row>
    <row r="2089" spans="1:8" ht="15.75">
      <c r="A2089" s="106">
        <v>42443</v>
      </c>
      <c r="B2089" s="107">
        <v>141.71</v>
      </c>
      <c r="C2089" s="52"/>
      <c r="D2089" s="52"/>
      <c r="E2089" s="52"/>
      <c r="F2089" s="52"/>
      <c r="G2089" s="52"/>
      <c r="H2089" s="52"/>
    </row>
    <row r="2090" spans="1:8" ht="15.75">
      <c r="A2090" s="106">
        <v>42444</v>
      </c>
      <c r="B2090" s="107">
        <v>141.4</v>
      </c>
      <c r="C2090" s="52"/>
      <c r="D2090" s="52"/>
      <c r="E2090" s="52"/>
      <c r="F2090" s="52"/>
      <c r="G2090" s="52"/>
      <c r="H2090" s="52"/>
    </row>
    <row r="2091" spans="1:8" ht="15.75">
      <c r="A2091" s="106">
        <v>42445</v>
      </c>
      <c r="B2091" s="107">
        <v>141.38</v>
      </c>
      <c r="C2091" s="52"/>
      <c r="D2091" s="52"/>
      <c r="E2091" s="52"/>
      <c r="F2091" s="52"/>
      <c r="G2091" s="52"/>
      <c r="H2091" s="52"/>
    </row>
    <row r="2092" spans="1:8" ht="15.75">
      <c r="A2092" s="106">
        <v>42446</v>
      </c>
      <c r="B2092" s="107">
        <v>141.54</v>
      </c>
      <c r="C2092" s="52"/>
      <c r="D2092" s="52"/>
      <c r="E2092" s="52"/>
      <c r="F2092" s="52"/>
      <c r="G2092" s="52"/>
      <c r="H2092" s="52"/>
    </row>
    <row r="2093" spans="1:8" ht="15.75">
      <c r="A2093" s="106">
        <v>42447</v>
      </c>
      <c r="B2093" s="107">
        <v>141.94</v>
      </c>
      <c r="C2093" s="52"/>
      <c r="D2093" s="52"/>
      <c r="E2093" s="52"/>
      <c r="F2093" s="52"/>
      <c r="G2093" s="52"/>
      <c r="H2093" s="52"/>
    </row>
    <row r="2094" spans="1:8" ht="15.75">
      <c r="A2094" s="106">
        <v>42450</v>
      </c>
      <c r="B2094" s="107">
        <v>142.06</v>
      </c>
      <c r="C2094" s="52"/>
      <c r="D2094" s="52"/>
      <c r="E2094" s="52"/>
      <c r="F2094" s="52"/>
      <c r="G2094" s="52"/>
      <c r="H2094" s="52"/>
    </row>
    <row r="2095" spans="1:8" ht="15.75">
      <c r="A2095" s="106">
        <v>42451</v>
      </c>
      <c r="B2095" s="107">
        <v>141.99</v>
      </c>
      <c r="C2095" s="52"/>
      <c r="D2095" s="52"/>
      <c r="E2095" s="52"/>
      <c r="F2095" s="52"/>
      <c r="G2095" s="52"/>
      <c r="H2095" s="52"/>
    </row>
    <row r="2096" spans="1:8" ht="15.75">
      <c r="A2096" s="106">
        <v>42452</v>
      </c>
      <c r="B2096" s="107">
        <v>141.80000000000001</v>
      </c>
      <c r="C2096" s="52"/>
      <c r="D2096" s="52"/>
      <c r="E2096" s="52"/>
      <c r="F2096" s="52"/>
      <c r="G2096" s="52"/>
      <c r="H2096" s="52"/>
    </row>
    <row r="2097" spans="1:8" ht="15.75">
      <c r="A2097" s="106">
        <v>42453</v>
      </c>
      <c r="B2097" s="107">
        <v>142.1</v>
      </c>
      <c r="C2097" s="52"/>
      <c r="D2097" s="52"/>
      <c r="E2097" s="52"/>
      <c r="F2097" s="52"/>
      <c r="G2097" s="52"/>
      <c r="H2097" s="52"/>
    </row>
    <row r="2098" spans="1:8" ht="15.75">
      <c r="A2098" s="106">
        <v>42458</v>
      </c>
      <c r="B2098" s="107">
        <v>142.19</v>
      </c>
      <c r="C2098" s="52"/>
      <c r="D2098" s="52"/>
      <c r="E2098" s="52"/>
      <c r="F2098" s="52"/>
      <c r="G2098" s="52"/>
      <c r="H2098" s="52"/>
    </row>
    <row r="2099" spans="1:8" ht="15.75">
      <c r="A2099" s="106">
        <v>42459</v>
      </c>
      <c r="B2099" s="107">
        <v>142.22999999999999</v>
      </c>
      <c r="C2099" s="52"/>
      <c r="D2099" s="52"/>
      <c r="E2099" s="52"/>
      <c r="F2099" s="52"/>
      <c r="G2099" s="52"/>
      <c r="H2099" s="52"/>
    </row>
    <row r="2100" spans="1:8" ht="15.75">
      <c r="A2100" s="106">
        <v>42460</v>
      </c>
      <c r="B2100" s="107">
        <v>142.21</v>
      </c>
      <c r="C2100" s="52"/>
      <c r="D2100" s="52"/>
      <c r="E2100" s="52"/>
      <c r="F2100" s="52"/>
      <c r="G2100" s="52"/>
      <c r="H2100" s="52"/>
    </row>
    <row r="2101" spans="1:8" ht="15.75">
      <c r="A2101" s="106">
        <v>42461</v>
      </c>
      <c r="B2101" s="107">
        <v>142.12</v>
      </c>
      <c r="C2101" s="52"/>
      <c r="D2101" s="52"/>
      <c r="E2101" s="52"/>
      <c r="F2101" s="52"/>
      <c r="G2101" s="52"/>
      <c r="H2101" s="52"/>
    </row>
    <row r="2102" spans="1:8" ht="15.75">
      <c r="A2102" s="106">
        <v>42464</v>
      </c>
      <c r="B2102" s="107">
        <v>142.22</v>
      </c>
      <c r="C2102" s="52"/>
      <c r="D2102" s="52"/>
      <c r="E2102" s="52"/>
      <c r="F2102" s="52"/>
      <c r="G2102" s="52"/>
      <c r="H2102" s="52"/>
    </row>
    <row r="2103" spans="1:8" ht="15.75">
      <c r="A2103" s="106">
        <v>42465</v>
      </c>
      <c r="B2103" s="107">
        <v>142.44</v>
      </c>
      <c r="C2103" s="52"/>
      <c r="D2103" s="52"/>
      <c r="E2103" s="52"/>
      <c r="F2103" s="52"/>
      <c r="G2103" s="52"/>
      <c r="H2103" s="52"/>
    </row>
    <row r="2104" spans="1:8" ht="15.75">
      <c r="A2104" s="106">
        <v>42466</v>
      </c>
      <c r="B2104" s="107">
        <v>142.28</v>
      </c>
      <c r="C2104" s="52"/>
      <c r="D2104" s="52"/>
      <c r="E2104" s="52"/>
      <c r="F2104" s="52"/>
      <c r="G2104" s="52"/>
      <c r="H2104" s="52"/>
    </row>
    <row r="2105" spans="1:8" ht="15.75">
      <c r="A2105" s="106">
        <v>42467</v>
      </c>
      <c r="B2105" s="107">
        <v>142.43</v>
      </c>
      <c r="C2105" s="52"/>
      <c r="D2105" s="52"/>
      <c r="E2105" s="52"/>
      <c r="F2105" s="52"/>
      <c r="G2105" s="52"/>
      <c r="H2105" s="52"/>
    </row>
    <row r="2106" spans="1:8" ht="15.75">
      <c r="A2106" s="106">
        <v>42468</v>
      </c>
      <c r="B2106" s="107">
        <v>142.52000000000001</v>
      </c>
      <c r="C2106" s="52"/>
      <c r="D2106" s="52"/>
      <c r="E2106" s="52"/>
      <c r="F2106" s="52"/>
      <c r="G2106" s="52"/>
      <c r="H2106" s="52"/>
    </row>
    <row r="2107" spans="1:8" ht="15.75">
      <c r="A2107" s="106">
        <v>42471</v>
      </c>
      <c r="B2107" s="107">
        <v>142.61000000000001</v>
      </c>
      <c r="C2107" s="52"/>
      <c r="D2107" s="52"/>
      <c r="E2107" s="52"/>
      <c r="F2107" s="52"/>
      <c r="G2107" s="52"/>
      <c r="H2107" s="52"/>
    </row>
    <row r="2108" spans="1:8" ht="15.75">
      <c r="A2108" s="106">
        <v>42472</v>
      </c>
      <c r="B2108" s="107">
        <v>142.35</v>
      </c>
      <c r="C2108" s="52"/>
      <c r="D2108" s="52"/>
      <c r="E2108" s="52"/>
      <c r="F2108" s="52"/>
      <c r="G2108" s="52"/>
      <c r="H2108" s="52"/>
    </row>
    <row r="2109" spans="1:8" ht="15.75">
      <c r="A2109" s="106">
        <v>42473</v>
      </c>
      <c r="B2109" s="107">
        <v>142.34</v>
      </c>
      <c r="C2109" s="52"/>
      <c r="D2109" s="52"/>
      <c r="E2109" s="52"/>
      <c r="F2109" s="52"/>
      <c r="G2109" s="52"/>
      <c r="H2109" s="52"/>
    </row>
    <row r="2110" spans="1:8" ht="15.75">
      <c r="A2110" s="106">
        <v>42474</v>
      </c>
      <c r="B2110" s="107">
        <v>142.30000000000001</v>
      </c>
      <c r="C2110" s="52"/>
      <c r="D2110" s="52"/>
      <c r="E2110" s="52"/>
      <c r="F2110" s="52"/>
      <c r="G2110" s="52"/>
      <c r="H2110" s="52"/>
    </row>
    <row r="2111" spans="1:8" ht="15.75">
      <c r="A2111" s="106">
        <v>42475</v>
      </c>
      <c r="B2111" s="107">
        <v>142.35</v>
      </c>
      <c r="C2111" s="52"/>
      <c r="D2111" s="52"/>
      <c r="E2111" s="52"/>
      <c r="F2111" s="52"/>
      <c r="G2111" s="52"/>
      <c r="H2111" s="52"/>
    </row>
    <row r="2112" spans="1:8" ht="15.75">
      <c r="A2112" s="106">
        <v>42478</v>
      </c>
      <c r="B2112" s="107">
        <v>142.46</v>
      </c>
      <c r="C2112" s="52"/>
      <c r="D2112" s="52"/>
      <c r="E2112" s="52"/>
      <c r="F2112" s="52"/>
      <c r="G2112" s="52"/>
      <c r="H2112" s="52"/>
    </row>
    <row r="2113" spans="1:8" ht="15.75">
      <c r="A2113" s="106">
        <v>42479</v>
      </c>
      <c r="B2113" s="107">
        <v>142.22999999999999</v>
      </c>
      <c r="C2113" s="52"/>
      <c r="D2113" s="52"/>
      <c r="E2113" s="52"/>
      <c r="F2113" s="52"/>
      <c r="G2113" s="52"/>
      <c r="H2113" s="52"/>
    </row>
    <row r="2114" spans="1:8" ht="15.75">
      <c r="A2114" s="106">
        <v>42480</v>
      </c>
      <c r="B2114" s="107">
        <v>142.41999999999999</v>
      </c>
      <c r="C2114" s="52"/>
      <c r="D2114" s="52"/>
      <c r="E2114" s="52"/>
      <c r="F2114" s="52"/>
      <c r="G2114" s="52"/>
      <c r="H2114" s="52"/>
    </row>
    <row r="2115" spans="1:8" ht="15.75">
      <c r="A2115" s="106">
        <v>42481</v>
      </c>
      <c r="B2115" s="107">
        <v>142.03</v>
      </c>
      <c r="C2115" s="52"/>
      <c r="D2115" s="52"/>
      <c r="E2115" s="52"/>
      <c r="F2115" s="52"/>
      <c r="G2115" s="52"/>
      <c r="H2115" s="52"/>
    </row>
    <row r="2116" spans="1:8" ht="15.75">
      <c r="A2116" s="106">
        <v>42482</v>
      </c>
      <c r="B2116" s="107">
        <v>141.97</v>
      </c>
      <c r="C2116" s="52"/>
      <c r="D2116" s="52"/>
      <c r="E2116" s="52"/>
      <c r="F2116" s="52"/>
      <c r="G2116" s="52"/>
      <c r="H2116" s="52"/>
    </row>
    <row r="2117" spans="1:8" ht="15.75">
      <c r="A2117" s="106">
        <v>42485</v>
      </c>
      <c r="B2117" s="107">
        <v>142.06</v>
      </c>
      <c r="C2117" s="52"/>
      <c r="D2117" s="52"/>
      <c r="E2117" s="52"/>
      <c r="F2117" s="52"/>
      <c r="G2117" s="52"/>
      <c r="H2117" s="52"/>
    </row>
    <row r="2118" spans="1:8" ht="15.75">
      <c r="A2118" s="106">
        <v>42486</v>
      </c>
      <c r="B2118" s="107">
        <v>141.77000000000001</v>
      </c>
      <c r="C2118" s="52"/>
      <c r="D2118" s="52"/>
      <c r="E2118" s="52"/>
      <c r="F2118" s="52"/>
      <c r="G2118" s="52"/>
      <c r="H2118" s="52"/>
    </row>
    <row r="2119" spans="1:8" ht="15.75">
      <c r="A2119" s="106">
        <v>42487</v>
      </c>
      <c r="B2119" s="107">
        <v>141.59</v>
      </c>
      <c r="C2119" s="52"/>
      <c r="D2119" s="52"/>
      <c r="E2119" s="52"/>
      <c r="F2119" s="52"/>
      <c r="G2119" s="52"/>
      <c r="H2119" s="52"/>
    </row>
    <row r="2120" spans="1:8" ht="15.75">
      <c r="A2120" s="106">
        <v>42488</v>
      </c>
      <c r="B2120" s="107">
        <v>142.03</v>
      </c>
      <c r="C2120" s="52"/>
      <c r="D2120" s="52"/>
      <c r="E2120" s="52"/>
      <c r="F2120" s="52"/>
      <c r="G2120" s="52"/>
      <c r="H2120" s="52"/>
    </row>
    <row r="2121" spans="1:8" ht="15.75">
      <c r="A2121" s="106">
        <v>42489</v>
      </c>
      <c r="B2121" s="107">
        <v>141.88999999999999</v>
      </c>
      <c r="C2121" s="52"/>
      <c r="D2121" s="52"/>
      <c r="E2121" s="52"/>
      <c r="F2121" s="52"/>
      <c r="G2121" s="52"/>
      <c r="H2121" s="52"/>
    </row>
    <row r="2122" spans="1:8" ht="15.75">
      <c r="A2122" s="106">
        <v>42492</v>
      </c>
      <c r="B2122" s="107">
        <v>141.78</v>
      </c>
      <c r="C2122" s="52"/>
      <c r="D2122" s="52"/>
      <c r="E2122" s="52"/>
      <c r="F2122" s="52"/>
      <c r="G2122" s="52"/>
      <c r="H2122" s="52"/>
    </row>
    <row r="2123" spans="1:8" ht="15.75">
      <c r="A2123" s="106">
        <v>42493</v>
      </c>
      <c r="B2123" s="107">
        <v>141.88</v>
      </c>
      <c r="C2123" s="52"/>
      <c r="D2123" s="52"/>
      <c r="E2123" s="52"/>
      <c r="F2123" s="52"/>
      <c r="G2123" s="52"/>
      <c r="H2123" s="52"/>
    </row>
    <row r="2124" spans="1:8" ht="15.75">
      <c r="A2124" s="106">
        <v>42494</v>
      </c>
      <c r="B2124" s="107">
        <v>142.05000000000001</v>
      </c>
      <c r="C2124" s="52"/>
      <c r="D2124" s="52"/>
      <c r="E2124" s="52"/>
      <c r="F2124" s="52"/>
      <c r="G2124" s="52"/>
      <c r="H2124" s="52"/>
    </row>
    <row r="2125" spans="1:8" ht="15.75">
      <c r="A2125" s="106">
        <v>42495</v>
      </c>
      <c r="B2125" s="107">
        <v>142.03</v>
      </c>
      <c r="C2125" s="52"/>
      <c r="D2125" s="52"/>
      <c r="E2125" s="52"/>
      <c r="F2125" s="52"/>
      <c r="G2125" s="52"/>
      <c r="H2125" s="52"/>
    </row>
    <row r="2126" spans="1:8" ht="15.75">
      <c r="A2126" s="106">
        <v>42496</v>
      </c>
      <c r="B2126" s="107">
        <v>142.37</v>
      </c>
      <c r="C2126" s="52"/>
      <c r="D2126" s="52"/>
      <c r="E2126" s="52"/>
      <c r="F2126" s="52"/>
      <c r="G2126" s="52"/>
      <c r="H2126" s="52"/>
    </row>
    <row r="2127" spans="1:8" ht="15.75">
      <c r="A2127" s="106">
        <v>42499</v>
      </c>
      <c r="B2127" s="107">
        <v>142.37</v>
      </c>
      <c r="C2127" s="52"/>
      <c r="D2127" s="52"/>
      <c r="E2127" s="52"/>
      <c r="F2127" s="52"/>
      <c r="G2127" s="52"/>
      <c r="H2127" s="52"/>
    </row>
    <row r="2128" spans="1:8" ht="15.75">
      <c r="A2128" s="106">
        <v>42500</v>
      </c>
      <c r="B2128" s="107">
        <v>142.47</v>
      </c>
      <c r="C2128" s="52"/>
      <c r="D2128" s="52"/>
      <c r="E2128" s="52"/>
      <c r="F2128" s="52"/>
      <c r="G2128" s="52"/>
      <c r="H2128" s="52"/>
    </row>
    <row r="2129" spans="1:8" ht="15.75">
      <c r="A2129" s="106">
        <v>42501</v>
      </c>
      <c r="B2129" s="107">
        <v>142.58000000000001</v>
      </c>
      <c r="C2129" s="52"/>
      <c r="D2129" s="52"/>
      <c r="E2129" s="52"/>
      <c r="F2129" s="52"/>
      <c r="G2129" s="52"/>
      <c r="H2129" s="52"/>
    </row>
    <row r="2130" spans="1:8" ht="15.75">
      <c r="A2130" s="106">
        <v>42502</v>
      </c>
      <c r="B2130" s="107">
        <v>142.43</v>
      </c>
      <c r="C2130" s="52"/>
      <c r="D2130" s="52"/>
      <c r="E2130" s="52"/>
      <c r="F2130" s="52"/>
      <c r="G2130" s="52"/>
      <c r="H2130" s="52"/>
    </row>
    <row r="2131" spans="1:8" ht="15.75">
      <c r="A2131" s="106">
        <v>42503</v>
      </c>
      <c r="B2131" s="107">
        <v>142.49</v>
      </c>
      <c r="C2131" s="52"/>
      <c r="D2131" s="52"/>
      <c r="E2131" s="52"/>
      <c r="F2131" s="52"/>
      <c r="G2131" s="52"/>
      <c r="H2131" s="52"/>
    </row>
    <row r="2132" spans="1:8" ht="15.75">
      <c r="A2132" s="106">
        <v>42507</v>
      </c>
      <c r="B2132" s="107">
        <v>142.30000000000001</v>
      </c>
      <c r="C2132" s="52"/>
      <c r="D2132" s="52"/>
      <c r="E2132" s="52"/>
      <c r="F2132" s="52"/>
      <c r="G2132" s="52"/>
      <c r="H2132" s="52"/>
    </row>
    <row r="2133" spans="1:8" ht="15.75">
      <c r="A2133" s="106">
        <v>42508</v>
      </c>
      <c r="B2133" s="107">
        <v>142.4</v>
      </c>
      <c r="C2133" s="52"/>
      <c r="D2133" s="52"/>
      <c r="E2133" s="52"/>
      <c r="F2133" s="52"/>
      <c r="G2133" s="52"/>
      <c r="H2133" s="52"/>
    </row>
    <row r="2134" spans="1:8" ht="15.75">
      <c r="A2134" s="106">
        <v>42509</v>
      </c>
      <c r="B2134" s="107">
        <v>142.13999999999999</v>
      </c>
      <c r="C2134" s="52"/>
      <c r="D2134" s="52"/>
      <c r="E2134" s="52"/>
      <c r="F2134" s="52"/>
      <c r="G2134" s="52"/>
      <c r="H2134" s="52"/>
    </row>
    <row r="2135" spans="1:8" ht="15.75">
      <c r="A2135" s="106">
        <v>42510</v>
      </c>
      <c r="B2135" s="107">
        <v>142.19999999999999</v>
      </c>
      <c r="C2135" s="52"/>
      <c r="D2135" s="52"/>
      <c r="E2135" s="52"/>
      <c r="F2135" s="52"/>
      <c r="G2135" s="52"/>
      <c r="H2135" s="52"/>
    </row>
    <row r="2136" spans="1:8" ht="15.75">
      <c r="A2136" s="106">
        <v>42513</v>
      </c>
      <c r="B2136" s="107">
        <v>142.35</v>
      </c>
      <c r="C2136" s="52"/>
      <c r="D2136" s="52"/>
      <c r="E2136" s="52"/>
      <c r="F2136" s="52"/>
      <c r="G2136" s="52"/>
      <c r="H2136" s="52"/>
    </row>
    <row r="2137" spans="1:8" ht="15.75">
      <c r="A2137" s="106">
        <v>42514</v>
      </c>
      <c r="B2137" s="107">
        <v>142.24</v>
      </c>
      <c r="C2137" s="52"/>
      <c r="D2137" s="52"/>
      <c r="E2137" s="52"/>
      <c r="F2137" s="52"/>
      <c r="G2137" s="52"/>
      <c r="H2137" s="52"/>
    </row>
    <row r="2138" spans="1:8" ht="15.75">
      <c r="A2138" s="106">
        <v>42515</v>
      </c>
      <c r="B2138" s="107">
        <v>142.16999999999999</v>
      </c>
      <c r="C2138" s="52"/>
      <c r="D2138" s="52"/>
      <c r="E2138" s="52"/>
      <c r="F2138" s="52"/>
      <c r="G2138" s="52"/>
      <c r="H2138" s="52"/>
    </row>
    <row r="2139" spans="1:8" ht="15.75">
      <c r="A2139" s="106">
        <v>42516</v>
      </c>
      <c r="B2139" s="107">
        <v>142.29</v>
      </c>
      <c r="C2139" s="52"/>
      <c r="D2139" s="52"/>
      <c r="E2139" s="52"/>
      <c r="F2139" s="52"/>
      <c r="G2139" s="52"/>
      <c r="H2139" s="52"/>
    </row>
    <row r="2140" spans="1:8" ht="15.75">
      <c r="A2140" s="106">
        <v>42517</v>
      </c>
      <c r="B2140" s="107">
        <v>142.5</v>
      </c>
      <c r="C2140" s="52"/>
      <c r="D2140" s="52"/>
      <c r="E2140" s="52"/>
      <c r="F2140" s="52"/>
      <c r="G2140" s="52"/>
      <c r="H2140" s="52"/>
    </row>
    <row r="2141" spans="1:8" ht="15.75">
      <c r="A2141" s="106">
        <v>42520</v>
      </c>
      <c r="B2141" s="107">
        <v>142.26</v>
      </c>
      <c r="C2141" s="52"/>
      <c r="D2141" s="52"/>
      <c r="E2141" s="52"/>
      <c r="F2141" s="52"/>
      <c r="G2141" s="52"/>
      <c r="H2141" s="52"/>
    </row>
    <row r="2142" spans="1:8" ht="15.75">
      <c r="A2142" s="106">
        <v>42521</v>
      </c>
      <c r="B2142" s="107">
        <v>142.19</v>
      </c>
      <c r="C2142" s="52"/>
      <c r="D2142" s="52"/>
      <c r="E2142" s="52"/>
      <c r="F2142" s="52"/>
      <c r="G2142" s="52"/>
      <c r="H2142" s="52"/>
    </row>
    <row r="2143" spans="1:8" ht="15.75">
      <c r="A2143" s="106">
        <v>42522</v>
      </c>
      <c r="B2143" s="107">
        <v>142.43</v>
      </c>
      <c r="C2143" s="52"/>
      <c r="D2143" s="52"/>
      <c r="E2143" s="52"/>
      <c r="F2143" s="52"/>
      <c r="G2143" s="52"/>
      <c r="H2143" s="52"/>
    </row>
    <row r="2144" spans="1:8" ht="15.75">
      <c r="A2144" s="106">
        <v>42523</v>
      </c>
      <c r="B2144" s="107">
        <v>142.31</v>
      </c>
      <c r="C2144" s="52"/>
      <c r="D2144" s="52"/>
      <c r="E2144" s="52"/>
      <c r="F2144" s="52"/>
      <c r="G2144" s="52"/>
      <c r="H2144" s="52"/>
    </row>
    <row r="2145" spans="1:8" ht="15.75">
      <c r="A2145" s="106">
        <v>42524</v>
      </c>
      <c r="B2145" s="107">
        <v>142.55000000000001</v>
      </c>
      <c r="C2145" s="52"/>
      <c r="D2145" s="52"/>
      <c r="E2145" s="52"/>
      <c r="F2145" s="52"/>
      <c r="G2145" s="52"/>
      <c r="H2145" s="52"/>
    </row>
    <row r="2146" spans="1:8" ht="15.75">
      <c r="A2146" s="106">
        <v>42527</v>
      </c>
      <c r="B2146" s="107">
        <v>142.69</v>
      </c>
      <c r="C2146" s="52"/>
      <c r="D2146" s="52"/>
      <c r="E2146" s="52"/>
      <c r="F2146" s="52"/>
      <c r="G2146" s="52"/>
      <c r="H2146" s="52"/>
    </row>
    <row r="2147" spans="1:8" ht="15.75">
      <c r="A2147" s="106">
        <v>42528</v>
      </c>
      <c r="B2147" s="107">
        <v>142.61000000000001</v>
      </c>
      <c r="C2147" s="52"/>
      <c r="D2147" s="52"/>
      <c r="E2147" s="52"/>
      <c r="F2147" s="52"/>
      <c r="G2147" s="52"/>
      <c r="H2147" s="52"/>
    </row>
    <row r="2148" spans="1:8" ht="15.75">
      <c r="A2148" s="106">
        <v>42529</v>
      </c>
      <c r="B2148" s="107">
        <v>142.77000000000001</v>
      </c>
      <c r="C2148" s="52"/>
      <c r="D2148" s="52"/>
      <c r="E2148" s="52"/>
      <c r="F2148" s="52"/>
      <c r="G2148" s="52"/>
      <c r="H2148" s="52"/>
    </row>
    <row r="2149" spans="1:8" ht="15.75">
      <c r="A2149" s="106">
        <v>42530</v>
      </c>
      <c r="B2149" s="107">
        <v>142.81</v>
      </c>
      <c r="C2149" s="52"/>
      <c r="D2149" s="52"/>
      <c r="E2149" s="52"/>
      <c r="F2149" s="52"/>
      <c r="G2149" s="52"/>
      <c r="H2149" s="52"/>
    </row>
    <row r="2150" spans="1:8" ht="15.75">
      <c r="A2150" s="106">
        <v>42531</v>
      </c>
      <c r="B2150" s="107">
        <v>142.87</v>
      </c>
      <c r="C2150" s="52"/>
      <c r="D2150" s="52"/>
      <c r="E2150" s="52"/>
      <c r="F2150" s="52"/>
      <c r="G2150" s="52"/>
      <c r="H2150" s="52"/>
    </row>
    <row r="2151" spans="1:8" ht="15.75">
      <c r="A2151" s="106">
        <v>42534</v>
      </c>
      <c r="B2151" s="107">
        <v>142.93</v>
      </c>
      <c r="C2151" s="52"/>
      <c r="D2151" s="52"/>
      <c r="E2151" s="52"/>
      <c r="F2151" s="52"/>
      <c r="G2151" s="52"/>
      <c r="H2151" s="52"/>
    </row>
    <row r="2152" spans="1:8" ht="15.75">
      <c r="A2152" s="106">
        <v>42535</v>
      </c>
      <c r="B2152" s="107">
        <v>143.21</v>
      </c>
      <c r="C2152" s="52"/>
      <c r="D2152" s="52"/>
      <c r="E2152" s="52"/>
      <c r="F2152" s="52"/>
      <c r="G2152" s="52"/>
      <c r="H2152" s="52"/>
    </row>
    <row r="2153" spans="1:8" ht="15.75">
      <c r="A2153" s="106">
        <v>42536</v>
      </c>
      <c r="B2153" s="107">
        <v>143.09</v>
      </c>
      <c r="C2153" s="52"/>
      <c r="D2153" s="52"/>
      <c r="E2153" s="52"/>
      <c r="F2153" s="52"/>
      <c r="G2153" s="52"/>
      <c r="H2153" s="52"/>
    </row>
    <row r="2154" spans="1:8" ht="15.75">
      <c r="A2154" s="106">
        <v>42537</v>
      </c>
      <c r="B2154" s="107">
        <v>143.25</v>
      </c>
      <c r="C2154" s="52"/>
      <c r="D2154" s="52"/>
      <c r="E2154" s="52"/>
      <c r="F2154" s="52"/>
      <c r="G2154" s="52"/>
      <c r="H2154" s="52"/>
    </row>
    <row r="2155" spans="1:8" ht="15.75">
      <c r="A2155" s="106">
        <v>42538</v>
      </c>
      <c r="B2155" s="107">
        <v>143.19</v>
      </c>
      <c r="C2155" s="52"/>
      <c r="D2155" s="52"/>
      <c r="E2155" s="52"/>
      <c r="F2155" s="52"/>
      <c r="G2155" s="52"/>
      <c r="H2155" s="52"/>
    </row>
    <row r="2156" spans="1:8" ht="15.75">
      <c r="A2156" s="106">
        <v>42541</v>
      </c>
      <c r="B2156" s="107">
        <v>142.96</v>
      </c>
      <c r="C2156" s="52"/>
      <c r="D2156" s="52"/>
      <c r="E2156" s="52"/>
      <c r="F2156" s="52"/>
      <c r="G2156" s="52"/>
      <c r="H2156" s="52"/>
    </row>
    <row r="2157" spans="1:8" ht="15.75">
      <c r="A2157" s="106">
        <v>42542</v>
      </c>
      <c r="B2157" s="107">
        <v>142.91</v>
      </c>
      <c r="C2157" s="52"/>
      <c r="D2157" s="52"/>
      <c r="E2157" s="52"/>
      <c r="F2157" s="52"/>
      <c r="G2157" s="52"/>
      <c r="H2157" s="52"/>
    </row>
    <row r="2158" spans="1:8" ht="15.75">
      <c r="A2158" s="106">
        <v>42543</v>
      </c>
      <c r="B2158" s="107">
        <v>142.94999999999999</v>
      </c>
      <c r="C2158" s="52"/>
      <c r="D2158" s="52"/>
      <c r="E2158" s="52"/>
      <c r="F2158" s="52"/>
      <c r="G2158" s="52"/>
      <c r="H2158" s="52"/>
    </row>
    <row r="2159" spans="1:8" ht="15.75">
      <c r="A2159" s="106">
        <v>42544</v>
      </c>
      <c r="B2159" s="107">
        <v>142.84</v>
      </c>
      <c r="C2159" s="52"/>
      <c r="D2159" s="52"/>
      <c r="E2159" s="52"/>
      <c r="F2159" s="52"/>
      <c r="G2159" s="52"/>
      <c r="H2159" s="52"/>
    </row>
    <row r="2160" spans="1:8" ht="15.75">
      <c r="A2160" s="106">
        <v>42545</v>
      </c>
      <c r="B2160" s="107">
        <v>143.68</v>
      </c>
      <c r="C2160" s="52"/>
      <c r="D2160" s="52"/>
      <c r="E2160" s="52"/>
      <c r="F2160" s="52"/>
      <c r="G2160" s="52"/>
      <c r="H2160" s="52"/>
    </row>
    <row r="2161" spans="1:8" ht="15.75">
      <c r="A2161" s="106">
        <v>42548</v>
      </c>
      <c r="B2161" s="107">
        <v>143.79</v>
      </c>
      <c r="C2161" s="52"/>
      <c r="D2161" s="52"/>
      <c r="E2161" s="52"/>
      <c r="F2161" s="52"/>
      <c r="G2161" s="52"/>
      <c r="H2161" s="52"/>
    </row>
    <row r="2162" spans="1:8" ht="15.75">
      <c r="A2162" s="106">
        <v>42549</v>
      </c>
      <c r="B2162" s="107">
        <v>143.76</v>
      </c>
      <c r="C2162" s="52"/>
      <c r="D2162" s="52"/>
      <c r="E2162" s="52"/>
      <c r="F2162" s="52"/>
      <c r="G2162" s="52"/>
      <c r="H2162" s="52"/>
    </row>
    <row r="2163" spans="1:8" ht="15.75">
      <c r="A2163" s="106">
        <v>42550</v>
      </c>
      <c r="B2163" s="107">
        <v>143.88</v>
      </c>
      <c r="C2163" s="52"/>
      <c r="D2163" s="52"/>
      <c r="E2163" s="52"/>
      <c r="F2163" s="52"/>
      <c r="G2163" s="52"/>
      <c r="H2163" s="52"/>
    </row>
    <row r="2164" spans="1:8" ht="15.75">
      <c r="A2164" s="106">
        <v>42551</v>
      </c>
      <c r="B2164" s="107">
        <v>143.74</v>
      </c>
      <c r="C2164" s="52"/>
      <c r="D2164" s="52"/>
      <c r="E2164" s="52"/>
      <c r="F2164" s="52"/>
      <c r="G2164" s="52"/>
      <c r="H2164" s="52"/>
    </row>
    <row r="2165" spans="1:8" ht="15.75">
      <c r="A2165" s="106">
        <v>42552</v>
      </c>
      <c r="B2165" s="107">
        <v>143.93</v>
      </c>
      <c r="C2165" s="52"/>
      <c r="D2165" s="52"/>
      <c r="E2165" s="52"/>
      <c r="F2165" s="52"/>
      <c r="G2165" s="52"/>
      <c r="H2165" s="52"/>
    </row>
    <row r="2166" spans="1:8" ht="15.75">
      <c r="A2166" s="106">
        <v>42555</v>
      </c>
      <c r="B2166" s="107">
        <v>143.93</v>
      </c>
      <c r="C2166" s="52"/>
      <c r="D2166" s="52"/>
      <c r="E2166" s="52"/>
      <c r="F2166" s="52"/>
      <c r="G2166" s="52"/>
      <c r="H2166" s="52"/>
    </row>
    <row r="2167" spans="1:8" ht="15.75">
      <c r="A2167" s="106">
        <v>42556</v>
      </c>
      <c r="B2167" s="107">
        <v>144.19</v>
      </c>
      <c r="C2167" s="52"/>
      <c r="D2167" s="52"/>
      <c r="E2167" s="52"/>
      <c r="F2167" s="52"/>
      <c r="G2167" s="52"/>
      <c r="H2167" s="52"/>
    </row>
    <row r="2168" spans="1:8" ht="15.75">
      <c r="A2168" s="106">
        <v>42557</v>
      </c>
      <c r="B2168" s="107">
        <v>144.44</v>
      </c>
      <c r="C2168" s="52"/>
      <c r="D2168" s="52"/>
      <c r="E2168" s="52"/>
      <c r="F2168" s="52"/>
      <c r="G2168" s="52"/>
      <c r="H2168" s="52"/>
    </row>
    <row r="2169" spans="1:8" ht="15.75">
      <c r="A2169" s="106">
        <v>42558</v>
      </c>
      <c r="B2169" s="107">
        <v>144.26</v>
      </c>
      <c r="C2169" s="52"/>
      <c r="D2169" s="52"/>
      <c r="E2169" s="52"/>
      <c r="F2169" s="52"/>
      <c r="G2169" s="52"/>
      <c r="H2169" s="52"/>
    </row>
    <row r="2170" spans="1:8" ht="15.75">
      <c r="A2170" s="106">
        <v>42559</v>
      </c>
      <c r="B2170" s="107">
        <v>144.32</v>
      </c>
      <c r="C2170" s="52"/>
      <c r="D2170" s="52"/>
      <c r="E2170" s="52"/>
      <c r="F2170" s="52"/>
      <c r="G2170" s="52"/>
      <c r="H2170" s="52"/>
    </row>
    <row r="2171" spans="1:8" ht="15.75">
      <c r="A2171" s="106">
        <v>42562</v>
      </c>
      <c r="B2171" s="107">
        <v>144.5</v>
      </c>
      <c r="C2171" s="52"/>
      <c r="D2171" s="52"/>
      <c r="E2171" s="52"/>
      <c r="F2171" s="52"/>
      <c r="G2171" s="52"/>
      <c r="H2171" s="52"/>
    </row>
    <row r="2172" spans="1:8" ht="15.75">
      <c r="A2172" s="106">
        <v>42563</v>
      </c>
      <c r="B2172" s="107">
        <v>144.12</v>
      </c>
      <c r="C2172" s="52"/>
      <c r="D2172" s="52"/>
      <c r="E2172" s="52"/>
      <c r="F2172" s="52"/>
      <c r="G2172" s="52"/>
      <c r="H2172" s="52"/>
    </row>
    <row r="2173" spans="1:8" ht="15.75">
      <c r="A2173" s="106">
        <v>42564</v>
      </c>
      <c r="B2173" s="107">
        <v>144.11000000000001</v>
      </c>
      <c r="C2173" s="52"/>
      <c r="D2173" s="52"/>
      <c r="E2173" s="52"/>
      <c r="F2173" s="52"/>
      <c r="G2173" s="52"/>
      <c r="H2173" s="52"/>
    </row>
    <row r="2174" spans="1:8" ht="15.75">
      <c r="A2174" s="106">
        <v>42565</v>
      </c>
      <c r="B2174" s="107">
        <v>144.18</v>
      </c>
      <c r="C2174" s="52"/>
      <c r="D2174" s="52"/>
      <c r="E2174" s="52"/>
      <c r="F2174" s="52"/>
      <c r="G2174" s="52"/>
      <c r="H2174" s="52"/>
    </row>
    <row r="2175" spans="1:8" ht="15.75">
      <c r="A2175" s="106">
        <v>42566</v>
      </c>
      <c r="B2175" s="107">
        <v>144</v>
      </c>
      <c r="C2175" s="52"/>
      <c r="D2175" s="52"/>
      <c r="E2175" s="52"/>
      <c r="F2175" s="52"/>
      <c r="G2175" s="52"/>
      <c r="H2175" s="52"/>
    </row>
    <row r="2176" spans="1:8" ht="15.75">
      <c r="A2176" s="106">
        <v>42569</v>
      </c>
      <c r="B2176" s="107">
        <v>143.94999999999999</v>
      </c>
      <c r="C2176" s="52"/>
      <c r="D2176" s="52"/>
      <c r="E2176" s="52"/>
      <c r="F2176" s="52"/>
      <c r="G2176" s="52"/>
      <c r="H2176" s="52"/>
    </row>
    <row r="2177" spans="1:8" ht="15.75">
      <c r="A2177" s="106">
        <v>42570</v>
      </c>
      <c r="B2177" s="107">
        <v>144.02000000000001</v>
      </c>
      <c r="C2177" s="52"/>
      <c r="D2177" s="52"/>
      <c r="E2177" s="52"/>
      <c r="F2177" s="52"/>
      <c r="G2177" s="52"/>
      <c r="H2177" s="52"/>
    </row>
    <row r="2178" spans="1:8" ht="15.75">
      <c r="A2178" s="106">
        <v>42571</v>
      </c>
      <c r="B2178" s="107">
        <v>144</v>
      </c>
      <c r="C2178" s="52"/>
      <c r="D2178" s="52"/>
      <c r="E2178" s="52"/>
      <c r="F2178" s="52"/>
      <c r="G2178" s="52"/>
      <c r="H2178" s="52"/>
    </row>
    <row r="2179" spans="1:8" ht="15.75">
      <c r="A2179" s="106">
        <v>42572</v>
      </c>
      <c r="B2179" s="107">
        <v>143.81</v>
      </c>
      <c r="C2179" s="52"/>
      <c r="D2179" s="52"/>
      <c r="E2179" s="52"/>
      <c r="F2179" s="52"/>
      <c r="G2179" s="52"/>
      <c r="H2179" s="52"/>
    </row>
    <row r="2180" spans="1:8" ht="15.75">
      <c r="A2180" s="106">
        <v>42573</v>
      </c>
      <c r="B2180" s="107">
        <v>143.84</v>
      </c>
      <c r="C2180" s="52"/>
      <c r="D2180" s="52"/>
      <c r="E2180" s="52"/>
      <c r="F2180" s="52"/>
      <c r="G2180" s="52"/>
      <c r="H2180" s="52"/>
    </row>
    <row r="2181" spans="1:8" ht="15.75">
      <c r="A2181" s="106">
        <v>42576</v>
      </c>
      <c r="B2181" s="107">
        <v>143.78</v>
      </c>
      <c r="C2181" s="52"/>
      <c r="D2181" s="52"/>
      <c r="E2181" s="52"/>
      <c r="F2181" s="52"/>
      <c r="G2181" s="52"/>
      <c r="H2181" s="52"/>
    </row>
    <row r="2182" spans="1:8" ht="15.75">
      <c r="A2182" s="106">
        <v>42577</v>
      </c>
      <c r="B2182" s="107">
        <v>143.99</v>
      </c>
      <c r="C2182" s="52"/>
      <c r="D2182" s="52"/>
      <c r="E2182" s="52"/>
      <c r="F2182" s="52"/>
      <c r="G2182" s="52"/>
      <c r="H2182" s="52"/>
    </row>
    <row r="2183" spans="1:8" ht="15.75">
      <c r="A2183" s="106">
        <v>42578</v>
      </c>
      <c r="B2183" s="107">
        <v>144.01</v>
      </c>
      <c r="C2183" s="52"/>
      <c r="D2183" s="52"/>
      <c r="E2183" s="52"/>
      <c r="F2183" s="52"/>
      <c r="G2183" s="52"/>
      <c r="H2183" s="52"/>
    </row>
    <row r="2184" spans="1:8" ht="15.75">
      <c r="A2184" s="106">
        <v>42579</v>
      </c>
      <c r="B2184" s="107">
        <v>144.18</v>
      </c>
      <c r="C2184" s="52"/>
      <c r="D2184" s="52"/>
      <c r="E2184" s="52"/>
      <c r="F2184" s="52"/>
      <c r="G2184" s="52"/>
      <c r="H2184" s="52"/>
    </row>
    <row r="2185" spans="1:8" ht="15.75">
      <c r="A2185" s="106">
        <v>42580</v>
      </c>
      <c r="B2185" s="107">
        <v>144.06</v>
      </c>
      <c r="C2185" s="52"/>
      <c r="D2185" s="52"/>
      <c r="E2185" s="52"/>
      <c r="F2185" s="52"/>
      <c r="G2185" s="52"/>
      <c r="H2185" s="52"/>
    </row>
    <row r="2186" spans="1:8" ht="15.75">
      <c r="A2186" s="106">
        <v>42583</v>
      </c>
      <c r="B2186" s="107">
        <v>144.34</v>
      </c>
      <c r="C2186" s="52"/>
      <c r="D2186" s="52"/>
      <c r="E2186" s="52"/>
      <c r="F2186" s="52"/>
      <c r="G2186" s="52"/>
      <c r="H2186" s="52"/>
    </row>
    <row r="2187" spans="1:8" ht="15.75">
      <c r="A2187" s="106">
        <v>42584</v>
      </c>
      <c r="B2187" s="107">
        <v>144.08000000000001</v>
      </c>
      <c r="C2187" s="52"/>
      <c r="D2187" s="52"/>
      <c r="E2187" s="52"/>
      <c r="F2187" s="52"/>
      <c r="G2187" s="52"/>
      <c r="H2187" s="52"/>
    </row>
    <row r="2188" spans="1:8" ht="15.75">
      <c r="A2188" s="106">
        <v>42585</v>
      </c>
      <c r="B2188" s="107">
        <v>143.97999999999999</v>
      </c>
      <c r="C2188" s="52"/>
      <c r="D2188" s="52"/>
      <c r="E2188" s="52"/>
      <c r="F2188" s="52"/>
      <c r="G2188" s="52"/>
      <c r="H2188" s="52"/>
    </row>
    <row r="2189" spans="1:8" ht="15.75">
      <c r="A2189" s="106">
        <v>42586</v>
      </c>
      <c r="B2189" s="107">
        <v>144.01</v>
      </c>
      <c r="C2189" s="52"/>
      <c r="D2189" s="52"/>
      <c r="E2189" s="52"/>
      <c r="F2189" s="52"/>
      <c r="G2189" s="52"/>
      <c r="H2189" s="52"/>
    </row>
    <row r="2190" spans="1:8" ht="15.75">
      <c r="A2190" s="106">
        <v>42587</v>
      </c>
      <c r="B2190" s="107">
        <v>144.28</v>
      </c>
      <c r="C2190" s="52"/>
      <c r="D2190" s="52"/>
      <c r="E2190" s="52"/>
      <c r="F2190" s="52"/>
      <c r="G2190" s="52"/>
      <c r="H2190" s="52"/>
    </row>
    <row r="2191" spans="1:8" ht="15.75">
      <c r="A2191" s="106">
        <v>42590</v>
      </c>
      <c r="B2191" s="107">
        <v>144.13</v>
      </c>
      <c r="C2191" s="52"/>
      <c r="D2191" s="52"/>
      <c r="E2191" s="52"/>
      <c r="F2191" s="52"/>
      <c r="G2191" s="52"/>
      <c r="H2191" s="52"/>
    </row>
    <row r="2192" spans="1:8" ht="15.75">
      <c r="A2192" s="106">
        <v>42591</v>
      </c>
      <c r="B2192" s="107">
        <v>144.18</v>
      </c>
      <c r="C2192" s="52"/>
      <c r="D2192" s="52"/>
      <c r="E2192" s="52"/>
      <c r="F2192" s="52"/>
      <c r="G2192" s="52"/>
      <c r="H2192" s="52"/>
    </row>
    <row r="2193" spans="1:8" ht="15.75">
      <c r="A2193" s="106">
        <v>42592</v>
      </c>
      <c r="B2193" s="107">
        <v>144.30000000000001</v>
      </c>
      <c r="C2193" s="52"/>
      <c r="D2193" s="52"/>
      <c r="E2193" s="52"/>
      <c r="F2193" s="52"/>
      <c r="G2193" s="52"/>
      <c r="H2193" s="52"/>
    </row>
    <row r="2194" spans="1:8" ht="15.75">
      <c r="A2194" s="106">
        <v>42593</v>
      </c>
      <c r="B2194" s="107">
        <v>144.43</v>
      </c>
      <c r="C2194" s="52"/>
      <c r="D2194" s="52"/>
      <c r="E2194" s="52"/>
      <c r="F2194" s="52"/>
      <c r="G2194" s="52"/>
      <c r="H2194" s="52"/>
    </row>
    <row r="2195" spans="1:8" ht="15.75">
      <c r="A2195" s="106">
        <v>42594</v>
      </c>
      <c r="B2195" s="107">
        <v>144.33000000000001</v>
      </c>
      <c r="C2195" s="52"/>
      <c r="D2195" s="52"/>
      <c r="E2195" s="52"/>
      <c r="F2195" s="52"/>
      <c r="G2195" s="52"/>
      <c r="H2195" s="52"/>
    </row>
    <row r="2196" spans="1:8" ht="15.75">
      <c r="A2196" s="106">
        <v>42597</v>
      </c>
      <c r="B2196" s="107">
        <v>144.38</v>
      </c>
      <c r="C2196" s="52"/>
      <c r="D2196" s="52"/>
      <c r="E2196" s="52"/>
      <c r="F2196" s="52"/>
      <c r="G2196" s="52"/>
      <c r="H2196" s="52"/>
    </row>
    <row r="2197" spans="1:8" ht="15.75">
      <c r="A2197" s="106">
        <v>42598</v>
      </c>
      <c r="B2197" s="107">
        <v>144.28</v>
      </c>
      <c r="C2197" s="52"/>
      <c r="D2197" s="52"/>
      <c r="E2197" s="52"/>
      <c r="F2197" s="52"/>
      <c r="G2197" s="52"/>
      <c r="H2197" s="52"/>
    </row>
    <row r="2198" spans="1:8" ht="15.75">
      <c r="A2198" s="106">
        <v>42599</v>
      </c>
      <c r="B2198" s="107">
        <v>144.02000000000001</v>
      </c>
      <c r="C2198" s="52"/>
      <c r="D2198" s="52"/>
      <c r="E2198" s="52"/>
      <c r="F2198" s="52"/>
      <c r="G2198" s="52"/>
      <c r="H2198" s="52"/>
    </row>
    <row r="2199" spans="1:8" ht="15.75">
      <c r="A2199" s="106">
        <v>42600</v>
      </c>
      <c r="B2199" s="107">
        <v>144.13</v>
      </c>
      <c r="C2199" s="52"/>
      <c r="D2199" s="52"/>
      <c r="E2199" s="52"/>
      <c r="F2199" s="52"/>
      <c r="G2199" s="52"/>
      <c r="H2199" s="52"/>
    </row>
    <row r="2200" spans="1:8" ht="15.75">
      <c r="A2200" s="106">
        <v>42601</v>
      </c>
      <c r="B2200" s="107">
        <v>144.27000000000001</v>
      </c>
      <c r="C2200" s="52"/>
      <c r="D2200" s="52"/>
      <c r="E2200" s="52"/>
      <c r="F2200" s="52"/>
      <c r="G2200" s="52"/>
      <c r="H2200" s="52"/>
    </row>
    <row r="2201" spans="1:8" ht="15.75">
      <c r="A2201" s="106">
        <v>42604</v>
      </c>
      <c r="B2201" s="107">
        <v>144.09</v>
      </c>
      <c r="C2201" s="52"/>
      <c r="D2201" s="52"/>
      <c r="E2201" s="52"/>
      <c r="F2201" s="52"/>
      <c r="G2201" s="52"/>
      <c r="H2201" s="52"/>
    </row>
    <row r="2202" spans="1:8" ht="15.75">
      <c r="A2202" s="106">
        <v>42605</v>
      </c>
      <c r="B2202" s="107">
        <v>144.22999999999999</v>
      </c>
      <c r="C2202" s="52"/>
      <c r="D2202" s="52"/>
      <c r="E2202" s="52"/>
      <c r="F2202" s="52"/>
      <c r="G2202" s="52"/>
      <c r="H2202" s="52"/>
    </row>
    <row r="2203" spans="1:8" ht="15.75">
      <c r="A2203" s="106">
        <v>42606</v>
      </c>
      <c r="B2203" s="107">
        <v>144.27000000000001</v>
      </c>
      <c r="C2203" s="52"/>
      <c r="D2203" s="52"/>
      <c r="E2203" s="52"/>
      <c r="F2203" s="52"/>
      <c r="G2203" s="52"/>
      <c r="H2203" s="52"/>
    </row>
    <row r="2204" spans="1:8" ht="15.75">
      <c r="A2204" s="106">
        <v>42607</v>
      </c>
      <c r="B2204" s="107">
        <v>144.25</v>
      </c>
      <c r="C2204" s="52"/>
      <c r="D2204" s="52"/>
      <c r="E2204" s="52"/>
      <c r="F2204" s="52"/>
      <c r="G2204" s="52"/>
      <c r="H2204" s="52"/>
    </row>
    <row r="2205" spans="1:8" ht="15.75">
      <c r="A2205" s="106">
        <v>42608</v>
      </c>
      <c r="B2205" s="107">
        <v>144.19</v>
      </c>
      <c r="C2205" s="52"/>
      <c r="D2205" s="52"/>
      <c r="E2205" s="52"/>
      <c r="F2205" s="52"/>
      <c r="G2205" s="52"/>
      <c r="H2205" s="52"/>
    </row>
    <row r="2206" spans="1:8" ht="15.75">
      <c r="A2206" s="106">
        <v>42611</v>
      </c>
      <c r="B2206" s="107">
        <v>144.11000000000001</v>
      </c>
      <c r="C2206" s="52"/>
      <c r="D2206" s="52"/>
      <c r="E2206" s="52"/>
      <c r="F2206" s="52"/>
      <c r="G2206" s="52"/>
      <c r="H2206" s="52"/>
    </row>
    <row r="2207" spans="1:8" ht="15.75">
      <c r="A2207" s="106">
        <v>42612</v>
      </c>
      <c r="B2207" s="107">
        <v>144.25</v>
      </c>
      <c r="C2207" s="52"/>
      <c r="D2207" s="52"/>
      <c r="E2207" s="52"/>
      <c r="F2207" s="52"/>
      <c r="G2207" s="52"/>
      <c r="H2207" s="52"/>
    </row>
    <row r="2208" spans="1:8" ht="15.75">
      <c r="A2208" s="106">
        <v>42613</v>
      </c>
      <c r="B2208" s="107">
        <v>144.30000000000001</v>
      </c>
      <c r="C2208" s="52"/>
      <c r="D2208" s="52"/>
      <c r="E2208" s="52"/>
      <c r="F2208" s="52"/>
      <c r="G2208" s="52"/>
      <c r="H2208" s="52"/>
    </row>
    <row r="2209" spans="1:8" ht="15.75">
      <c r="A2209" s="106">
        <v>42614</v>
      </c>
      <c r="B2209" s="107">
        <v>144.08000000000001</v>
      </c>
      <c r="C2209" s="52"/>
      <c r="D2209" s="52"/>
      <c r="E2209" s="52"/>
      <c r="F2209" s="52"/>
      <c r="G2209" s="52"/>
      <c r="H2209" s="52"/>
    </row>
    <row r="2210" spans="1:8" ht="15.75">
      <c r="A2210" s="106">
        <v>42615</v>
      </c>
      <c r="B2210" s="107">
        <v>144.22</v>
      </c>
      <c r="C2210" s="52"/>
      <c r="D2210" s="52"/>
      <c r="E2210" s="52"/>
      <c r="F2210" s="52"/>
      <c r="G2210" s="52"/>
      <c r="H2210" s="52"/>
    </row>
    <row r="2211" spans="1:8" ht="15.75">
      <c r="A2211" s="106">
        <v>42618</v>
      </c>
      <c r="B2211" s="107">
        <v>144.1</v>
      </c>
      <c r="C2211" s="52"/>
      <c r="D2211" s="52"/>
      <c r="E2211" s="52"/>
      <c r="F2211" s="52"/>
      <c r="G2211" s="52"/>
      <c r="H2211" s="52"/>
    </row>
    <row r="2212" spans="1:8" ht="15.75">
      <c r="A2212" s="106">
        <v>42619</v>
      </c>
      <c r="B2212" s="107">
        <v>144.09</v>
      </c>
      <c r="C2212" s="52"/>
      <c r="D2212" s="52"/>
      <c r="E2212" s="52"/>
      <c r="F2212" s="52"/>
      <c r="G2212" s="52"/>
      <c r="H2212" s="52"/>
    </row>
    <row r="2213" spans="1:8" ht="15.75">
      <c r="A2213" s="106">
        <v>42620</v>
      </c>
      <c r="B2213" s="107">
        <v>144.38</v>
      </c>
      <c r="C2213" s="52"/>
      <c r="D2213" s="52"/>
      <c r="E2213" s="52"/>
      <c r="F2213" s="52"/>
      <c r="G2213" s="52"/>
      <c r="H2213" s="52"/>
    </row>
    <row r="2214" spans="1:8" ht="15.75">
      <c r="A2214" s="106">
        <v>42621</v>
      </c>
      <c r="B2214" s="107">
        <v>144.33000000000001</v>
      </c>
      <c r="C2214" s="52"/>
      <c r="D2214" s="52"/>
      <c r="E2214" s="52"/>
      <c r="F2214" s="52"/>
      <c r="G2214" s="52"/>
      <c r="H2214" s="52"/>
    </row>
    <row r="2215" spans="1:8" ht="15.75">
      <c r="A2215" s="106">
        <v>42622</v>
      </c>
      <c r="B2215" s="107">
        <v>143.83000000000001</v>
      </c>
      <c r="C2215" s="52"/>
      <c r="D2215" s="52"/>
      <c r="E2215" s="52"/>
      <c r="F2215" s="52"/>
      <c r="G2215" s="52"/>
      <c r="H2215" s="52"/>
    </row>
    <row r="2216" spans="1:8" ht="15.75">
      <c r="A2216" s="106">
        <v>42625</v>
      </c>
      <c r="B2216" s="107">
        <v>143.37</v>
      </c>
      <c r="C2216" s="52"/>
      <c r="D2216" s="52"/>
      <c r="E2216" s="52"/>
      <c r="F2216" s="52"/>
      <c r="G2216" s="52"/>
      <c r="H2216" s="52"/>
    </row>
    <row r="2217" spans="1:8" ht="15.75">
      <c r="A2217" s="106">
        <v>42626</v>
      </c>
      <c r="B2217" s="107">
        <v>143.56</v>
      </c>
      <c r="C2217" s="52"/>
      <c r="D2217" s="52"/>
      <c r="E2217" s="52"/>
      <c r="F2217" s="52"/>
      <c r="G2217" s="52"/>
      <c r="H2217" s="52"/>
    </row>
    <row r="2218" spans="1:8" ht="15.75">
      <c r="A2218" s="106">
        <v>42627</v>
      </c>
      <c r="B2218" s="107">
        <v>143.36000000000001</v>
      </c>
      <c r="C2218" s="52"/>
      <c r="D2218" s="52"/>
      <c r="E2218" s="52"/>
      <c r="F2218" s="52"/>
      <c r="G2218" s="52"/>
      <c r="H2218" s="52"/>
    </row>
    <row r="2219" spans="1:8" ht="15.75">
      <c r="A2219" s="106">
        <v>42628</v>
      </c>
      <c r="B2219" s="107">
        <v>143.41999999999999</v>
      </c>
      <c r="C2219" s="52"/>
      <c r="D2219" s="52"/>
      <c r="E2219" s="52"/>
      <c r="F2219" s="52"/>
      <c r="G2219" s="52"/>
      <c r="H2219" s="52"/>
    </row>
    <row r="2220" spans="1:8" ht="15.75">
      <c r="A2220" s="106">
        <v>42629</v>
      </c>
      <c r="B2220" s="107">
        <v>143.78</v>
      </c>
      <c r="C2220" s="52"/>
      <c r="D2220" s="52"/>
      <c r="E2220" s="52"/>
      <c r="F2220" s="52"/>
      <c r="G2220" s="52"/>
      <c r="H2220" s="52"/>
    </row>
    <row r="2221" spans="1:8" ht="15.75">
      <c r="A2221" s="106">
        <v>42632</v>
      </c>
      <c r="B2221" s="107">
        <v>143.66</v>
      </c>
      <c r="C2221" s="52"/>
      <c r="D2221" s="52"/>
      <c r="E2221" s="52"/>
      <c r="F2221" s="52"/>
      <c r="G2221" s="52"/>
      <c r="H2221" s="52"/>
    </row>
    <row r="2222" spans="1:8" ht="15.75">
      <c r="A2222" s="106">
        <v>42633</v>
      </c>
      <c r="B2222" s="107">
        <v>143.72</v>
      </c>
      <c r="C2222" s="52"/>
      <c r="D2222" s="52"/>
      <c r="E2222" s="52"/>
      <c r="F2222" s="52"/>
      <c r="G2222" s="52"/>
      <c r="H2222" s="52"/>
    </row>
    <row r="2223" spans="1:8" ht="15.75">
      <c r="A2223" s="106">
        <v>42634</v>
      </c>
      <c r="B2223" s="107">
        <v>143.69</v>
      </c>
      <c r="C2223" s="52"/>
      <c r="D2223" s="52"/>
      <c r="E2223" s="52"/>
      <c r="F2223" s="52"/>
      <c r="G2223" s="52"/>
      <c r="H2223" s="52"/>
    </row>
    <row r="2224" spans="1:8" ht="15.75">
      <c r="A2224" s="106">
        <v>42635</v>
      </c>
      <c r="B2224" s="107">
        <v>143.83000000000001</v>
      </c>
      <c r="C2224" s="52"/>
      <c r="D2224" s="52"/>
      <c r="E2224" s="52"/>
      <c r="F2224" s="52"/>
      <c r="G2224" s="52"/>
      <c r="H2224" s="52"/>
    </row>
    <row r="2225" spans="1:8" ht="15.75">
      <c r="A2225" s="106">
        <v>42636</v>
      </c>
      <c r="B2225" s="107">
        <v>144.03</v>
      </c>
      <c r="C2225" s="52"/>
      <c r="D2225" s="52"/>
      <c r="E2225" s="52"/>
      <c r="F2225" s="52"/>
      <c r="G2225" s="52"/>
      <c r="H2225" s="52"/>
    </row>
    <row r="2226" spans="1:8" ht="15.75">
      <c r="A2226" s="106">
        <v>42639</v>
      </c>
      <c r="B2226" s="107">
        <v>144.11000000000001</v>
      </c>
      <c r="C2226" s="52"/>
      <c r="D2226" s="52"/>
      <c r="E2226" s="52"/>
      <c r="F2226" s="52"/>
      <c r="G2226" s="52"/>
      <c r="H2226" s="52"/>
    </row>
    <row r="2227" spans="1:8" ht="15.75">
      <c r="A2227" s="106">
        <v>42640</v>
      </c>
      <c r="B2227" s="107">
        <v>144.36000000000001</v>
      </c>
      <c r="C2227" s="52"/>
      <c r="D2227" s="52"/>
      <c r="E2227" s="52"/>
      <c r="F2227" s="52"/>
      <c r="G2227" s="52"/>
      <c r="H2227" s="52"/>
    </row>
    <row r="2228" spans="1:8" ht="15.75">
      <c r="A2228" s="106">
        <v>42641</v>
      </c>
      <c r="B2228" s="107">
        <v>144.36000000000001</v>
      </c>
      <c r="C2228" s="52"/>
      <c r="D2228" s="52"/>
      <c r="E2228" s="52"/>
      <c r="F2228" s="52"/>
      <c r="G2228" s="52"/>
      <c r="H2228" s="52"/>
    </row>
    <row r="2229" spans="1:8" ht="15.75">
      <c r="A2229" s="106">
        <v>42642</v>
      </c>
      <c r="B2229" s="107">
        <v>144.28</v>
      </c>
      <c r="C2229" s="52"/>
      <c r="D2229" s="52"/>
      <c r="E2229" s="52"/>
      <c r="F2229" s="52"/>
      <c r="G2229" s="52"/>
      <c r="H2229" s="52"/>
    </row>
    <row r="2230" spans="1:8" ht="15.75">
      <c r="A2230" s="106">
        <v>42643</v>
      </c>
      <c r="B2230" s="107">
        <v>144.47</v>
      </c>
      <c r="C2230" s="52"/>
      <c r="D2230" s="52"/>
      <c r="E2230" s="52"/>
      <c r="F2230" s="52"/>
      <c r="G2230" s="52"/>
      <c r="H2230" s="52"/>
    </row>
    <row r="2231" spans="1:8" ht="15.75">
      <c r="A2231" s="106">
        <v>42647</v>
      </c>
      <c r="B2231" s="107">
        <v>144.13999999999999</v>
      </c>
      <c r="C2231" s="52"/>
      <c r="D2231" s="52"/>
      <c r="E2231" s="52"/>
      <c r="F2231" s="52"/>
      <c r="G2231" s="52"/>
      <c r="H2231" s="52"/>
    </row>
    <row r="2232" spans="1:8" ht="15.75">
      <c r="A2232" s="106">
        <v>42648</v>
      </c>
      <c r="B2232" s="107">
        <v>143.83000000000001</v>
      </c>
      <c r="C2232" s="52"/>
      <c r="D2232" s="52"/>
      <c r="E2232" s="52"/>
      <c r="F2232" s="52"/>
      <c r="G2232" s="52"/>
      <c r="H2232" s="52"/>
    </row>
    <row r="2233" spans="1:8" ht="15.75">
      <c r="A2233" s="106">
        <v>42649</v>
      </c>
      <c r="B2233" s="107">
        <v>143.81</v>
      </c>
      <c r="C2233" s="52"/>
      <c r="D2233" s="52"/>
      <c r="E2233" s="52"/>
      <c r="F2233" s="52"/>
      <c r="G2233" s="52"/>
      <c r="H2233" s="52"/>
    </row>
    <row r="2234" spans="1:8" ht="15.75">
      <c r="A2234" s="106">
        <v>42650</v>
      </c>
      <c r="B2234" s="107">
        <v>143.38999999999999</v>
      </c>
      <c r="C2234" s="52"/>
      <c r="D2234" s="52"/>
      <c r="E2234" s="52"/>
      <c r="F2234" s="52"/>
      <c r="G2234" s="52"/>
      <c r="H2234" s="52"/>
    </row>
    <row r="2235" spans="1:8" ht="15.75">
      <c r="A2235" s="106">
        <v>42653</v>
      </c>
      <c r="B2235" s="107">
        <v>143.41</v>
      </c>
      <c r="C2235" s="52"/>
      <c r="D2235" s="52"/>
      <c r="E2235" s="52"/>
      <c r="F2235" s="52"/>
      <c r="G2235" s="52"/>
      <c r="H2235" s="52"/>
    </row>
    <row r="2236" spans="1:8" ht="15.75">
      <c r="A2236" s="106">
        <v>42654</v>
      </c>
      <c r="B2236" s="107">
        <v>143.35</v>
      </c>
      <c r="C2236" s="52"/>
      <c r="D2236" s="52"/>
      <c r="E2236" s="52"/>
      <c r="F2236" s="52"/>
      <c r="G2236" s="52"/>
      <c r="H2236" s="52"/>
    </row>
    <row r="2237" spans="1:8" ht="15.75">
      <c r="A2237" s="106">
        <v>42655</v>
      </c>
      <c r="B2237" s="107">
        <v>143.36000000000001</v>
      </c>
      <c r="C2237" s="52"/>
      <c r="D2237" s="52"/>
      <c r="E2237" s="52"/>
      <c r="F2237" s="52"/>
      <c r="G2237" s="52"/>
      <c r="H2237" s="52"/>
    </row>
    <row r="2238" spans="1:8" ht="15.75">
      <c r="A2238" s="106">
        <v>42656</v>
      </c>
      <c r="B2238" s="107">
        <v>143.35</v>
      </c>
      <c r="C2238" s="52"/>
      <c r="D2238" s="52"/>
      <c r="E2238" s="52"/>
      <c r="F2238" s="52"/>
      <c r="G2238" s="52"/>
      <c r="H2238" s="52"/>
    </row>
    <row r="2239" spans="1:8" ht="15.75">
      <c r="A2239" s="106">
        <v>42657</v>
      </c>
      <c r="B2239" s="107">
        <v>143.25</v>
      </c>
      <c r="C2239" s="52"/>
      <c r="D2239" s="52"/>
      <c r="E2239" s="52"/>
      <c r="F2239" s="52"/>
      <c r="G2239" s="52"/>
      <c r="H2239" s="52"/>
    </row>
    <row r="2240" spans="1:8" ht="15.75">
      <c r="A2240" s="106">
        <v>42660</v>
      </c>
      <c r="B2240" s="107">
        <v>143.12</v>
      </c>
      <c r="C2240" s="52"/>
      <c r="D2240" s="52"/>
      <c r="E2240" s="52"/>
      <c r="F2240" s="52"/>
      <c r="G2240" s="52"/>
      <c r="H2240" s="52"/>
    </row>
    <row r="2241" spans="1:8" ht="15.75">
      <c r="A2241" s="106">
        <v>42661</v>
      </c>
      <c r="B2241" s="107">
        <v>143.27000000000001</v>
      </c>
      <c r="C2241" s="52"/>
      <c r="D2241" s="52"/>
      <c r="E2241" s="52"/>
      <c r="F2241" s="52"/>
      <c r="G2241" s="52"/>
      <c r="H2241" s="52"/>
    </row>
    <row r="2242" spans="1:8" ht="15.75">
      <c r="A2242" s="106">
        <v>42662</v>
      </c>
      <c r="B2242" s="107">
        <v>143.44999999999999</v>
      </c>
      <c r="C2242" s="52"/>
      <c r="D2242" s="52"/>
      <c r="E2242" s="52"/>
      <c r="F2242" s="52"/>
      <c r="G2242" s="52"/>
      <c r="H2242" s="52"/>
    </row>
    <row r="2243" spans="1:8" ht="15.75">
      <c r="A2243" s="106">
        <v>42663</v>
      </c>
      <c r="B2243" s="107">
        <v>143.34</v>
      </c>
      <c r="C2243" s="52"/>
      <c r="D2243" s="52"/>
      <c r="E2243" s="52"/>
      <c r="F2243" s="52"/>
      <c r="G2243" s="52"/>
      <c r="H2243" s="52"/>
    </row>
    <row r="2244" spans="1:8" ht="15.75">
      <c r="A2244" s="106">
        <v>42664</v>
      </c>
      <c r="B2244" s="107">
        <v>143.52000000000001</v>
      </c>
      <c r="C2244" s="52"/>
      <c r="D2244" s="52"/>
      <c r="E2244" s="52"/>
      <c r="F2244" s="52"/>
      <c r="G2244" s="52"/>
      <c r="H2244" s="52"/>
    </row>
    <row r="2245" spans="1:8" ht="15.75">
      <c r="A2245" s="106">
        <v>42667</v>
      </c>
      <c r="B2245" s="107">
        <v>143.55000000000001</v>
      </c>
      <c r="C2245" s="52"/>
      <c r="D2245" s="52"/>
      <c r="E2245" s="52"/>
      <c r="F2245" s="52"/>
      <c r="G2245" s="52"/>
      <c r="H2245" s="52"/>
    </row>
    <row r="2246" spans="1:8" ht="15.75">
      <c r="A2246" s="106">
        <v>42668</v>
      </c>
      <c r="B2246" s="107">
        <v>143.38</v>
      </c>
      <c r="C2246" s="52"/>
      <c r="D2246" s="52"/>
      <c r="E2246" s="52"/>
      <c r="F2246" s="52"/>
      <c r="G2246" s="52"/>
      <c r="H2246" s="52"/>
    </row>
    <row r="2247" spans="1:8" ht="15.75">
      <c r="A2247" s="106">
        <v>42669</v>
      </c>
      <c r="B2247" s="107">
        <v>143.21</v>
      </c>
      <c r="C2247" s="52"/>
      <c r="D2247" s="52"/>
      <c r="E2247" s="52"/>
      <c r="F2247" s="52"/>
      <c r="G2247" s="52"/>
      <c r="H2247" s="52"/>
    </row>
    <row r="2248" spans="1:8" ht="15.75">
      <c r="A2248" s="106">
        <v>42670</v>
      </c>
      <c r="B2248" s="107">
        <v>142.75</v>
      </c>
      <c r="C2248" s="52"/>
      <c r="D2248" s="52"/>
      <c r="E2248" s="52"/>
      <c r="F2248" s="52"/>
      <c r="G2248" s="52"/>
      <c r="H2248" s="52"/>
    </row>
    <row r="2249" spans="1:8" ht="15.75">
      <c r="A2249" s="106">
        <v>42671</v>
      </c>
      <c r="B2249" s="107">
        <v>142.56</v>
      </c>
      <c r="C2249" s="52"/>
      <c r="D2249" s="52"/>
      <c r="E2249" s="52"/>
      <c r="F2249" s="52"/>
      <c r="G2249" s="52"/>
      <c r="H2249" s="52"/>
    </row>
    <row r="2250" spans="1:8" ht="15.75">
      <c r="A2250" s="106">
        <v>42674</v>
      </c>
      <c r="B2250" s="107">
        <v>142.59</v>
      </c>
      <c r="C2250" s="52"/>
      <c r="D2250" s="52"/>
      <c r="E2250" s="52"/>
      <c r="F2250" s="52"/>
      <c r="G2250" s="52"/>
      <c r="H2250" s="52"/>
    </row>
    <row r="2251" spans="1:8" ht="15.75">
      <c r="A2251" s="106">
        <v>42675</v>
      </c>
      <c r="B2251" s="107">
        <v>142.41999999999999</v>
      </c>
      <c r="C2251" s="52"/>
      <c r="D2251" s="52"/>
      <c r="E2251" s="52"/>
      <c r="F2251" s="52"/>
      <c r="G2251" s="52"/>
      <c r="H2251" s="52"/>
    </row>
    <row r="2252" spans="1:8" ht="15.75">
      <c r="A2252" s="106">
        <v>42676</v>
      </c>
      <c r="B2252" s="107">
        <v>142.81</v>
      </c>
      <c r="C2252" s="52"/>
      <c r="D2252" s="52"/>
      <c r="E2252" s="52"/>
      <c r="F2252" s="52"/>
      <c r="G2252" s="52"/>
      <c r="H2252" s="52"/>
    </row>
    <row r="2253" spans="1:8" ht="15.75">
      <c r="A2253" s="106">
        <v>42677</v>
      </c>
      <c r="B2253" s="107">
        <v>142.6</v>
      </c>
      <c r="C2253" s="52"/>
      <c r="D2253" s="52"/>
      <c r="E2253" s="52"/>
      <c r="F2253" s="52"/>
      <c r="G2253" s="52"/>
      <c r="H2253" s="52"/>
    </row>
    <row r="2254" spans="1:8" ht="15.75">
      <c r="A2254" s="106">
        <v>42678</v>
      </c>
      <c r="B2254" s="107">
        <v>142.68</v>
      </c>
      <c r="C2254" s="52"/>
      <c r="D2254" s="52"/>
      <c r="E2254" s="52"/>
      <c r="F2254" s="52"/>
      <c r="G2254" s="52"/>
      <c r="H2254" s="52"/>
    </row>
    <row r="2255" spans="1:8" ht="15.75">
      <c r="A2255" s="106">
        <v>42681</v>
      </c>
      <c r="B2255" s="107">
        <v>142.66</v>
      </c>
      <c r="C2255" s="52"/>
      <c r="D2255" s="52"/>
      <c r="E2255" s="52"/>
      <c r="F2255" s="52"/>
      <c r="G2255" s="52"/>
      <c r="H2255" s="52"/>
    </row>
    <row r="2256" spans="1:8" ht="15.75">
      <c r="A2256" s="106">
        <v>42682</v>
      </c>
      <c r="B2256" s="107">
        <v>142.68</v>
      </c>
      <c r="C2256" s="52"/>
      <c r="D2256" s="52"/>
      <c r="E2256" s="52"/>
      <c r="F2256" s="52"/>
      <c r="G2256" s="52"/>
      <c r="H2256" s="52"/>
    </row>
    <row r="2257" spans="1:8" ht="15.75">
      <c r="A2257" s="106">
        <v>42683</v>
      </c>
      <c r="B2257" s="107">
        <v>142.58000000000001</v>
      </c>
      <c r="C2257" s="52"/>
      <c r="D2257" s="52"/>
      <c r="E2257" s="52"/>
      <c r="F2257" s="52"/>
      <c r="G2257" s="52"/>
      <c r="H2257" s="52"/>
    </row>
    <row r="2258" spans="1:8" ht="15.75">
      <c r="A2258" s="106">
        <v>42684</v>
      </c>
      <c r="B2258" s="107">
        <v>142.19</v>
      </c>
      <c r="C2258" s="52"/>
      <c r="D2258" s="52"/>
      <c r="E2258" s="52"/>
      <c r="F2258" s="52"/>
      <c r="G2258" s="52"/>
      <c r="H2258" s="52"/>
    </row>
    <row r="2259" spans="1:8" ht="15.75">
      <c r="A2259" s="106">
        <v>42685</v>
      </c>
      <c r="B2259" s="107">
        <v>141.71</v>
      </c>
      <c r="C2259" s="52"/>
      <c r="D2259" s="52"/>
      <c r="E2259" s="52"/>
      <c r="F2259" s="52"/>
      <c r="G2259" s="52"/>
      <c r="H2259" s="52"/>
    </row>
    <row r="2260" spans="1:8" ht="15.75">
      <c r="A2260" s="106">
        <v>42688</v>
      </c>
      <c r="B2260" s="107">
        <v>141.47</v>
      </c>
      <c r="C2260" s="52"/>
      <c r="D2260" s="52"/>
      <c r="E2260" s="52"/>
      <c r="F2260" s="52"/>
      <c r="G2260" s="52"/>
      <c r="H2260" s="52"/>
    </row>
    <row r="2261" spans="1:8" ht="15.75">
      <c r="A2261" s="106">
        <v>42689</v>
      </c>
      <c r="B2261" s="107">
        <v>141.74</v>
      </c>
      <c r="C2261" s="52"/>
      <c r="D2261" s="52"/>
      <c r="E2261" s="52"/>
      <c r="F2261" s="52"/>
      <c r="G2261" s="52"/>
      <c r="H2261" s="52"/>
    </row>
    <row r="2262" spans="1:8" ht="15.75">
      <c r="A2262" s="106">
        <v>42690</v>
      </c>
      <c r="B2262" s="107">
        <v>141.54</v>
      </c>
      <c r="C2262" s="52"/>
      <c r="D2262" s="52"/>
      <c r="E2262" s="52"/>
      <c r="F2262" s="52"/>
      <c r="G2262" s="52"/>
      <c r="H2262" s="52"/>
    </row>
    <row r="2263" spans="1:8" ht="15.75">
      <c r="A2263" s="106">
        <v>42691</v>
      </c>
      <c r="B2263" s="107">
        <v>141.69999999999999</v>
      </c>
      <c r="C2263" s="52"/>
      <c r="D2263" s="52"/>
      <c r="E2263" s="52"/>
      <c r="F2263" s="52"/>
      <c r="G2263" s="52"/>
      <c r="H2263" s="52"/>
    </row>
    <row r="2264" spans="1:8" ht="15.75">
      <c r="A2264" s="106">
        <v>42692</v>
      </c>
      <c r="B2264" s="107">
        <v>141.58000000000001</v>
      </c>
      <c r="C2264" s="52"/>
      <c r="D2264" s="52"/>
      <c r="E2264" s="52"/>
      <c r="F2264" s="52"/>
      <c r="G2264" s="52"/>
      <c r="H2264" s="52"/>
    </row>
    <row r="2265" spans="1:8" ht="15.75">
      <c r="A2265" s="106">
        <v>42695</v>
      </c>
      <c r="B2265" s="107">
        <v>141.72</v>
      </c>
      <c r="C2265" s="52"/>
      <c r="D2265" s="52"/>
      <c r="E2265" s="52"/>
      <c r="F2265" s="52"/>
      <c r="G2265" s="52"/>
      <c r="H2265" s="52"/>
    </row>
    <row r="2266" spans="1:8" ht="15.75">
      <c r="A2266" s="106">
        <v>42696</v>
      </c>
      <c r="B2266" s="107">
        <v>142.04</v>
      </c>
      <c r="C2266" s="52"/>
      <c r="D2266" s="52"/>
      <c r="E2266" s="52"/>
      <c r="F2266" s="52"/>
      <c r="G2266" s="52"/>
      <c r="H2266" s="52"/>
    </row>
    <row r="2267" spans="1:8" ht="15.75">
      <c r="A2267" s="106">
        <v>42697</v>
      </c>
      <c r="B2267" s="107">
        <v>142.25</v>
      </c>
      <c r="C2267" s="52"/>
      <c r="D2267" s="52"/>
      <c r="E2267" s="52"/>
      <c r="F2267" s="52"/>
      <c r="G2267" s="52"/>
      <c r="H2267" s="52"/>
    </row>
    <row r="2268" spans="1:8" ht="15.75">
      <c r="A2268" s="106">
        <v>42698</v>
      </c>
      <c r="B2268" s="107">
        <v>142.08000000000001</v>
      </c>
      <c r="C2268" s="52"/>
      <c r="D2268" s="52"/>
      <c r="E2268" s="52"/>
      <c r="F2268" s="52"/>
      <c r="G2268" s="52"/>
      <c r="H2268" s="52"/>
    </row>
    <row r="2269" spans="1:8" ht="15.75">
      <c r="A2269" s="106">
        <v>42699</v>
      </c>
      <c r="B2269" s="107">
        <v>142.16999999999999</v>
      </c>
      <c r="C2269" s="52"/>
      <c r="D2269" s="52"/>
      <c r="E2269" s="52"/>
      <c r="F2269" s="52"/>
      <c r="G2269" s="52"/>
      <c r="H2269" s="52"/>
    </row>
    <row r="2270" spans="1:8" ht="15.75">
      <c r="A2270" s="106">
        <v>42702</v>
      </c>
      <c r="B2270" s="107">
        <v>142.34</v>
      </c>
      <c r="C2270" s="52"/>
      <c r="D2270" s="52"/>
      <c r="E2270" s="52"/>
      <c r="F2270" s="52"/>
      <c r="G2270" s="52"/>
      <c r="H2270" s="52"/>
    </row>
    <row r="2271" spans="1:8" ht="15.75">
      <c r="A2271" s="106">
        <v>42703</v>
      </c>
      <c r="B2271" s="107">
        <v>142.43</v>
      </c>
      <c r="C2271" s="52"/>
      <c r="D2271" s="52"/>
      <c r="E2271" s="52"/>
      <c r="F2271" s="52"/>
      <c r="G2271" s="52"/>
      <c r="H2271" s="52"/>
    </row>
    <row r="2272" spans="1:8" ht="15.75">
      <c r="A2272" s="106">
        <v>42704</v>
      </c>
      <c r="B2272" s="107">
        <v>142.37</v>
      </c>
      <c r="C2272" s="52"/>
      <c r="D2272" s="52"/>
      <c r="E2272" s="52"/>
      <c r="F2272" s="52"/>
      <c r="G2272" s="52"/>
      <c r="H2272" s="52"/>
    </row>
    <row r="2273" spans="1:8" ht="15.75">
      <c r="A2273" s="106">
        <v>42705</v>
      </c>
      <c r="B2273" s="107">
        <v>141.87</v>
      </c>
      <c r="C2273" s="52"/>
      <c r="D2273" s="52"/>
      <c r="E2273" s="52"/>
      <c r="F2273" s="52"/>
      <c r="G2273" s="52"/>
      <c r="H2273" s="52"/>
    </row>
    <row r="2274" spans="1:8" ht="15.75">
      <c r="A2274" s="106">
        <v>42706</v>
      </c>
      <c r="B2274" s="107">
        <v>141.78</v>
      </c>
      <c r="C2274" s="52"/>
      <c r="D2274" s="52"/>
      <c r="E2274" s="52"/>
      <c r="F2274" s="52"/>
      <c r="G2274" s="52"/>
      <c r="H2274" s="52"/>
    </row>
    <row r="2275" spans="1:8" ht="15.75">
      <c r="A2275" s="106">
        <v>42709</v>
      </c>
      <c r="B2275" s="107">
        <v>141.81</v>
      </c>
      <c r="C2275" s="52"/>
      <c r="D2275" s="52"/>
      <c r="E2275" s="52"/>
      <c r="F2275" s="52"/>
      <c r="G2275" s="52"/>
      <c r="H2275" s="52"/>
    </row>
    <row r="2276" spans="1:8" ht="15.75">
      <c r="A2276" s="106">
        <v>42710</v>
      </c>
      <c r="B2276" s="107">
        <v>141.66999999999999</v>
      </c>
      <c r="C2276" s="52"/>
      <c r="D2276" s="52"/>
      <c r="E2276" s="52"/>
      <c r="F2276" s="52"/>
      <c r="G2276" s="52"/>
      <c r="H2276" s="52"/>
    </row>
    <row r="2277" spans="1:8" ht="15.75">
      <c r="A2277" s="106">
        <v>42711</v>
      </c>
      <c r="B2277" s="107">
        <v>141.54</v>
      </c>
      <c r="C2277" s="52"/>
      <c r="D2277" s="52"/>
      <c r="E2277" s="52"/>
      <c r="F2277" s="52"/>
      <c r="G2277" s="52"/>
      <c r="H2277" s="52"/>
    </row>
    <row r="2278" spans="1:8" ht="15.75">
      <c r="A2278" s="106">
        <v>42712</v>
      </c>
      <c r="B2278" s="107">
        <v>141.32</v>
      </c>
      <c r="C2278" s="52"/>
      <c r="D2278" s="52"/>
      <c r="E2278" s="52"/>
      <c r="F2278" s="52"/>
      <c r="G2278" s="52"/>
      <c r="H2278" s="52"/>
    </row>
    <row r="2279" spans="1:8" ht="15.75">
      <c r="A2279" s="106">
        <v>42713</v>
      </c>
      <c r="B2279" s="107">
        <v>141.66</v>
      </c>
      <c r="C2279" s="52"/>
      <c r="D2279" s="52"/>
      <c r="E2279" s="52"/>
      <c r="F2279" s="52"/>
      <c r="G2279" s="52"/>
      <c r="H2279" s="52"/>
    </row>
    <row r="2280" spans="1:8" ht="15.75">
      <c r="A2280" s="106">
        <v>42716</v>
      </c>
      <c r="B2280" s="107">
        <v>141.58000000000001</v>
      </c>
      <c r="C2280" s="52"/>
      <c r="D2280" s="52"/>
      <c r="E2280" s="52"/>
      <c r="F2280" s="52"/>
      <c r="G2280" s="52"/>
      <c r="H2280" s="52"/>
    </row>
    <row r="2281" spans="1:8" ht="15.75">
      <c r="A2281" s="106">
        <v>42717</v>
      </c>
      <c r="B2281" s="107">
        <v>141.66</v>
      </c>
      <c r="C2281" s="52"/>
      <c r="D2281" s="52"/>
      <c r="E2281" s="52"/>
      <c r="F2281" s="52"/>
      <c r="G2281" s="52"/>
      <c r="H2281" s="52"/>
    </row>
    <row r="2282" spans="1:8" ht="15.75">
      <c r="A2282" s="106">
        <v>42718</v>
      </c>
      <c r="B2282" s="107">
        <v>141.85</v>
      </c>
      <c r="C2282" s="52"/>
      <c r="D2282" s="52"/>
      <c r="E2282" s="52"/>
      <c r="F2282" s="52"/>
      <c r="G2282" s="52"/>
      <c r="H2282" s="52"/>
    </row>
    <row r="2283" spans="1:8" ht="15.75">
      <c r="A2283" s="106">
        <v>42719</v>
      </c>
      <c r="B2283" s="107">
        <v>141.72</v>
      </c>
      <c r="C2283" s="52"/>
      <c r="D2283" s="52"/>
      <c r="E2283" s="52"/>
      <c r="F2283" s="52"/>
      <c r="G2283" s="52"/>
      <c r="H2283" s="52"/>
    </row>
    <row r="2284" spans="1:8" ht="15.75">
      <c r="A2284" s="106">
        <v>42720</v>
      </c>
      <c r="B2284" s="107">
        <v>141.94999999999999</v>
      </c>
      <c r="C2284" s="52"/>
      <c r="D2284" s="52"/>
      <c r="E2284" s="52"/>
      <c r="F2284" s="52"/>
      <c r="G2284" s="52"/>
      <c r="H2284" s="52"/>
    </row>
    <row r="2285" spans="1:8" ht="15.75">
      <c r="A2285" s="106">
        <v>42723</v>
      </c>
      <c r="B2285" s="107">
        <v>141.96</v>
      </c>
      <c r="C2285" s="52"/>
      <c r="D2285" s="52"/>
      <c r="E2285" s="52"/>
      <c r="F2285" s="52"/>
      <c r="G2285" s="52"/>
      <c r="H2285" s="52"/>
    </row>
    <row r="2286" spans="1:8" ht="15.75">
      <c r="A2286" s="106">
        <v>42724</v>
      </c>
      <c r="B2286" s="107">
        <v>142.16999999999999</v>
      </c>
      <c r="C2286" s="52"/>
      <c r="D2286" s="52"/>
      <c r="E2286" s="52"/>
      <c r="F2286" s="52"/>
      <c r="G2286" s="52"/>
      <c r="H2286" s="52"/>
    </row>
    <row r="2287" spans="1:8" ht="15.75">
      <c r="A2287" s="106">
        <v>42725</v>
      </c>
      <c r="B2287" s="107">
        <v>142.11000000000001</v>
      </c>
      <c r="C2287" s="52"/>
      <c r="D2287" s="52"/>
      <c r="E2287" s="52"/>
      <c r="F2287" s="52"/>
      <c r="G2287" s="52"/>
      <c r="H2287" s="52"/>
    </row>
    <row r="2288" spans="1:8" ht="15.75">
      <c r="A2288" s="106">
        <v>42726</v>
      </c>
      <c r="B2288" s="107">
        <v>142.01</v>
      </c>
      <c r="C2288" s="52"/>
      <c r="D2288" s="52"/>
      <c r="E2288" s="52"/>
      <c r="F2288" s="52"/>
      <c r="G2288" s="52"/>
      <c r="H2288" s="52"/>
    </row>
    <row r="2289" spans="1:8" ht="15.75">
      <c r="A2289" s="106">
        <v>42727</v>
      </c>
      <c r="B2289" s="107">
        <v>142.03</v>
      </c>
      <c r="C2289" s="52"/>
      <c r="D2289" s="52"/>
      <c r="E2289" s="52"/>
      <c r="F2289" s="52"/>
      <c r="G2289" s="52"/>
      <c r="H2289" s="52"/>
    </row>
    <row r="2290" spans="1:8" ht="15.75">
      <c r="A2290" s="106">
        <v>42731</v>
      </c>
      <c r="B2290" s="107">
        <v>142.25</v>
      </c>
      <c r="C2290" s="52"/>
      <c r="D2290" s="52"/>
      <c r="E2290" s="52"/>
      <c r="F2290" s="52"/>
      <c r="G2290" s="52"/>
      <c r="H2290" s="52"/>
    </row>
    <row r="2291" spans="1:8" ht="15.75">
      <c r="A2291" s="106">
        <v>42732</v>
      </c>
      <c r="B2291" s="107">
        <v>142.49</v>
      </c>
      <c r="C2291" s="52"/>
      <c r="D2291" s="52"/>
      <c r="E2291" s="52"/>
      <c r="F2291" s="52"/>
      <c r="G2291" s="52"/>
      <c r="H2291" s="52"/>
    </row>
    <row r="2292" spans="1:8" ht="15.75">
      <c r="A2292" s="106">
        <v>42733</v>
      </c>
      <c r="B2292" s="107">
        <v>142.46</v>
      </c>
      <c r="C2292" s="52"/>
      <c r="D2292" s="52"/>
      <c r="E2292" s="52"/>
      <c r="F2292" s="52"/>
      <c r="G2292" s="52"/>
      <c r="H2292" s="52"/>
    </row>
    <row r="2293" spans="1:8" ht="15.75">
      <c r="A2293" s="106">
        <v>42734</v>
      </c>
      <c r="B2293" s="107">
        <v>142.5</v>
      </c>
      <c r="C2293" s="52"/>
      <c r="D2293" s="52"/>
      <c r="E2293" s="52"/>
      <c r="F2293" s="52"/>
      <c r="G2293" s="52"/>
      <c r="H2293" s="52"/>
    </row>
    <row r="2294" spans="1:8" ht="15.75">
      <c r="A2294" s="106">
        <v>42737</v>
      </c>
      <c r="B2294" s="107">
        <v>142.59</v>
      </c>
      <c r="C2294" s="52"/>
      <c r="D2294" s="52"/>
      <c r="E2294" s="52"/>
      <c r="F2294" s="52"/>
      <c r="G2294" s="52"/>
      <c r="H2294" s="52"/>
    </row>
    <row r="2295" spans="1:8" ht="15.75">
      <c r="A2295" s="106">
        <v>42738</v>
      </c>
      <c r="B2295" s="107">
        <v>142.21</v>
      </c>
      <c r="C2295" s="52"/>
      <c r="D2295" s="52"/>
      <c r="E2295" s="52"/>
      <c r="F2295" s="52"/>
      <c r="G2295" s="52"/>
      <c r="H2295" s="52"/>
    </row>
    <row r="2296" spans="1:8" ht="15.75">
      <c r="A2296" s="106">
        <v>42739</v>
      </c>
      <c r="B2296" s="107">
        <v>142.06</v>
      </c>
      <c r="C2296" s="52"/>
      <c r="D2296" s="52"/>
      <c r="E2296" s="52"/>
      <c r="F2296" s="52"/>
      <c r="G2296" s="52"/>
      <c r="H2296" s="52"/>
    </row>
    <row r="2297" spans="1:8" ht="15.75">
      <c r="A2297" s="106">
        <v>42740</v>
      </c>
      <c r="B2297" s="107">
        <v>142.05000000000001</v>
      </c>
      <c r="C2297" s="52"/>
      <c r="D2297" s="52"/>
      <c r="E2297" s="52"/>
      <c r="F2297" s="52"/>
      <c r="G2297" s="52"/>
      <c r="H2297" s="52"/>
    </row>
    <row r="2298" spans="1:8" ht="15.75">
      <c r="A2298" s="106">
        <v>42741</v>
      </c>
      <c r="B2298" s="107">
        <v>142</v>
      </c>
      <c r="C2298" s="52"/>
      <c r="D2298" s="52"/>
      <c r="E2298" s="52"/>
      <c r="F2298" s="52"/>
      <c r="G2298" s="52"/>
      <c r="H2298" s="52"/>
    </row>
    <row r="2299" spans="1:8" ht="15.75">
      <c r="A2299" s="106">
        <v>42744</v>
      </c>
      <c r="B2299" s="107">
        <v>141.88</v>
      </c>
      <c r="C2299" s="52"/>
      <c r="D2299" s="52"/>
      <c r="E2299" s="52"/>
      <c r="F2299" s="52"/>
      <c r="G2299" s="52"/>
      <c r="H2299" s="52"/>
    </row>
    <row r="2300" spans="1:8" ht="15.75">
      <c r="A2300" s="106">
        <v>42745</v>
      </c>
      <c r="B2300" s="107">
        <v>141.94</v>
      </c>
      <c r="C2300" s="52"/>
      <c r="D2300" s="52"/>
      <c r="E2300" s="52"/>
      <c r="F2300" s="52"/>
      <c r="G2300" s="52"/>
      <c r="H2300" s="52"/>
    </row>
    <row r="2301" spans="1:8" ht="15.75">
      <c r="A2301" s="106">
        <v>42746</v>
      </c>
      <c r="B2301" s="107">
        <v>141.88999999999999</v>
      </c>
      <c r="C2301" s="52"/>
      <c r="D2301" s="52"/>
      <c r="E2301" s="52"/>
      <c r="F2301" s="52"/>
      <c r="G2301" s="52"/>
      <c r="H2301" s="52"/>
    </row>
    <row r="2302" spans="1:8" ht="15.75">
      <c r="A2302" s="106">
        <v>42747</v>
      </c>
      <c r="B2302" s="107">
        <v>142.13999999999999</v>
      </c>
      <c r="C2302" s="52"/>
      <c r="D2302" s="52"/>
      <c r="E2302" s="52"/>
      <c r="F2302" s="52"/>
      <c r="G2302" s="52"/>
      <c r="H2302" s="52"/>
    </row>
    <row r="2303" spans="1:8" ht="15.75">
      <c r="A2303" s="106">
        <v>42748</v>
      </c>
      <c r="B2303" s="107">
        <v>142.16999999999999</v>
      </c>
      <c r="C2303" s="52"/>
      <c r="D2303" s="52"/>
      <c r="E2303" s="52"/>
      <c r="F2303" s="52"/>
      <c r="G2303" s="52"/>
      <c r="H2303" s="52"/>
    </row>
    <row r="2304" spans="1:8" ht="15.75">
      <c r="A2304" s="106">
        <v>42751</v>
      </c>
      <c r="B2304" s="107">
        <v>142.37</v>
      </c>
      <c r="C2304" s="52"/>
      <c r="D2304" s="52"/>
      <c r="E2304" s="52"/>
      <c r="F2304" s="52"/>
      <c r="G2304" s="52"/>
      <c r="H2304" s="52"/>
    </row>
    <row r="2305" spans="1:8" ht="15.75">
      <c r="A2305" s="106">
        <v>42752</v>
      </c>
      <c r="B2305" s="107">
        <v>142.59</v>
      </c>
      <c r="C2305" s="52"/>
      <c r="D2305" s="52"/>
      <c r="E2305" s="52"/>
      <c r="F2305" s="52"/>
      <c r="G2305" s="52"/>
      <c r="H2305" s="52"/>
    </row>
    <row r="2306" spans="1:8" ht="15.75">
      <c r="A2306" s="106">
        <v>42753</v>
      </c>
      <c r="B2306" s="107">
        <v>142.34</v>
      </c>
      <c r="C2306" s="52"/>
      <c r="D2306" s="52"/>
      <c r="E2306" s="52"/>
      <c r="F2306" s="52"/>
      <c r="G2306" s="52"/>
      <c r="H2306" s="52"/>
    </row>
    <row r="2307" spans="1:8" ht="15.75">
      <c r="A2307" s="106">
        <v>42754</v>
      </c>
      <c r="B2307" s="107">
        <v>142</v>
      </c>
      <c r="C2307" s="52"/>
      <c r="D2307" s="52"/>
      <c r="E2307" s="52"/>
      <c r="F2307" s="52"/>
      <c r="G2307" s="52"/>
      <c r="H2307" s="52"/>
    </row>
    <row r="2308" spans="1:8" ht="15.75">
      <c r="A2308" s="106">
        <v>42755</v>
      </c>
      <c r="B2308" s="107">
        <v>141.88</v>
      </c>
      <c r="C2308" s="52"/>
      <c r="D2308" s="52"/>
      <c r="E2308" s="52"/>
      <c r="F2308" s="52"/>
      <c r="G2308" s="52"/>
      <c r="H2308" s="52"/>
    </row>
    <row r="2309" spans="1:8" ht="15.75">
      <c r="A2309" s="106">
        <v>42758</v>
      </c>
      <c r="B2309" s="107">
        <v>141.80000000000001</v>
      </c>
      <c r="C2309" s="52"/>
      <c r="D2309" s="52"/>
      <c r="E2309" s="52"/>
      <c r="F2309" s="52"/>
      <c r="G2309" s="52"/>
      <c r="H2309" s="52"/>
    </row>
    <row r="2310" spans="1:8" ht="15.75">
      <c r="A2310" s="106">
        <v>42759</v>
      </c>
      <c r="B2310" s="107">
        <v>141.93</v>
      </c>
      <c r="C2310" s="52"/>
      <c r="D2310" s="52"/>
      <c r="E2310" s="52"/>
      <c r="F2310" s="52"/>
      <c r="G2310" s="52"/>
      <c r="H2310" s="52"/>
    </row>
    <row r="2311" spans="1:8" ht="15.75">
      <c r="A2311" s="106">
        <v>42760</v>
      </c>
      <c r="B2311" s="107">
        <v>141.58000000000001</v>
      </c>
      <c r="C2311" s="52"/>
      <c r="D2311" s="52"/>
      <c r="E2311" s="52"/>
      <c r="F2311" s="52"/>
      <c r="G2311" s="52"/>
      <c r="H2311" s="52"/>
    </row>
    <row r="2312" spans="1:8" ht="15.75">
      <c r="A2312" s="106">
        <v>42761</v>
      </c>
      <c r="B2312" s="107">
        <v>141.26</v>
      </c>
      <c r="C2312" s="52"/>
      <c r="D2312" s="52"/>
      <c r="E2312" s="52"/>
      <c r="F2312" s="52"/>
      <c r="G2312" s="52"/>
      <c r="H2312" s="52"/>
    </row>
    <row r="2313" spans="1:8" ht="15.75">
      <c r="A2313" s="106">
        <v>42762</v>
      </c>
      <c r="B2313" s="107">
        <v>141.36000000000001</v>
      </c>
      <c r="C2313" s="52"/>
      <c r="D2313" s="52"/>
      <c r="E2313" s="52"/>
      <c r="F2313" s="52"/>
      <c r="G2313" s="52"/>
      <c r="H2313" s="52"/>
    </row>
    <row r="2314" spans="1:8" ht="15.75">
      <c r="A2314" s="106">
        <v>42765</v>
      </c>
      <c r="B2314" s="107">
        <v>141.28</v>
      </c>
      <c r="C2314" s="52"/>
      <c r="D2314" s="52"/>
      <c r="E2314" s="52"/>
      <c r="F2314" s="52"/>
      <c r="G2314" s="52"/>
      <c r="H2314" s="52"/>
    </row>
    <row r="2315" spans="1:8" ht="15.75">
      <c r="A2315" s="106">
        <v>42766</v>
      </c>
      <c r="B2315" s="107">
        <v>141.33000000000001</v>
      </c>
      <c r="C2315" s="52"/>
      <c r="D2315" s="52"/>
      <c r="E2315" s="52"/>
      <c r="F2315" s="52"/>
      <c r="G2315" s="52"/>
      <c r="H2315" s="52"/>
    </row>
    <row r="2316" spans="1:8" ht="15.75">
      <c r="A2316" s="106">
        <v>42767</v>
      </c>
      <c r="B2316" s="107">
        <v>141.46</v>
      </c>
      <c r="C2316" s="52"/>
      <c r="D2316" s="52"/>
      <c r="E2316" s="52"/>
      <c r="F2316" s="52"/>
      <c r="G2316" s="52"/>
      <c r="H2316" s="52"/>
    </row>
    <row r="2317" spans="1:8" ht="15.75">
      <c r="A2317" s="106">
        <v>42768</v>
      </c>
      <c r="B2317" s="107">
        <v>141.54</v>
      </c>
      <c r="C2317" s="52"/>
      <c r="D2317" s="52"/>
      <c r="E2317" s="52"/>
      <c r="F2317" s="52"/>
      <c r="G2317" s="52"/>
      <c r="H2317" s="52"/>
    </row>
    <row r="2318" spans="1:8" ht="15.75">
      <c r="A2318" s="106">
        <v>42769</v>
      </c>
      <c r="B2318" s="107">
        <v>141.65</v>
      </c>
      <c r="C2318" s="52"/>
      <c r="D2318" s="52"/>
      <c r="E2318" s="52"/>
      <c r="F2318" s="52"/>
      <c r="G2318" s="52"/>
      <c r="H2318" s="52"/>
    </row>
    <row r="2319" spans="1:8" ht="15.75">
      <c r="A2319" s="106">
        <v>42772</v>
      </c>
      <c r="B2319" s="107">
        <v>141.91999999999999</v>
      </c>
      <c r="C2319" s="52"/>
      <c r="D2319" s="52"/>
      <c r="E2319" s="52"/>
      <c r="F2319" s="52"/>
      <c r="G2319" s="52"/>
      <c r="H2319" s="52"/>
    </row>
    <row r="2320" spans="1:8" ht="15.75">
      <c r="A2320" s="106">
        <v>42773</v>
      </c>
      <c r="B2320" s="107">
        <v>142.22999999999999</v>
      </c>
      <c r="C2320" s="52"/>
      <c r="D2320" s="52"/>
      <c r="E2320" s="52"/>
      <c r="F2320" s="52"/>
      <c r="G2320" s="52"/>
      <c r="H2320" s="52"/>
    </row>
    <row r="2321" spans="1:8" ht="15.75">
      <c r="A2321" s="106">
        <v>42774</v>
      </c>
      <c r="B2321" s="107">
        <v>142.28</v>
      </c>
      <c r="C2321" s="52"/>
      <c r="D2321" s="52"/>
      <c r="E2321" s="52"/>
      <c r="F2321" s="52"/>
      <c r="G2321" s="52"/>
      <c r="H2321" s="52"/>
    </row>
    <row r="2322" spans="1:8" ht="15.75">
      <c r="A2322" s="106">
        <v>42775</v>
      </c>
      <c r="B2322" s="107">
        <v>142.46</v>
      </c>
      <c r="C2322" s="52"/>
      <c r="D2322" s="52"/>
      <c r="E2322" s="52"/>
      <c r="F2322" s="52"/>
      <c r="G2322" s="52"/>
      <c r="H2322" s="52"/>
    </row>
    <row r="2323" spans="1:8" ht="15.75">
      <c r="A2323" s="106">
        <v>42776</v>
      </c>
      <c r="B2323" s="107">
        <v>142.41</v>
      </c>
      <c r="C2323" s="52"/>
      <c r="D2323" s="52"/>
      <c r="E2323" s="52"/>
      <c r="F2323" s="52"/>
      <c r="G2323" s="52"/>
      <c r="H2323" s="52"/>
    </row>
    <row r="2324" spans="1:8" ht="15.75">
      <c r="A2324" s="106">
        <v>42779</v>
      </c>
      <c r="B2324" s="107">
        <v>142.37</v>
      </c>
      <c r="C2324" s="52"/>
      <c r="D2324" s="52"/>
      <c r="E2324" s="52"/>
      <c r="F2324" s="52"/>
      <c r="G2324" s="52"/>
      <c r="H2324" s="52"/>
    </row>
    <row r="2325" spans="1:8" ht="15.75">
      <c r="A2325" s="106">
        <v>42780</v>
      </c>
      <c r="B2325" s="107">
        <v>142.38</v>
      </c>
      <c r="C2325" s="52"/>
      <c r="D2325" s="52"/>
      <c r="E2325" s="52"/>
      <c r="F2325" s="52"/>
      <c r="G2325" s="52"/>
      <c r="H2325" s="52"/>
    </row>
    <row r="2326" spans="1:8" ht="15.75">
      <c r="A2326" s="106">
        <v>42781</v>
      </c>
      <c r="B2326" s="107">
        <v>142.21</v>
      </c>
      <c r="C2326" s="52"/>
      <c r="D2326" s="52"/>
      <c r="E2326" s="52"/>
      <c r="F2326" s="52"/>
      <c r="G2326" s="52"/>
      <c r="H2326" s="52"/>
    </row>
    <row r="2327" spans="1:8" ht="15.75">
      <c r="A2327" s="106">
        <v>42782</v>
      </c>
      <c r="B2327" s="107">
        <v>142.22</v>
      </c>
      <c r="C2327" s="52"/>
      <c r="D2327" s="52"/>
      <c r="E2327" s="52"/>
      <c r="F2327" s="52"/>
      <c r="G2327" s="52"/>
      <c r="H2327" s="52"/>
    </row>
    <row r="2328" spans="1:8" ht="15.75">
      <c r="A2328" s="106">
        <v>42783</v>
      </c>
      <c r="B2328" s="107">
        <v>142.6</v>
      </c>
      <c r="C2328" s="52"/>
      <c r="D2328" s="52"/>
      <c r="E2328" s="52"/>
      <c r="F2328" s="52"/>
      <c r="G2328" s="52"/>
      <c r="H2328" s="52"/>
    </row>
    <row r="2329" spans="1:8" ht="15.75">
      <c r="A2329" s="106">
        <v>42786</v>
      </c>
      <c r="B2329" s="107">
        <v>142.6</v>
      </c>
      <c r="C2329" s="52"/>
      <c r="D2329" s="52"/>
      <c r="E2329" s="52"/>
      <c r="F2329" s="52"/>
      <c r="G2329" s="52"/>
      <c r="H2329" s="52"/>
    </row>
    <row r="2330" spans="1:8" ht="15.75">
      <c r="A2330" s="106">
        <v>42787</v>
      </c>
      <c r="B2330" s="107">
        <v>142.61000000000001</v>
      </c>
      <c r="C2330" s="52"/>
      <c r="D2330" s="52"/>
      <c r="E2330" s="52"/>
      <c r="F2330" s="52"/>
      <c r="G2330" s="52"/>
      <c r="H2330" s="52"/>
    </row>
    <row r="2331" spans="1:8" ht="15.75">
      <c r="A2331" s="106">
        <v>42788</v>
      </c>
      <c r="B2331" s="107">
        <v>142.97</v>
      </c>
      <c r="C2331" s="52"/>
      <c r="D2331" s="52"/>
      <c r="E2331" s="52"/>
      <c r="F2331" s="52"/>
      <c r="G2331" s="52"/>
      <c r="H2331" s="52"/>
    </row>
    <row r="2332" spans="1:8" ht="15.75">
      <c r="A2332" s="106">
        <v>42789</v>
      </c>
      <c r="B2332" s="107">
        <v>142.97999999999999</v>
      </c>
      <c r="C2332" s="52"/>
      <c r="D2332" s="52"/>
      <c r="E2332" s="52"/>
      <c r="F2332" s="52"/>
      <c r="G2332" s="52"/>
      <c r="H2332" s="52"/>
    </row>
    <row r="2333" spans="1:8" ht="15.75">
      <c r="A2333" s="106">
        <v>42790</v>
      </c>
      <c r="B2333" s="107">
        <v>143.37</v>
      </c>
      <c r="C2333" s="52"/>
      <c r="D2333" s="52"/>
      <c r="E2333" s="52"/>
      <c r="F2333" s="52"/>
      <c r="G2333" s="52"/>
      <c r="H2333" s="52"/>
    </row>
    <row r="2334" spans="1:8" ht="15.75">
      <c r="A2334" s="106">
        <v>42793</v>
      </c>
      <c r="B2334" s="107">
        <v>143.43</v>
      </c>
      <c r="C2334" s="52"/>
      <c r="D2334" s="52"/>
      <c r="E2334" s="52"/>
      <c r="F2334" s="52"/>
      <c r="G2334" s="52"/>
      <c r="H2334" s="52"/>
    </row>
    <row r="2335" spans="1:8" ht="15.75">
      <c r="A2335" s="106">
        <v>42794</v>
      </c>
      <c r="B2335" s="107">
        <v>143.32</v>
      </c>
      <c r="C2335" s="52"/>
      <c r="D2335" s="52"/>
      <c r="E2335" s="52"/>
      <c r="F2335" s="52"/>
      <c r="G2335" s="52"/>
      <c r="H2335" s="52"/>
    </row>
    <row r="2336" spans="1:8" ht="15.75">
      <c r="A2336" s="106">
        <v>42795</v>
      </c>
      <c r="B2336" s="107">
        <v>143.1</v>
      </c>
      <c r="C2336" s="52"/>
      <c r="D2336" s="52"/>
      <c r="E2336" s="52"/>
      <c r="F2336" s="52"/>
      <c r="G2336" s="52"/>
      <c r="H2336" s="52"/>
    </row>
    <row r="2337" spans="1:8" ht="15.75">
      <c r="A2337" s="106">
        <v>42796</v>
      </c>
      <c r="B2337" s="107">
        <v>142.79</v>
      </c>
      <c r="C2337" s="52"/>
      <c r="D2337" s="52"/>
      <c r="E2337" s="52"/>
      <c r="F2337" s="52"/>
      <c r="G2337" s="52"/>
      <c r="H2337" s="52"/>
    </row>
    <row r="2338" spans="1:8" ht="15.75">
      <c r="A2338" s="106">
        <v>42797</v>
      </c>
      <c r="B2338" s="107">
        <v>142.66</v>
      </c>
      <c r="C2338" s="52"/>
      <c r="D2338" s="52"/>
      <c r="E2338" s="52"/>
      <c r="F2338" s="52"/>
      <c r="G2338" s="52"/>
      <c r="H2338" s="52"/>
    </row>
    <row r="2339" spans="1:8" ht="15.75">
      <c r="A2339" s="106">
        <v>42800</v>
      </c>
      <c r="B2339" s="107">
        <v>142.37</v>
      </c>
      <c r="C2339" s="52"/>
      <c r="D2339" s="52"/>
      <c r="E2339" s="52"/>
      <c r="F2339" s="52"/>
      <c r="G2339" s="52"/>
      <c r="H2339" s="52"/>
    </row>
    <row r="2340" spans="1:8" ht="15.75">
      <c r="A2340" s="106">
        <v>42801</v>
      </c>
      <c r="B2340" s="107">
        <v>142.58000000000001</v>
      </c>
      <c r="C2340" s="52"/>
      <c r="D2340" s="52"/>
      <c r="E2340" s="52"/>
      <c r="F2340" s="52"/>
      <c r="G2340" s="52"/>
      <c r="H2340" s="52"/>
    </row>
    <row r="2341" spans="1:8" ht="15.75">
      <c r="A2341" s="106">
        <v>42802</v>
      </c>
      <c r="B2341" s="107">
        <v>142.44</v>
      </c>
      <c r="C2341" s="52"/>
      <c r="D2341" s="52"/>
      <c r="E2341" s="52"/>
      <c r="F2341" s="52"/>
      <c r="G2341" s="52"/>
      <c r="H2341" s="52"/>
    </row>
    <row r="2342" spans="1:8" ht="15.75">
      <c r="A2342" s="106">
        <v>42803</v>
      </c>
      <c r="B2342" s="107">
        <v>142.07</v>
      </c>
      <c r="C2342" s="52"/>
      <c r="D2342" s="52"/>
      <c r="E2342" s="52"/>
      <c r="F2342" s="52"/>
      <c r="G2342" s="52"/>
      <c r="H2342" s="52"/>
    </row>
    <row r="2343" spans="1:8" ht="15.75">
      <c r="A2343" s="106">
        <v>42804</v>
      </c>
      <c r="B2343" s="107">
        <v>141.76</v>
      </c>
      <c r="C2343" s="52"/>
      <c r="D2343" s="52"/>
      <c r="E2343" s="52"/>
      <c r="F2343" s="52"/>
      <c r="G2343" s="52"/>
      <c r="H2343" s="52"/>
    </row>
    <row r="2344" spans="1:8" ht="15.75">
      <c r="A2344" s="106">
        <v>42807</v>
      </c>
      <c r="B2344" s="107">
        <v>141.53</v>
      </c>
      <c r="C2344" s="52"/>
      <c r="D2344" s="52"/>
      <c r="E2344" s="52"/>
      <c r="F2344" s="52"/>
      <c r="G2344" s="52"/>
      <c r="H2344" s="52"/>
    </row>
    <row r="2345" spans="1:8" ht="15.75">
      <c r="A2345" s="106">
        <v>42808</v>
      </c>
      <c r="B2345" s="107">
        <v>141.37</v>
      </c>
      <c r="C2345" s="52"/>
      <c r="D2345" s="52"/>
      <c r="E2345" s="52"/>
      <c r="F2345" s="52"/>
      <c r="G2345" s="52"/>
      <c r="H2345" s="52"/>
    </row>
    <row r="2346" spans="1:8" ht="15.75">
      <c r="A2346" s="106">
        <v>42809</v>
      </c>
      <c r="B2346" s="107">
        <v>141.65</v>
      </c>
      <c r="C2346" s="52"/>
      <c r="D2346" s="52"/>
      <c r="E2346" s="52"/>
      <c r="F2346" s="52"/>
      <c r="G2346" s="52"/>
      <c r="H2346" s="52"/>
    </row>
    <row r="2347" spans="1:8" ht="15.75">
      <c r="A2347" s="106">
        <v>42810</v>
      </c>
      <c r="B2347" s="107">
        <v>141.63999999999999</v>
      </c>
      <c r="C2347" s="52"/>
      <c r="D2347" s="52"/>
      <c r="E2347" s="52"/>
      <c r="F2347" s="52"/>
      <c r="G2347" s="52"/>
      <c r="H2347" s="52"/>
    </row>
    <row r="2348" spans="1:8" ht="15.75">
      <c r="A2348" s="106">
        <v>42811</v>
      </c>
      <c r="B2348" s="107">
        <v>141.32</v>
      </c>
      <c r="C2348" s="52"/>
      <c r="D2348" s="52"/>
      <c r="E2348" s="52"/>
      <c r="F2348" s="52"/>
      <c r="G2348" s="52"/>
      <c r="H2348" s="52"/>
    </row>
    <row r="2349" spans="1:8" ht="15.75">
      <c r="A2349" s="106">
        <v>42814</v>
      </c>
      <c r="B2349" s="107">
        <v>141.49</v>
      </c>
      <c r="C2349" s="52"/>
      <c r="D2349" s="52"/>
      <c r="E2349" s="52"/>
      <c r="F2349" s="52"/>
      <c r="G2349" s="52"/>
      <c r="H2349" s="52"/>
    </row>
    <row r="2350" spans="1:8" ht="15.75">
      <c r="A2350" s="106">
        <v>42815</v>
      </c>
      <c r="B2350" s="107">
        <v>141.30000000000001</v>
      </c>
      <c r="C2350" s="52"/>
      <c r="D2350" s="52"/>
      <c r="E2350" s="52"/>
      <c r="F2350" s="52"/>
      <c r="G2350" s="52"/>
      <c r="H2350" s="52"/>
    </row>
    <row r="2351" spans="1:8" ht="15.75">
      <c r="A2351" s="106">
        <v>42816</v>
      </c>
      <c r="B2351" s="107">
        <v>141.66999999999999</v>
      </c>
      <c r="C2351" s="52"/>
      <c r="D2351" s="52"/>
      <c r="E2351" s="52"/>
      <c r="F2351" s="52"/>
      <c r="G2351" s="52"/>
      <c r="H2351" s="52"/>
    </row>
    <row r="2352" spans="1:8" ht="15.75">
      <c r="A2352" s="106">
        <v>42817</v>
      </c>
      <c r="B2352" s="107">
        <v>141.71</v>
      </c>
      <c r="C2352" s="52"/>
      <c r="D2352" s="52"/>
      <c r="E2352" s="52"/>
      <c r="F2352" s="52"/>
      <c r="G2352" s="52"/>
      <c r="H2352" s="52"/>
    </row>
    <row r="2353" spans="1:8" ht="15.75">
      <c r="A2353" s="106">
        <v>42818</v>
      </c>
      <c r="B2353" s="107">
        <v>141.53</v>
      </c>
      <c r="C2353" s="52"/>
      <c r="D2353" s="52"/>
      <c r="E2353" s="52"/>
      <c r="F2353" s="52"/>
      <c r="G2353" s="52"/>
      <c r="H2353" s="52"/>
    </row>
    <row r="2354" spans="1:8" ht="15.75">
      <c r="A2354" s="106">
        <v>42821</v>
      </c>
      <c r="B2354" s="107">
        <v>141.72</v>
      </c>
      <c r="C2354" s="52"/>
      <c r="D2354" s="52"/>
      <c r="E2354" s="52"/>
      <c r="F2354" s="52"/>
      <c r="G2354" s="52"/>
      <c r="H2354" s="52"/>
    </row>
    <row r="2355" spans="1:8" ht="15.75">
      <c r="A2355" s="106">
        <v>42822</v>
      </c>
      <c r="B2355" s="107">
        <v>141.66999999999999</v>
      </c>
      <c r="C2355" s="52"/>
      <c r="D2355" s="52"/>
      <c r="E2355" s="52"/>
      <c r="F2355" s="52"/>
      <c r="G2355" s="52"/>
      <c r="H2355" s="52"/>
    </row>
    <row r="2356" spans="1:8" ht="15.75">
      <c r="A2356" s="106">
        <v>42823</v>
      </c>
      <c r="B2356" s="107">
        <v>141.66999999999999</v>
      </c>
      <c r="C2356" s="52"/>
      <c r="D2356" s="52"/>
      <c r="E2356" s="52"/>
      <c r="F2356" s="52"/>
      <c r="G2356" s="52"/>
      <c r="H2356" s="52"/>
    </row>
    <row r="2357" spans="1:8" ht="15.75">
      <c r="A2357" s="106">
        <v>42824</v>
      </c>
      <c r="B2357" s="107">
        <v>142.02000000000001</v>
      </c>
      <c r="C2357" s="52"/>
      <c r="D2357" s="52"/>
      <c r="E2357" s="52"/>
      <c r="F2357" s="52"/>
      <c r="G2357" s="52"/>
      <c r="H2357" s="52"/>
    </row>
    <row r="2358" spans="1:8" ht="15.75">
      <c r="A2358" s="106">
        <v>42825</v>
      </c>
      <c r="B2358" s="107">
        <v>141.93</v>
      </c>
      <c r="C2358" s="52"/>
      <c r="D2358" s="52"/>
      <c r="E2358" s="52"/>
      <c r="F2358" s="52"/>
      <c r="G2358" s="52"/>
      <c r="H2358" s="52"/>
    </row>
    <row r="2359" spans="1:8" ht="15.75">
      <c r="A2359" s="106">
        <v>42828</v>
      </c>
      <c r="B2359" s="107">
        <v>142.08000000000001</v>
      </c>
      <c r="C2359" s="52"/>
      <c r="D2359" s="52"/>
      <c r="E2359" s="52"/>
      <c r="F2359" s="52"/>
      <c r="G2359" s="52"/>
      <c r="H2359" s="52"/>
    </row>
    <row r="2360" spans="1:8" ht="15.75">
      <c r="A2360" s="106">
        <v>42829</v>
      </c>
      <c r="B2360" s="107">
        <v>142.41999999999999</v>
      </c>
      <c r="C2360" s="52"/>
      <c r="D2360" s="52"/>
      <c r="E2360" s="52"/>
      <c r="F2360" s="52"/>
      <c r="G2360" s="52"/>
      <c r="H2360" s="52"/>
    </row>
    <row r="2361" spans="1:8" ht="15.75">
      <c r="A2361" s="106">
        <v>42830</v>
      </c>
      <c r="B2361" s="107">
        <v>142.32</v>
      </c>
      <c r="C2361" s="52"/>
      <c r="D2361" s="52"/>
      <c r="E2361" s="52"/>
      <c r="F2361" s="52"/>
      <c r="G2361" s="52"/>
      <c r="H2361" s="52"/>
    </row>
    <row r="2362" spans="1:8" ht="15.75">
      <c r="A2362" s="106">
        <v>42831</v>
      </c>
      <c r="B2362" s="107">
        <v>142.35</v>
      </c>
      <c r="C2362" s="52"/>
      <c r="D2362" s="52"/>
      <c r="E2362" s="52"/>
      <c r="F2362" s="52"/>
      <c r="G2362" s="52"/>
      <c r="H2362" s="52"/>
    </row>
    <row r="2363" spans="1:8" ht="15.75">
      <c r="A2363" s="106">
        <v>42832</v>
      </c>
      <c r="B2363" s="107">
        <v>142.38999999999999</v>
      </c>
      <c r="C2363" s="52"/>
      <c r="D2363" s="52"/>
      <c r="E2363" s="52"/>
      <c r="F2363" s="52"/>
      <c r="G2363" s="52"/>
      <c r="H2363" s="52"/>
    </row>
    <row r="2364" spans="1:8" ht="15.75">
      <c r="A2364" s="106">
        <v>42835</v>
      </c>
      <c r="B2364" s="107">
        <v>142.62</v>
      </c>
      <c r="C2364" s="52"/>
      <c r="D2364" s="52"/>
      <c r="E2364" s="52"/>
      <c r="F2364" s="52"/>
      <c r="G2364" s="52"/>
      <c r="H2364" s="52"/>
    </row>
    <row r="2365" spans="1:8" ht="15.75">
      <c r="A2365" s="106">
        <v>42836</v>
      </c>
      <c r="B2365" s="107">
        <v>142.68</v>
      </c>
      <c r="C2365" s="52"/>
      <c r="D2365" s="52"/>
      <c r="E2365" s="52"/>
      <c r="F2365" s="52"/>
      <c r="G2365" s="52"/>
      <c r="H2365" s="52"/>
    </row>
    <row r="2366" spans="1:8" ht="15.75">
      <c r="A2366" s="106">
        <v>42837</v>
      </c>
      <c r="B2366" s="107">
        <v>142.78</v>
      </c>
      <c r="C2366" s="52"/>
      <c r="D2366" s="52"/>
      <c r="E2366" s="52"/>
      <c r="F2366" s="52"/>
      <c r="G2366" s="52"/>
      <c r="H2366" s="52"/>
    </row>
    <row r="2367" spans="1:8" ht="15.75">
      <c r="A2367" s="106">
        <v>42838</v>
      </c>
      <c r="B2367" s="107">
        <v>142.97999999999999</v>
      </c>
      <c r="C2367" s="52"/>
      <c r="D2367" s="52"/>
      <c r="E2367" s="52"/>
      <c r="F2367" s="52"/>
      <c r="G2367" s="52"/>
      <c r="H2367" s="52"/>
    </row>
    <row r="2368" spans="1:8" ht="15.75">
      <c r="A2368" s="106">
        <v>42843</v>
      </c>
      <c r="B2368" s="107">
        <v>142.91</v>
      </c>
      <c r="C2368" s="52"/>
      <c r="D2368" s="52"/>
      <c r="E2368" s="52"/>
      <c r="F2368" s="52"/>
      <c r="G2368" s="52"/>
      <c r="H2368" s="52"/>
    </row>
    <row r="2369" spans="1:8" ht="15.75">
      <c r="A2369" s="106">
        <v>42844</v>
      </c>
      <c r="B2369" s="107">
        <v>142.81</v>
      </c>
      <c r="C2369" s="52"/>
      <c r="D2369" s="52"/>
      <c r="E2369" s="52"/>
      <c r="F2369" s="52"/>
      <c r="G2369" s="52"/>
      <c r="H2369" s="52"/>
    </row>
    <row r="2370" spans="1:8" ht="15.75">
      <c r="A2370" s="106">
        <v>42845</v>
      </c>
      <c r="B2370" s="107">
        <v>142.37</v>
      </c>
      <c r="C2370" s="52"/>
      <c r="D2370" s="52"/>
      <c r="E2370" s="52"/>
      <c r="F2370" s="52"/>
      <c r="G2370" s="52"/>
      <c r="H2370" s="52"/>
    </row>
    <row r="2371" spans="1:8" ht="15.75">
      <c r="A2371" s="106">
        <v>42846</v>
      </c>
      <c r="B2371" s="107">
        <v>142.44999999999999</v>
      </c>
      <c r="C2371" s="52"/>
      <c r="D2371" s="52"/>
      <c r="E2371" s="52"/>
      <c r="F2371" s="52"/>
      <c r="G2371" s="52"/>
      <c r="H2371" s="52"/>
    </row>
    <row r="2372" spans="1:8" ht="15.75">
      <c r="A2372" s="106">
        <v>42849</v>
      </c>
      <c r="B2372" s="107">
        <v>141.63999999999999</v>
      </c>
      <c r="C2372" s="52"/>
      <c r="D2372" s="52"/>
      <c r="E2372" s="52"/>
      <c r="F2372" s="52"/>
      <c r="G2372" s="52"/>
      <c r="H2372" s="52"/>
    </row>
    <row r="2373" spans="1:8" ht="15.75">
      <c r="A2373" s="106">
        <v>42850</v>
      </c>
      <c r="B2373" s="107">
        <v>141.57</v>
      </c>
      <c r="C2373" s="52"/>
      <c r="D2373" s="52"/>
      <c r="E2373" s="52"/>
      <c r="F2373" s="52"/>
      <c r="G2373" s="52"/>
      <c r="H2373" s="52"/>
    </row>
    <row r="2374" spans="1:8" ht="15.75">
      <c r="A2374" s="106">
        <v>42851</v>
      </c>
      <c r="B2374" s="107">
        <v>141.6</v>
      </c>
      <c r="C2374" s="52"/>
      <c r="D2374" s="52"/>
      <c r="E2374" s="52"/>
      <c r="F2374" s="52"/>
      <c r="G2374" s="52"/>
      <c r="H2374" s="52"/>
    </row>
    <row r="2375" spans="1:8" ht="15.75">
      <c r="A2375" s="106">
        <v>42852</v>
      </c>
      <c r="B2375" s="107">
        <v>141.66999999999999</v>
      </c>
      <c r="C2375" s="52"/>
      <c r="D2375" s="52"/>
      <c r="E2375" s="52"/>
      <c r="F2375" s="52"/>
      <c r="G2375" s="52"/>
      <c r="H2375" s="52"/>
    </row>
    <row r="2376" spans="1:8" ht="15.75">
      <c r="A2376" s="106">
        <v>42853</v>
      </c>
      <c r="B2376" s="107">
        <v>141.87</v>
      </c>
      <c r="C2376" s="52"/>
      <c r="D2376" s="52"/>
      <c r="E2376" s="52"/>
      <c r="F2376" s="52"/>
      <c r="G2376" s="52"/>
      <c r="H2376" s="52"/>
    </row>
    <row r="2377" spans="1:8" ht="15.75">
      <c r="A2377" s="106">
        <v>42857</v>
      </c>
      <c r="B2377" s="107">
        <v>141.85</v>
      </c>
      <c r="C2377" s="52"/>
      <c r="D2377" s="52"/>
      <c r="E2377" s="52"/>
      <c r="F2377" s="52"/>
      <c r="G2377" s="52"/>
      <c r="H2377" s="52"/>
    </row>
    <row r="2378" spans="1:8" ht="15.75">
      <c r="A2378" s="106">
        <v>42858</v>
      </c>
      <c r="B2378" s="107">
        <v>141.86000000000001</v>
      </c>
      <c r="C2378" s="52"/>
      <c r="D2378" s="52"/>
      <c r="E2378" s="52"/>
      <c r="F2378" s="52"/>
      <c r="G2378" s="52"/>
      <c r="H2378" s="52"/>
    </row>
    <row r="2379" spans="1:8" ht="15.75">
      <c r="A2379" s="106">
        <v>42859</v>
      </c>
      <c r="B2379" s="107">
        <v>141.62</v>
      </c>
      <c r="C2379" s="52"/>
      <c r="D2379" s="52"/>
      <c r="E2379" s="52"/>
      <c r="F2379" s="52"/>
      <c r="G2379" s="52"/>
      <c r="H2379" s="52"/>
    </row>
    <row r="2380" spans="1:8" ht="15.75">
      <c r="A2380" s="106">
        <v>42860</v>
      </c>
      <c r="B2380" s="107">
        <v>141.55000000000001</v>
      </c>
      <c r="C2380" s="52"/>
      <c r="D2380" s="52"/>
      <c r="E2380" s="52"/>
      <c r="F2380" s="52"/>
      <c r="G2380" s="52"/>
      <c r="H2380" s="52"/>
    </row>
    <row r="2381" spans="1:8" ht="15.75">
      <c r="A2381" s="106">
        <v>42863</v>
      </c>
      <c r="B2381" s="107">
        <v>141.32</v>
      </c>
      <c r="C2381" s="52"/>
      <c r="D2381" s="52"/>
      <c r="E2381" s="52"/>
      <c r="F2381" s="52"/>
      <c r="G2381" s="52"/>
      <c r="H2381" s="52"/>
    </row>
    <row r="2382" spans="1:8" ht="15.75">
      <c r="A2382" s="106">
        <v>42864</v>
      </c>
      <c r="B2382" s="107">
        <v>141.09</v>
      </c>
      <c r="C2382" s="52"/>
      <c r="D2382" s="52"/>
      <c r="E2382" s="52"/>
      <c r="F2382" s="52"/>
      <c r="G2382" s="52"/>
      <c r="H2382" s="52"/>
    </row>
    <row r="2383" spans="1:8" ht="15.75">
      <c r="A2383" s="106">
        <v>42865</v>
      </c>
      <c r="B2383" s="107">
        <v>141.18</v>
      </c>
      <c r="C2383" s="52"/>
      <c r="D2383" s="52"/>
      <c r="E2383" s="52"/>
      <c r="F2383" s="52"/>
      <c r="G2383" s="52"/>
      <c r="H2383" s="52"/>
    </row>
    <row r="2384" spans="1:8" ht="15.75">
      <c r="A2384" s="106">
        <v>42866</v>
      </c>
      <c r="B2384" s="107">
        <v>140.93</v>
      </c>
      <c r="C2384" s="52"/>
      <c r="D2384" s="52"/>
      <c r="E2384" s="52"/>
      <c r="F2384" s="52"/>
      <c r="G2384" s="52"/>
      <c r="H2384" s="52"/>
    </row>
    <row r="2385" spans="1:8" ht="15.75">
      <c r="A2385" s="106">
        <v>42867</v>
      </c>
      <c r="B2385" s="107">
        <v>141.21</v>
      </c>
      <c r="C2385" s="52"/>
      <c r="D2385" s="52"/>
      <c r="E2385" s="52"/>
      <c r="F2385" s="52"/>
      <c r="G2385" s="52"/>
      <c r="H2385" s="52"/>
    </row>
    <row r="2386" spans="1:8" ht="15.75">
      <c r="A2386" s="106">
        <v>42870</v>
      </c>
      <c r="B2386" s="107">
        <v>141.18</v>
      </c>
      <c r="C2386" s="52"/>
      <c r="D2386" s="52"/>
      <c r="E2386" s="52"/>
      <c r="F2386" s="52"/>
      <c r="G2386" s="52"/>
      <c r="H2386" s="52"/>
    </row>
    <row r="2387" spans="1:8" ht="15.75">
      <c r="A2387" s="106">
        <v>42871</v>
      </c>
      <c r="B2387" s="107">
        <v>141.07</v>
      </c>
      <c r="C2387" s="52"/>
      <c r="D2387" s="52"/>
      <c r="E2387" s="52"/>
      <c r="F2387" s="52"/>
      <c r="G2387" s="52"/>
      <c r="H2387" s="52"/>
    </row>
    <row r="2388" spans="1:8" ht="15.75">
      <c r="A2388" s="106">
        <v>42872</v>
      </c>
      <c r="B2388" s="107">
        <v>141.18</v>
      </c>
      <c r="C2388" s="52"/>
      <c r="D2388" s="52"/>
      <c r="E2388" s="52"/>
      <c r="F2388" s="52"/>
      <c r="G2388" s="52"/>
      <c r="H2388" s="52"/>
    </row>
    <row r="2389" spans="1:8" ht="15.75">
      <c r="A2389" s="106">
        <v>42873</v>
      </c>
      <c r="B2389" s="107">
        <v>141.72</v>
      </c>
      <c r="C2389" s="52"/>
      <c r="D2389" s="52"/>
      <c r="E2389" s="52"/>
      <c r="F2389" s="52"/>
      <c r="G2389" s="52"/>
      <c r="H2389" s="52"/>
    </row>
    <row r="2390" spans="1:8" ht="15.75">
      <c r="A2390" s="106">
        <v>42874</v>
      </c>
      <c r="B2390" s="107">
        <v>141.57</v>
      </c>
      <c r="C2390" s="52"/>
      <c r="D2390" s="52"/>
      <c r="E2390" s="52"/>
      <c r="F2390" s="52"/>
      <c r="G2390" s="52"/>
      <c r="H2390" s="52"/>
    </row>
    <row r="2391" spans="1:8" ht="15.75">
      <c r="A2391" s="106">
        <v>42877</v>
      </c>
      <c r="B2391" s="107">
        <v>141.49</v>
      </c>
      <c r="C2391" s="52"/>
      <c r="D2391" s="52"/>
      <c r="E2391" s="52"/>
      <c r="F2391" s="52"/>
      <c r="G2391" s="52"/>
      <c r="H2391" s="52"/>
    </row>
    <row r="2392" spans="1:8" ht="15.75">
      <c r="A2392" s="106">
        <v>42878</v>
      </c>
      <c r="B2392" s="107">
        <v>141.27000000000001</v>
      </c>
      <c r="C2392" s="52"/>
      <c r="D2392" s="52"/>
      <c r="E2392" s="52"/>
      <c r="F2392" s="52"/>
      <c r="G2392" s="52"/>
      <c r="H2392" s="52"/>
    </row>
    <row r="2393" spans="1:8" ht="15.75">
      <c r="A2393" s="106">
        <v>42879</v>
      </c>
      <c r="B2393" s="107">
        <v>141.38999999999999</v>
      </c>
      <c r="C2393" s="52"/>
      <c r="D2393" s="52"/>
      <c r="E2393" s="52"/>
      <c r="F2393" s="52"/>
      <c r="G2393" s="52"/>
      <c r="H2393" s="52"/>
    </row>
    <row r="2394" spans="1:8" ht="15.75">
      <c r="A2394" s="106">
        <v>42880</v>
      </c>
      <c r="B2394" s="107">
        <v>141.59</v>
      </c>
      <c r="C2394" s="52"/>
      <c r="D2394" s="52"/>
      <c r="E2394" s="52"/>
      <c r="F2394" s="52"/>
      <c r="G2394" s="52"/>
      <c r="H2394" s="52"/>
    </row>
    <row r="2395" spans="1:8" ht="15.75">
      <c r="A2395" s="106">
        <v>42881</v>
      </c>
      <c r="B2395" s="107">
        <v>141.71</v>
      </c>
      <c r="C2395" s="52"/>
      <c r="D2395" s="52"/>
      <c r="E2395" s="52"/>
      <c r="F2395" s="52"/>
      <c r="G2395" s="52"/>
      <c r="H2395" s="52"/>
    </row>
    <row r="2396" spans="1:8" ht="15.75">
      <c r="A2396" s="106">
        <v>42884</v>
      </c>
      <c r="B2396" s="107">
        <v>141.81</v>
      </c>
      <c r="C2396" s="52"/>
      <c r="D2396" s="52"/>
      <c r="E2396" s="52"/>
      <c r="F2396" s="52"/>
      <c r="G2396" s="52"/>
      <c r="H2396" s="52"/>
    </row>
    <row r="2397" spans="1:8" ht="15.75">
      <c r="A2397" s="106">
        <v>42885</v>
      </c>
      <c r="B2397" s="107">
        <v>141.99</v>
      </c>
      <c r="C2397" s="52"/>
      <c r="D2397" s="52"/>
      <c r="E2397" s="52"/>
      <c r="F2397" s="52"/>
      <c r="G2397" s="52"/>
      <c r="H2397" s="52"/>
    </row>
    <row r="2398" spans="1:8" ht="15.75">
      <c r="A2398" s="106">
        <v>42886</v>
      </c>
      <c r="B2398" s="107">
        <v>141.94999999999999</v>
      </c>
      <c r="C2398" s="52"/>
      <c r="D2398" s="52"/>
      <c r="E2398" s="52"/>
      <c r="F2398" s="52"/>
      <c r="G2398" s="52"/>
      <c r="H2398" s="52"/>
    </row>
    <row r="2399" spans="1:8" ht="15.75">
      <c r="A2399" s="106">
        <v>42887</v>
      </c>
      <c r="B2399" s="107">
        <v>141.96</v>
      </c>
      <c r="C2399" s="52"/>
      <c r="D2399" s="52"/>
      <c r="E2399" s="52"/>
      <c r="F2399" s="52"/>
      <c r="G2399" s="52"/>
      <c r="H2399" s="52"/>
    </row>
    <row r="2400" spans="1:8" ht="15.75">
      <c r="A2400" s="106">
        <v>42888</v>
      </c>
      <c r="B2400" s="107">
        <v>142.01</v>
      </c>
      <c r="C2400" s="52"/>
      <c r="D2400" s="52"/>
      <c r="E2400" s="52"/>
      <c r="F2400" s="52"/>
      <c r="G2400" s="52"/>
      <c r="H2400" s="52"/>
    </row>
    <row r="2401" spans="1:8" ht="15.75">
      <c r="A2401" s="106">
        <v>42892</v>
      </c>
      <c r="B2401" s="107">
        <v>142.09</v>
      </c>
      <c r="C2401" s="52"/>
      <c r="D2401" s="52"/>
      <c r="E2401" s="52"/>
      <c r="F2401" s="52"/>
      <c r="G2401" s="52"/>
      <c r="H2401" s="52"/>
    </row>
    <row r="2402" spans="1:8" ht="15.75">
      <c r="A2402" s="106">
        <v>42893</v>
      </c>
      <c r="B2402" s="107">
        <v>142.13999999999999</v>
      </c>
      <c r="C2402" s="52"/>
      <c r="D2402" s="52"/>
      <c r="E2402" s="52"/>
      <c r="F2402" s="52"/>
      <c r="G2402" s="52"/>
      <c r="H2402" s="52"/>
    </row>
    <row r="2403" spans="1:8" ht="15.75">
      <c r="A2403" s="106">
        <v>42894</v>
      </c>
      <c r="B2403" s="107">
        <v>141.97</v>
      </c>
      <c r="C2403" s="52"/>
      <c r="D2403" s="52"/>
      <c r="E2403" s="52"/>
      <c r="F2403" s="52"/>
      <c r="G2403" s="52"/>
      <c r="H2403" s="52"/>
    </row>
    <row r="2404" spans="1:8" ht="15.75">
      <c r="A2404" s="106">
        <v>42895</v>
      </c>
      <c r="B2404" s="107">
        <v>142.1</v>
      </c>
      <c r="C2404" s="52"/>
      <c r="D2404" s="52"/>
      <c r="E2404" s="52"/>
      <c r="F2404" s="52"/>
      <c r="G2404" s="52"/>
      <c r="H2404" s="52"/>
    </row>
    <row r="2405" spans="1:8" ht="15.75">
      <c r="A2405" s="106">
        <v>42898</v>
      </c>
      <c r="B2405" s="107">
        <v>142.15</v>
      </c>
      <c r="C2405" s="52"/>
      <c r="D2405" s="52"/>
      <c r="E2405" s="52"/>
      <c r="F2405" s="52"/>
      <c r="G2405" s="52"/>
      <c r="H2405" s="52"/>
    </row>
    <row r="2406" spans="1:8" ht="15.75">
      <c r="A2406" s="106">
        <v>42899</v>
      </c>
      <c r="B2406" s="107">
        <v>141.97999999999999</v>
      </c>
      <c r="C2406" s="52"/>
      <c r="D2406" s="52"/>
      <c r="E2406" s="52"/>
      <c r="F2406" s="52"/>
      <c r="G2406" s="52"/>
      <c r="H2406" s="52"/>
    </row>
    <row r="2407" spans="1:8" ht="15.75">
      <c r="A2407" s="106">
        <v>42900</v>
      </c>
      <c r="B2407" s="107">
        <v>141.97</v>
      </c>
      <c r="C2407" s="52"/>
      <c r="D2407" s="52"/>
      <c r="E2407" s="52"/>
      <c r="F2407" s="52"/>
      <c r="G2407" s="52"/>
      <c r="H2407" s="52"/>
    </row>
    <row r="2408" spans="1:8" ht="15.75">
      <c r="A2408" s="106">
        <v>42901</v>
      </c>
      <c r="B2408" s="107">
        <v>141.94</v>
      </c>
      <c r="C2408" s="52"/>
      <c r="D2408" s="52"/>
      <c r="E2408" s="52"/>
      <c r="F2408" s="52"/>
      <c r="G2408" s="52"/>
      <c r="H2408" s="52"/>
    </row>
    <row r="2409" spans="1:8" ht="15.75">
      <c r="A2409" s="106">
        <v>42902</v>
      </c>
      <c r="B2409" s="107">
        <v>141.62</v>
      </c>
      <c r="C2409" s="52"/>
      <c r="D2409" s="52"/>
      <c r="E2409" s="52"/>
      <c r="F2409" s="52"/>
      <c r="G2409" s="52"/>
      <c r="H2409" s="52"/>
    </row>
    <row r="2410" spans="1:8" ht="15.75">
      <c r="A2410" s="106">
        <v>42905</v>
      </c>
      <c r="B2410" s="107">
        <v>141.83000000000001</v>
      </c>
      <c r="C2410" s="52"/>
      <c r="D2410" s="52"/>
      <c r="E2410" s="52"/>
      <c r="F2410" s="52"/>
      <c r="G2410" s="52"/>
      <c r="H2410" s="52"/>
    </row>
    <row r="2411" spans="1:8" ht="15.75">
      <c r="A2411" s="106">
        <v>42906</v>
      </c>
      <c r="B2411" s="107">
        <v>141.88999999999999</v>
      </c>
      <c r="C2411" s="52"/>
      <c r="D2411" s="52"/>
      <c r="E2411" s="52"/>
      <c r="F2411" s="52"/>
      <c r="G2411" s="52"/>
      <c r="H2411" s="52"/>
    </row>
    <row r="2412" spans="1:8" ht="15.75">
      <c r="A2412" s="106">
        <v>42907</v>
      </c>
      <c r="B2412" s="107">
        <v>141.94999999999999</v>
      </c>
      <c r="C2412" s="52"/>
      <c r="D2412" s="52"/>
      <c r="E2412" s="52"/>
      <c r="F2412" s="52"/>
      <c r="G2412" s="52"/>
      <c r="H2412" s="52"/>
    </row>
    <row r="2413" spans="1:8" ht="15.75">
      <c r="A2413" s="106">
        <v>42908</v>
      </c>
      <c r="B2413" s="107">
        <v>141.78</v>
      </c>
      <c r="C2413" s="52"/>
      <c r="D2413" s="52"/>
      <c r="E2413" s="52"/>
      <c r="F2413" s="52"/>
      <c r="G2413" s="52"/>
      <c r="H2413" s="52"/>
    </row>
    <row r="2414" spans="1:8" ht="15.75">
      <c r="A2414" s="106">
        <v>42909</v>
      </c>
      <c r="B2414" s="107">
        <v>141.77000000000001</v>
      </c>
      <c r="C2414" s="52"/>
      <c r="D2414" s="52"/>
      <c r="E2414" s="52"/>
      <c r="F2414" s="52"/>
      <c r="G2414" s="52"/>
      <c r="H2414" s="52"/>
    </row>
    <row r="2415" spans="1:8" ht="15.75">
      <c r="A2415" s="106">
        <v>42912</v>
      </c>
      <c r="B2415" s="107">
        <v>141.82</v>
      </c>
      <c r="C2415" s="52"/>
      <c r="D2415" s="52"/>
      <c r="E2415" s="52"/>
      <c r="F2415" s="52"/>
      <c r="G2415" s="52"/>
      <c r="H2415" s="52"/>
    </row>
    <row r="2416" spans="1:8" ht="15.75">
      <c r="A2416" s="106">
        <v>42913</v>
      </c>
      <c r="B2416" s="107">
        <v>141.57</v>
      </c>
      <c r="C2416" s="52"/>
      <c r="D2416" s="52"/>
      <c r="E2416" s="52"/>
      <c r="F2416" s="52"/>
      <c r="G2416" s="52"/>
      <c r="H2416" s="52"/>
    </row>
    <row r="2417" spans="1:8" ht="15.75">
      <c r="A2417" s="106">
        <v>42914</v>
      </c>
      <c r="B2417" s="107">
        <v>141.05000000000001</v>
      </c>
      <c r="C2417" s="52"/>
      <c r="D2417" s="52"/>
      <c r="E2417" s="52"/>
      <c r="F2417" s="52"/>
      <c r="G2417" s="52"/>
      <c r="H2417" s="52"/>
    </row>
    <row r="2418" spans="1:8" ht="15.75">
      <c r="A2418" s="106">
        <v>42915</v>
      </c>
      <c r="B2418" s="107">
        <v>140.9</v>
      </c>
      <c r="C2418" s="52"/>
      <c r="D2418" s="52"/>
      <c r="E2418" s="52"/>
      <c r="F2418" s="52"/>
      <c r="G2418" s="52"/>
      <c r="H2418" s="52"/>
    </row>
    <row r="2419" spans="1:8" ht="15.75">
      <c r="A2419" s="106">
        <v>42916</v>
      </c>
      <c r="B2419" s="107">
        <v>140.79</v>
      </c>
      <c r="C2419" s="52"/>
      <c r="D2419" s="52"/>
      <c r="E2419" s="52"/>
      <c r="F2419" s="52"/>
      <c r="G2419" s="52"/>
      <c r="H2419" s="52"/>
    </row>
    <row r="2420" spans="1:8" ht="15.75">
      <c r="A2420" s="106">
        <v>42919</v>
      </c>
      <c r="B2420" s="107">
        <v>140.69999999999999</v>
      </c>
      <c r="C2420" s="52"/>
      <c r="D2420" s="52"/>
      <c r="E2420" s="52"/>
      <c r="F2420" s="52"/>
      <c r="G2420" s="52"/>
      <c r="H2420" s="52"/>
    </row>
    <row r="2421" spans="1:8" ht="15.75">
      <c r="A2421" s="106">
        <v>42920</v>
      </c>
      <c r="B2421" s="107">
        <v>140.75</v>
      </c>
      <c r="C2421" s="52"/>
      <c r="D2421" s="52"/>
      <c r="E2421" s="52"/>
      <c r="F2421" s="52"/>
      <c r="G2421" s="52"/>
      <c r="H2421" s="52"/>
    </row>
    <row r="2422" spans="1:8" ht="15.75">
      <c r="A2422" s="106">
        <v>42921</v>
      </c>
      <c r="B2422" s="107">
        <v>140.68</v>
      </c>
      <c r="C2422" s="52"/>
      <c r="D2422" s="52"/>
      <c r="E2422" s="52"/>
      <c r="F2422" s="52"/>
      <c r="G2422" s="52"/>
      <c r="H2422" s="52"/>
    </row>
    <row r="2423" spans="1:8" ht="15.75">
      <c r="A2423" s="106">
        <v>42922</v>
      </c>
      <c r="B2423" s="107">
        <v>140.51</v>
      </c>
      <c r="C2423" s="52"/>
      <c r="D2423" s="52"/>
      <c r="E2423" s="52"/>
      <c r="F2423" s="52"/>
      <c r="G2423" s="52"/>
      <c r="H2423" s="52"/>
    </row>
    <row r="2424" spans="1:8" ht="15.75">
      <c r="A2424" s="106">
        <v>42923</v>
      </c>
      <c r="B2424" s="107">
        <v>140.19</v>
      </c>
      <c r="C2424" s="52"/>
      <c r="D2424" s="52"/>
      <c r="E2424" s="52"/>
      <c r="F2424" s="52"/>
      <c r="G2424" s="52"/>
      <c r="H2424" s="52"/>
    </row>
    <row r="2425" spans="1:8" ht="15.75">
      <c r="A2425" s="106">
        <v>42926</v>
      </c>
      <c r="B2425" s="107">
        <v>140.33000000000001</v>
      </c>
      <c r="C2425" s="52"/>
      <c r="D2425" s="52"/>
      <c r="E2425" s="52"/>
      <c r="F2425" s="52"/>
      <c r="G2425" s="52"/>
      <c r="H2425" s="52"/>
    </row>
    <row r="2426" spans="1:8" ht="15.75">
      <c r="A2426" s="106">
        <v>42927</v>
      </c>
      <c r="B2426" s="107">
        <v>140.16</v>
      </c>
      <c r="C2426" s="52"/>
      <c r="D2426" s="52"/>
      <c r="E2426" s="52"/>
      <c r="F2426" s="52"/>
      <c r="G2426" s="52"/>
      <c r="H2426" s="52"/>
    </row>
    <row r="2427" spans="1:8" ht="15.75">
      <c r="A2427" s="106">
        <v>42928</v>
      </c>
      <c r="B2427" s="107">
        <v>140.33000000000001</v>
      </c>
      <c r="C2427" s="52"/>
      <c r="D2427" s="52"/>
      <c r="E2427" s="52"/>
      <c r="F2427" s="52"/>
      <c r="G2427" s="52"/>
      <c r="H2427" s="52"/>
    </row>
    <row r="2428" spans="1:8" ht="15.75">
      <c r="A2428" s="106">
        <v>42929</v>
      </c>
      <c r="B2428" s="107">
        <v>140.51</v>
      </c>
      <c r="C2428" s="52"/>
      <c r="D2428" s="52"/>
      <c r="E2428" s="52"/>
      <c r="F2428" s="52"/>
      <c r="G2428" s="52"/>
      <c r="H2428" s="52"/>
    </row>
    <row r="2429" spans="1:8" ht="15.75">
      <c r="A2429" s="106">
        <v>42930</v>
      </c>
      <c r="B2429" s="107">
        <v>140.43</v>
      </c>
      <c r="C2429" s="52"/>
      <c r="D2429" s="52"/>
      <c r="E2429" s="52"/>
      <c r="F2429" s="52"/>
      <c r="G2429" s="52"/>
      <c r="H2429" s="52"/>
    </row>
    <row r="2430" spans="1:8" ht="15.75">
      <c r="A2430" s="106">
        <v>42933</v>
      </c>
      <c r="B2430" s="107">
        <v>140.46</v>
      </c>
      <c r="C2430" s="52"/>
      <c r="D2430" s="52"/>
      <c r="E2430" s="52"/>
      <c r="F2430" s="52"/>
      <c r="G2430" s="52"/>
      <c r="H2430" s="52"/>
    </row>
    <row r="2431" spans="1:8" ht="15.75">
      <c r="A2431" s="106">
        <v>42934</v>
      </c>
      <c r="B2431" s="107">
        <v>140.6</v>
      </c>
      <c r="C2431" s="52"/>
      <c r="D2431" s="52"/>
      <c r="E2431" s="52"/>
      <c r="F2431" s="52"/>
      <c r="G2431" s="52"/>
      <c r="H2431" s="52"/>
    </row>
    <row r="2432" spans="1:8" ht="15.75">
      <c r="A2432" s="106">
        <v>42935</v>
      </c>
      <c r="B2432" s="107">
        <v>140.66999999999999</v>
      </c>
      <c r="C2432" s="52"/>
      <c r="D2432" s="52"/>
      <c r="E2432" s="52"/>
      <c r="F2432" s="52"/>
      <c r="G2432" s="52"/>
      <c r="H2432" s="52"/>
    </row>
    <row r="2433" spans="1:8" ht="15.75">
      <c r="A2433" s="106">
        <v>42936</v>
      </c>
      <c r="B2433" s="107">
        <v>140.62</v>
      </c>
      <c r="C2433" s="52"/>
      <c r="D2433" s="52"/>
      <c r="E2433" s="52"/>
      <c r="F2433" s="52"/>
      <c r="G2433" s="52"/>
      <c r="H2433" s="52"/>
    </row>
    <row r="2434" spans="1:8" ht="15.75">
      <c r="A2434" s="106">
        <v>42937</v>
      </c>
      <c r="B2434" s="107">
        <v>140.9</v>
      </c>
      <c r="C2434" s="52"/>
      <c r="D2434" s="52"/>
      <c r="E2434" s="52"/>
      <c r="F2434" s="52"/>
      <c r="G2434" s="52"/>
      <c r="H2434" s="52"/>
    </row>
    <row r="2435" spans="1:8" ht="15.75">
      <c r="A2435" s="106">
        <v>42940</v>
      </c>
      <c r="B2435" s="107">
        <v>140.99</v>
      </c>
      <c r="C2435" s="52"/>
      <c r="D2435" s="52"/>
      <c r="E2435" s="52"/>
      <c r="F2435" s="52"/>
      <c r="G2435" s="52"/>
      <c r="H2435" s="52"/>
    </row>
    <row r="2436" spans="1:8" ht="15.75">
      <c r="A2436" s="106">
        <v>42941</v>
      </c>
      <c r="B2436" s="107">
        <v>140.91999999999999</v>
      </c>
      <c r="C2436" s="52"/>
      <c r="D2436" s="52"/>
      <c r="E2436" s="52"/>
      <c r="F2436" s="52"/>
      <c r="G2436" s="52"/>
      <c r="H2436" s="52"/>
    </row>
    <row r="2437" spans="1:8" ht="15.75">
      <c r="A2437" s="106">
        <v>42942</v>
      </c>
      <c r="B2437" s="107">
        <v>140.66999999999999</v>
      </c>
      <c r="C2437" s="52"/>
      <c r="D2437" s="52"/>
      <c r="E2437" s="52"/>
      <c r="F2437" s="52"/>
      <c r="G2437" s="52"/>
      <c r="H2437" s="52"/>
    </row>
    <row r="2438" spans="1:8" ht="15.75">
      <c r="A2438" s="106">
        <v>42943</v>
      </c>
      <c r="B2438" s="107">
        <v>140.88999999999999</v>
      </c>
      <c r="C2438" s="52"/>
      <c r="D2438" s="52"/>
      <c r="E2438" s="52"/>
      <c r="F2438" s="52"/>
      <c r="G2438" s="52"/>
      <c r="H2438" s="52"/>
    </row>
    <row r="2439" spans="1:8" ht="15.75">
      <c r="A2439" s="106">
        <v>42944</v>
      </c>
      <c r="B2439" s="107">
        <v>140.63</v>
      </c>
      <c r="C2439" s="52"/>
      <c r="D2439" s="52"/>
      <c r="E2439" s="52"/>
      <c r="F2439" s="52"/>
      <c r="G2439" s="52"/>
      <c r="H2439" s="52"/>
    </row>
    <row r="2440" spans="1:8" ht="15.75">
      <c r="A2440" s="106">
        <v>42947</v>
      </c>
      <c r="B2440" s="107">
        <v>140.78</v>
      </c>
      <c r="C2440" s="52"/>
      <c r="D2440" s="52"/>
      <c r="E2440" s="52"/>
      <c r="F2440" s="52"/>
      <c r="G2440" s="52"/>
      <c r="H2440" s="52"/>
    </row>
    <row r="2441" spans="1:8" ht="15.75">
      <c r="A2441" s="106">
        <v>42948</v>
      </c>
      <c r="B2441" s="107">
        <v>140.82</v>
      </c>
      <c r="C2441" s="52"/>
      <c r="D2441" s="52"/>
      <c r="E2441" s="52"/>
      <c r="F2441" s="52"/>
      <c r="G2441" s="52"/>
      <c r="H2441" s="52"/>
    </row>
    <row r="2442" spans="1:8" ht="15.75">
      <c r="A2442" s="106">
        <v>42949</v>
      </c>
      <c r="B2442" s="107">
        <v>141.05000000000001</v>
      </c>
      <c r="C2442" s="52"/>
      <c r="D2442" s="52"/>
      <c r="E2442" s="52"/>
      <c r="F2442" s="52"/>
      <c r="G2442" s="52"/>
      <c r="H2442" s="52"/>
    </row>
    <row r="2443" spans="1:8" ht="15.75">
      <c r="A2443" s="106">
        <v>42950</v>
      </c>
      <c r="B2443" s="107">
        <v>141.02000000000001</v>
      </c>
      <c r="C2443" s="52"/>
      <c r="D2443" s="52"/>
      <c r="E2443" s="52"/>
      <c r="F2443" s="52"/>
      <c r="G2443" s="52"/>
      <c r="H2443" s="52"/>
    </row>
    <row r="2444" spans="1:8" ht="15.75">
      <c r="A2444" s="106">
        <v>42951</v>
      </c>
      <c r="B2444" s="107">
        <v>141.19</v>
      </c>
      <c r="C2444" s="52"/>
      <c r="D2444" s="52"/>
      <c r="E2444" s="52"/>
      <c r="F2444" s="52"/>
      <c r="G2444" s="52"/>
      <c r="H2444" s="52"/>
    </row>
    <row r="2445" spans="1:8" ht="15.75">
      <c r="A2445" s="106">
        <v>42954</v>
      </c>
      <c r="B2445" s="107">
        <v>141.02000000000001</v>
      </c>
      <c r="C2445" s="52"/>
      <c r="D2445" s="52"/>
      <c r="E2445" s="52"/>
      <c r="F2445" s="52"/>
      <c r="G2445" s="52"/>
      <c r="H2445" s="52"/>
    </row>
    <row r="2446" spans="1:8" ht="15.75">
      <c r="A2446" s="106">
        <v>42955</v>
      </c>
      <c r="B2446" s="107">
        <v>141.13999999999999</v>
      </c>
      <c r="C2446" s="52"/>
      <c r="D2446" s="52"/>
      <c r="E2446" s="52"/>
      <c r="F2446" s="52"/>
      <c r="G2446" s="52"/>
      <c r="H2446" s="52"/>
    </row>
    <row r="2447" spans="1:8" ht="15.75">
      <c r="A2447" s="106">
        <v>42956</v>
      </c>
      <c r="B2447" s="107">
        <v>141.29</v>
      </c>
      <c r="C2447" s="52"/>
      <c r="D2447" s="52"/>
      <c r="E2447" s="52"/>
      <c r="F2447" s="52"/>
      <c r="G2447" s="52"/>
      <c r="H2447" s="52"/>
    </row>
    <row r="2448" spans="1:8" ht="15.75">
      <c r="A2448" s="106">
        <v>42957</v>
      </c>
      <c r="B2448" s="107">
        <v>141.30000000000001</v>
      </c>
      <c r="C2448" s="52"/>
      <c r="D2448" s="52"/>
      <c r="E2448" s="52"/>
      <c r="F2448" s="52"/>
      <c r="G2448" s="52"/>
      <c r="H2448" s="52"/>
    </row>
    <row r="2449" spans="1:8" ht="15.75">
      <c r="A2449" s="106">
        <v>42958</v>
      </c>
      <c r="B2449" s="107">
        <v>141.6</v>
      </c>
      <c r="C2449" s="52"/>
      <c r="D2449" s="52"/>
      <c r="E2449" s="52"/>
      <c r="F2449" s="52"/>
      <c r="G2449" s="52"/>
      <c r="H2449" s="52"/>
    </row>
    <row r="2450" spans="1:8" ht="15.75">
      <c r="A2450" s="106">
        <v>42961</v>
      </c>
      <c r="B2450" s="107">
        <v>141.36000000000001</v>
      </c>
      <c r="C2450" s="52"/>
      <c r="D2450" s="52"/>
      <c r="E2450" s="52"/>
      <c r="F2450" s="52"/>
      <c r="G2450" s="52"/>
      <c r="H2450" s="52"/>
    </row>
    <row r="2451" spans="1:8" ht="15.75">
      <c r="A2451" s="106">
        <v>42962</v>
      </c>
      <c r="B2451" s="107">
        <v>141.4</v>
      </c>
      <c r="C2451" s="52"/>
      <c r="D2451" s="52"/>
      <c r="E2451" s="52"/>
      <c r="F2451" s="52"/>
      <c r="G2451" s="52"/>
      <c r="H2451" s="52"/>
    </row>
    <row r="2452" spans="1:8" ht="15.75">
      <c r="A2452" s="106">
        <v>42963</v>
      </c>
      <c r="B2452" s="107">
        <v>141.19999999999999</v>
      </c>
      <c r="C2452" s="52"/>
      <c r="D2452" s="52"/>
      <c r="E2452" s="52"/>
      <c r="F2452" s="52"/>
      <c r="G2452" s="52"/>
      <c r="H2452" s="52"/>
    </row>
    <row r="2453" spans="1:8" ht="15.75">
      <c r="A2453" s="106">
        <v>42964</v>
      </c>
      <c r="B2453" s="107">
        <v>141.31</v>
      </c>
      <c r="C2453" s="52"/>
      <c r="D2453" s="52"/>
      <c r="E2453" s="52"/>
      <c r="F2453" s="52"/>
      <c r="G2453" s="52"/>
      <c r="H2453" s="52"/>
    </row>
    <row r="2454" spans="1:8" ht="15.75">
      <c r="A2454" s="106">
        <v>42965</v>
      </c>
      <c r="B2454" s="107">
        <v>141.53</v>
      </c>
      <c r="C2454" s="52"/>
      <c r="D2454" s="52"/>
      <c r="E2454" s="52"/>
      <c r="F2454" s="52"/>
      <c r="G2454" s="52"/>
      <c r="H2454" s="52"/>
    </row>
    <row r="2455" spans="1:8" ht="15.75">
      <c r="A2455" s="106">
        <v>42968</v>
      </c>
      <c r="B2455" s="107">
        <v>141.5</v>
      </c>
      <c r="C2455" s="52"/>
      <c r="D2455" s="52"/>
      <c r="E2455" s="52"/>
      <c r="F2455" s="52"/>
      <c r="G2455" s="52"/>
      <c r="H2455" s="52"/>
    </row>
    <row r="2456" spans="1:8" ht="15.75">
      <c r="A2456" s="106">
        <v>42969</v>
      </c>
      <c r="B2456" s="107">
        <v>141.49</v>
      </c>
      <c r="C2456" s="52"/>
      <c r="D2456" s="52"/>
      <c r="E2456" s="52"/>
      <c r="F2456" s="52"/>
      <c r="G2456" s="52"/>
      <c r="H2456" s="52"/>
    </row>
    <row r="2457" spans="1:8" ht="15.75">
      <c r="A2457" s="106">
        <v>42970</v>
      </c>
      <c r="B2457" s="107">
        <v>141.47999999999999</v>
      </c>
      <c r="C2457" s="52"/>
      <c r="D2457" s="52"/>
      <c r="E2457" s="52"/>
      <c r="F2457" s="52"/>
      <c r="G2457" s="52"/>
      <c r="H2457" s="52"/>
    </row>
    <row r="2458" spans="1:8" ht="15.75">
      <c r="A2458" s="106">
        <v>42971</v>
      </c>
      <c r="B2458" s="107">
        <v>141.66</v>
      </c>
      <c r="C2458" s="52"/>
      <c r="D2458" s="52"/>
      <c r="E2458" s="52"/>
      <c r="F2458" s="52"/>
      <c r="G2458" s="52"/>
      <c r="H2458" s="52"/>
    </row>
    <row r="2459" spans="1:8" ht="15.75">
      <c r="A2459" s="106">
        <v>42972</v>
      </c>
      <c r="B2459" s="107">
        <v>141.61000000000001</v>
      </c>
      <c r="C2459" s="52"/>
      <c r="D2459" s="52"/>
      <c r="E2459" s="52"/>
      <c r="F2459" s="52"/>
      <c r="G2459" s="52"/>
      <c r="H2459" s="52"/>
    </row>
    <row r="2460" spans="1:8" ht="15.75">
      <c r="A2460" s="106">
        <v>42975</v>
      </c>
      <c r="B2460" s="107">
        <v>141.72</v>
      </c>
      <c r="C2460" s="52"/>
      <c r="D2460" s="52"/>
      <c r="E2460" s="52"/>
      <c r="F2460" s="52"/>
      <c r="G2460" s="52"/>
      <c r="H2460" s="52"/>
    </row>
    <row r="2461" spans="1:8" ht="15.75">
      <c r="A2461" s="106">
        <v>42976</v>
      </c>
      <c r="B2461" s="107">
        <v>142.11000000000001</v>
      </c>
      <c r="C2461" s="52"/>
      <c r="D2461" s="52"/>
      <c r="E2461" s="52"/>
      <c r="F2461" s="52"/>
      <c r="G2461" s="52"/>
      <c r="H2461" s="52"/>
    </row>
    <row r="2462" spans="1:8" ht="15.75">
      <c r="A2462" s="106">
        <v>42977</v>
      </c>
      <c r="B2462" s="107">
        <v>141.93</v>
      </c>
      <c r="C2462" s="52"/>
      <c r="D2462" s="52"/>
      <c r="E2462" s="52"/>
      <c r="F2462" s="52"/>
      <c r="G2462" s="52"/>
      <c r="H2462" s="52"/>
    </row>
    <row r="2463" spans="1:8" ht="15.75">
      <c r="A2463" s="106">
        <v>42978</v>
      </c>
      <c r="B2463" s="107">
        <v>141.85</v>
      </c>
      <c r="C2463" s="52"/>
      <c r="D2463" s="52"/>
      <c r="E2463" s="52"/>
      <c r="F2463" s="52"/>
      <c r="G2463" s="52"/>
      <c r="H2463" s="52"/>
    </row>
    <row r="2464" spans="1:8" ht="15.75">
      <c r="A2464" s="106">
        <v>42979</v>
      </c>
      <c r="B2464" s="107">
        <v>141.88</v>
      </c>
      <c r="C2464" s="52"/>
      <c r="D2464" s="52"/>
      <c r="E2464" s="52"/>
      <c r="F2464" s="52"/>
      <c r="G2464" s="52"/>
      <c r="H2464" s="52"/>
    </row>
    <row r="2465" spans="1:8" ht="15.75">
      <c r="A2465" s="106">
        <v>42982</v>
      </c>
      <c r="B2465" s="107">
        <v>141.88999999999999</v>
      </c>
      <c r="C2465" s="52"/>
      <c r="D2465" s="52"/>
      <c r="E2465" s="52"/>
      <c r="F2465" s="52"/>
      <c r="G2465" s="52"/>
      <c r="H2465" s="52"/>
    </row>
    <row r="2466" spans="1:8" ht="15.75">
      <c r="A2466" s="106">
        <v>42983</v>
      </c>
      <c r="B2466" s="107">
        <v>141.82</v>
      </c>
      <c r="C2466" s="52"/>
      <c r="D2466" s="52"/>
      <c r="E2466" s="52"/>
      <c r="F2466" s="52"/>
      <c r="G2466" s="52"/>
      <c r="H2466" s="52"/>
    </row>
    <row r="2467" spans="1:8" ht="15.75">
      <c r="A2467" s="106">
        <v>42984</v>
      </c>
      <c r="B2467" s="107">
        <v>141.99</v>
      </c>
      <c r="C2467" s="52"/>
      <c r="D2467" s="52"/>
      <c r="E2467" s="52"/>
      <c r="F2467" s="52"/>
      <c r="G2467" s="52"/>
      <c r="H2467" s="52"/>
    </row>
    <row r="2468" spans="1:8" ht="15.75">
      <c r="A2468" s="106">
        <v>42985</v>
      </c>
      <c r="B2468" s="107">
        <v>141.82</v>
      </c>
      <c r="C2468" s="52"/>
      <c r="D2468" s="52"/>
      <c r="E2468" s="52"/>
      <c r="F2468" s="52"/>
      <c r="G2468" s="52"/>
      <c r="H2468" s="52"/>
    </row>
    <row r="2469" spans="1:8" ht="15.75">
      <c r="A2469" s="106">
        <v>42986</v>
      </c>
      <c r="B2469" s="107">
        <v>142.07</v>
      </c>
      <c r="C2469" s="52"/>
      <c r="D2469" s="52"/>
      <c r="E2469" s="52"/>
      <c r="F2469" s="52"/>
      <c r="G2469" s="52"/>
      <c r="H2469" s="52"/>
    </row>
    <row r="2470" spans="1:8" ht="15.75">
      <c r="A2470" s="106">
        <v>42989</v>
      </c>
      <c r="B2470" s="107">
        <v>142.03</v>
      </c>
      <c r="C2470" s="52"/>
      <c r="D2470" s="52"/>
      <c r="E2470" s="52"/>
      <c r="F2470" s="52"/>
      <c r="G2470" s="52"/>
      <c r="H2470" s="52"/>
    </row>
    <row r="2471" spans="1:8" ht="15.75">
      <c r="A2471" s="106">
        <v>42990</v>
      </c>
      <c r="B2471" s="107">
        <v>141.86000000000001</v>
      </c>
      <c r="C2471" s="52"/>
      <c r="D2471" s="52"/>
      <c r="E2471" s="52"/>
      <c r="F2471" s="52"/>
      <c r="G2471" s="52"/>
      <c r="H2471" s="52"/>
    </row>
    <row r="2472" spans="1:8" ht="15.75">
      <c r="A2472" s="106">
        <v>42991</v>
      </c>
      <c r="B2472" s="107">
        <v>141.65</v>
      </c>
      <c r="C2472" s="52"/>
      <c r="D2472" s="52"/>
      <c r="E2472" s="52"/>
      <c r="F2472" s="52"/>
      <c r="G2472" s="52"/>
      <c r="H2472" s="52"/>
    </row>
    <row r="2473" spans="1:8" ht="15.75">
      <c r="A2473" s="106">
        <v>42992</v>
      </c>
      <c r="B2473" s="107">
        <v>141.56</v>
      </c>
      <c r="C2473" s="52"/>
      <c r="D2473" s="52"/>
      <c r="E2473" s="52"/>
      <c r="F2473" s="52"/>
      <c r="G2473" s="52"/>
      <c r="H2473" s="52"/>
    </row>
    <row r="2474" spans="1:8" ht="15.75">
      <c r="A2474" s="106">
        <v>42993</v>
      </c>
      <c r="B2474" s="107">
        <v>141.46</v>
      </c>
      <c r="C2474" s="52"/>
      <c r="D2474" s="52"/>
      <c r="E2474" s="52"/>
      <c r="F2474" s="52"/>
      <c r="G2474" s="52"/>
      <c r="H2474" s="52"/>
    </row>
    <row r="2475" spans="1:8" ht="15.75">
      <c r="A2475" s="106">
        <v>42996</v>
      </c>
      <c r="B2475" s="107">
        <v>141.32</v>
      </c>
      <c r="C2475" s="52"/>
      <c r="D2475" s="52"/>
      <c r="E2475" s="52"/>
      <c r="F2475" s="52"/>
      <c r="G2475" s="52"/>
      <c r="H2475" s="52"/>
    </row>
    <row r="2476" spans="1:8" ht="15.75">
      <c r="A2476" s="106">
        <v>42997</v>
      </c>
      <c r="B2476" s="107">
        <v>141.21</v>
      </c>
      <c r="C2476" s="52"/>
      <c r="D2476" s="52"/>
      <c r="E2476" s="52"/>
      <c r="F2476" s="52"/>
      <c r="G2476" s="52"/>
      <c r="H2476" s="52"/>
    </row>
    <row r="2477" spans="1:8" ht="15.75">
      <c r="A2477" s="106">
        <v>42998</v>
      </c>
      <c r="B2477" s="107">
        <v>141.28</v>
      </c>
      <c r="C2477" s="52"/>
      <c r="D2477" s="52"/>
      <c r="E2477" s="52"/>
      <c r="F2477" s="52"/>
      <c r="G2477" s="52"/>
      <c r="H2477" s="52"/>
    </row>
    <row r="2478" spans="1:8" ht="15.75">
      <c r="A2478" s="106">
        <v>42999</v>
      </c>
      <c r="B2478" s="107">
        <v>141.04</v>
      </c>
      <c r="C2478" s="52"/>
      <c r="D2478" s="52"/>
      <c r="E2478" s="52"/>
      <c r="F2478" s="52"/>
      <c r="G2478" s="52"/>
      <c r="H2478" s="52"/>
    </row>
    <row r="2479" spans="1:8" ht="15.75">
      <c r="A2479" s="106">
        <v>43000</v>
      </c>
      <c r="B2479" s="107">
        <v>141.07</v>
      </c>
      <c r="C2479" s="52"/>
      <c r="D2479" s="52"/>
      <c r="E2479" s="52"/>
      <c r="F2479" s="52"/>
      <c r="G2479" s="52"/>
      <c r="H2479" s="52"/>
    </row>
    <row r="2480" spans="1:8" ht="15.75">
      <c r="A2480" s="106">
        <v>43003</v>
      </c>
      <c r="B2480" s="107">
        <v>141.36000000000001</v>
      </c>
      <c r="C2480" s="52"/>
      <c r="D2480" s="52"/>
      <c r="E2480" s="52"/>
      <c r="F2480" s="52"/>
      <c r="G2480" s="52"/>
      <c r="H2480" s="52"/>
    </row>
    <row r="2481" spans="1:8" ht="15.75">
      <c r="A2481" s="106">
        <v>43004</v>
      </c>
      <c r="B2481" s="107">
        <v>141.47</v>
      </c>
      <c r="C2481" s="52"/>
      <c r="D2481" s="52"/>
      <c r="E2481" s="52"/>
      <c r="F2481" s="52"/>
      <c r="G2481" s="52"/>
      <c r="H2481" s="52"/>
    </row>
    <row r="2482" spans="1:8" ht="15.75">
      <c r="A2482" s="106">
        <v>43005</v>
      </c>
      <c r="B2482" s="107">
        <v>141.1</v>
      </c>
      <c r="C2482" s="52"/>
      <c r="D2482" s="52"/>
      <c r="E2482" s="52"/>
      <c r="F2482" s="52"/>
      <c r="G2482" s="52"/>
      <c r="H2482" s="52"/>
    </row>
    <row r="2483" spans="1:8" ht="15.75">
      <c r="A2483" s="106">
        <v>43006</v>
      </c>
      <c r="B2483" s="107">
        <v>140.94</v>
      </c>
      <c r="C2483" s="52"/>
      <c r="D2483" s="52"/>
      <c r="E2483" s="52"/>
      <c r="F2483" s="52"/>
      <c r="G2483" s="52"/>
      <c r="H2483" s="52"/>
    </row>
    <row r="2484" spans="1:8" ht="15.75">
      <c r="A2484" s="106">
        <v>43007</v>
      </c>
      <c r="B2484" s="107">
        <v>141.21</v>
      </c>
      <c r="C2484" s="52"/>
      <c r="D2484" s="52"/>
      <c r="E2484" s="52"/>
      <c r="F2484" s="52"/>
      <c r="G2484" s="52"/>
      <c r="H2484" s="52"/>
    </row>
    <row r="2485" spans="1:8" ht="15.75">
      <c r="A2485" s="106">
        <v>43010</v>
      </c>
      <c r="B2485" s="107">
        <v>141.16</v>
      </c>
      <c r="C2485" s="52"/>
      <c r="D2485" s="52"/>
      <c r="E2485" s="52"/>
      <c r="F2485" s="52"/>
      <c r="G2485" s="52"/>
      <c r="H2485" s="52"/>
    </row>
    <row r="2486" spans="1:8" ht="15.75">
      <c r="A2486" s="106">
        <v>43012</v>
      </c>
      <c r="B2486" s="107">
        <v>141.28</v>
      </c>
      <c r="C2486" s="52"/>
      <c r="D2486" s="52"/>
      <c r="E2486" s="52"/>
      <c r="F2486" s="52"/>
      <c r="G2486" s="52"/>
      <c r="H2486" s="52"/>
    </row>
    <row r="2487" spans="1:8" ht="15.75">
      <c r="A2487" s="106">
        <v>43013</v>
      </c>
      <c r="B2487" s="107">
        <v>141.16</v>
      </c>
      <c r="C2487" s="52"/>
      <c r="D2487" s="52"/>
      <c r="E2487" s="52"/>
      <c r="F2487" s="52"/>
      <c r="G2487" s="52"/>
      <c r="H2487" s="52"/>
    </row>
    <row r="2488" spans="1:8" ht="15.75">
      <c r="A2488" s="106">
        <v>43014</v>
      </c>
      <c r="B2488" s="107">
        <v>140.97999999999999</v>
      </c>
      <c r="C2488" s="52"/>
      <c r="D2488" s="52"/>
      <c r="E2488" s="52"/>
      <c r="F2488" s="52"/>
      <c r="G2488" s="52"/>
      <c r="H2488" s="52"/>
    </row>
    <row r="2489" spans="1:8" ht="15.75">
      <c r="A2489" s="106">
        <v>43017</v>
      </c>
      <c r="B2489" s="107">
        <v>141.16999999999999</v>
      </c>
      <c r="C2489" s="52"/>
      <c r="D2489" s="52"/>
      <c r="E2489" s="52"/>
      <c r="F2489" s="52"/>
      <c r="G2489" s="52"/>
      <c r="H2489" s="52"/>
    </row>
    <row r="2490" spans="1:8" ht="15.75">
      <c r="A2490" s="106">
        <v>43018</v>
      </c>
      <c r="B2490" s="107">
        <v>141.22999999999999</v>
      </c>
      <c r="C2490" s="52"/>
      <c r="D2490" s="52"/>
      <c r="E2490" s="52"/>
      <c r="F2490" s="52"/>
      <c r="G2490" s="52"/>
      <c r="H2490" s="52"/>
    </row>
    <row r="2491" spans="1:8" ht="15.75">
      <c r="A2491" s="106">
        <v>43019</v>
      </c>
      <c r="B2491" s="107">
        <v>141.19</v>
      </c>
      <c r="C2491" s="52"/>
      <c r="D2491" s="52"/>
      <c r="E2491" s="52"/>
      <c r="F2491" s="52"/>
      <c r="G2491" s="52"/>
      <c r="H2491" s="52"/>
    </row>
    <row r="2492" spans="1:8" ht="15.75">
      <c r="A2492" s="106">
        <v>43020</v>
      </c>
      <c r="B2492" s="107">
        <v>141.21</v>
      </c>
      <c r="C2492" s="52"/>
      <c r="D2492" s="52"/>
      <c r="E2492" s="52"/>
      <c r="F2492" s="52"/>
      <c r="G2492" s="52"/>
      <c r="H2492" s="52"/>
    </row>
    <row r="2493" spans="1:8" ht="15.75">
      <c r="A2493" s="106">
        <v>43021</v>
      </c>
      <c r="B2493" s="107">
        <v>141.38999999999999</v>
      </c>
      <c r="C2493" s="52"/>
      <c r="D2493" s="52"/>
      <c r="E2493" s="52"/>
      <c r="F2493" s="52"/>
      <c r="G2493" s="52"/>
      <c r="H2493" s="52"/>
    </row>
    <row r="2494" spans="1:8" ht="15.75">
      <c r="A2494" s="106">
        <v>43024</v>
      </c>
      <c r="B2494" s="107">
        <v>141.57</v>
      </c>
      <c r="C2494" s="52"/>
      <c r="D2494" s="52"/>
      <c r="E2494" s="52"/>
      <c r="F2494" s="52"/>
      <c r="G2494" s="52"/>
      <c r="H2494" s="52"/>
    </row>
    <row r="2495" spans="1:8" ht="15.75">
      <c r="A2495" s="106">
        <v>43025</v>
      </c>
      <c r="B2495" s="107">
        <v>141.72999999999999</v>
      </c>
      <c r="C2495" s="52"/>
      <c r="D2495" s="52"/>
      <c r="E2495" s="52"/>
      <c r="F2495" s="52"/>
      <c r="G2495" s="52"/>
      <c r="H2495" s="52"/>
    </row>
    <row r="2496" spans="1:8" ht="15.75">
      <c r="A2496" s="106">
        <v>43026</v>
      </c>
      <c r="B2496" s="107">
        <v>141.62</v>
      </c>
      <c r="C2496" s="52"/>
      <c r="D2496" s="52"/>
      <c r="E2496" s="52"/>
      <c r="F2496" s="52"/>
      <c r="G2496" s="52"/>
      <c r="H2496" s="52"/>
    </row>
    <row r="2497" spans="1:8" ht="15.75">
      <c r="A2497" s="106">
        <v>43027</v>
      </c>
      <c r="B2497" s="107">
        <v>141.51</v>
      </c>
      <c r="C2497" s="52"/>
      <c r="D2497" s="52"/>
      <c r="E2497" s="52"/>
      <c r="F2497" s="52"/>
      <c r="G2497" s="52"/>
      <c r="H2497" s="52"/>
    </row>
    <row r="2498" spans="1:8" ht="15.75">
      <c r="A2498" s="106">
        <v>43028</v>
      </c>
      <c r="B2498" s="107">
        <v>141.29</v>
      </c>
      <c r="C2498" s="52"/>
      <c r="D2498" s="52"/>
      <c r="E2498" s="52"/>
      <c r="F2498" s="52"/>
      <c r="G2498" s="52"/>
      <c r="H2498" s="52"/>
    </row>
    <row r="2499" spans="1:8" ht="15.75">
      <c r="A2499" s="106">
        <v>43031</v>
      </c>
      <c r="B2499" s="107">
        <v>141.33000000000001</v>
      </c>
      <c r="C2499" s="52"/>
      <c r="D2499" s="52"/>
      <c r="E2499" s="52"/>
      <c r="F2499" s="52"/>
      <c r="G2499" s="52"/>
      <c r="H2499" s="52"/>
    </row>
    <row r="2500" spans="1:8" ht="15.75">
      <c r="A2500" s="106">
        <v>43032</v>
      </c>
      <c r="B2500" s="107">
        <v>141.11000000000001</v>
      </c>
      <c r="C2500" s="52"/>
      <c r="D2500" s="52"/>
      <c r="E2500" s="52"/>
      <c r="F2500" s="52"/>
      <c r="G2500" s="52"/>
      <c r="H2500" s="52"/>
    </row>
    <row r="2501" spans="1:8" ht="15.75">
      <c r="A2501" s="106">
        <v>43033</v>
      </c>
      <c r="B2501" s="107">
        <v>140.97999999999999</v>
      </c>
      <c r="C2501" s="52"/>
      <c r="D2501" s="52"/>
      <c r="E2501" s="52"/>
      <c r="F2501" s="52"/>
      <c r="G2501" s="52"/>
      <c r="H2501" s="52"/>
    </row>
    <row r="2502" spans="1:8" ht="15.75">
      <c r="A2502" s="106">
        <v>43034</v>
      </c>
      <c r="B2502" s="107">
        <v>141.03</v>
      </c>
      <c r="C2502" s="52"/>
      <c r="D2502" s="52"/>
      <c r="E2502" s="52"/>
      <c r="F2502" s="52"/>
      <c r="G2502" s="52"/>
      <c r="H2502" s="52"/>
    </row>
    <row r="2503" spans="1:8" ht="15.75">
      <c r="A2503" s="106">
        <v>43035</v>
      </c>
      <c r="B2503" s="107">
        <v>141.49</v>
      </c>
      <c r="C2503" s="52"/>
      <c r="D2503" s="52"/>
      <c r="E2503" s="52"/>
      <c r="F2503" s="52"/>
      <c r="G2503" s="52"/>
      <c r="H2503" s="52"/>
    </row>
    <row r="2504" spans="1:8" ht="15.75">
      <c r="A2504" s="106">
        <v>43038</v>
      </c>
      <c r="B2504" s="107">
        <v>141.63</v>
      </c>
      <c r="C2504" s="52"/>
      <c r="D2504" s="52"/>
      <c r="E2504" s="52"/>
      <c r="F2504" s="52"/>
      <c r="G2504" s="52"/>
      <c r="H2504" s="52"/>
    </row>
    <row r="2505" spans="1:8" ht="15.75">
      <c r="A2505" s="106">
        <v>43040</v>
      </c>
      <c r="B2505" s="107">
        <v>141.66</v>
      </c>
      <c r="C2505" s="52"/>
      <c r="D2505" s="52"/>
      <c r="E2505" s="52"/>
      <c r="F2505" s="52"/>
      <c r="G2505" s="52"/>
      <c r="H2505" s="52"/>
    </row>
    <row r="2506" spans="1:8" ht="15.75">
      <c r="A2506" s="106">
        <v>43041</v>
      </c>
      <c r="B2506" s="107">
        <v>141.54</v>
      </c>
      <c r="C2506" s="52"/>
      <c r="D2506" s="52"/>
      <c r="E2506" s="52"/>
      <c r="F2506" s="52"/>
      <c r="G2506" s="52"/>
      <c r="H2506" s="52"/>
    </row>
    <row r="2507" spans="1:8" ht="15.75">
      <c r="A2507" s="106">
        <v>43042</v>
      </c>
      <c r="B2507" s="107">
        <v>141.66</v>
      </c>
      <c r="C2507" s="52"/>
      <c r="D2507" s="52"/>
      <c r="E2507" s="52"/>
      <c r="F2507" s="52"/>
      <c r="G2507" s="52"/>
      <c r="H2507" s="52"/>
    </row>
    <row r="2508" spans="1:8" ht="15.75">
      <c r="A2508" s="106">
        <v>43045</v>
      </c>
      <c r="B2508" s="107">
        <v>141.80000000000001</v>
      </c>
      <c r="C2508" s="52"/>
      <c r="D2508" s="52"/>
      <c r="E2508" s="52"/>
      <c r="F2508" s="52"/>
      <c r="G2508" s="52"/>
      <c r="H2508" s="52"/>
    </row>
    <row r="2509" spans="1:8" ht="15.75">
      <c r="A2509" s="106">
        <v>43046</v>
      </c>
      <c r="B2509" s="107">
        <v>141.77000000000001</v>
      </c>
      <c r="C2509" s="52"/>
      <c r="D2509" s="52"/>
      <c r="E2509" s="52"/>
      <c r="F2509" s="52"/>
      <c r="G2509" s="52"/>
      <c r="H2509" s="52"/>
    </row>
    <row r="2510" spans="1:8" ht="15.75">
      <c r="A2510" s="106">
        <v>43047</v>
      </c>
      <c r="B2510" s="107">
        <v>141.91</v>
      </c>
      <c r="C2510" s="52"/>
      <c r="D2510" s="52"/>
      <c r="E2510" s="52"/>
      <c r="F2510" s="52"/>
      <c r="G2510" s="52"/>
      <c r="H2510" s="52"/>
    </row>
    <row r="2511" spans="1:8" ht="15.75">
      <c r="A2511" s="106">
        <v>43048</v>
      </c>
      <c r="B2511" s="107">
        <v>141.85</v>
      </c>
      <c r="C2511" s="52"/>
      <c r="D2511" s="52"/>
      <c r="E2511" s="52"/>
      <c r="F2511" s="52"/>
      <c r="G2511" s="52"/>
      <c r="H2511" s="52"/>
    </row>
    <row r="2512" spans="1:8" ht="15.75">
      <c r="A2512" s="106">
        <v>43049</v>
      </c>
      <c r="B2512" s="107">
        <v>141.47</v>
      </c>
      <c r="C2512" s="52"/>
      <c r="D2512" s="52"/>
      <c r="E2512" s="52"/>
      <c r="F2512" s="52"/>
      <c r="G2512" s="52"/>
      <c r="H2512" s="52"/>
    </row>
    <row r="2513" spans="1:8" ht="15.75">
      <c r="A2513" s="106">
        <v>43052</v>
      </c>
      <c r="B2513" s="107">
        <v>141.51</v>
      </c>
      <c r="C2513" s="52"/>
      <c r="D2513" s="52"/>
      <c r="E2513" s="52"/>
      <c r="F2513" s="52"/>
      <c r="G2513" s="52"/>
      <c r="H2513" s="52"/>
    </row>
    <row r="2514" spans="1:8" ht="15.75">
      <c r="A2514" s="106">
        <v>43053</v>
      </c>
      <c r="B2514" s="107">
        <v>141.35</v>
      </c>
      <c r="C2514" s="52"/>
      <c r="D2514" s="52"/>
      <c r="E2514" s="52"/>
      <c r="F2514" s="52"/>
      <c r="G2514" s="52"/>
      <c r="H2514" s="52"/>
    </row>
    <row r="2515" spans="1:8" ht="15.75">
      <c r="A2515" s="106">
        <v>43054</v>
      </c>
      <c r="B2515" s="107">
        <v>141.6</v>
      </c>
      <c r="C2515" s="52"/>
      <c r="D2515" s="52"/>
      <c r="E2515" s="52"/>
      <c r="F2515" s="52"/>
      <c r="G2515" s="52"/>
      <c r="H2515" s="52"/>
    </row>
    <row r="2516" spans="1:8" ht="15.75">
      <c r="A2516" s="106">
        <v>43055</v>
      </c>
      <c r="B2516" s="107">
        <v>141.4</v>
      </c>
      <c r="C2516" s="52"/>
      <c r="D2516" s="52"/>
      <c r="E2516" s="52"/>
      <c r="F2516" s="52"/>
      <c r="G2516" s="52"/>
      <c r="H2516" s="52"/>
    </row>
    <row r="2517" spans="1:8" ht="15.75">
      <c r="A2517" s="106">
        <v>43056</v>
      </c>
      <c r="B2517" s="107">
        <v>141.46</v>
      </c>
      <c r="C2517" s="52"/>
      <c r="D2517" s="52"/>
      <c r="E2517" s="52"/>
      <c r="F2517" s="52"/>
      <c r="G2517" s="52"/>
      <c r="H2517" s="52"/>
    </row>
    <row r="2518" spans="1:8" ht="15.75">
      <c r="A2518" s="106">
        <v>43059</v>
      </c>
      <c r="B2518" s="107">
        <v>141.56</v>
      </c>
      <c r="C2518" s="52"/>
      <c r="D2518" s="52"/>
      <c r="E2518" s="52"/>
      <c r="F2518" s="52"/>
      <c r="G2518" s="52"/>
      <c r="H2518" s="52"/>
    </row>
    <row r="2519" spans="1:8" ht="15.75">
      <c r="A2519" s="106">
        <v>43060</v>
      </c>
      <c r="B2519" s="107">
        <v>141.63</v>
      </c>
      <c r="C2519" s="52"/>
      <c r="D2519" s="52"/>
      <c r="E2519" s="52"/>
      <c r="F2519" s="52"/>
      <c r="G2519" s="52"/>
      <c r="H2519" s="52"/>
    </row>
    <row r="2520" spans="1:8" ht="15.75">
      <c r="A2520" s="106">
        <v>43061</v>
      </c>
      <c r="B2520" s="107">
        <v>141.37</v>
      </c>
      <c r="C2520" s="52"/>
      <c r="D2520" s="52"/>
      <c r="E2520" s="52"/>
      <c r="F2520" s="52"/>
      <c r="G2520" s="52"/>
      <c r="H2520" s="52"/>
    </row>
    <row r="2521" spans="1:8" ht="15.75">
      <c r="A2521" s="106">
        <v>43062</v>
      </c>
      <c r="B2521" s="107">
        <v>141.46</v>
      </c>
      <c r="C2521" s="52"/>
      <c r="D2521" s="52"/>
      <c r="E2521" s="52"/>
      <c r="F2521" s="52"/>
      <c r="G2521" s="52"/>
      <c r="H2521" s="52"/>
    </row>
    <row r="2522" spans="1:8" ht="15.75">
      <c r="A2522" s="106">
        <v>43063</v>
      </c>
      <c r="B2522" s="107">
        <v>141.33000000000001</v>
      </c>
      <c r="C2522" s="52"/>
      <c r="D2522" s="52"/>
      <c r="E2522" s="52"/>
      <c r="F2522" s="52"/>
      <c r="G2522" s="52"/>
      <c r="H2522" s="52"/>
    </row>
    <row r="2523" spans="1:8" ht="15.75">
      <c r="A2523" s="106">
        <v>43066</v>
      </c>
      <c r="B2523" s="107">
        <v>141.37</v>
      </c>
      <c r="C2523" s="52"/>
      <c r="D2523" s="52"/>
      <c r="E2523" s="52"/>
      <c r="F2523" s="52"/>
      <c r="G2523" s="52"/>
      <c r="H2523" s="52"/>
    </row>
    <row r="2524" spans="1:8" ht="15.75">
      <c r="A2524" s="106">
        <v>43067</v>
      </c>
      <c r="B2524" s="107">
        <v>141.56</v>
      </c>
      <c r="C2524" s="52"/>
      <c r="D2524" s="52"/>
      <c r="E2524" s="52"/>
      <c r="F2524" s="52"/>
      <c r="G2524" s="52"/>
      <c r="H2524" s="52"/>
    </row>
    <row r="2525" spans="1:8" ht="15.75">
      <c r="A2525" s="106">
        <v>43068</v>
      </c>
      <c r="B2525" s="107">
        <v>141.33000000000001</v>
      </c>
      <c r="C2525" s="52"/>
      <c r="D2525" s="52"/>
      <c r="E2525" s="52"/>
      <c r="F2525" s="52"/>
      <c r="G2525" s="52"/>
      <c r="H2525" s="52"/>
    </row>
    <row r="2526" spans="1:8" ht="15.75">
      <c r="A2526" s="106">
        <v>43069</v>
      </c>
      <c r="B2526" s="107">
        <v>141.22999999999999</v>
      </c>
      <c r="C2526" s="52"/>
      <c r="D2526" s="52"/>
      <c r="E2526" s="52"/>
      <c r="F2526" s="52"/>
      <c r="G2526" s="52"/>
      <c r="H2526" s="52"/>
    </row>
    <row r="2527" spans="1:8" ht="15.75">
      <c r="A2527" s="106">
        <v>43070</v>
      </c>
      <c r="B2527" s="107">
        <v>141.44999999999999</v>
      </c>
      <c r="C2527" s="52"/>
      <c r="D2527" s="52"/>
      <c r="E2527" s="52"/>
      <c r="F2527" s="52"/>
      <c r="G2527" s="52"/>
      <c r="H2527" s="52"/>
    </row>
    <row r="2528" spans="1:8" ht="15.75">
      <c r="A2528" s="106">
        <v>43073</v>
      </c>
      <c r="B2528" s="107">
        <v>141.47</v>
      </c>
      <c r="C2528" s="52"/>
      <c r="D2528" s="52"/>
      <c r="E2528" s="52"/>
      <c r="F2528" s="52"/>
      <c r="G2528" s="52"/>
      <c r="H2528" s="52"/>
    </row>
    <row r="2529" spans="1:8" ht="15.75">
      <c r="A2529" s="106">
        <v>43074</v>
      </c>
      <c r="B2529" s="107">
        <v>141.56</v>
      </c>
      <c r="C2529" s="52"/>
      <c r="D2529" s="52"/>
      <c r="E2529" s="52"/>
      <c r="F2529" s="52"/>
      <c r="G2529" s="52"/>
      <c r="H2529" s="52"/>
    </row>
    <row r="2530" spans="1:8" ht="15.75">
      <c r="A2530" s="106">
        <v>43075</v>
      </c>
      <c r="B2530" s="107">
        <v>141.76</v>
      </c>
      <c r="C2530" s="52"/>
      <c r="D2530" s="52"/>
      <c r="E2530" s="52"/>
      <c r="F2530" s="52"/>
      <c r="G2530" s="52"/>
      <c r="H2530" s="52"/>
    </row>
    <row r="2531" spans="1:8" ht="15.75">
      <c r="A2531" s="106">
        <v>43076</v>
      </c>
      <c r="B2531" s="107">
        <v>141.76</v>
      </c>
      <c r="C2531" s="52"/>
      <c r="D2531" s="52"/>
      <c r="E2531" s="52"/>
      <c r="F2531" s="52"/>
      <c r="G2531" s="52"/>
      <c r="H2531" s="52"/>
    </row>
    <row r="2532" spans="1:8" ht="15.75">
      <c r="A2532" s="106">
        <v>43077</v>
      </c>
      <c r="B2532" s="107">
        <v>141.69</v>
      </c>
      <c r="C2532" s="52"/>
      <c r="D2532" s="52"/>
      <c r="E2532" s="52"/>
      <c r="F2532" s="52"/>
      <c r="G2532" s="52"/>
      <c r="H2532" s="52"/>
    </row>
    <row r="2533" spans="1:8" ht="15.75">
      <c r="A2533" s="106">
        <v>43080</v>
      </c>
      <c r="B2533" s="107">
        <v>141.72</v>
      </c>
      <c r="C2533" s="52"/>
      <c r="D2533" s="52"/>
      <c r="E2533" s="52"/>
      <c r="F2533" s="52"/>
      <c r="G2533" s="52"/>
      <c r="H2533" s="52"/>
    </row>
    <row r="2534" spans="1:8" ht="15.75">
      <c r="A2534" s="106">
        <v>43081</v>
      </c>
      <c r="B2534" s="107">
        <v>141.6</v>
      </c>
      <c r="C2534" s="52"/>
      <c r="D2534" s="52"/>
      <c r="E2534" s="52"/>
      <c r="F2534" s="52"/>
      <c r="G2534" s="52"/>
      <c r="H2534" s="52"/>
    </row>
    <row r="2535" spans="1:8" ht="15.75">
      <c r="A2535" s="106">
        <v>43082</v>
      </c>
      <c r="B2535" s="107">
        <v>141.46</v>
      </c>
      <c r="C2535" s="52"/>
      <c r="D2535" s="52"/>
      <c r="E2535" s="52"/>
      <c r="F2535" s="52"/>
      <c r="G2535" s="52"/>
      <c r="H2535" s="52"/>
    </row>
    <row r="2536" spans="1:8" ht="15.75">
      <c r="A2536" s="106">
        <v>43083</v>
      </c>
      <c r="B2536" s="107">
        <v>141.47999999999999</v>
      </c>
      <c r="C2536" s="52"/>
      <c r="D2536" s="52"/>
      <c r="E2536" s="52"/>
      <c r="F2536" s="52"/>
      <c r="G2536" s="52"/>
      <c r="H2536" s="52"/>
    </row>
    <row r="2537" spans="1:8" ht="15.75">
      <c r="A2537" s="106">
        <v>43084</v>
      </c>
      <c r="B2537" s="107">
        <v>141.59</v>
      </c>
      <c r="C2537" s="52"/>
      <c r="D2537" s="52"/>
      <c r="E2537" s="52"/>
      <c r="F2537" s="52"/>
      <c r="G2537" s="52"/>
      <c r="H2537" s="52"/>
    </row>
    <row r="2538" spans="1:8" ht="15.75">
      <c r="A2538" s="106">
        <v>43087</v>
      </c>
      <c r="B2538" s="107">
        <v>141.47</v>
      </c>
      <c r="C2538" s="52"/>
      <c r="D2538" s="52"/>
      <c r="E2538" s="52"/>
      <c r="F2538" s="52"/>
      <c r="G2538" s="52"/>
      <c r="H2538" s="52"/>
    </row>
    <row r="2539" spans="1:8" ht="15.75">
      <c r="A2539" s="106">
        <v>43088</v>
      </c>
      <c r="B2539" s="107">
        <v>141.38999999999999</v>
      </c>
      <c r="C2539" s="52"/>
      <c r="D2539" s="52"/>
      <c r="E2539" s="52"/>
      <c r="F2539" s="52"/>
      <c r="G2539" s="52"/>
      <c r="H2539" s="52"/>
    </row>
    <row r="2540" spans="1:8" ht="15.75">
      <c r="A2540" s="106">
        <v>43089</v>
      </c>
      <c r="B2540" s="107">
        <v>140.96</v>
      </c>
      <c r="C2540" s="52"/>
      <c r="D2540" s="52"/>
      <c r="E2540" s="52"/>
      <c r="F2540" s="52"/>
      <c r="G2540" s="52"/>
      <c r="H2540" s="52"/>
    </row>
    <row r="2541" spans="1:8" ht="15.75">
      <c r="A2541" s="106">
        <v>43090</v>
      </c>
      <c r="B2541" s="107">
        <v>140.68</v>
      </c>
      <c r="C2541" s="52"/>
      <c r="D2541" s="52"/>
      <c r="E2541" s="52"/>
      <c r="F2541" s="52"/>
      <c r="G2541" s="52"/>
      <c r="H2541" s="52"/>
    </row>
    <row r="2542" spans="1:8" ht="15.75">
      <c r="A2542" s="106">
        <v>43091</v>
      </c>
      <c r="B2542" s="107">
        <v>140.66999999999999</v>
      </c>
      <c r="C2542" s="52"/>
      <c r="D2542" s="52"/>
      <c r="E2542" s="52"/>
      <c r="F2542" s="52"/>
      <c r="G2542" s="52"/>
      <c r="H2542" s="52"/>
    </row>
    <row r="2543" spans="1:8" ht="15.75">
      <c r="A2543" s="106">
        <v>43096</v>
      </c>
      <c r="B2543" s="107">
        <v>140.66</v>
      </c>
      <c r="C2543" s="52"/>
      <c r="D2543" s="52"/>
      <c r="E2543" s="52"/>
      <c r="F2543" s="52"/>
      <c r="G2543" s="52"/>
      <c r="H2543" s="52"/>
    </row>
    <row r="2544" spans="1:8" ht="15.75">
      <c r="A2544" s="106">
        <v>43097</v>
      </c>
      <c r="B2544" s="107">
        <v>140.59</v>
      </c>
      <c r="C2544" s="52"/>
      <c r="D2544" s="52"/>
      <c r="E2544" s="52"/>
      <c r="F2544" s="52"/>
      <c r="G2544" s="52"/>
      <c r="H2544" s="52"/>
    </row>
    <row r="2545" spans="1:8" ht="15.75">
      <c r="A2545" s="106">
        <v>43098</v>
      </c>
      <c r="B2545" s="107">
        <v>140.53</v>
      </c>
      <c r="C2545" s="52"/>
      <c r="D2545" s="52"/>
      <c r="E2545" s="52"/>
      <c r="F2545" s="52"/>
      <c r="G2545" s="52"/>
      <c r="H2545" s="52"/>
    </row>
    <row r="2546" spans="1:8" ht="15.75">
      <c r="A2546" s="106">
        <v>43102</v>
      </c>
      <c r="B2546" s="107">
        <v>140.47999999999999</v>
      </c>
      <c r="C2546" s="52"/>
      <c r="D2546" s="52"/>
      <c r="E2546" s="52"/>
      <c r="F2546" s="52"/>
      <c r="G2546" s="52"/>
      <c r="H2546" s="52"/>
    </row>
    <row r="2547" spans="1:8" ht="15.75">
      <c r="A2547" s="106">
        <v>43103</v>
      </c>
      <c r="B2547" s="107">
        <v>140.49</v>
      </c>
      <c r="C2547" s="52"/>
      <c r="D2547" s="52"/>
      <c r="E2547" s="52"/>
      <c r="F2547" s="52"/>
      <c r="G2547" s="52"/>
      <c r="H2547" s="52"/>
    </row>
    <row r="2548" spans="1:8" ht="15.75">
      <c r="A2548" s="106">
        <v>43104</v>
      </c>
      <c r="B2548" s="107">
        <v>140.4</v>
      </c>
      <c r="C2548" s="52"/>
      <c r="D2548" s="52"/>
      <c r="E2548" s="52"/>
      <c r="F2548" s="52"/>
      <c r="G2548" s="52"/>
      <c r="H2548" s="52"/>
    </row>
    <row r="2549" spans="1:8" ht="15.75">
      <c r="A2549" s="106">
        <v>43105</v>
      </c>
      <c r="B2549" s="107">
        <v>140.5</v>
      </c>
      <c r="C2549" s="52"/>
      <c r="D2549" s="52"/>
      <c r="E2549" s="52"/>
      <c r="F2549" s="52"/>
      <c r="G2549" s="52"/>
      <c r="H2549" s="52"/>
    </row>
    <row r="2550" spans="1:8" ht="15.75">
      <c r="A2550" s="106">
        <v>43108</v>
      </c>
      <c r="B2550" s="107">
        <v>140.51</v>
      </c>
      <c r="C2550" s="52"/>
      <c r="D2550" s="52"/>
      <c r="E2550" s="52"/>
      <c r="F2550" s="52"/>
      <c r="G2550" s="52"/>
      <c r="H2550" s="52"/>
    </row>
    <row r="2551" spans="1:8" ht="15.75">
      <c r="A2551" s="106">
        <v>43109</v>
      </c>
      <c r="B2551" s="107">
        <v>140.51</v>
      </c>
      <c r="C2551" s="52"/>
      <c r="D2551" s="52"/>
      <c r="E2551" s="52"/>
      <c r="F2551" s="52"/>
      <c r="G2551" s="52"/>
      <c r="H2551" s="52"/>
    </row>
    <row r="2552" spans="1:8" ht="15.75">
      <c r="A2552" s="106">
        <v>43110</v>
      </c>
      <c r="B2552" s="107">
        <v>140.30000000000001</v>
      </c>
      <c r="C2552" s="52"/>
      <c r="D2552" s="52"/>
      <c r="E2552" s="52"/>
      <c r="F2552" s="52"/>
      <c r="G2552" s="52"/>
      <c r="H2552" s="52"/>
    </row>
    <row r="2553" spans="1:8" ht="15.75">
      <c r="A2553" s="106">
        <v>43111</v>
      </c>
      <c r="B2553" s="107">
        <v>140.37</v>
      </c>
      <c r="C2553" s="52"/>
      <c r="D2553" s="52"/>
      <c r="E2553" s="52"/>
      <c r="F2553" s="52"/>
      <c r="G2553" s="52"/>
      <c r="H2553" s="52"/>
    </row>
    <row r="2554" spans="1:8" ht="15.75">
      <c r="A2554" s="106">
        <v>43112</v>
      </c>
      <c r="B2554" s="107">
        <v>139.86000000000001</v>
      </c>
      <c r="C2554" s="52"/>
      <c r="D2554" s="52"/>
      <c r="E2554" s="52"/>
      <c r="F2554" s="52"/>
      <c r="G2554" s="52"/>
      <c r="H2554" s="52"/>
    </row>
    <row r="2555" spans="1:8" ht="15.75">
      <c r="A2555" s="106">
        <v>43115</v>
      </c>
      <c r="B2555" s="107">
        <v>139.94</v>
      </c>
      <c r="C2555" s="52"/>
      <c r="D2555" s="52"/>
      <c r="E2555" s="52"/>
      <c r="F2555" s="52"/>
      <c r="G2555" s="52"/>
      <c r="H2555" s="52"/>
    </row>
    <row r="2556" spans="1:8" ht="15.75">
      <c r="A2556" s="106">
        <v>43116</v>
      </c>
      <c r="B2556" s="107">
        <v>139.97</v>
      </c>
      <c r="C2556" s="52"/>
      <c r="D2556" s="52"/>
      <c r="E2556" s="52"/>
      <c r="F2556" s="52"/>
      <c r="G2556" s="52"/>
      <c r="H2556" s="52"/>
    </row>
    <row r="2557" spans="1:8" ht="15.75">
      <c r="A2557" s="106">
        <v>43117</v>
      </c>
      <c r="B2557" s="107">
        <v>140</v>
      </c>
      <c r="C2557" s="52"/>
      <c r="D2557" s="52"/>
      <c r="E2557" s="52"/>
      <c r="F2557" s="52"/>
      <c r="G2557" s="52"/>
      <c r="H2557" s="52"/>
    </row>
    <row r="2558" spans="1:8" ht="15.75">
      <c r="A2558" s="106">
        <v>43118</v>
      </c>
      <c r="B2558" s="107">
        <v>139.81</v>
      </c>
      <c r="C2558" s="52"/>
      <c r="D2558" s="52"/>
      <c r="E2558" s="52"/>
      <c r="F2558" s="52"/>
      <c r="G2558" s="52"/>
      <c r="H2558" s="52"/>
    </row>
    <row r="2559" spans="1:8" ht="15.75">
      <c r="A2559" s="106">
        <v>43119</v>
      </c>
      <c r="B2559" s="107">
        <v>139.91</v>
      </c>
      <c r="C2559" s="52"/>
      <c r="D2559" s="52"/>
      <c r="E2559" s="52"/>
      <c r="F2559" s="52"/>
      <c r="G2559" s="52"/>
      <c r="H2559" s="52"/>
    </row>
    <row r="2560" spans="1:8" ht="15.75">
      <c r="A2560" s="106">
        <v>43122</v>
      </c>
      <c r="B2560" s="107">
        <v>139.88</v>
      </c>
      <c r="C2560" s="52"/>
      <c r="D2560" s="52"/>
      <c r="E2560" s="52"/>
      <c r="F2560" s="52"/>
      <c r="G2560" s="52"/>
      <c r="H2560" s="52"/>
    </row>
    <row r="2561" spans="1:8" ht="15.75">
      <c r="A2561" s="106">
        <v>43123</v>
      </c>
      <c r="B2561" s="107">
        <v>140.04</v>
      </c>
      <c r="C2561" s="52"/>
      <c r="D2561" s="52"/>
      <c r="E2561" s="52"/>
      <c r="F2561" s="52"/>
      <c r="G2561" s="52"/>
      <c r="H2561" s="52"/>
    </row>
    <row r="2562" spans="1:8" ht="15.75">
      <c r="A2562" s="106">
        <v>43124</v>
      </c>
      <c r="B2562" s="107">
        <v>139.87</v>
      </c>
      <c r="C2562" s="52"/>
      <c r="D2562" s="52"/>
      <c r="E2562" s="52"/>
      <c r="F2562" s="52"/>
      <c r="G2562" s="52"/>
      <c r="H2562" s="52"/>
    </row>
    <row r="2563" spans="1:8" ht="15.75">
      <c r="A2563" s="106">
        <v>43125</v>
      </c>
      <c r="B2563" s="107">
        <v>139.85</v>
      </c>
      <c r="C2563" s="52"/>
      <c r="D2563" s="52"/>
      <c r="E2563" s="52"/>
      <c r="F2563" s="52"/>
      <c r="G2563" s="52"/>
      <c r="H2563" s="52"/>
    </row>
    <row r="2564" spans="1:8" ht="15.75">
      <c r="A2564" s="106">
        <v>43126</v>
      </c>
      <c r="B2564" s="107">
        <v>139.62</v>
      </c>
      <c r="C2564" s="52"/>
      <c r="D2564" s="52"/>
      <c r="E2564" s="52"/>
      <c r="F2564" s="52"/>
      <c r="G2564" s="52"/>
      <c r="H2564" s="52"/>
    </row>
    <row r="2565" spans="1:8" ht="15.75">
      <c r="A2565" s="106">
        <v>43129</v>
      </c>
      <c r="B2565" s="107">
        <v>139.15</v>
      </c>
      <c r="C2565" s="52"/>
      <c r="D2565" s="52"/>
      <c r="E2565" s="52"/>
      <c r="F2565" s="52"/>
      <c r="G2565" s="52"/>
      <c r="H2565" s="52"/>
    </row>
    <row r="2566" spans="1:8" ht="15.75">
      <c r="A2566" s="106">
        <v>43130</v>
      </c>
      <c r="B2566" s="107">
        <v>139.16</v>
      </c>
      <c r="C2566" s="52"/>
      <c r="D2566" s="52"/>
      <c r="E2566" s="52"/>
      <c r="F2566" s="52"/>
      <c r="G2566" s="52"/>
      <c r="H2566" s="52"/>
    </row>
    <row r="2567" spans="1:8" ht="15.75">
      <c r="A2567" s="106">
        <v>43131</v>
      </c>
      <c r="B2567" s="107">
        <v>139.19</v>
      </c>
      <c r="C2567" s="52"/>
      <c r="D2567" s="52"/>
      <c r="E2567" s="52"/>
      <c r="F2567" s="52"/>
      <c r="G2567" s="52"/>
      <c r="H2567" s="52"/>
    </row>
    <row r="2568" spans="1:8" ht="15.75">
      <c r="A2568" s="106">
        <v>43132</v>
      </c>
      <c r="B2568" s="107">
        <v>138.88999999999999</v>
      </c>
      <c r="C2568" s="52"/>
      <c r="D2568" s="52"/>
      <c r="E2568" s="52"/>
      <c r="F2568" s="52"/>
      <c r="G2568" s="52"/>
      <c r="H2568" s="52"/>
    </row>
    <row r="2569" spans="1:8" ht="15.75">
      <c r="A2569" s="106">
        <v>43133</v>
      </c>
      <c r="B2569" s="107">
        <v>138.84</v>
      </c>
      <c r="C2569" s="52"/>
      <c r="D2569" s="52"/>
      <c r="E2569" s="52"/>
      <c r="F2569" s="52"/>
      <c r="G2569" s="52"/>
      <c r="H2569" s="52"/>
    </row>
    <row r="2570" spans="1:8" ht="15.75">
      <c r="A2570" s="106">
        <v>43136</v>
      </c>
      <c r="B2570" s="107">
        <v>138.88999999999999</v>
      </c>
      <c r="C2570" s="52"/>
      <c r="D2570" s="52"/>
      <c r="E2570" s="52"/>
      <c r="F2570" s="52"/>
      <c r="G2570" s="52"/>
      <c r="H2570" s="52"/>
    </row>
    <row r="2571" spans="1:8" ht="15.75">
      <c r="A2571" s="106">
        <v>43137</v>
      </c>
      <c r="B2571" s="107">
        <v>139.22999999999999</v>
      </c>
      <c r="C2571" s="52"/>
      <c r="D2571" s="52"/>
      <c r="E2571" s="52"/>
      <c r="F2571" s="52"/>
      <c r="G2571" s="52"/>
      <c r="H2571" s="52"/>
    </row>
    <row r="2572" spans="1:8" ht="15.75">
      <c r="A2572" s="106">
        <v>43138</v>
      </c>
      <c r="B2572" s="107">
        <v>139.15</v>
      </c>
      <c r="C2572" s="52"/>
      <c r="D2572" s="52"/>
      <c r="E2572" s="52"/>
      <c r="F2572" s="52"/>
      <c r="G2572" s="52"/>
      <c r="H2572" s="52"/>
    </row>
    <row r="2573" spans="1:8" ht="15.75">
      <c r="A2573" s="106">
        <v>43139</v>
      </c>
      <c r="B2573" s="107">
        <v>138.77000000000001</v>
      </c>
      <c r="C2573" s="52"/>
      <c r="D2573" s="52"/>
      <c r="E2573" s="52"/>
      <c r="F2573" s="52"/>
      <c r="G2573" s="52"/>
      <c r="H2573" s="52"/>
    </row>
    <row r="2574" spans="1:8" ht="15.75">
      <c r="A2574" s="106">
        <v>43140</v>
      </c>
      <c r="B2574" s="107">
        <v>138.78</v>
      </c>
      <c r="C2574" s="52"/>
      <c r="D2574" s="52"/>
      <c r="E2574" s="52"/>
      <c r="F2574" s="52"/>
      <c r="G2574" s="52"/>
      <c r="H2574" s="52"/>
    </row>
    <row r="2575" spans="1:8" ht="15.75">
      <c r="A2575" s="106">
        <v>43143</v>
      </c>
      <c r="B2575" s="107">
        <v>138.68</v>
      </c>
      <c r="C2575" s="52"/>
      <c r="D2575" s="52"/>
      <c r="E2575" s="52"/>
      <c r="F2575" s="52"/>
      <c r="G2575" s="52"/>
      <c r="H2575" s="52"/>
    </row>
    <row r="2576" spans="1:8" ht="15.75">
      <c r="A2576" s="106">
        <v>43144</v>
      </c>
      <c r="B2576" s="107">
        <v>138.9</v>
      </c>
      <c r="C2576" s="52"/>
      <c r="D2576" s="52"/>
      <c r="E2576" s="52"/>
      <c r="F2576" s="52"/>
      <c r="G2576" s="52"/>
      <c r="H2576" s="52"/>
    </row>
    <row r="2577" spans="1:8" ht="15.75">
      <c r="A2577" s="106">
        <v>43145</v>
      </c>
      <c r="B2577" s="107">
        <v>138.88</v>
      </c>
      <c r="C2577" s="52"/>
      <c r="D2577" s="52"/>
      <c r="E2577" s="52"/>
      <c r="F2577" s="52"/>
      <c r="G2577" s="52"/>
      <c r="H2577" s="52"/>
    </row>
    <row r="2578" spans="1:8" ht="15.75">
      <c r="A2578" s="106">
        <v>43146</v>
      </c>
      <c r="B2578" s="107">
        <v>138.57</v>
      </c>
      <c r="C2578" s="52"/>
      <c r="D2578" s="52"/>
      <c r="E2578" s="52"/>
      <c r="F2578" s="52"/>
      <c r="G2578" s="52"/>
      <c r="H2578" s="52"/>
    </row>
    <row r="2579" spans="1:8" ht="15.75">
      <c r="A2579" s="106">
        <v>43147</v>
      </c>
      <c r="B2579" s="107">
        <v>138.80000000000001</v>
      </c>
      <c r="C2579" s="52"/>
      <c r="D2579" s="52"/>
      <c r="E2579" s="52"/>
      <c r="F2579" s="52"/>
      <c r="G2579" s="52"/>
      <c r="H2579" s="52"/>
    </row>
    <row r="2580" spans="1:8" ht="15.75">
      <c r="A2580" s="106">
        <v>43150</v>
      </c>
      <c r="B2580" s="107">
        <v>138.88</v>
      </c>
      <c r="C2580" s="52"/>
      <c r="D2580" s="52"/>
      <c r="E2580" s="52"/>
      <c r="F2580" s="52"/>
      <c r="G2580" s="52"/>
      <c r="H2580" s="52"/>
    </row>
    <row r="2581" spans="1:8" ht="15.75">
      <c r="A2581" s="106">
        <v>43151</v>
      </c>
      <c r="B2581" s="107">
        <v>138.82</v>
      </c>
      <c r="C2581" s="52"/>
      <c r="D2581" s="52"/>
      <c r="E2581" s="52"/>
      <c r="F2581" s="52"/>
      <c r="G2581" s="52"/>
      <c r="H2581" s="52"/>
    </row>
    <row r="2582" spans="1:8" ht="15.75">
      <c r="A2582" s="106">
        <v>43152</v>
      </c>
      <c r="B2582" s="107">
        <v>139.05000000000001</v>
      </c>
      <c r="C2582" s="52"/>
      <c r="D2582" s="52"/>
      <c r="E2582" s="52"/>
      <c r="F2582" s="52"/>
      <c r="G2582" s="52"/>
      <c r="H2582" s="52"/>
    </row>
    <row r="2583" spans="1:8" ht="15.75">
      <c r="A2583" s="106">
        <v>43153</v>
      </c>
      <c r="B2583" s="107">
        <v>139.03</v>
      </c>
      <c r="C2583" s="52"/>
      <c r="D2583" s="52"/>
      <c r="E2583" s="52"/>
      <c r="F2583" s="52"/>
      <c r="G2583" s="52"/>
      <c r="H2583" s="52"/>
    </row>
    <row r="2584" spans="1:8" ht="15.75">
      <c r="A2584" s="106">
        <v>43154</v>
      </c>
      <c r="B2584" s="107">
        <v>139.24</v>
      </c>
      <c r="C2584" s="52"/>
      <c r="D2584" s="52"/>
      <c r="E2584" s="52"/>
      <c r="F2584" s="52"/>
      <c r="G2584" s="52"/>
      <c r="H2584" s="52"/>
    </row>
    <row r="2585" spans="1:8" ht="15.75">
      <c r="A2585" s="106">
        <v>43157</v>
      </c>
      <c r="B2585" s="107">
        <v>139.29</v>
      </c>
      <c r="C2585" s="52"/>
      <c r="D2585" s="52"/>
      <c r="E2585" s="52"/>
      <c r="F2585" s="52"/>
      <c r="G2585" s="52"/>
      <c r="H2585" s="52"/>
    </row>
    <row r="2586" spans="1:8" ht="15.75">
      <c r="A2586" s="106">
        <v>43158</v>
      </c>
      <c r="B2586" s="107">
        <v>139.19999999999999</v>
      </c>
      <c r="C2586" s="52"/>
      <c r="D2586" s="52"/>
      <c r="E2586" s="52"/>
      <c r="F2586" s="52"/>
      <c r="G2586" s="52"/>
      <c r="H2586" s="52"/>
    </row>
    <row r="2587" spans="1:8" ht="15.75">
      <c r="A2587" s="106">
        <v>43159</v>
      </c>
      <c r="B2587" s="107">
        <v>139.24</v>
      </c>
      <c r="C2587" s="52"/>
      <c r="D2587" s="52"/>
      <c r="E2587" s="52"/>
      <c r="F2587" s="52"/>
      <c r="G2587" s="52"/>
      <c r="H2587" s="52"/>
    </row>
    <row r="2588" spans="1:8" ht="15.75">
      <c r="A2588" s="106">
        <v>43160</v>
      </c>
      <c r="B2588" s="107">
        <v>139.51</v>
      </c>
      <c r="C2588" s="52"/>
      <c r="D2588" s="52"/>
      <c r="E2588" s="52"/>
      <c r="F2588" s="52"/>
      <c r="G2588" s="52"/>
      <c r="H2588" s="52"/>
    </row>
    <row r="2589" spans="1:8" ht="15.75">
      <c r="A2589" s="106">
        <v>43161</v>
      </c>
      <c r="B2589" s="107">
        <v>139.62</v>
      </c>
      <c r="C2589" s="52"/>
      <c r="D2589" s="52"/>
      <c r="E2589" s="52"/>
      <c r="F2589" s="52"/>
      <c r="G2589" s="52"/>
      <c r="H2589" s="52"/>
    </row>
    <row r="2590" spans="1:8" ht="15.75">
      <c r="A2590" s="106">
        <v>43164</v>
      </c>
      <c r="B2590" s="107">
        <v>139.52000000000001</v>
      </c>
      <c r="C2590" s="52"/>
      <c r="D2590" s="52"/>
      <c r="E2590" s="52"/>
      <c r="F2590" s="52"/>
      <c r="G2590" s="52"/>
      <c r="H2590" s="52"/>
    </row>
    <row r="2591" spans="1:8" ht="15.75">
      <c r="A2591" s="106">
        <v>43165</v>
      </c>
      <c r="B2591" s="107">
        <v>139.44999999999999</v>
      </c>
      <c r="C2591" s="52"/>
      <c r="D2591" s="52"/>
      <c r="E2591" s="52"/>
      <c r="F2591" s="52"/>
      <c r="G2591" s="52"/>
      <c r="H2591" s="52"/>
    </row>
    <row r="2592" spans="1:8" ht="15.75">
      <c r="A2592" s="106">
        <v>43166</v>
      </c>
      <c r="B2592" s="107">
        <v>139.30000000000001</v>
      </c>
      <c r="C2592" s="52"/>
      <c r="D2592" s="52"/>
      <c r="E2592" s="52"/>
      <c r="F2592" s="52"/>
      <c r="G2592" s="52"/>
      <c r="H2592" s="52"/>
    </row>
    <row r="2593" spans="1:8" ht="15.75">
      <c r="A2593" s="106">
        <v>43167</v>
      </c>
      <c r="B2593" s="107">
        <v>139.29</v>
      </c>
      <c r="C2593" s="52"/>
      <c r="D2593" s="52"/>
      <c r="E2593" s="52"/>
      <c r="F2593" s="52"/>
      <c r="G2593" s="52"/>
      <c r="H2593" s="52"/>
    </row>
    <row r="2594" spans="1:8" ht="15.75">
      <c r="A2594" s="106">
        <v>43168</v>
      </c>
      <c r="B2594" s="107">
        <v>139.46</v>
      </c>
      <c r="C2594" s="52"/>
      <c r="D2594" s="52"/>
      <c r="E2594" s="52"/>
      <c r="F2594" s="52"/>
      <c r="G2594" s="52"/>
      <c r="H2594" s="52"/>
    </row>
    <row r="2595" spans="1:8" ht="15.75">
      <c r="A2595" s="106">
        <v>43171</v>
      </c>
      <c r="B2595" s="107">
        <v>139.57</v>
      </c>
      <c r="C2595" s="52"/>
      <c r="D2595" s="52"/>
      <c r="E2595" s="52"/>
      <c r="F2595" s="52"/>
      <c r="G2595" s="52"/>
      <c r="H2595" s="52"/>
    </row>
    <row r="2596" spans="1:8" ht="15.75">
      <c r="A2596" s="106">
        <v>43172</v>
      </c>
      <c r="B2596" s="107">
        <v>139.68</v>
      </c>
      <c r="C2596" s="52"/>
      <c r="D2596" s="52"/>
      <c r="E2596" s="52"/>
      <c r="F2596" s="52"/>
      <c r="G2596" s="52"/>
      <c r="H2596" s="52"/>
    </row>
    <row r="2597" spans="1:8" ht="15.75">
      <c r="A2597" s="106">
        <v>43173</v>
      </c>
      <c r="B2597" s="107">
        <v>139.69999999999999</v>
      </c>
      <c r="C2597" s="52"/>
      <c r="D2597" s="52"/>
      <c r="E2597" s="52"/>
      <c r="F2597" s="52"/>
      <c r="G2597" s="52"/>
      <c r="H2597" s="52"/>
    </row>
    <row r="2598" spans="1:8" ht="15.75">
      <c r="A2598" s="106">
        <v>43174</v>
      </c>
      <c r="B2598" s="107">
        <v>139.88</v>
      </c>
      <c r="C2598" s="52"/>
      <c r="D2598" s="52"/>
      <c r="E2598" s="52"/>
      <c r="F2598" s="52"/>
      <c r="G2598" s="52"/>
      <c r="H2598" s="52"/>
    </row>
    <row r="2599" spans="1:8" ht="15.75">
      <c r="A2599" s="106">
        <v>43175</v>
      </c>
      <c r="B2599" s="107">
        <v>140.01</v>
      </c>
      <c r="C2599" s="52"/>
      <c r="D2599" s="52"/>
      <c r="E2599" s="52"/>
      <c r="F2599" s="52"/>
      <c r="G2599" s="52"/>
      <c r="H2599" s="52"/>
    </row>
    <row r="2600" spans="1:8" ht="15.75">
      <c r="A2600" s="106">
        <v>43178</v>
      </c>
      <c r="B2600" s="107">
        <v>139.97999999999999</v>
      </c>
      <c r="C2600" s="52"/>
      <c r="D2600" s="52"/>
      <c r="E2600" s="52"/>
      <c r="F2600" s="52"/>
      <c r="G2600" s="52"/>
      <c r="H2600" s="52"/>
    </row>
    <row r="2601" spans="1:8" ht="15.75">
      <c r="A2601" s="106">
        <v>43179</v>
      </c>
      <c r="B2601" s="107">
        <v>139.88999999999999</v>
      </c>
      <c r="C2601" s="52"/>
      <c r="D2601" s="52"/>
      <c r="E2601" s="52"/>
      <c r="F2601" s="52"/>
      <c r="G2601" s="52"/>
      <c r="H2601" s="52"/>
    </row>
    <row r="2602" spans="1:8" ht="15.75">
      <c r="A2602" s="106">
        <v>43180</v>
      </c>
      <c r="B2602" s="107">
        <v>139.82</v>
      </c>
      <c r="C2602" s="52"/>
      <c r="D2602" s="52"/>
      <c r="E2602" s="52"/>
      <c r="F2602" s="52"/>
      <c r="G2602" s="52"/>
      <c r="H2602" s="52"/>
    </row>
    <row r="2603" spans="1:8" ht="15.75">
      <c r="A2603" s="106">
        <v>43181</v>
      </c>
      <c r="B2603" s="107">
        <v>140.09</v>
      </c>
      <c r="C2603" s="52"/>
      <c r="D2603" s="52"/>
      <c r="E2603" s="52"/>
      <c r="F2603" s="52"/>
      <c r="G2603" s="52"/>
      <c r="H2603" s="52"/>
    </row>
    <row r="2604" spans="1:8" ht="15.75">
      <c r="A2604" s="106">
        <v>43182</v>
      </c>
      <c r="B2604" s="107">
        <v>140.24</v>
      </c>
      <c r="C2604" s="52"/>
      <c r="D2604" s="52"/>
      <c r="E2604" s="52"/>
      <c r="F2604" s="52"/>
      <c r="G2604" s="52"/>
      <c r="H2604" s="52"/>
    </row>
    <row r="2605" spans="1:8" ht="15.75">
      <c r="A2605" s="106">
        <v>43185</v>
      </c>
      <c r="B2605" s="107">
        <v>140.13999999999999</v>
      </c>
      <c r="C2605" s="52"/>
      <c r="D2605" s="52"/>
      <c r="E2605" s="52"/>
      <c r="F2605" s="52"/>
      <c r="G2605" s="52"/>
      <c r="H2605" s="52"/>
    </row>
    <row r="2606" spans="1:8" ht="15.75">
      <c r="A2606" s="106">
        <v>43186</v>
      </c>
      <c r="B2606" s="107">
        <v>140.25</v>
      </c>
      <c r="C2606" s="52"/>
      <c r="D2606" s="52"/>
      <c r="E2606" s="52"/>
      <c r="F2606" s="52"/>
      <c r="G2606" s="52"/>
      <c r="H2606" s="52"/>
    </row>
    <row r="2607" spans="1:8" ht="15.75">
      <c r="A2607" s="106">
        <v>43187</v>
      </c>
      <c r="B2607" s="107">
        <v>140.47999999999999</v>
      </c>
      <c r="C2607" s="52"/>
      <c r="D2607" s="52"/>
      <c r="E2607" s="52"/>
      <c r="F2607" s="52"/>
      <c r="G2607" s="52"/>
      <c r="H2607" s="52"/>
    </row>
    <row r="2608" spans="1:8" ht="15.75">
      <c r="A2608" s="106">
        <v>43188</v>
      </c>
      <c r="B2608" s="107">
        <v>140.36000000000001</v>
      </c>
      <c r="C2608" s="52"/>
      <c r="D2608" s="52"/>
      <c r="E2608" s="52"/>
      <c r="F2608" s="52"/>
      <c r="G2608" s="52"/>
      <c r="H2608" s="52"/>
    </row>
    <row r="2609" spans="1:8" ht="15.75">
      <c r="A2609" s="106">
        <v>43193</v>
      </c>
      <c r="B2609" s="107">
        <v>140.43</v>
      </c>
      <c r="C2609" s="52"/>
      <c r="D2609" s="52"/>
      <c r="E2609" s="52"/>
      <c r="F2609" s="52"/>
      <c r="G2609" s="52"/>
      <c r="H2609" s="52"/>
    </row>
    <row r="2610" spans="1:8" ht="15.75">
      <c r="A2610" s="106">
        <v>43194</v>
      </c>
      <c r="B2610" s="107">
        <v>140.38999999999999</v>
      </c>
      <c r="C2610" s="52"/>
      <c r="D2610" s="52"/>
      <c r="E2610" s="52"/>
      <c r="F2610" s="52"/>
      <c r="G2610" s="52"/>
      <c r="H2610" s="52"/>
    </row>
    <row r="2611" spans="1:8" ht="15.75">
      <c r="A2611" s="106">
        <v>43195</v>
      </c>
      <c r="B2611" s="107">
        <v>140.19999999999999</v>
      </c>
      <c r="C2611" s="52"/>
      <c r="D2611" s="52"/>
      <c r="E2611" s="52"/>
      <c r="F2611" s="52"/>
      <c r="G2611" s="52"/>
      <c r="H2611" s="52"/>
    </row>
    <row r="2612" spans="1:8" ht="15.75">
      <c r="A2612" s="106">
        <v>43196</v>
      </c>
      <c r="B2612" s="107">
        <v>140.28</v>
      </c>
      <c r="C2612" s="52"/>
      <c r="D2612" s="52"/>
      <c r="E2612" s="52"/>
      <c r="F2612" s="52"/>
      <c r="G2612" s="52"/>
      <c r="H2612" s="52"/>
    </row>
    <row r="2613" spans="1:8" ht="15.75">
      <c r="A2613" s="106">
        <v>43199</v>
      </c>
      <c r="B2613" s="107">
        <v>140.32</v>
      </c>
      <c r="C2613" s="52"/>
      <c r="D2613" s="52"/>
      <c r="E2613" s="52"/>
      <c r="F2613" s="52"/>
      <c r="G2613" s="52"/>
      <c r="H2613" s="52"/>
    </row>
    <row r="2614" spans="1:8" ht="15.75">
      <c r="A2614" s="106">
        <v>43200</v>
      </c>
      <c r="B2614" s="107">
        <v>140.26</v>
      </c>
      <c r="C2614" s="52"/>
      <c r="D2614" s="52"/>
      <c r="E2614" s="52"/>
      <c r="F2614" s="52"/>
      <c r="G2614" s="52"/>
      <c r="H2614" s="52"/>
    </row>
    <row r="2615" spans="1:8" ht="15.75">
      <c r="A2615" s="106">
        <v>43201</v>
      </c>
      <c r="B2615" s="107">
        <v>140.21</v>
      </c>
      <c r="C2615" s="52"/>
      <c r="D2615" s="52"/>
      <c r="E2615" s="52"/>
      <c r="F2615" s="52"/>
      <c r="G2615" s="52"/>
      <c r="H2615" s="52"/>
    </row>
    <row r="2616" spans="1:8" ht="15.75">
      <c r="A2616" s="106">
        <v>43202</v>
      </c>
      <c r="B2616" s="107">
        <v>140.27000000000001</v>
      </c>
      <c r="C2616" s="52"/>
      <c r="D2616" s="52"/>
      <c r="E2616" s="52"/>
      <c r="F2616" s="52"/>
      <c r="G2616" s="52"/>
      <c r="H2616" s="52"/>
    </row>
    <row r="2617" spans="1:8" ht="15.75">
      <c r="A2617" s="106">
        <v>43203</v>
      </c>
      <c r="B2617" s="107">
        <v>140.18</v>
      </c>
      <c r="C2617" s="52"/>
      <c r="D2617" s="52"/>
      <c r="E2617" s="52"/>
      <c r="F2617" s="52"/>
      <c r="G2617" s="52"/>
      <c r="H2617" s="52"/>
    </row>
    <row r="2618" spans="1:8" ht="15.75">
      <c r="A2618" s="106">
        <v>43206</v>
      </c>
      <c r="B2618" s="107">
        <v>140.07</v>
      </c>
      <c r="C2618" s="52"/>
      <c r="D2618" s="52"/>
      <c r="E2618" s="52"/>
      <c r="F2618" s="52"/>
      <c r="G2618" s="52"/>
      <c r="H2618" s="52"/>
    </row>
    <row r="2619" spans="1:8" ht="15.75">
      <c r="A2619" s="106">
        <v>43207</v>
      </c>
      <c r="B2619" s="107">
        <v>140.16</v>
      </c>
      <c r="C2619" s="52"/>
      <c r="D2619" s="52"/>
      <c r="E2619" s="52"/>
      <c r="F2619" s="52"/>
      <c r="G2619" s="52"/>
      <c r="H2619" s="52"/>
    </row>
    <row r="2620" spans="1:8" ht="15.75">
      <c r="A2620" s="106">
        <v>43208</v>
      </c>
      <c r="B2620" s="107">
        <v>140.30000000000001</v>
      </c>
      <c r="C2620" s="52"/>
      <c r="D2620" s="52"/>
      <c r="E2620" s="52"/>
      <c r="F2620" s="52"/>
      <c r="G2620" s="52"/>
      <c r="H2620" s="52"/>
    </row>
    <row r="2621" spans="1:8" ht="15.75">
      <c r="A2621" s="106">
        <v>43209</v>
      </c>
      <c r="B2621" s="107">
        <v>139.91999999999999</v>
      </c>
      <c r="C2621" s="52"/>
      <c r="D2621" s="52"/>
      <c r="E2621" s="52"/>
      <c r="F2621" s="52"/>
      <c r="G2621" s="52"/>
      <c r="H2621" s="52"/>
    </row>
    <row r="2622" spans="1:8" ht="15.75">
      <c r="A2622" s="106">
        <v>43210</v>
      </c>
      <c r="B2622" s="107">
        <v>139.76</v>
      </c>
      <c r="C2622" s="52"/>
      <c r="D2622" s="52"/>
      <c r="E2622" s="52"/>
      <c r="F2622" s="52"/>
      <c r="G2622" s="52"/>
      <c r="H2622" s="52"/>
    </row>
    <row r="2623" spans="1:8" ht="15.75">
      <c r="A2623" s="106">
        <v>43213</v>
      </c>
      <c r="B2623" s="107">
        <v>139.54</v>
      </c>
      <c r="C2623" s="52"/>
      <c r="D2623" s="52"/>
      <c r="E2623" s="52"/>
      <c r="F2623" s="52"/>
      <c r="G2623" s="52"/>
      <c r="H2623" s="52"/>
    </row>
    <row r="2624" spans="1:8" ht="15.75">
      <c r="A2624" s="106">
        <v>43214</v>
      </c>
      <c r="B2624" s="107">
        <v>139.6</v>
      </c>
      <c r="C2624" s="52"/>
      <c r="D2624" s="52"/>
      <c r="E2624" s="52"/>
      <c r="F2624" s="52"/>
      <c r="G2624" s="52"/>
      <c r="H2624" s="52"/>
    </row>
    <row r="2625" spans="1:8" ht="15.75">
      <c r="A2625" s="106">
        <v>43215</v>
      </c>
      <c r="B2625" s="107">
        <v>139.51</v>
      </c>
      <c r="C2625" s="52"/>
      <c r="D2625" s="52"/>
      <c r="E2625" s="52"/>
      <c r="F2625" s="52"/>
      <c r="G2625" s="52"/>
      <c r="H2625" s="52"/>
    </row>
    <row r="2626" spans="1:8" ht="15.75">
      <c r="A2626" s="106">
        <v>43216</v>
      </c>
      <c r="B2626" s="107">
        <v>139.68</v>
      </c>
      <c r="C2626" s="52"/>
      <c r="D2626" s="52"/>
      <c r="E2626" s="52"/>
      <c r="F2626" s="52"/>
      <c r="G2626" s="52"/>
      <c r="H2626" s="52"/>
    </row>
    <row r="2627" spans="1:8" ht="15.75">
      <c r="A2627" s="106">
        <v>43217</v>
      </c>
      <c r="B2627" s="107">
        <v>139.91</v>
      </c>
      <c r="C2627" s="52"/>
      <c r="D2627" s="52"/>
      <c r="E2627" s="52"/>
      <c r="F2627" s="52"/>
      <c r="G2627" s="52"/>
      <c r="H2627" s="52"/>
    </row>
    <row r="2628" spans="1:8" ht="15.75">
      <c r="A2628" s="106">
        <v>43220</v>
      </c>
      <c r="B2628" s="107">
        <v>139.85</v>
      </c>
      <c r="C2628" s="52"/>
      <c r="D2628" s="52"/>
      <c r="E2628" s="52"/>
      <c r="F2628" s="52"/>
      <c r="G2628" s="52"/>
      <c r="H2628" s="52"/>
    </row>
    <row r="2629" spans="1:8" ht="15.75">
      <c r="A2629" s="106">
        <v>43222</v>
      </c>
      <c r="B2629" s="107">
        <v>139.83000000000001</v>
      </c>
      <c r="C2629" s="52"/>
      <c r="D2629" s="52"/>
      <c r="E2629" s="52"/>
      <c r="F2629" s="52"/>
      <c r="G2629" s="52"/>
      <c r="H2629" s="52"/>
    </row>
    <row r="2630" spans="1:8" ht="15.75">
      <c r="A2630" s="106">
        <v>43223</v>
      </c>
      <c r="B2630" s="107">
        <v>139.94</v>
      </c>
      <c r="C2630" s="52"/>
      <c r="D2630" s="52"/>
      <c r="E2630" s="52"/>
      <c r="F2630" s="52"/>
      <c r="G2630" s="52"/>
      <c r="H2630" s="52"/>
    </row>
    <row r="2631" spans="1:8" ht="15.75">
      <c r="A2631" s="106">
        <v>43224</v>
      </c>
      <c r="B2631" s="107">
        <v>140.09</v>
      </c>
      <c r="C2631" s="52"/>
      <c r="D2631" s="52"/>
      <c r="E2631" s="52"/>
      <c r="F2631" s="52"/>
      <c r="G2631" s="52"/>
      <c r="H2631" s="52"/>
    </row>
    <row r="2632" spans="1:8" ht="15.75">
      <c r="A2632" s="106">
        <v>43227</v>
      </c>
      <c r="B2632" s="107">
        <v>140.07</v>
      </c>
      <c r="C2632" s="52"/>
      <c r="D2632" s="52"/>
      <c r="E2632" s="52"/>
      <c r="F2632" s="52"/>
      <c r="G2632" s="52"/>
      <c r="H2632" s="52"/>
    </row>
    <row r="2633" spans="1:8" ht="15.75">
      <c r="A2633" s="106">
        <v>43228</v>
      </c>
      <c r="B2633" s="107">
        <v>140.07</v>
      </c>
      <c r="C2633" s="52"/>
      <c r="D2633" s="52"/>
      <c r="E2633" s="52"/>
      <c r="F2633" s="52"/>
      <c r="G2633" s="52"/>
      <c r="H2633" s="52"/>
    </row>
    <row r="2634" spans="1:8" ht="15.75">
      <c r="A2634" s="106">
        <v>43229</v>
      </c>
      <c r="B2634" s="107">
        <v>139.82</v>
      </c>
      <c r="C2634" s="52"/>
      <c r="D2634" s="52"/>
      <c r="E2634" s="52"/>
      <c r="F2634" s="52"/>
      <c r="G2634" s="52"/>
      <c r="H2634" s="52"/>
    </row>
    <row r="2635" spans="1:8" ht="15.75">
      <c r="A2635" s="106">
        <v>43230</v>
      </c>
      <c r="B2635" s="107">
        <v>139.96</v>
      </c>
      <c r="C2635" s="52"/>
      <c r="D2635" s="52"/>
      <c r="E2635" s="52"/>
      <c r="F2635" s="52"/>
      <c r="G2635" s="52"/>
      <c r="H2635" s="52"/>
    </row>
    <row r="2636" spans="1:8" ht="15.75">
      <c r="A2636" s="106">
        <v>43231</v>
      </c>
      <c r="B2636" s="107">
        <v>140.02000000000001</v>
      </c>
      <c r="C2636" s="52"/>
      <c r="D2636" s="52"/>
      <c r="E2636" s="52"/>
      <c r="F2636" s="52"/>
      <c r="G2636" s="52"/>
      <c r="H2636" s="52"/>
    </row>
    <row r="2637" spans="1:8" ht="15.75">
      <c r="A2637" s="106">
        <v>43234</v>
      </c>
      <c r="B2637" s="107">
        <v>139.68</v>
      </c>
      <c r="C2637" s="52"/>
      <c r="D2637" s="52"/>
      <c r="E2637" s="52"/>
      <c r="F2637" s="52"/>
      <c r="G2637" s="52"/>
      <c r="H2637" s="52"/>
    </row>
    <row r="2638" spans="1:8" ht="15.75">
      <c r="A2638" s="106">
        <v>43235</v>
      </c>
      <c r="B2638" s="107">
        <v>139.58000000000001</v>
      </c>
      <c r="C2638" s="52"/>
      <c r="D2638" s="52"/>
      <c r="E2638" s="52"/>
      <c r="F2638" s="52"/>
      <c r="G2638" s="52"/>
      <c r="H2638" s="52"/>
    </row>
    <row r="2639" spans="1:8" ht="15.75">
      <c r="A2639" s="106">
        <v>43236</v>
      </c>
      <c r="B2639" s="107">
        <v>139.61000000000001</v>
      </c>
      <c r="C2639" s="52"/>
      <c r="D2639" s="52"/>
      <c r="E2639" s="52"/>
      <c r="F2639" s="52"/>
      <c r="G2639" s="52"/>
      <c r="H2639" s="52"/>
    </row>
    <row r="2640" spans="1:8" ht="15.75">
      <c r="A2640" s="106">
        <v>43237</v>
      </c>
      <c r="B2640" s="107">
        <v>139.55000000000001</v>
      </c>
      <c r="C2640" s="52"/>
      <c r="D2640" s="52"/>
      <c r="E2640" s="52"/>
      <c r="F2640" s="52"/>
      <c r="G2640" s="52"/>
      <c r="H2640" s="52"/>
    </row>
    <row r="2641" spans="1:8" ht="15.75">
      <c r="A2641" s="106">
        <v>43238</v>
      </c>
      <c r="B2641" s="107">
        <v>139.59</v>
      </c>
      <c r="C2641" s="52"/>
      <c r="D2641" s="52"/>
      <c r="E2641" s="52"/>
      <c r="F2641" s="52"/>
      <c r="G2641" s="52"/>
      <c r="H2641" s="52"/>
    </row>
    <row r="2642" spans="1:8" ht="15.75">
      <c r="A2642" s="106">
        <v>43242</v>
      </c>
      <c r="B2642" s="107">
        <v>140.02000000000001</v>
      </c>
      <c r="C2642" s="52"/>
      <c r="D2642" s="52"/>
      <c r="E2642" s="52"/>
      <c r="F2642" s="52"/>
      <c r="G2642" s="52"/>
      <c r="H2642" s="52"/>
    </row>
    <row r="2643" spans="1:8" ht="15.75">
      <c r="A2643" s="106">
        <v>43243</v>
      </c>
      <c r="B2643" s="107">
        <v>140.36000000000001</v>
      </c>
      <c r="C2643" s="52"/>
      <c r="D2643" s="52"/>
      <c r="E2643" s="52"/>
      <c r="F2643" s="52"/>
      <c r="G2643" s="52"/>
      <c r="H2643" s="52"/>
    </row>
    <row r="2644" spans="1:8" ht="15.75">
      <c r="A2644" s="106">
        <v>43244</v>
      </c>
      <c r="B2644" s="107">
        <v>140.21</v>
      </c>
      <c r="C2644" s="52"/>
      <c r="D2644" s="52"/>
      <c r="E2644" s="52"/>
      <c r="F2644" s="52"/>
      <c r="G2644" s="52"/>
      <c r="H2644" s="52"/>
    </row>
    <row r="2645" spans="1:8" ht="15.75">
      <c r="A2645" s="106">
        <v>43245</v>
      </c>
      <c r="B2645" s="107">
        <v>140.68</v>
      </c>
      <c r="C2645" s="52"/>
      <c r="D2645" s="52"/>
      <c r="E2645" s="52"/>
      <c r="F2645" s="52"/>
      <c r="G2645" s="52"/>
      <c r="H2645" s="52"/>
    </row>
    <row r="2646" spans="1:8" ht="15.75">
      <c r="A2646" s="106">
        <v>43248</v>
      </c>
      <c r="B2646" s="107">
        <v>141.02000000000001</v>
      </c>
      <c r="C2646" s="52"/>
      <c r="D2646" s="52"/>
      <c r="E2646" s="52"/>
      <c r="F2646" s="52"/>
      <c r="G2646" s="52"/>
      <c r="H2646" s="52"/>
    </row>
    <row r="2647" spans="1:8" ht="15.75">
      <c r="A2647" s="106">
        <v>43249</v>
      </c>
      <c r="B2647" s="107">
        <v>142.26</v>
      </c>
      <c r="C2647" s="52"/>
      <c r="D2647" s="52"/>
      <c r="E2647" s="52"/>
      <c r="F2647" s="52"/>
      <c r="G2647" s="52"/>
      <c r="H2647" s="52"/>
    </row>
    <row r="2648" spans="1:8" ht="15.75">
      <c r="A2648" s="106">
        <v>43250</v>
      </c>
      <c r="B2648" s="107">
        <v>141.65</v>
      </c>
      <c r="C2648" s="52"/>
      <c r="D2648" s="52"/>
      <c r="E2648" s="52"/>
      <c r="F2648" s="52"/>
      <c r="G2648" s="52"/>
      <c r="H2648" s="52"/>
    </row>
    <row r="2649" spans="1:8" ht="15.75">
      <c r="A2649" s="106">
        <v>43251</v>
      </c>
      <c r="B2649" s="107">
        <v>141.11000000000001</v>
      </c>
      <c r="C2649" s="52"/>
      <c r="D2649" s="52"/>
      <c r="E2649" s="52"/>
      <c r="F2649" s="52"/>
      <c r="G2649" s="52"/>
      <c r="H2649" s="52"/>
    </row>
    <row r="2650" spans="1:8" ht="15.75">
      <c r="A2650" s="106">
        <v>43252</v>
      </c>
      <c r="B2650" s="107">
        <v>141.06</v>
      </c>
      <c r="C2650" s="52"/>
      <c r="D2650" s="52"/>
      <c r="E2650" s="52"/>
      <c r="F2650" s="52"/>
      <c r="G2650" s="52"/>
      <c r="H2650" s="52"/>
    </row>
    <row r="2651" spans="1:8" ht="15.75">
      <c r="A2651" s="106">
        <v>43255</v>
      </c>
      <c r="B2651" s="107">
        <v>140.94999999999999</v>
      </c>
      <c r="C2651" s="52"/>
      <c r="D2651" s="52"/>
      <c r="E2651" s="52"/>
      <c r="F2651" s="52"/>
      <c r="G2651" s="52"/>
      <c r="H2651" s="52"/>
    </row>
    <row r="2652" spans="1:8" ht="15.75">
      <c r="A2652" s="106">
        <v>43256</v>
      </c>
      <c r="B2652" s="107">
        <v>140.94999999999999</v>
      </c>
      <c r="C2652" s="52"/>
      <c r="D2652" s="52"/>
      <c r="E2652" s="52"/>
      <c r="F2652" s="52"/>
      <c r="G2652" s="52"/>
      <c r="H2652" s="52"/>
    </row>
    <row r="2653" spans="1:8" ht="15.75">
      <c r="A2653" s="106">
        <v>43257</v>
      </c>
      <c r="B2653" s="107">
        <v>140.81</v>
      </c>
      <c r="C2653" s="52"/>
      <c r="D2653" s="52"/>
      <c r="E2653" s="52"/>
      <c r="F2653" s="52"/>
      <c r="G2653" s="52"/>
      <c r="H2653" s="52"/>
    </row>
    <row r="2654" spans="1:8" ht="15.75">
      <c r="A2654" s="106">
        <v>43258</v>
      </c>
      <c r="B2654" s="107">
        <v>140.27000000000001</v>
      </c>
      <c r="C2654" s="52"/>
      <c r="D2654" s="52"/>
      <c r="E2654" s="52"/>
      <c r="F2654" s="52"/>
      <c r="G2654" s="52"/>
      <c r="H2654" s="52"/>
    </row>
    <row r="2655" spans="1:8" ht="15.75">
      <c r="A2655" s="106">
        <v>43259</v>
      </c>
      <c r="B2655" s="107">
        <v>140.88</v>
      </c>
      <c r="C2655" s="52"/>
      <c r="D2655" s="52"/>
      <c r="E2655" s="52"/>
      <c r="F2655" s="52"/>
      <c r="G2655" s="52"/>
      <c r="H2655" s="52"/>
    </row>
    <row r="2656" spans="1:8" ht="15.75">
      <c r="A2656" s="106">
        <v>43262</v>
      </c>
      <c r="B2656" s="107">
        <v>140.56</v>
      </c>
      <c r="C2656" s="52"/>
      <c r="D2656" s="52"/>
      <c r="E2656" s="52"/>
      <c r="F2656" s="52"/>
      <c r="G2656" s="52"/>
      <c r="H2656" s="52"/>
    </row>
    <row r="2657" spans="1:8" ht="15.75">
      <c r="A2657" s="106">
        <v>43263</v>
      </c>
      <c r="B2657" s="107">
        <v>140.27000000000001</v>
      </c>
      <c r="C2657" s="52"/>
      <c r="D2657" s="52"/>
      <c r="E2657" s="52"/>
      <c r="F2657" s="52"/>
      <c r="G2657" s="52"/>
      <c r="H2657" s="52"/>
    </row>
    <row r="2658" spans="1:8" ht="15.75">
      <c r="A2658" s="106">
        <v>43264</v>
      </c>
      <c r="B2658" s="107">
        <v>140.46</v>
      </c>
      <c r="C2658" s="52"/>
      <c r="D2658" s="52"/>
      <c r="E2658" s="52"/>
      <c r="F2658" s="52"/>
      <c r="G2658" s="52"/>
      <c r="H2658" s="52"/>
    </row>
    <row r="2659" spans="1:8" ht="15.75">
      <c r="A2659" s="106">
        <v>43265</v>
      </c>
      <c r="B2659" s="107">
        <v>140.28</v>
      </c>
      <c r="C2659" s="52"/>
      <c r="D2659" s="52"/>
      <c r="E2659" s="52"/>
      <c r="F2659" s="52"/>
      <c r="G2659" s="52"/>
      <c r="H2659" s="52"/>
    </row>
    <row r="2660" spans="1:8" ht="15.75">
      <c r="A2660" s="106">
        <v>43266</v>
      </c>
      <c r="B2660" s="107">
        <v>140.97999999999999</v>
      </c>
      <c r="C2660" s="52"/>
      <c r="D2660" s="52"/>
      <c r="E2660" s="52"/>
      <c r="F2660" s="52"/>
      <c r="G2660" s="52"/>
      <c r="H2660" s="52"/>
    </row>
    <row r="2661" spans="1:8" ht="15.75">
      <c r="A2661" s="106">
        <v>43269</v>
      </c>
      <c r="B2661" s="107">
        <v>141.02000000000001</v>
      </c>
      <c r="C2661" s="52"/>
      <c r="D2661" s="52"/>
      <c r="E2661" s="52"/>
      <c r="F2661" s="52"/>
      <c r="G2661" s="52"/>
      <c r="H2661" s="52"/>
    </row>
    <row r="2662" spans="1:8" ht="15.75">
      <c r="A2662" s="106">
        <v>43270</v>
      </c>
      <c r="B2662" s="107">
        <v>141.31</v>
      </c>
      <c r="C2662" s="52"/>
      <c r="D2662" s="52"/>
      <c r="E2662" s="52"/>
      <c r="F2662" s="52"/>
      <c r="G2662" s="52"/>
      <c r="H2662" s="52"/>
    </row>
    <row r="2663" spans="1:8" ht="15.75">
      <c r="A2663" s="106">
        <v>43271</v>
      </c>
      <c r="B2663" s="107">
        <v>141.13</v>
      </c>
      <c r="C2663" s="52"/>
      <c r="D2663" s="52"/>
      <c r="E2663" s="52"/>
      <c r="F2663" s="52"/>
      <c r="G2663" s="52"/>
      <c r="H2663" s="52"/>
    </row>
    <row r="2664" spans="1:8" ht="15.75">
      <c r="A2664" s="106">
        <v>43272</v>
      </c>
      <c r="B2664" s="107">
        <v>141.32</v>
      </c>
      <c r="C2664" s="52"/>
      <c r="D2664" s="52"/>
      <c r="E2664" s="52"/>
      <c r="F2664" s="52"/>
      <c r="G2664" s="52"/>
      <c r="H2664" s="52"/>
    </row>
    <row r="2665" spans="1:8" ht="15.75">
      <c r="A2665" s="106">
        <v>43273</v>
      </c>
      <c r="B2665" s="107">
        <v>141.35</v>
      </c>
      <c r="C2665" s="52"/>
      <c r="D2665" s="52"/>
      <c r="E2665" s="52"/>
      <c r="F2665" s="52"/>
      <c r="G2665" s="52"/>
      <c r="H2665" s="52"/>
    </row>
    <row r="2666" spans="1:8" ht="15.75">
      <c r="A2666" s="106">
        <v>43276</v>
      </c>
      <c r="B2666" s="107">
        <v>141.47</v>
      </c>
      <c r="C2666" s="52"/>
      <c r="D2666" s="52"/>
      <c r="E2666" s="52"/>
      <c r="F2666" s="52"/>
      <c r="G2666" s="52"/>
      <c r="H2666" s="52"/>
    </row>
    <row r="2667" spans="1:8" ht="15.75">
      <c r="A2667" s="106">
        <v>43277</v>
      </c>
      <c r="B2667" s="107">
        <v>141.38</v>
      </c>
      <c r="C2667" s="52"/>
      <c r="D2667" s="52"/>
      <c r="E2667" s="52"/>
      <c r="F2667" s="52"/>
      <c r="G2667" s="52"/>
      <c r="H2667" s="52"/>
    </row>
    <row r="2668" spans="1:8" ht="15.75">
      <c r="A2668" s="106">
        <v>43278</v>
      </c>
      <c r="B2668" s="107">
        <v>141.52000000000001</v>
      </c>
      <c r="C2668" s="52"/>
      <c r="D2668" s="52"/>
      <c r="E2668" s="52"/>
      <c r="F2668" s="52"/>
      <c r="G2668" s="52"/>
      <c r="H2668" s="52"/>
    </row>
    <row r="2669" spans="1:8" ht="15.75">
      <c r="A2669" s="106">
        <v>43279</v>
      </c>
      <c r="B2669" s="107">
        <v>141.5</v>
      </c>
      <c r="C2669" s="52"/>
      <c r="D2669" s="52"/>
      <c r="E2669" s="52"/>
      <c r="F2669" s="52"/>
      <c r="G2669" s="52"/>
      <c r="H2669" s="52"/>
    </row>
    <row r="2670" spans="1:8" ht="15.75">
      <c r="A2670" s="106">
        <v>43280</v>
      </c>
      <c r="B2670" s="107">
        <v>141.29</v>
      </c>
      <c r="C2670" s="52"/>
      <c r="D2670" s="52"/>
      <c r="E2670" s="52"/>
      <c r="F2670" s="52"/>
      <c r="G2670" s="52"/>
      <c r="H2670" s="52"/>
    </row>
    <row r="2671" spans="1:8" ht="15.75">
      <c r="A2671" s="106">
        <v>43283</v>
      </c>
      <c r="B2671" s="107">
        <v>141.52000000000001</v>
      </c>
      <c r="C2671" s="52"/>
      <c r="D2671" s="52"/>
      <c r="E2671" s="52"/>
      <c r="F2671" s="52"/>
      <c r="G2671" s="52"/>
      <c r="H2671" s="52"/>
    </row>
    <row r="2672" spans="1:8" ht="15.75">
      <c r="A2672" s="106">
        <v>43284</v>
      </c>
      <c r="B2672" s="107">
        <v>141.44999999999999</v>
      </c>
      <c r="C2672" s="52"/>
      <c r="D2672" s="52"/>
      <c r="E2672" s="52"/>
      <c r="F2672" s="52"/>
      <c r="G2672" s="52"/>
      <c r="H2672" s="52"/>
    </row>
    <row r="2673" spans="1:8" ht="15.75">
      <c r="A2673" s="106">
        <v>43285</v>
      </c>
      <c r="B2673" s="107">
        <v>141.58000000000001</v>
      </c>
      <c r="C2673" s="52"/>
      <c r="D2673" s="52"/>
      <c r="E2673" s="52"/>
      <c r="F2673" s="52"/>
      <c r="G2673" s="52"/>
      <c r="H2673" s="52"/>
    </row>
    <row r="2674" spans="1:8" ht="15.75">
      <c r="A2674" s="106">
        <v>43286</v>
      </c>
      <c r="B2674" s="107">
        <v>141.28</v>
      </c>
      <c r="C2674" s="52"/>
      <c r="D2674" s="52"/>
      <c r="E2674" s="52"/>
      <c r="F2674" s="52"/>
      <c r="G2674" s="52"/>
      <c r="H2674" s="52"/>
    </row>
    <row r="2675" spans="1:8" ht="15.75">
      <c r="A2675" s="106">
        <v>43287</v>
      </c>
      <c r="B2675" s="107">
        <v>141.51</v>
      </c>
      <c r="C2675" s="52"/>
      <c r="D2675" s="52"/>
      <c r="E2675" s="52"/>
      <c r="F2675" s="52"/>
      <c r="G2675" s="52"/>
      <c r="H2675" s="52"/>
    </row>
    <row r="2676" spans="1:8" ht="15.75">
      <c r="A2676" s="106">
        <v>43290</v>
      </c>
      <c r="B2676" s="107">
        <v>141.43</v>
      </c>
      <c r="C2676" s="52"/>
      <c r="D2676" s="52"/>
      <c r="E2676" s="52"/>
      <c r="F2676" s="52"/>
      <c r="G2676" s="52"/>
      <c r="H2676" s="52"/>
    </row>
    <row r="2677" spans="1:8" ht="15.75">
      <c r="A2677" s="106">
        <v>43291</v>
      </c>
      <c r="B2677" s="107">
        <v>141.36000000000001</v>
      </c>
      <c r="C2677" s="52"/>
      <c r="D2677" s="52"/>
      <c r="E2677" s="52"/>
      <c r="F2677" s="52"/>
      <c r="G2677" s="52"/>
      <c r="H2677" s="52"/>
    </row>
    <row r="2678" spans="1:8" ht="15.75">
      <c r="A2678" s="106">
        <v>43292</v>
      </c>
      <c r="B2678" s="107">
        <v>141.47</v>
      </c>
      <c r="C2678" s="52"/>
      <c r="D2678" s="52"/>
      <c r="E2678" s="52"/>
      <c r="F2678" s="52"/>
      <c r="G2678" s="52"/>
      <c r="H2678" s="52"/>
    </row>
    <row r="2679" spans="1:8" ht="15.75">
      <c r="A2679" s="106">
        <v>43293</v>
      </c>
      <c r="B2679" s="107">
        <v>141.37</v>
      </c>
      <c r="C2679" s="52"/>
      <c r="D2679" s="52"/>
      <c r="E2679" s="52"/>
      <c r="F2679" s="52"/>
      <c r="G2679" s="52"/>
      <c r="H2679" s="52"/>
    </row>
    <row r="2680" spans="1:8" ht="15.75">
      <c r="A2680" s="106">
        <v>43294</v>
      </c>
      <c r="B2680" s="107">
        <v>141.63</v>
      </c>
      <c r="C2680" s="52"/>
      <c r="D2680" s="52"/>
      <c r="E2680" s="52"/>
      <c r="F2680" s="52"/>
      <c r="G2680" s="52"/>
      <c r="H2680" s="52"/>
    </row>
    <row r="2681" spans="1:8" ht="15.75">
      <c r="A2681" s="106">
        <v>43297</v>
      </c>
      <c r="B2681" s="107">
        <v>141.51</v>
      </c>
      <c r="C2681" s="52"/>
      <c r="D2681" s="52"/>
      <c r="E2681" s="52"/>
      <c r="F2681" s="52"/>
      <c r="G2681" s="52"/>
      <c r="H2681" s="52"/>
    </row>
    <row r="2682" spans="1:8" ht="15.75">
      <c r="A2682" s="106">
        <v>43298</v>
      </c>
      <c r="B2682" s="107">
        <v>141.44999999999999</v>
      </c>
      <c r="C2682" s="52"/>
      <c r="D2682" s="52"/>
      <c r="E2682" s="52"/>
      <c r="F2682" s="52"/>
      <c r="G2682" s="52"/>
      <c r="H2682" s="52"/>
    </row>
    <row r="2683" spans="1:8" ht="15.75">
      <c r="A2683" s="106">
        <v>43299</v>
      </c>
      <c r="B2683" s="107">
        <v>141.56</v>
      </c>
      <c r="C2683" s="52"/>
      <c r="D2683" s="52"/>
      <c r="E2683" s="52"/>
      <c r="F2683" s="52"/>
      <c r="G2683" s="52"/>
      <c r="H2683" s="52"/>
    </row>
    <row r="2684" spans="1:8" ht="15.75">
      <c r="A2684" s="106">
        <v>43300</v>
      </c>
      <c r="B2684" s="107">
        <v>141.47999999999999</v>
      </c>
      <c r="C2684" s="52"/>
      <c r="D2684" s="52"/>
      <c r="E2684" s="52"/>
      <c r="F2684" s="52"/>
      <c r="G2684" s="52"/>
      <c r="H2684" s="52"/>
    </row>
    <row r="2685" spans="1:8" ht="15.75">
      <c r="A2685" s="106">
        <v>43301</v>
      </c>
      <c r="B2685" s="107">
        <v>141.56</v>
      </c>
      <c r="C2685" s="52"/>
      <c r="D2685" s="52"/>
      <c r="E2685" s="52"/>
      <c r="F2685" s="52"/>
      <c r="G2685" s="52"/>
      <c r="H2685" s="52"/>
    </row>
    <row r="2686" spans="1:8" ht="15.75">
      <c r="A2686" s="106">
        <v>43304</v>
      </c>
      <c r="B2686" s="107">
        <v>141.26</v>
      </c>
      <c r="C2686" s="52"/>
      <c r="D2686" s="52"/>
      <c r="E2686" s="52"/>
      <c r="F2686" s="52"/>
      <c r="G2686" s="52"/>
      <c r="H2686" s="52"/>
    </row>
    <row r="2687" spans="1:8" ht="15.75">
      <c r="A2687" s="106">
        <v>43305</v>
      </c>
      <c r="B2687" s="107">
        <v>141.11000000000001</v>
      </c>
      <c r="C2687" s="52"/>
      <c r="D2687" s="52"/>
      <c r="E2687" s="52"/>
      <c r="F2687" s="52"/>
      <c r="G2687" s="52"/>
      <c r="H2687" s="52"/>
    </row>
    <row r="2688" spans="1:8" ht="15.75">
      <c r="A2688" s="106">
        <v>43306</v>
      </c>
      <c r="B2688" s="107">
        <v>141.26</v>
      </c>
      <c r="C2688" s="52"/>
      <c r="D2688" s="52"/>
      <c r="E2688" s="52"/>
      <c r="F2688" s="52"/>
      <c r="G2688" s="52"/>
      <c r="H2688" s="52"/>
    </row>
    <row r="2689" spans="1:8" ht="15.75">
      <c r="A2689" s="106">
        <v>43307</v>
      </c>
      <c r="B2689" s="107">
        <v>141.1</v>
      </c>
      <c r="C2689" s="52"/>
      <c r="D2689" s="52"/>
      <c r="E2689" s="52"/>
      <c r="F2689" s="52"/>
      <c r="G2689" s="52"/>
      <c r="H2689" s="52"/>
    </row>
    <row r="2690" spans="1:8" ht="15.75">
      <c r="A2690" s="106">
        <v>43308</v>
      </c>
      <c r="B2690" s="107">
        <v>141.07</v>
      </c>
      <c r="C2690" s="52"/>
      <c r="D2690" s="52"/>
      <c r="E2690" s="52"/>
      <c r="F2690" s="52"/>
      <c r="G2690" s="52"/>
      <c r="H2690" s="52"/>
    </row>
    <row r="2691" spans="1:8" ht="15.75">
      <c r="A2691" s="106">
        <v>43311</v>
      </c>
      <c r="B2691" s="107">
        <v>140.87</v>
      </c>
      <c r="C2691" s="52"/>
      <c r="D2691" s="52"/>
      <c r="E2691" s="52"/>
      <c r="F2691" s="52"/>
      <c r="G2691" s="52"/>
      <c r="H2691" s="52"/>
    </row>
    <row r="2692" spans="1:8" ht="15.75">
      <c r="A2692" s="106">
        <v>43312</v>
      </c>
      <c r="B2692" s="107">
        <v>140.83000000000001</v>
      </c>
      <c r="C2692" s="52"/>
      <c r="D2692" s="52"/>
      <c r="E2692" s="52"/>
      <c r="F2692" s="52"/>
      <c r="G2692" s="52"/>
      <c r="H2692" s="52"/>
    </row>
    <row r="2693" spans="1:8" ht="15.75">
      <c r="A2693" s="106">
        <v>43313</v>
      </c>
      <c r="B2693" s="107">
        <v>140.66</v>
      </c>
      <c r="C2693" s="52"/>
      <c r="D2693" s="52"/>
      <c r="E2693" s="52"/>
      <c r="F2693" s="52"/>
      <c r="G2693" s="52"/>
      <c r="H2693" s="52"/>
    </row>
    <row r="2694" spans="1:8" ht="15.75">
      <c r="A2694" s="106">
        <v>43314</v>
      </c>
      <c r="B2694" s="107">
        <v>140.63999999999999</v>
      </c>
      <c r="C2694" s="52"/>
      <c r="D2694" s="52"/>
      <c r="E2694" s="52"/>
      <c r="F2694" s="52"/>
      <c r="G2694" s="52"/>
      <c r="H2694" s="52"/>
    </row>
    <row r="2695" spans="1:8" ht="15.75">
      <c r="A2695" s="106">
        <v>43315</v>
      </c>
      <c r="B2695" s="107">
        <v>140.93</v>
      </c>
      <c r="C2695" s="52"/>
      <c r="D2695" s="52"/>
      <c r="E2695" s="52"/>
      <c r="F2695" s="52"/>
      <c r="G2695" s="52"/>
      <c r="H2695" s="52"/>
    </row>
    <row r="2696" spans="1:8" ht="15.75">
      <c r="A2696" s="106">
        <v>43318</v>
      </c>
      <c r="B2696" s="107">
        <v>141.02000000000001</v>
      </c>
      <c r="C2696" s="52"/>
      <c r="D2696" s="52"/>
      <c r="E2696" s="52"/>
      <c r="F2696" s="52"/>
      <c r="G2696" s="52"/>
      <c r="H2696" s="52"/>
    </row>
    <row r="2697" spans="1:8" ht="15.75">
      <c r="A2697" s="106">
        <v>43319</v>
      </c>
      <c r="B2697" s="107">
        <v>141.05000000000001</v>
      </c>
      <c r="C2697" s="52"/>
      <c r="D2697" s="52"/>
      <c r="E2697" s="52"/>
      <c r="F2697" s="52"/>
      <c r="G2697" s="52"/>
      <c r="H2697" s="52"/>
    </row>
    <row r="2698" spans="1:8" ht="15.75">
      <c r="A2698" s="106">
        <v>43320</v>
      </c>
      <c r="B2698" s="107">
        <v>141.07</v>
      </c>
      <c r="C2698" s="52"/>
      <c r="D2698" s="52"/>
      <c r="E2698" s="52"/>
      <c r="F2698" s="52"/>
      <c r="G2698" s="52"/>
      <c r="H2698" s="52"/>
    </row>
    <row r="2699" spans="1:8" ht="15.75">
      <c r="A2699" s="106">
        <v>43321</v>
      </c>
      <c r="B2699" s="107">
        <v>141.15</v>
      </c>
      <c r="C2699" s="52"/>
      <c r="D2699" s="52"/>
      <c r="E2699" s="52"/>
      <c r="F2699" s="52"/>
      <c r="G2699" s="52"/>
      <c r="H2699" s="52"/>
    </row>
    <row r="2700" spans="1:8" ht="15.75">
      <c r="A2700" s="106">
        <v>43322</v>
      </c>
      <c r="B2700" s="107">
        <v>141.43</v>
      </c>
      <c r="C2700" s="52"/>
      <c r="D2700" s="52"/>
      <c r="E2700" s="52"/>
      <c r="F2700" s="52"/>
      <c r="G2700" s="52"/>
      <c r="H2700" s="52"/>
    </row>
    <row r="2701" spans="1:8" ht="15.75">
      <c r="A2701" s="106">
        <v>43325</v>
      </c>
      <c r="B2701" s="107">
        <v>141.59</v>
      </c>
      <c r="C2701" s="52"/>
      <c r="D2701" s="52"/>
      <c r="E2701" s="52"/>
      <c r="F2701" s="52"/>
      <c r="G2701" s="52"/>
      <c r="H2701" s="52"/>
    </row>
    <row r="2702" spans="1:8" ht="15.75">
      <c r="A2702" s="106">
        <v>43326</v>
      </c>
      <c r="B2702" s="107">
        <v>141.55000000000001</v>
      </c>
      <c r="C2702" s="52"/>
      <c r="D2702" s="52"/>
      <c r="E2702" s="52"/>
      <c r="F2702" s="52"/>
      <c r="G2702" s="52"/>
      <c r="H2702" s="52"/>
    </row>
    <row r="2703" spans="1:8" ht="15.75">
      <c r="A2703" s="106">
        <v>43327</v>
      </c>
      <c r="B2703" s="107">
        <v>141.55000000000001</v>
      </c>
      <c r="C2703" s="52"/>
      <c r="D2703" s="52"/>
      <c r="E2703" s="52"/>
      <c r="F2703" s="52"/>
      <c r="G2703" s="52"/>
      <c r="H2703" s="52"/>
    </row>
    <row r="2704" spans="1:8" ht="15.75">
      <c r="A2704" s="106">
        <v>43328</v>
      </c>
      <c r="B2704" s="107">
        <v>141.65</v>
      </c>
      <c r="C2704" s="52"/>
      <c r="D2704" s="52"/>
      <c r="E2704" s="52"/>
      <c r="F2704" s="52"/>
      <c r="G2704" s="52"/>
      <c r="H2704" s="52"/>
    </row>
    <row r="2705" spans="1:8" ht="15.75">
      <c r="A2705" s="106">
        <v>43329</v>
      </c>
      <c r="B2705" s="107">
        <v>141.76</v>
      </c>
      <c r="C2705" s="52"/>
      <c r="D2705" s="52"/>
      <c r="E2705" s="52"/>
      <c r="F2705" s="52"/>
      <c r="G2705" s="52"/>
      <c r="H2705" s="52"/>
    </row>
    <row r="2706" spans="1:8" ht="15.75">
      <c r="A2706" s="106">
        <v>43332</v>
      </c>
      <c r="B2706" s="107">
        <v>141.69</v>
      </c>
      <c r="C2706" s="52"/>
      <c r="D2706" s="52"/>
      <c r="E2706" s="52"/>
      <c r="F2706" s="52"/>
      <c r="G2706" s="52"/>
      <c r="H2706" s="52"/>
    </row>
    <row r="2707" spans="1:8" ht="15.75">
      <c r="A2707" s="106">
        <v>43333</v>
      </c>
      <c r="B2707" s="107">
        <v>141.59</v>
      </c>
      <c r="C2707" s="52"/>
      <c r="D2707" s="52"/>
      <c r="E2707" s="52"/>
      <c r="F2707" s="52"/>
      <c r="G2707" s="52"/>
      <c r="H2707" s="52"/>
    </row>
    <row r="2708" spans="1:8" ht="15.75">
      <c r="A2708" s="106">
        <v>43334</v>
      </c>
      <c r="B2708" s="107">
        <v>141.51</v>
      </c>
      <c r="C2708" s="52"/>
      <c r="D2708" s="52"/>
      <c r="E2708" s="52"/>
      <c r="F2708" s="52"/>
      <c r="G2708" s="52"/>
      <c r="H2708" s="52"/>
    </row>
    <row r="2709" spans="1:8" ht="15.75">
      <c r="A2709" s="106">
        <v>43335</v>
      </c>
      <c r="B2709" s="107">
        <v>141.33000000000001</v>
      </c>
      <c r="C2709" s="52"/>
      <c r="D2709" s="52"/>
      <c r="E2709" s="52"/>
      <c r="F2709" s="52"/>
      <c r="G2709" s="52"/>
      <c r="H2709" s="52"/>
    </row>
    <row r="2710" spans="1:8" ht="15.75">
      <c r="A2710" s="106">
        <v>43336</v>
      </c>
      <c r="B2710" s="107">
        <v>141.38</v>
      </c>
      <c r="C2710" s="52"/>
      <c r="D2710" s="52"/>
      <c r="E2710" s="52"/>
      <c r="F2710" s="52"/>
      <c r="G2710" s="52"/>
      <c r="H2710" s="52"/>
    </row>
    <row r="2711" spans="1:8" ht="15.75">
      <c r="A2711" s="106">
        <v>43339</v>
      </c>
      <c r="B2711" s="107">
        <v>141.21</v>
      </c>
      <c r="C2711" s="52"/>
      <c r="D2711" s="52"/>
      <c r="E2711" s="52"/>
      <c r="F2711" s="52"/>
      <c r="G2711" s="52"/>
      <c r="H2711" s="52"/>
    </row>
    <row r="2712" spans="1:8" ht="15.75">
      <c r="A2712" s="106">
        <v>43340</v>
      </c>
      <c r="B2712" s="107">
        <v>141.21</v>
      </c>
      <c r="C2712" s="52"/>
      <c r="D2712" s="52"/>
      <c r="E2712" s="52"/>
      <c r="F2712" s="52"/>
      <c r="G2712" s="52"/>
      <c r="H2712" s="52"/>
    </row>
    <row r="2713" spans="1:8" ht="15.75">
      <c r="A2713" s="106">
        <v>43341</v>
      </c>
      <c r="B2713" s="107">
        <v>141.07</v>
      </c>
      <c r="C2713" s="52"/>
      <c r="D2713" s="52"/>
      <c r="E2713" s="52"/>
      <c r="F2713" s="52"/>
      <c r="G2713" s="52"/>
      <c r="H2713" s="52"/>
    </row>
    <row r="2714" spans="1:8" ht="15.75">
      <c r="A2714" s="106">
        <v>43342</v>
      </c>
      <c r="B2714" s="107">
        <v>141.02000000000001</v>
      </c>
      <c r="C2714" s="52"/>
      <c r="D2714" s="52"/>
      <c r="E2714" s="52"/>
      <c r="F2714" s="52"/>
      <c r="G2714" s="52"/>
      <c r="H2714" s="52"/>
    </row>
    <row r="2715" spans="1:8" ht="15.75">
      <c r="A2715" s="106">
        <v>43343</v>
      </c>
      <c r="B2715" s="107">
        <v>141.24</v>
      </c>
      <c r="C2715" s="52"/>
      <c r="D2715" s="52"/>
      <c r="E2715" s="52"/>
      <c r="F2715" s="52"/>
      <c r="G2715" s="52"/>
      <c r="H2715" s="52"/>
    </row>
    <row r="2716" spans="1:8" ht="15.75">
      <c r="A2716" s="106">
        <v>43346</v>
      </c>
      <c r="B2716" s="107">
        <v>141.38</v>
      </c>
      <c r="C2716" s="52"/>
      <c r="D2716" s="52"/>
      <c r="E2716" s="52"/>
      <c r="F2716" s="52"/>
      <c r="G2716" s="52"/>
      <c r="H2716" s="52"/>
    </row>
    <row r="2717" spans="1:8" ht="15.75">
      <c r="A2717" s="106">
        <v>43347</v>
      </c>
      <c r="B2717" s="107">
        <v>141.33000000000001</v>
      </c>
      <c r="C2717" s="52"/>
      <c r="D2717" s="52"/>
      <c r="E2717" s="52"/>
      <c r="F2717" s="52"/>
      <c r="G2717" s="52"/>
      <c r="H2717" s="52"/>
    </row>
    <row r="2718" spans="1:8" ht="15.75">
      <c r="A2718" s="106">
        <v>43348</v>
      </c>
      <c r="B2718" s="107">
        <v>141.16999999999999</v>
      </c>
      <c r="C2718" s="52"/>
      <c r="D2718" s="52"/>
      <c r="E2718" s="52"/>
      <c r="F2718" s="52"/>
      <c r="G2718" s="52"/>
      <c r="H2718" s="52"/>
    </row>
    <row r="2719" spans="1:8" ht="15.75">
      <c r="A2719" s="106">
        <v>43349</v>
      </c>
      <c r="B2719" s="107">
        <v>141.07</v>
      </c>
      <c r="C2719" s="52"/>
      <c r="D2719" s="52"/>
      <c r="E2719" s="52"/>
      <c r="F2719" s="52"/>
      <c r="G2719" s="52"/>
      <c r="H2719" s="52"/>
    </row>
    <row r="2720" spans="1:8" ht="15.75">
      <c r="A2720" s="106">
        <v>43350</v>
      </c>
      <c r="B2720" s="107">
        <v>141.22</v>
      </c>
      <c r="C2720" s="52"/>
      <c r="D2720" s="52"/>
      <c r="E2720" s="52"/>
      <c r="F2720" s="52"/>
      <c r="G2720" s="52"/>
      <c r="H2720" s="52"/>
    </row>
    <row r="2721" spans="1:8" ht="15.75">
      <c r="A2721" s="106">
        <v>43353</v>
      </c>
      <c r="B2721" s="107">
        <v>140.94</v>
      </c>
      <c r="C2721" s="52"/>
      <c r="D2721" s="52"/>
      <c r="E2721" s="52"/>
      <c r="F2721" s="52"/>
      <c r="G2721" s="52"/>
      <c r="H2721" s="52"/>
    </row>
    <row r="2722" spans="1:8" ht="15.75">
      <c r="A2722" s="106">
        <v>43354</v>
      </c>
      <c r="B2722" s="107">
        <v>140.87</v>
      </c>
      <c r="C2722" s="52"/>
      <c r="D2722" s="52"/>
      <c r="E2722" s="52"/>
      <c r="F2722" s="52"/>
      <c r="G2722" s="52"/>
      <c r="H2722" s="52"/>
    </row>
    <row r="2723" spans="1:8" ht="15.75">
      <c r="A2723" s="106">
        <v>43355</v>
      </c>
      <c r="B2723" s="107">
        <v>140.86000000000001</v>
      </c>
      <c r="C2723" s="52"/>
      <c r="D2723" s="52"/>
      <c r="E2723" s="52"/>
      <c r="F2723" s="52"/>
      <c r="G2723" s="52"/>
      <c r="H2723" s="52"/>
    </row>
    <row r="2724" spans="1:8" ht="15.75">
      <c r="A2724" s="106">
        <v>43356</v>
      </c>
      <c r="B2724" s="107">
        <v>140.88999999999999</v>
      </c>
      <c r="C2724" s="52"/>
      <c r="D2724" s="52"/>
      <c r="E2724" s="52"/>
      <c r="F2724" s="52"/>
      <c r="G2724" s="52"/>
      <c r="H2724" s="52"/>
    </row>
    <row r="2725" spans="1:8" ht="15.75">
      <c r="A2725" s="106">
        <v>43357</v>
      </c>
      <c r="B2725" s="107">
        <v>140.77000000000001</v>
      </c>
      <c r="C2725" s="52"/>
      <c r="D2725" s="52"/>
      <c r="E2725" s="52"/>
      <c r="F2725" s="52"/>
      <c r="G2725" s="52"/>
      <c r="H2725" s="52"/>
    </row>
    <row r="2726" spans="1:8" ht="15.75">
      <c r="A2726" s="106">
        <v>43360</v>
      </c>
      <c r="B2726" s="107">
        <v>140.63</v>
      </c>
      <c r="C2726" s="52"/>
      <c r="D2726" s="52"/>
      <c r="E2726" s="52"/>
      <c r="F2726" s="52"/>
      <c r="G2726" s="52"/>
      <c r="H2726" s="52"/>
    </row>
    <row r="2727" spans="1:8" ht="15.75">
      <c r="A2727" s="106">
        <v>43361</v>
      </c>
      <c r="B2727" s="107">
        <v>140.63</v>
      </c>
      <c r="C2727" s="52"/>
      <c r="D2727" s="52"/>
      <c r="E2727" s="52"/>
      <c r="F2727" s="52"/>
      <c r="G2727" s="52"/>
      <c r="H2727" s="52"/>
    </row>
    <row r="2728" spans="1:8" ht="15.75">
      <c r="A2728" s="106">
        <v>43362</v>
      </c>
      <c r="B2728" s="107">
        <v>140.38999999999999</v>
      </c>
      <c r="C2728" s="52"/>
      <c r="D2728" s="52"/>
      <c r="E2728" s="52"/>
      <c r="F2728" s="52"/>
      <c r="G2728" s="52"/>
      <c r="H2728" s="52"/>
    </row>
    <row r="2729" spans="1:8" ht="15.75">
      <c r="A2729" s="106">
        <v>43363</v>
      </c>
      <c r="B2729" s="107">
        <v>140.44</v>
      </c>
      <c r="C2729" s="52"/>
      <c r="D2729" s="52"/>
      <c r="E2729" s="52"/>
      <c r="F2729" s="52"/>
      <c r="G2729" s="52"/>
      <c r="H2729" s="52"/>
    </row>
    <row r="2730" spans="1:8" ht="15.75">
      <c r="A2730" s="106">
        <v>43364</v>
      </c>
      <c r="B2730" s="107">
        <v>140.54</v>
      </c>
      <c r="C2730" s="52"/>
      <c r="D2730" s="52"/>
      <c r="E2730" s="52"/>
      <c r="F2730" s="52"/>
      <c r="G2730" s="52"/>
      <c r="H2730" s="52"/>
    </row>
    <row r="2731" spans="1:8" ht="15.75">
      <c r="A2731" s="106">
        <v>43367</v>
      </c>
      <c r="B2731" s="107">
        <v>140.47</v>
      </c>
      <c r="C2731" s="52"/>
      <c r="D2731" s="52"/>
      <c r="E2731" s="52"/>
      <c r="F2731" s="52"/>
      <c r="G2731" s="52"/>
      <c r="H2731" s="52"/>
    </row>
    <row r="2732" spans="1:8" ht="15.75">
      <c r="A2732" s="106">
        <v>43368</v>
      </c>
      <c r="B2732" s="107">
        <v>140.13999999999999</v>
      </c>
      <c r="C2732" s="52"/>
      <c r="D2732" s="52"/>
      <c r="E2732" s="52"/>
      <c r="F2732" s="52"/>
      <c r="G2732" s="52"/>
      <c r="H2732" s="52"/>
    </row>
    <row r="2733" spans="1:8" ht="15.75">
      <c r="A2733" s="106">
        <v>43369</v>
      </c>
      <c r="B2733" s="107">
        <v>140.01</v>
      </c>
      <c r="C2733" s="52"/>
      <c r="D2733" s="52"/>
      <c r="E2733" s="52"/>
      <c r="F2733" s="52"/>
      <c r="G2733" s="52"/>
      <c r="H2733" s="52"/>
    </row>
    <row r="2734" spans="1:8" ht="15.75">
      <c r="A2734" s="106">
        <v>43370</v>
      </c>
      <c r="B2734" s="107">
        <v>140.13</v>
      </c>
      <c r="C2734" s="52"/>
      <c r="D2734" s="52"/>
      <c r="E2734" s="52"/>
      <c r="F2734" s="52"/>
      <c r="G2734" s="52"/>
      <c r="H2734" s="52"/>
    </row>
    <row r="2735" spans="1:8" ht="15.75">
      <c r="A2735" s="106">
        <v>43371</v>
      </c>
      <c r="B2735" s="107">
        <v>140.34</v>
      </c>
      <c r="C2735" s="52"/>
      <c r="D2735" s="52"/>
      <c r="E2735" s="52"/>
      <c r="F2735" s="52"/>
      <c r="G2735" s="52"/>
      <c r="H2735" s="52"/>
    </row>
    <row r="2736" spans="1:8" ht="15.75">
      <c r="A2736" s="106">
        <v>43374</v>
      </c>
      <c r="B2736" s="107">
        <v>140.26</v>
      </c>
      <c r="C2736" s="52"/>
      <c r="D2736" s="52"/>
      <c r="E2736" s="52"/>
      <c r="F2736" s="52"/>
      <c r="G2736" s="52"/>
      <c r="H2736" s="52"/>
    </row>
    <row r="2737" spans="1:8" ht="15.75">
      <c r="A2737" s="106">
        <v>43375</v>
      </c>
      <c r="B2737" s="107">
        <v>140.77000000000001</v>
      </c>
      <c r="C2737" s="52"/>
      <c r="D2737" s="52"/>
      <c r="E2737" s="52"/>
      <c r="F2737" s="52"/>
      <c r="G2737" s="52"/>
      <c r="H2737" s="52"/>
    </row>
    <row r="2738" spans="1:8" ht="15.75">
      <c r="A2738" s="106">
        <v>43377</v>
      </c>
      <c r="B2738" s="107">
        <v>140.07</v>
      </c>
      <c r="C2738" s="52"/>
      <c r="D2738" s="52"/>
      <c r="E2738" s="52"/>
      <c r="F2738" s="52"/>
      <c r="G2738" s="52"/>
      <c r="H2738" s="52"/>
    </row>
    <row r="2739" spans="1:8" ht="15.75">
      <c r="A2739" s="106">
        <v>43378</v>
      </c>
      <c r="B2739" s="107">
        <v>139.94</v>
      </c>
      <c r="C2739" s="52"/>
      <c r="D2739" s="52"/>
      <c r="E2739" s="52"/>
      <c r="F2739" s="52"/>
      <c r="G2739" s="52"/>
      <c r="H2739" s="52"/>
    </row>
    <row r="2740" spans="1:8" ht="15.75">
      <c r="A2740" s="106">
        <v>43381</v>
      </c>
      <c r="B2740" s="107">
        <v>140.07</v>
      </c>
      <c r="C2740" s="52"/>
      <c r="D2740" s="52"/>
      <c r="E2740" s="52"/>
      <c r="F2740" s="52"/>
      <c r="G2740" s="52"/>
      <c r="H2740" s="52"/>
    </row>
    <row r="2741" spans="1:8" ht="15.75">
      <c r="A2741" s="106">
        <v>43382</v>
      </c>
      <c r="B2741" s="107">
        <v>139.88999999999999</v>
      </c>
      <c r="C2741" s="52"/>
      <c r="D2741" s="52"/>
      <c r="E2741" s="52"/>
      <c r="F2741" s="52"/>
      <c r="G2741" s="52"/>
      <c r="H2741" s="52"/>
    </row>
    <row r="2742" spans="1:8" ht="15.75">
      <c r="A2742" s="106">
        <v>43383</v>
      </c>
      <c r="B2742" s="107">
        <v>139.96</v>
      </c>
      <c r="C2742" s="52"/>
      <c r="D2742" s="52"/>
      <c r="E2742" s="52"/>
      <c r="F2742" s="52"/>
      <c r="G2742" s="52"/>
      <c r="H2742" s="52"/>
    </row>
    <row r="2743" spans="1:8" ht="15.75">
      <c r="A2743" s="106">
        <v>43384</v>
      </c>
      <c r="B2743" s="107">
        <v>140.28</v>
      </c>
      <c r="C2743" s="52"/>
      <c r="D2743" s="52"/>
      <c r="E2743" s="52"/>
      <c r="F2743" s="52"/>
      <c r="G2743" s="52"/>
      <c r="H2743" s="52"/>
    </row>
    <row r="2744" spans="1:8" ht="15.75">
      <c r="A2744" s="106">
        <v>43385</v>
      </c>
      <c r="B2744" s="107">
        <v>140.12</v>
      </c>
      <c r="C2744" s="52"/>
      <c r="D2744" s="52"/>
      <c r="E2744" s="52"/>
      <c r="F2744" s="52"/>
      <c r="G2744" s="52"/>
      <c r="H2744" s="52"/>
    </row>
    <row r="2745" spans="1:8" ht="15.75">
      <c r="A2745" s="106">
        <v>43388</v>
      </c>
      <c r="B2745" s="107">
        <v>140.38999999999999</v>
      </c>
      <c r="C2745" s="52"/>
      <c r="D2745" s="52"/>
      <c r="E2745" s="52"/>
      <c r="F2745" s="52"/>
      <c r="G2745" s="52"/>
      <c r="H2745" s="52"/>
    </row>
    <row r="2746" spans="1:8" ht="15.75">
      <c r="A2746" s="106">
        <v>43389</v>
      </c>
      <c r="B2746" s="107">
        <v>140.30000000000001</v>
      </c>
      <c r="C2746" s="52"/>
      <c r="D2746" s="52"/>
      <c r="E2746" s="52"/>
      <c r="F2746" s="52"/>
      <c r="G2746" s="52"/>
      <c r="H2746" s="52"/>
    </row>
    <row r="2747" spans="1:8" ht="15.75">
      <c r="A2747" s="106">
        <v>43390</v>
      </c>
      <c r="B2747" s="107">
        <v>140.47999999999999</v>
      </c>
      <c r="C2747" s="52"/>
      <c r="D2747" s="52"/>
      <c r="E2747" s="52"/>
      <c r="F2747" s="52"/>
      <c r="G2747" s="52"/>
      <c r="H2747" s="52"/>
    </row>
    <row r="2748" spans="1:8" ht="15.75">
      <c r="A2748" s="106">
        <v>43391</v>
      </c>
      <c r="B2748" s="107">
        <v>140.49</v>
      </c>
      <c r="C2748" s="52"/>
      <c r="D2748" s="52"/>
      <c r="E2748" s="52"/>
      <c r="F2748" s="52"/>
      <c r="G2748" s="52"/>
      <c r="H2748" s="52"/>
    </row>
    <row r="2749" spans="1:8" ht="15.75">
      <c r="A2749" s="106">
        <v>43392</v>
      </c>
      <c r="B2749" s="107">
        <v>140.97999999999999</v>
      </c>
      <c r="C2749" s="52"/>
      <c r="D2749" s="52"/>
      <c r="E2749" s="52"/>
      <c r="F2749" s="52"/>
      <c r="G2749" s="52"/>
      <c r="H2749" s="52"/>
    </row>
    <row r="2750" spans="1:8" ht="15.75">
      <c r="A2750" s="106">
        <v>43395</v>
      </c>
      <c r="B2750" s="107">
        <v>140.53</v>
      </c>
      <c r="C2750" s="52"/>
      <c r="D2750" s="52"/>
      <c r="E2750" s="52"/>
      <c r="F2750" s="52"/>
      <c r="G2750" s="52"/>
      <c r="H2750" s="52"/>
    </row>
    <row r="2751" spans="1:8" ht="15.75">
      <c r="A2751" s="106">
        <v>43396</v>
      </c>
      <c r="B2751" s="107">
        <v>140.77000000000001</v>
      </c>
      <c r="C2751" s="52"/>
      <c r="D2751" s="52"/>
      <c r="E2751" s="52"/>
      <c r="F2751" s="52"/>
      <c r="G2751" s="52"/>
      <c r="H2751" s="52"/>
    </row>
    <row r="2752" spans="1:8" ht="15.75">
      <c r="A2752" s="106">
        <v>43397</v>
      </c>
      <c r="B2752" s="107">
        <v>141</v>
      </c>
      <c r="C2752" s="52"/>
      <c r="D2752" s="52"/>
      <c r="E2752" s="52"/>
      <c r="F2752" s="52"/>
      <c r="G2752" s="52"/>
      <c r="H2752" s="52"/>
    </row>
    <row r="2753" spans="1:8" ht="15.75">
      <c r="A2753" s="106">
        <v>43398</v>
      </c>
      <c r="B2753" s="107">
        <v>140.99</v>
      </c>
      <c r="C2753" s="52"/>
      <c r="D2753" s="52"/>
      <c r="E2753" s="52"/>
      <c r="F2753" s="52"/>
      <c r="G2753" s="52"/>
      <c r="H2753" s="52"/>
    </row>
    <row r="2754" spans="1:8" ht="15.75">
      <c r="A2754" s="106">
        <v>43399</v>
      </c>
      <c r="B2754" s="107">
        <v>141.22</v>
      </c>
      <c r="C2754" s="52"/>
      <c r="D2754" s="52"/>
      <c r="E2754" s="52"/>
      <c r="F2754" s="52"/>
      <c r="G2754" s="52"/>
      <c r="H2754" s="52"/>
    </row>
    <row r="2755" spans="1:8" ht="15.75">
      <c r="A2755" s="106">
        <v>43402</v>
      </c>
      <c r="B2755" s="107">
        <v>141.21</v>
      </c>
      <c r="C2755" s="52"/>
      <c r="D2755" s="52"/>
      <c r="E2755" s="52"/>
      <c r="F2755" s="52"/>
      <c r="G2755" s="52"/>
      <c r="H2755" s="52"/>
    </row>
    <row r="2756" spans="1:8" ht="15.75">
      <c r="A2756" s="106">
        <v>43403</v>
      </c>
      <c r="B2756" s="107">
        <v>141.04</v>
      </c>
      <c r="C2756" s="52"/>
      <c r="D2756" s="52"/>
      <c r="E2756" s="52"/>
      <c r="F2756" s="52"/>
      <c r="G2756" s="52"/>
      <c r="H2756" s="52"/>
    </row>
    <row r="2757" spans="1:8" ht="15.75">
      <c r="A2757" s="106">
        <v>43404</v>
      </c>
      <c r="B2757" s="107">
        <v>141.11000000000001</v>
      </c>
      <c r="C2757" s="52"/>
      <c r="D2757" s="52"/>
      <c r="E2757" s="52"/>
      <c r="F2757" s="52"/>
      <c r="G2757" s="52"/>
      <c r="H2757" s="52"/>
    </row>
    <row r="2758" spans="1:8" ht="15.75">
      <c r="A2758" s="106">
        <v>43405</v>
      </c>
      <c r="B2758" s="107">
        <v>140.91</v>
      </c>
      <c r="C2758" s="52"/>
      <c r="D2758" s="52"/>
      <c r="E2758" s="52"/>
      <c r="F2758" s="52"/>
      <c r="G2758" s="52"/>
      <c r="H2758" s="52"/>
    </row>
    <row r="2759" spans="1:8" ht="15.75">
      <c r="A2759" s="106">
        <v>43406</v>
      </c>
      <c r="B2759" s="107">
        <v>140.78</v>
      </c>
      <c r="C2759" s="52"/>
      <c r="D2759" s="52"/>
      <c r="E2759" s="52"/>
      <c r="F2759" s="52"/>
      <c r="G2759" s="52"/>
      <c r="H2759" s="52"/>
    </row>
    <row r="2760" spans="1:8" ht="15.75">
      <c r="A2760" s="106">
        <v>43409</v>
      </c>
      <c r="B2760" s="107">
        <v>140.81</v>
      </c>
      <c r="C2760" s="52"/>
      <c r="D2760" s="52"/>
      <c r="E2760" s="52"/>
      <c r="F2760" s="52"/>
      <c r="G2760" s="52"/>
      <c r="H2760" s="52"/>
    </row>
    <row r="2761" spans="1:8" ht="15.75">
      <c r="A2761" s="106">
        <v>43410</v>
      </c>
      <c r="B2761" s="107">
        <v>140.93</v>
      </c>
      <c r="C2761" s="52"/>
      <c r="D2761" s="52"/>
      <c r="E2761" s="52"/>
      <c r="F2761" s="52"/>
      <c r="G2761" s="52"/>
      <c r="H2761" s="52"/>
    </row>
    <row r="2762" spans="1:8" ht="15.75">
      <c r="A2762" s="106">
        <v>43411</v>
      </c>
      <c r="B2762" s="107">
        <v>140.85</v>
      </c>
      <c r="C2762" s="52"/>
      <c r="D2762" s="52"/>
      <c r="E2762" s="52"/>
      <c r="F2762" s="52"/>
      <c r="G2762" s="52"/>
      <c r="H2762" s="52"/>
    </row>
    <row r="2763" spans="1:8" ht="15.75">
      <c r="A2763" s="106">
        <v>43412</v>
      </c>
      <c r="B2763" s="107">
        <v>140.6</v>
      </c>
      <c r="C2763" s="52"/>
      <c r="D2763" s="52"/>
      <c r="E2763" s="52"/>
      <c r="F2763" s="52"/>
      <c r="G2763" s="52"/>
      <c r="H2763" s="52"/>
    </row>
    <row r="2764" spans="1:8" ht="15.75">
      <c r="A2764" s="106">
        <v>43413</v>
      </c>
      <c r="B2764" s="107">
        <v>140.78</v>
      </c>
      <c r="C2764" s="52"/>
      <c r="D2764" s="52"/>
      <c r="E2764" s="52"/>
      <c r="F2764" s="52"/>
      <c r="G2764" s="52"/>
      <c r="H2764" s="52"/>
    </row>
    <row r="2765" spans="1:8" ht="15.75">
      <c r="A2765" s="106">
        <v>43416</v>
      </c>
      <c r="B2765" s="107">
        <v>141.05000000000001</v>
      </c>
      <c r="C2765" s="52"/>
      <c r="D2765" s="52"/>
      <c r="E2765" s="52"/>
      <c r="F2765" s="52"/>
      <c r="G2765" s="52"/>
      <c r="H2765" s="52"/>
    </row>
    <row r="2766" spans="1:8" ht="15.75">
      <c r="A2766" s="106">
        <v>43417</v>
      </c>
      <c r="B2766" s="107">
        <v>141.05000000000001</v>
      </c>
      <c r="C2766" s="52"/>
      <c r="D2766" s="52"/>
      <c r="E2766" s="52"/>
      <c r="F2766" s="52"/>
      <c r="G2766" s="52"/>
      <c r="H2766" s="52"/>
    </row>
    <row r="2767" spans="1:8" ht="15.75">
      <c r="A2767" s="106">
        <v>43418</v>
      </c>
      <c r="B2767" s="107">
        <v>140.99</v>
      </c>
      <c r="C2767" s="52"/>
      <c r="D2767" s="52"/>
      <c r="E2767" s="52"/>
      <c r="F2767" s="52"/>
      <c r="G2767" s="52"/>
      <c r="H2767" s="52"/>
    </row>
    <row r="2768" spans="1:8" ht="15.75">
      <c r="A2768" s="106">
        <v>43419</v>
      </c>
      <c r="B2768" s="107">
        <v>141.28</v>
      </c>
      <c r="C2768" s="52"/>
      <c r="D2768" s="52"/>
      <c r="E2768" s="52"/>
      <c r="F2768" s="52"/>
      <c r="G2768" s="52"/>
      <c r="H2768" s="52"/>
    </row>
    <row r="2769" spans="1:8" ht="15.75">
      <c r="A2769" s="106">
        <v>43420</v>
      </c>
      <c r="B2769" s="107">
        <v>141.18</v>
      </c>
      <c r="C2769" s="52"/>
      <c r="D2769" s="52"/>
      <c r="E2769" s="52"/>
      <c r="F2769" s="52"/>
      <c r="G2769" s="52"/>
      <c r="H2769" s="52"/>
    </row>
    <row r="2770" spans="1:8" ht="15.75">
      <c r="A2770" s="106">
        <v>43423</v>
      </c>
      <c r="B2770" s="107">
        <v>141.09</v>
      </c>
      <c r="C2770" s="52"/>
      <c r="D2770" s="52"/>
      <c r="E2770" s="52"/>
      <c r="F2770" s="52"/>
      <c r="G2770" s="52"/>
      <c r="H2770" s="52"/>
    </row>
    <row r="2771" spans="1:8" ht="15.75">
      <c r="A2771" s="106">
        <v>43424</v>
      </c>
      <c r="B2771" s="107">
        <v>141.22999999999999</v>
      </c>
      <c r="C2771" s="52"/>
      <c r="D2771" s="52"/>
      <c r="E2771" s="52"/>
      <c r="F2771" s="52"/>
      <c r="G2771" s="52"/>
      <c r="H2771" s="52"/>
    </row>
    <row r="2772" spans="1:8" ht="15.75">
      <c r="A2772" s="106">
        <v>43425</v>
      </c>
      <c r="B2772" s="107">
        <v>141.13</v>
      </c>
      <c r="C2772" s="52"/>
      <c r="D2772" s="52"/>
      <c r="E2772" s="52"/>
      <c r="F2772" s="52"/>
      <c r="G2772" s="52"/>
      <c r="H2772" s="52"/>
    </row>
    <row r="2773" spans="1:8" ht="15.75">
      <c r="A2773" s="106">
        <v>43426</v>
      </c>
      <c r="B2773" s="107">
        <v>141.18</v>
      </c>
      <c r="C2773" s="52"/>
      <c r="D2773" s="52"/>
      <c r="E2773" s="52"/>
      <c r="F2773" s="52"/>
      <c r="G2773" s="52"/>
      <c r="H2773" s="52"/>
    </row>
    <row r="2774" spans="1:8" ht="15.75">
      <c r="A2774" s="106">
        <v>43427</v>
      </c>
      <c r="B2774" s="107">
        <v>141.24</v>
      </c>
      <c r="C2774" s="52"/>
      <c r="D2774" s="52"/>
      <c r="E2774" s="52"/>
      <c r="F2774" s="52"/>
      <c r="G2774" s="52"/>
      <c r="H2774" s="52"/>
    </row>
    <row r="2775" spans="1:8" ht="15.75">
      <c r="A2775" s="106">
        <v>43430</v>
      </c>
      <c r="B2775" s="107">
        <v>141.19</v>
      </c>
      <c r="C2775" s="52"/>
      <c r="D2775" s="52"/>
      <c r="E2775" s="52"/>
      <c r="F2775" s="52"/>
      <c r="G2775" s="52"/>
      <c r="H2775" s="52"/>
    </row>
    <row r="2776" spans="1:8" ht="15.75">
      <c r="A2776" s="106">
        <v>43431</v>
      </c>
      <c r="B2776" s="107">
        <v>141.25</v>
      </c>
      <c r="C2776" s="52"/>
      <c r="D2776" s="52"/>
      <c r="E2776" s="52"/>
      <c r="F2776" s="52"/>
      <c r="G2776" s="52"/>
      <c r="H2776" s="52"/>
    </row>
    <row r="2777" spans="1:8" ht="15.75">
      <c r="A2777" s="106">
        <v>43432</v>
      </c>
      <c r="B2777" s="107">
        <v>141.31</v>
      </c>
      <c r="C2777" s="52"/>
      <c r="D2777" s="52"/>
      <c r="E2777" s="52"/>
      <c r="F2777" s="52"/>
      <c r="G2777" s="52"/>
      <c r="H2777" s="52"/>
    </row>
    <row r="2778" spans="1:8" ht="15.75">
      <c r="A2778" s="106">
        <v>43433</v>
      </c>
      <c r="B2778" s="107">
        <v>141.37</v>
      </c>
      <c r="C2778" s="52"/>
      <c r="D2778" s="52"/>
      <c r="E2778" s="52"/>
      <c r="F2778" s="52"/>
      <c r="G2778" s="52"/>
      <c r="H2778" s="52"/>
    </row>
    <row r="2779" spans="1:8" ht="15.75">
      <c r="A2779" s="106">
        <v>43434</v>
      </c>
      <c r="B2779" s="107">
        <v>141.47</v>
      </c>
      <c r="C2779" s="52"/>
      <c r="D2779" s="52"/>
      <c r="E2779" s="52"/>
      <c r="F2779" s="52"/>
      <c r="G2779" s="52"/>
      <c r="H2779" s="52"/>
    </row>
    <row r="2780" spans="1:8" ht="15.75">
      <c r="A2780" s="106">
        <v>43437</v>
      </c>
      <c r="B2780" s="107">
        <v>141.38999999999999</v>
      </c>
      <c r="C2780" s="52"/>
      <c r="D2780" s="52"/>
      <c r="E2780" s="52"/>
      <c r="F2780" s="52"/>
      <c r="G2780" s="52"/>
      <c r="H2780" s="52"/>
    </row>
    <row r="2781" spans="1:8" ht="15.75">
      <c r="A2781" s="106">
        <v>43438</v>
      </c>
      <c r="B2781" s="107">
        <v>141.6</v>
      </c>
      <c r="C2781" s="52"/>
      <c r="D2781" s="52"/>
      <c r="E2781" s="52"/>
      <c r="F2781" s="52"/>
      <c r="G2781" s="52"/>
      <c r="H2781" s="52"/>
    </row>
    <row r="2782" spans="1:8" ht="15.75">
      <c r="A2782" s="106">
        <v>43439</v>
      </c>
      <c r="B2782" s="107">
        <v>141.83000000000001</v>
      </c>
      <c r="C2782" s="52"/>
      <c r="D2782" s="52"/>
      <c r="E2782" s="52"/>
      <c r="F2782" s="52"/>
      <c r="G2782" s="52"/>
      <c r="H2782" s="52"/>
    </row>
    <row r="2783" spans="1:8" ht="15.75">
      <c r="A2783" s="106">
        <v>43440</v>
      </c>
      <c r="B2783" s="107">
        <v>141.83000000000001</v>
      </c>
      <c r="C2783" s="52"/>
      <c r="D2783" s="52"/>
      <c r="E2783" s="52"/>
      <c r="F2783" s="52"/>
      <c r="G2783" s="52"/>
      <c r="H2783" s="52"/>
    </row>
    <row r="2784" spans="1:8" ht="15.75">
      <c r="A2784" s="106">
        <v>43441</v>
      </c>
      <c r="B2784" s="107">
        <v>141.80000000000001</v>
      </c>
      <c r="C2784" s="52"/>
      <c r="D2784" s="52"/>
      <c r="E2784" s="52"/>
      <c r="F2784" s="52"/>
      <c r="G2784" s="52"/>
      <c r="H2784" s="52"/>
    </row>
    <row r="2785" spans="1:8" ht="15.75">
      <c r="A2785" s="106">
        <v>43444</v>
      </c>
      <c r="B2785" s="107">
        <v>141.77000000000001</v>
      </c>
      <c r="C2785" s="52"/>
      <c r="D2785" s="52"/>
      <c r="E2785" s="52"/>
      <c r="F2785" s="52"/>
      <c r="G2785" s="52"/>
      <c r="H2785" s="52"/>
    </row>
    <row r="2786" spans="1:8" ht="15.75">
      <c r="A2786" s="106">
        <v>43445</v>
      </c>
      <c r="B2786" s="107">
        <v>141.58000000000001</v>
      </c>
      <c r="C2786" s="52"/>
      <c r="D2786" s="52"/>
      <c r="E2786" s="52"/>
      <c r="F2786" s="52"/>
      <c r="G2786" s="52"/>
      <c r="H2786" s="52"/>
    </row>
    <row r="2787" spans="1:8" ht="15.75">
      <c r="A2787" s="106">
        <v>43446</v>
      </c>
      <c r="B2787" s="107">
        <v>141.74</v>
      </c>
      <c r="C2787" s="52"/>
      <c r="D2787" s="52"/>
      <c r="E2787" s="52"/>
      <c r="F2787" s="52"/>
      <c r="G2787" s="52"/>
      <c r="H2787" s="52"/>
    </row>
    <row r="2788" spans="1:8" ht="15.75">
      <c r="A2788" s="106">
        <v>43447</v>
      </c>
      <c r="B2788" s="107">
        <v>141.47</v>
      </c>
      <c r="C2788" s="52"/>
      <c r="D2788" s="52"/>
      <c r="E2788" s="52"/>
      <c r="F2788" s="52"/>
      <c r="G2788" s="52"/>
      <c r="H2788" s="52"/>
    </row>
    <row r="2789" spans="1:8" ht="15.75">
      <c r="A2789" s="106">
        <v>43448</v>
      </c>
      <c r="B2789" s="107">
        <v>141.63999999999999</v>
      </c>
      <c r="C2789" s="52"/>
      <c r="D2789" s="52"/>
      <c r="E2789" s="52"/>
      <c r="F2789" s="52"/>
      <c r="G2789" s="52"/>
      <c r="H2789" s="52"/>
    </row>
    <row r="2790" spans="1:8" ht="15.75">
      <c r="A2790" s="106">
        <v>43451</v>
      </c>
      <c r="B2790" s="107">
        <v>141.63999999999999</v>
      </c>
      <c r="C2790" s="52"/>
      <c r="D2790" s="52"/>
      <c r="E2790" s="52"/>
      <c r="F2790" s="52"/>
      <c r="G2790" s="52"/>
      <c r="H2790" s="52"/>
    </row>
    <row r="2791" spans="1:8" ht="15.75">
      <c r="A2791" s="106">
        <v>43452</v>
      </c>
      <c r="B2791" s="107">
        <v>141.74</v>
      </c>
      <c r="C2791" s="52"/>
      <c r="D2791" s="52"/>
      <c r="E2791" s="52"/>
      <c r="F2791" s="52"/>
      <c r="G2791" s="52"/>
      <c r="H2791" s="52"/>
    </row>
    <row r="2792" spans="1:8" ht="15.75">
      <c r="A2792" s="106">
        <v>43453</v>
      </c>
      <c r="B2792" s="107">
        <v>141.6</v>
      </c>
      <c r="C2792" s="52"/>
      <c r="D2792" s="52"/>
      <c r="E2792" s="52"/>
      <c r="F2792" s="52"/>
      <c r="G2792" s="52"/>
      <c r="H2792" s="52"/>
    </row>
    <row r="2793" spans="1:8" ht="15.75">
      <c r="A2793" s="106">
        <v>43454</v>
      </c>
      <c r="B2793" s="107">
        <v>141.71</v>
      </c>
      <c r="C2793" s="52"/>
      <c r="D2793" s="52"/>
      <c r="E2793" s="52"/>
      <c r="F2793" s="52"/>
      <c r="G2793" s="52"/>
      <c r="H2793" s="52"/>
    </row>
    <row r="2794" spans="1:8" ht="15.75">
      <c r="A2794" s="106">
        <v>43455</v>
      </c>
      <c r="B2794" s="107">
        <v>141.69</v>
      </c>
      <c r="C2794" s="52"/>
      <c r="D2794" s="52"/>
      <c r="E2794" s="52"/>
      <c r="F2794" s="52"/>
      <c r="G2794" s="52"/>
      <c r="H2794" s="52"/>
    </row>
    <row r="2795" spans="1:8" ht="15.75">
      <c r="A2795" s="106">
        <v>43461</v>
      </c>
      <c r="B2795" s="107">
        <v>141.76</v>
      </c>
      <c r="C2795" s="52"/>
      <c r="D2795" s="52"/>
      <c r="E2795" s="52"/>
      <c r="F2795" s="52"/>
      <c r="G2795" s="52"/>
      <c r="H2795" s="52"/>
    </row>
    <row r="2796" spans="1:8" ht="15.75">
      <c r="A2796" s="106">
        <v>43462</v>
      </c>
      <c r="B2796" s="107">
        <v>141.84</v>
      </c>
      <c r="C2796" s="52"/>
      <c r="D2796" s="52"/>
      <c r="E2796" s="52"/>
      <c r="F2796" s="52"/>
      <c r="G2796" s="52"/>
      <c r="H2796" s="52"/>
    </row>
    <row r="2797" spans="1:8" ht="15.75">
      <c r="A2797" s="106">
        <v>43467</v>
      </c>
      <c r="B2797" s="107">
        <v>142.16</v>
      </c>
      <c r="C2797" s="52"/>
      <c r="D2797" s="52"/>
      <c r="E2797" s="52"/>
      <c r="F2797" s="52"/>
      <c r="G2797" s="52"/>
      <c r="H2797" s="52"/>
    </row>
    <row r="2798" spans="1:8" ht="15.75">
      <c r="A2798" s="106">
        <v>43468</v>
      </c>
      <c r="B2798" s="107">
        <v>142.11000000000001</v>
      </c>
      <c r="C2798" s="52"/>
      <c r="D2798" s="52"/>
      <c r="E2798" s="52"/>
      <c r="F2798" s="52"/>
      <c r="G2798" s="52"/>
      <c r="H2798" s="52"/>
    </row>
    <row r="2799" spans="1:8" ht="15.75">
      <c r="A2799" s="106">
        <v>43469</v>
      </c>
      <c r="B2799" s="107">
        <v>142.05000000000001</v>
      </c>
      <c r="C2799" s="52"/>
      <c r="D2799" s="52"/>
      <c r="E2799" s="52"/>
      <c r="F2799" s="52"/>
      <c r="G2799" s="52"/>
      <c r="H2799" s="52"/>
    </row>
    <row r="2800" spans="1:8" ht="15.75">
      <c r="A2800" s="106">
        <v>43472</v>
      </c>
      <c r="B2800" s="107">
        <v>141.94</v>
      </c>
      <c r="C2800" s="52"/>
      <c r="D2800" s="52"/>
      <c r="E2800" s="52"/>
      <c r="F2800" s="52"/>
      <c r="G2800" s="52"/>
      <c r="H2800" s="52"/>
    </row>
    <row r="2801" spans="1:8" ht="15.75">
      <c r="A2801" s="106">
        <v>43473</v>
      </c>
      <c r="B2801" s="107">
        <v>141.68</v>
      </c>
      <c r="C2801" s="52"/>
      <c r="D2801" s="52"/>
      <c r="E2801" s="52"/>
      <c r="F2801" s="52"/>
      <c r="G2801" s="52"/>
      <c r="H2801" s="52"/>
    </row>
    <row r="2802" spans="1:8" ht="15.75">
      <c r="A2802" s="106">
        <v>43474</v>
      </c>
      <c r="B2802" s="107">
        <v>141.63999999999999</v>
      </c>
      <c r="C2802" s="52"/>
      <c r="D2802" s="52"/>
      <c r="E2802" s="52"/>
      <c r="F2802" s="52"/>
      <c r="G2802" s="52"/>
      <c r="H2802" s="52"/>
    </row>
    <row r="2803" spans="1:8" ht="15.75">
      <c r="A2803" s="106">
        <v>43475</v>
      </c>
      <c r="B2803" s="107">
        <v>142.26</v>
      </c>
      <c r="C2803" s="52"/>
      <c r="D2803" s="52"/>
      <c r="E2803" s="52"/>
      <c r="F2803" s="52"/>
      <c r="G2803" s="52"/>
      <c r="H2803" s="52"/>
    </row>
    <row r="2804" spans="1:8" ht="15.75">
      <c r="A2804" s="106">
        <v>43476</v>
      </c>
      <c r="B2804" s="107">
        <v>142.35</v>
      </c>
      <c r="C2804" s="52"/>
      <c r="D2804" s="52"/>
      <c r="E2804" s="52"/>
      <c r="F2804" s="52"/>
      <c r="G2804" s="52"/>
      <c r="H2804" s="52"/>
    </row>
    <row r="2805" spans="1:8" ht="15.75">
      <c r="A2805" s="106">
        <v>43479</v>
      </c>
      <c r="B2805" s="107">
        <v>142.47999999999999</v>
      </c>
      <c r="C2805" s="52"/>
      <c r="D2805" s="52"/>
      <c r="E2805" s="52"/>
      <c r="F2805" s="52"/>
      <c r="G2805" s="52"/>
      <c r="H2805" s="52"/>
    </row>
    <row r="2806" spans="1:8" ht="15.75">
      <c r="A2806" s="106">
        <v>43480</v>
      </c>
      <c r="B2806" s="107">
        <v>142.52000000000001</v>
      </c>
      <c r="C2806" s="52"/>
      <c r="D2806" s="52"/>
      <c r="E2806" s="52"/>
      <c r="F2806" s="52"/>
      <c r="G2806" s="52"/>
      <c r="H2806" s="52"/>
    </row>
    <row r="2807" spans="1:8" ht="15.75">
      <c r="A2807" s="106">
        <v>43481</v>
      </c>
      <c r="B2807" s="107">
        <v>142.43</v>
      </c>
      <c r="C2807" s="52"/>
      <c r="D2807" s="52"/>
      <c r="E2807" s="52"/>
      <c r="F2807" s="52"/>
      <c r="G2807" s="52"/>
      <c r="H2807" s="52"/>
    </row>
    <row r="2808" spans="1:8" ht="15.75">
      <c r="A2808" s="106">
        <v>43482</v>
      </c>
      <c r="B2808" s="107">
        <v>142.34</v>
      </c>
      <c r="C2808" s="52"/>
      <c r="D2808" s="52"/>
      <c r="E2808" s="52"/>
      <c r="F2808" s="52"/>
      <c r="G2808" s="52"/>
      <c r="H2808" s="52"/>
    </row>
    <row r="2809" spans="1:8" ht="15.75">
      <c r="A2809" s="106">
        <v>43483</v>
      </c>
      <c r="B2809" s="107">
        <v>141.78</v>
      </c>
      <c r="C2809" s="52"/>
      <c r="D2809" s="52"/>
      <c r="E2809" s="52"/>
      <c r="F2809" s="52"/>
      <c r="G2809" s="52"/>
      <c r="H2809" s="52"/>
    </row>
    <row r="2810" spans="1:8" ht="15.75">
      <c r="A2810" s="106">
        <v>43486</v>
      </c>
      <c r="B2810" s="107">
        <v>141.87</v>
      </c>
      <c r="C2810" s="52"/>
      <c r="D2810" s="52"/>
      <c r="E2810" s="52"/>
      <c r="F2810" s="52"/>
      <c r="G2810" s="52"/>
      <c r="H2810" s="52"/>
    </row>
    <row r="2811" spans="1:8" ht="15.75">
      <c r="A2811" s="106">
        <v>43487</v>
      </c>
      <c r="B2811" s="107">
        <v>141.83000000000001</v>
      </c>
      <c r="C2811" s="52"/>
      <c r="D2811" s="52"/>
      <c r="E2811" s="52"/>
      <c r="F2811" s="52"/>
      <c r="G2811" s="52"/>
      <c r="H2811" s="52"/>
    </row>
    <row r="2812" spans="1:8" ht="15.75">
      <c r="A2812" s="106">
        <v>43488</v>
      </c>
      <c r="B2812" s="107">
        <v>141.99</v>
      </c>
      <c r="C2812" s="52"/>
      <c r="D2812" s="52"/>
      <c r="E2812" s="52"/>
      <c r="F2812" s="52"/>
      <c r="G2812" s="52"/>
      <c r="H2812" s="52"/>
    </row>
    <row r="2813" spans="1:8" ht="15.75">
      <c r="A2813" s="106">
        <v>43489</v>
      </c>
      <c r="B2813" s="107">
        <v>142.12</v>
      </c>
      <c r="C2813" s="52"/>
      <c r="D2813" s="52"/>
      <c r="E2813" s="52"/>
      <c r="F2813" s="52"/>
      <c r="G2813" s="52"/>
      <c r="H2813" s="52"/>
    </row>
    <row r="2814" spans="1:8" ht="15.75">
      <c r="A2814" s="106">
        <v>43490</v>
      </c>
      <c r="B2814" s="107">
        <v>142.21</v>
      </c>
      <c r="C2814" s="52"/>
      <c r="D2814" s="52"/>
      <c r="E2814" s="52"/>
      <c r="F2814" s="52"/>
      <c r="G2814" s="52"/>
      <c r="H2814" s="52"/>
    </row>
    <row r="2815" spans="1:8" ht="15.75">
      <c r="A2815" s="106">
        <v>43493</v>
      </c>
      <c r="B2815" s="107">
        <v>142.09</v>
      </c>
      <c r="C2815" s="52"/>
      <c r="D2815" s="52"/>
      <c r="E2815" s="52"/>
      <c r="F2815" s="52"/>
      <c r="G2815" s="52"/>
      <c r="H2815" s="52"/>
    </row>
    <row r="2816" spans="1:8" ht="15.75">
      <c r="A2816" s="106">
        <v>43494</v>
      </c>
      <c r="B2816" s="107">
        <v>142.03</v>
      </c>
      <c r="C2816" s="52"/>
      <c r="D2816" s="52"/>
      <c r="E2816" s="52"/>
      <c r="F2816" s="52"/>
      <c r="G2816" s="52"/>
      <c r="H2816" s="52"/>
    </row>
    <row r="2817" spans="1:8" ht="15.75">
      <c r="A2817" s="106">
        <v>43495</v>
      </c>
      <c r="B2817" s="107">
        <v>142.06</v>
      </c>
      <c r="C2817" s="52"/>
      <c r="D2817" s="52"/>
      <c r="E2817" s="52"/>
      <c r="F2817" s="52"/>
      <c r="G2817" s="52"/>
      <c r="H2817" s="52"/>
    </row>
    <row r="2818" spans="1:8" ht="15.75">
      <c r="A2818" s="106">
        <v>43496</v>
      </c>
      <c r="B2818" s="107">
        <v>142.15</v>
      </c>
      <c r="C2818" s="52"/>
      <c r="D2818" s="52"/>
      <c r="E2818" s="52"/>
      <c r="F2818" s="52"/>
      <c r="G2818" s="52"/>
      <c r="H2818" s="52"/>
    </row>
    <row r="2819" spans="1:8" ht="15.75">
      <c r="A2819" s="106">
        <v>43497</v>
      </c>
      <c r="B2819" s="107">
        <v>142.24</v>
      </c>
      <c r="C2819" s="52"/>
      <c r="D2819" s="52"/>
      <c r="E2819" s="52"/>
      <c r="F2819" s="52"/>
      <c r="G2819" s="52"/>
      <c r="H2819" s="52"/>
    </row>
    <row r="2820" spans="1:8" ht="15.75">
      <c r="A2820" s="106">
        <v>43500</v>
      </c>
      <c r="B2820" s="107">
        <v>142.22999999999999</v>
      </c>
      <c r="C2820" s="52"/>
      <c r="D2820" s="52"/>
      <c r="E2820" s="52"/>
      <c r="F2820" s="52"/>
      <c r="G2820" s="52"/>
      <c r="H2820" s="52"/>
    </row>
    <row r="2821" spans="1:8" ht="15.75">
      <c r="A2821" s="106">
        <v>43501</v>
      </c>
      <c r="B2821" s="107">
        <v>142.08000000000001</v>
      </c>
      <c r="C2821" s="52"/>
      <c r="D2821" s="52"/>
      <c r="E2821" s="52"/>
      <c r="F2821" s="52"/>
      <c r="G2821" s="52"/>
      <c r="H2821" s="52"/>
    </row>
    <row r="2822" spans="1:8" ht="15.75">
      <c r="A2822" s="106">
        <v>43502</v>
      </c>
      <c r="B2822" s="107">
        <v>142.25</v>
      </c>
      <c r="C2822" s="52"/>
      <c r="D2822" s="52"/>
      <c r="E2822" s="52"/>
      <c r="F2822" s="52"/>
      <c r="G2822" s="52"/>
      <c r="H2822" s="52"/>
    </row>
    <row r="2823" spans="1:8" ht="15.75">
      <c r="A2823" s="106">
        <v>43503</v>
      </c>
      <c r="B2823" s="107">
        <v>142.29</v>
      </c>
      <c r="C2823" s="52"/>
      <c r="D2823" s="52"/>
      <c r="E2823" s="52"/>
      <c r="F2823" s="52"/>
      <c r="G2823" s="52"/>
      <c r="H2823" s="52"/>
    </row>
    <row r="2824" spans="1:8" ht="15.75">
      <c r="A2824" s="106">
        <v>43504</v>
      </c>
      <c r="B2824" s="107">
        <v>142.56</v>
      </c>
      <c r="C2824" s="52"/>
      <c r="D2824" s="52"/>
      <c r="E2824" s="52"/>
      <c r="F2824" s="52"/>
      <c r="G2824" s="52"/>
      <c r="H2824" s="52"/>
    </row>
    <row r="2825" spans="1:8" ht="15.75">
      <c r="A2825" s="106">
        <v>43507</v>
      </c>
      <c r="B2825" s="107">
        <v>142.55000000000001</v>
      </c>
      <c r="C2825" s="52"/>
      <c r="D2825" s="52"/>
      <c r="E2825" s="52"/>
      <c r="F2825" s="52"/>
      <c r="G2825" s="52"/>
      <c r="H2825" s="52"/>
    </row>
    <row r="2826" spans="1:8" ht="15.75">
      <c r="A2826" s="106">
        <v>43508</v>
      </c>
      <c r="B2826" s="107">
        <v>142.38</v>
      </c>
      <c r="C2826" s="52"/>
      <c r="D2826" s="52"/>
      <c r="E2826" s="52"/>
      <c r="F2826" s="52"/>
      <c r="G2826" s="52"/>
      <c r="H2826" s="52"/>
    </row>
    <row r="2827" spans="1:8" ht="15.75">
      <c r="A2827" s="106">
        <v>43509</v>
      </c>
      <c r="B2827" s="107">
        <v>142.4</v>
      </c>
      <c r="C2827" s="52"/>
      <c r="D2827" s="52"/>
      <c r="E2827" s="52"/>
      <c r="F2827" s="52"/>
      <c r="G2827" s="52"/>
      <c r="H2827" s="52"/>
    </row>
    <row r="2828" spans="1:8" ht="15.75">
      <c r="A2828" s="106">
        <v>43510</v>
      </c>
      <c r="B2828" s="107">
        <v>142.41</v>
      </c>
      <c r="C2828" s="52"/>
      <c r="D2828" s="52"/>
      <c r="E2828" s="52"/>
      <c r="F2828" s="52"/>
      <c r="G2828" s="52"/>
      <c r="H2828" s="52"/>
    </row>
    <row r="2829" spans="1:8" ht="15.75">
      <c r="A2829" s="106">
        <v>43511</v>
      </c>
      <c r="B2829" s="107">
        <v>142.44999999999999</v>
      </c>
      <c r="C2829" s="52"/>
      <c r="D2829" s="52"/>
      <c r="E2829" s="52"/>
      <c r="F2829" s="52"/>
      <c r="G2829" s="52"/>
      <c r="H2829" s="52"/>
    </row>
    <row r="2830" spans="1:8" ht="15.75">
      <c r="A2830" s="106">
        <v>43514</v>
      </c>
      <c r="B2830" s="107">
        <v>142.44999999999999</v>
      </c>
      <c r="C2830" s="52"/>
      <c r="D2830" s="52"/>
      <c r="E2830" s="52"/>
      <c r="F2830" s="52"/>
      <c r="G2830" s="52"/>
      <c r="H2830" s="52"/>
    </row>
    <row r="2831" spans="1:8" ht="15.75">
      <c r="A2831" s="106">
        <v>43515</v>
      </c>
      <c r="B2831" s="107">
        <v>142.55000000000001</v>
      </c>
      <c r="C2831" s="52"/>
      <c r="D2831" s="52"/>
      <c r="E2831" s="52"/>
      <c r="F2831" s="52"/>
      <c r="G2831" s="52"/>
      <c r="H2831" s="52"/>
    </row>
    <row r="2832" spans="1:8" ht="15.75">
      <c r="A2832" s="106">
        <v>43516</v>
      </c>
      <c r="B2832" s="107">
        <v>142.53</v>
      </c>
      <c r="C2832" s="52"/>
      <c r="D2832" s="52"/>
      <c r="E2832" s="52"/>
      <c r="F2832" s="52"/>
      <c r="G2832" s="52"/>
      <c r="H2832" s="52"/>
    </row>
    <row r="2833" spans="1:8" ht="15.75">
      <c r="A2833" s="106">
        <v>43517</v>
      </c>
      <c r="B2833" s="107">
        <v>142.38999999999999</v>
      </c>
      <c r="C2833" s="52"/>
      <c r="D2833" s="52"/>
      <c r="E2833" s="52"/>
      <c r="F2833" s="52"/>
      <c r="G2833" s="52"/>
      <c r="H2833" s="52"/>
    </row>
    <row r="2834" spans="1:8" ht="15.75">
      <c r="A2834" s="106">
        <v>43518</v>
      </c>
      <c r="B2834" s="107">
        <v>142.37</v>
      </c>
      <c r="C2834" s="52"/>
      <c r="D2834" s="52"/>
      <c r="E2834" s="52"/>
      <c r="F2834" s="52"/>
      <c r="G2834" s="52"/>
      <c r="H2834" s="52"/>
    </row>
    <row r="2835" spans="1:8" ht="15.75">
      <c r="A2835" s="106">
        <v>43521</v>
      </c>
      <c r="B2835" s="107">
        <v>142.36000000000001</v>
      </c>
      <c r="C2835" s="52"/>
      <c r="D2835" s="52"/>
      <c r="E2835" s="52"/>
      <c r="F2835" s="52"/>
      <c r="G2835" s="52"/>
      <c r="H2835" s="52"/>
    </row>
    <row r="2836" spans="1:8" ht="15.75">
      <c r="A2836" s="106">
        <v>43522</v>
      </c>
      <c r="B2836" s="107">
        <v>142.4</v>
      </c>
      <c r="C2836" s="52"/>
      <c r="D2836" s="52"/>
      <c r="E2836" s="52"/>
      <c r="F2836" s="52"/>
      <c r="G2836" s="52"/>
      <c r="H2836" s="52"/>
    </row>
    <row r="2837" spans="1:8" ht="15.75">
      <c r="A2837" s="106">
        <v>43523</v>
      </c>
      <c r="B2837" s="107">
        <v>142.32</v>
      </c>
      <c r="C2837" s="52"/>
      <c r="D2837" s="52"/>
      <c r="E2837" s="52"/>
      <c r="F2837" s="52"/>
      <c r="G2837" s="52"/>
      <c r="H2837" s="52"/>
    </row>
    <row r="2838" spans="1:8" ht="15.75">
      <c r="A2838" s="106">
        <v>43524</v>
      </c>
      <c r="B2838" s="107">
        <v>142.06</v>
      </c>
      <c r="C2838" s="52"/>
      <c r="D2838" s="52"/>
      <c r="E2838" s="52"/>
      <c r="F2838" s="52"/>
      <c r="G2838" s="52"/>
      <c r="H2838" s="52"/>
    </row>
    <row r="2839" spans="1:8" ht="15.75">
      <c r="A2839" s="106">
        <v>43525</v>
      </c>
      <c r="B2839" s="107">
        <v>141.87</v>
      </c>
      <c r="C2839" s="52"/>
      <c r="D2839" s="52"/>
      <c r="E2839" s="52"/>
      <c r="F2839" s="52"/>
      <c r="G2839" s="52"/>
      <c r="H2839" s="52"/>
    </row>
    <row r="2840" spans="1:8" ht="15.75">
      <c r="A2840" s="106">
        <v>43528</v>
      </c>
      <c r="B2840" s="107">
        <v>141.88</v>
      </c>
      <c r="C2840" s="52"/>
      <c r="D2840" s="52"/>
      <c r="E2840" s="52"/>
      <c r="F2840" s="52"/>
      <c r="G2840" s="52"/>
      <c r="H2840" s="52"/>
    </row>
    <row r="2841" spans="1:8" ht="15.75">
      <c r="A2841" s="106">
        <v>43529</v>
      </c>
      <c r="B2841" s="107">
        <v>141.88</v>
      </c>
      <c r="C2841" s="52"/>
      <c r="D2841" s="52"/>
      <c r="E2841" s="52"/>
      <c r="F2841" s="52"/>
      <c r="G2841" s="52"/>
      <c r="H2841" s="52"/>
    </row>
    <row r="2842" spans="1:8" ht="15.75">
      <c r="A2842" s="106">
        <v>43530</v>
      </c>
      <c r="B2842" s="107">
        <v>141.99</v>
      </c>
      <c r="C2842" s="52"/>
      <c r="D2842" s="52"/>
      <c r="E2842" s="52"/>
      <c r="F2842" s="52"/>
      <c r="G2842" s="52"/>
      <c r="H2842" s="52"/>
    </row>
    <row r="2843" spans="1:8" ht="15.75">
      <c r="A2843" s="106">
        <v>43531</v>
      </c>
      <c r="B2843" s="107">
        <v>142.18</v>
      </c>
      <c r="C2843" s="52"/>
      <c r="D2843" s="52"/>
      <c r="E2843" s="52"/>
      <c r="F2843" s="52"/>
      <c r="G2843" s="52"/>
      <c r="H2843" s="52"/>
    </row>
    <row r="2844" spans="1:8" ht="15.75">
      <c r="A2844" s="106">
        <v>43532</v>
      </c>
      <c r="B2844" s="107">
        <v>142.6</v>
      </c>
      <c r="C2844" s="52"/>
      <c r="D2844" s="52"/>
      <c r="E2844" s="52"/>
      <c r="F2844" s="52"/>
      <c r="G2844" s="52"/>
      <c r="H2844" s="52"/>
    </row>
    <row r="2845" spans="1:8" ht="15.75">
      <c r="A2845" s="106">
        <v>43535</v>
      </c>
      <c r="B2845" s="107">
        <v>142.5</v>
      </c>
      <c r="C2845" s="52"/>
      <c r="D2845" s="52"/>
      <c r="E2845" s="52"/>
      <c r="F2845" s="52"/>
      <c r="G2845" s="52"/>
      <c r="H2845" s="52"/>
    </row>
    <row r="2846" spans="1:8" ht="15.75">
      <c r="A2846" s="106">
        <v>43536</v>
      </c>
      <c r="B2846" s="107">
        <v>142.38999999999999</v>
      </c>
      <c r="C2846" s="52"/>
      <c r="D2846" s="52"/>
      <c r="E2846" s="52"/>
      <c r="F2846" s="52"/>
      <c r="G2846" s="52"/>
      <c r="H2846" s="52"/>
    </row>
    <row r="2847" spans="1:8" ht="15.75">
      <c r="A2847" s="106">
        <v>43537</v>
      </c>
      <c r="B2847" s="107">
        <v>142.47</v>
      </c>
      <c r="C2847" s="52"/>
      <c r="D2847" s="52"/>
      <c r="E2847" s="52"/>
      <c r="F2847" s="52"/>
      <c r="G2847" s="52"/>
      <c r="H2847" s="52"/>
    </row>
    <row r="2848" spans="1:8" ht="15.75">
      <c r="A2848" s="106">
        <v>43538</v>
      </c>
      <c r="B2848" s="107">
        <v>142.43</v>
      </c>
      <c r="C2848" s="52"/>
      <c r="D2848" s="52"/>
      <c r="E2848" s="52"/>
      <c r="F2848" s="52"/>
      <c r="G2848" s="52"/>
      <c r="H2848" s="52"/>
    </row>
    <row r="2849" spans="1:8" ht="15.75">
      <c r="A2849" s="106">
        <v>43539</v>
      </c>
      <c r="B2849" s="107">
        <v>142.35</v>
      </c>
      <c r="C2849" s="52"/>
      <c r="D2849" s="52"/>
      <c r="E2849" s="52"/>
      <c r="F2849" s="52"/>
      <c r="G2849" s="52"/>
      <c r="H2849" s="52"/>
    </row>
    <row r="2850" spans="1:8" ht="15.75">
      <c r="A2850" s="106">
        <v>43542</v>
      </c>
      <c r="B2850" s="107">
        <v>142.41999999999999</v>
      </c>
      <c r="C2850" s="52"/>
      <c r="D2850" s="52"/>
      <c r="E2850" s="52"/>
      <c r="F2850" s="52"/>
      <c r="G2850" s="52"/>
      <c r="H2850" s="52"/>
    </row>
    <row r="2851" spans="1:8" ht="15.75">
      <c r="A2851" s="106">
        <v>43543</v>
      </c>
      <c r="B2851" s="107">
        <v>142.41</v>
      </c>
      <c r="C2851" s="52"/>
      <c r="D2851" s="52"/>
      <c r="E2851" s="52"/>
      <c r="F2851" s="52"/>
      <c r="G2851" s="52"/>
      <c r="H2851" s="52"/>
    </row>
    <row r="2852" spans="1:8" ht="15.75">
      <c r="A2852" s="106">
        <v>43544</v>
      </c>
      <c r="B2852" s="107">
        <v>142.22999999999999</v>
      </c>
      <c r="C2852" s="52"/>
      <c r="D2852" s="52"/>
      <c r="E2852" s="52"/>
      <c r="F2852" s="52"/>
      <c r="G2852" s="52"/>
      <c r="H2852" s="52"/>
    </row>
    <row r="2853" spans="1:8" ht="15.75">
      <c r="A2853" s="106">
        <v>43545</v>
      </c>
      <c r="B2853" s="107">
        <v>142.51</v>
      </c>
      <c r="C2853" s="52"/>
      <c r="D2853" s="52"/>
      <c r="E2853" s="52"/>
      <c r="F2853" s="52"/>
      <c r="G2853" s="52"/>
      <c r="H2853" s="52"/>
    </row>
    <row r="2854" spans="1:8" ht="15.75">
      <c r="A2854" s="106">
        <v>43546</v>
      </c>
      <c r="B2854" s="107">
        <v>142.78</v>
      </c>
      <c r="C2854" s="52"/>
      <c r="D2854" s="52"/>
      <c r="E2854" s="52"/>
      <c r="F2854" s="52"/>
      <c r="G2854" s="52"/>
      <c r="H2854" s="52"/>
    </row>
    <row r="2855" spans="1:8" ht="15.75">
      <c r="A2855" s="106">
        <v>43549</v>
      </c>
      <c r="B2855" s="107">
        <v>142.82</v>
      </c>
      <c r="C2855" s="52"/>
      <c r="D2855" s="52"/>
      <c r="E2855" s="52"/>
      <c r="F2855" s="52"/>
      <c r="G2855" s="52"/>
      <c r="H2855" s="52"/>
    </row>
    <row r="2856" spans="1:8" ht="15.75">
      <c r="A2856" s="106">
        <v>43550</v>
      </c>
      <c r="B2856" s="107">
        <v>142.88</v>
      </c>
      <c r="C2856" s="52"/>
      <c r="D2856" s="52"/>
      <c r="E2856" s="52"/>
      <c r="F2856" s="52"/>
      <c r="G2856" s="52"/>
      <c r="H2856" s="52"/>
    </row>
    <row r="2857" spans="1:8" ht="15.75">
      <c r="A2857" s="106">
        <v>43551</v>
      </c>
      <c r="B2857" s="107">
        <v>143.1</v>
      </c>
      <c r="C2857" s="52"/>
      <c r="D2857" s="52"/>
      <c r="E2857" s="52"/>
      <c r="F2857" s="52"/>
      <c r="G2857" s="52"/>
      <c r="H2857" s="52"/>
    </row>
    <row r="2858" spans="1:8" ht="15.75">
      <c r="A2858" s="106">
        <v>43552</v>
      </c>
      <c r="B2858" s="107">
        <v>143.22999999999999</v>
      </c>
      <c r="C2858" s="52"/>
      <c r="D2858" s="52"/>
      <c r="E2858" s="52"/>
      <c r="F2858" s="52"/>
      <c r="G2858" s="52"/>
      <c r="H2858" s="52"/>
    </row>
    <row r="2859" spans="1:8" ht="15.75">
      <c r="A2859" s="106">
        <v>43553</v>
      </c>
      <c r="B2859" s="107">
        <v>143.19</v>
      </c>
      <c r="C2859" s="52"/>
      <c r="D2859" s="52"/>
      <c r="E2859" s="52"/>
      <c r="F2859" s="52"/>
      <c r="G2859" s="52"/>
      <c r="H2859" s="52"/>
    </row>
    <row r="2860" spans="1:8" ht="15.75">
      <c r="A2860" s="106">
        <v>43556</v>
      </c>
      <c r="B2860" s="107">
        <v>143.08000000000001</v>
      </c>
      <c r="C2860" s="52"/>
      <c r="D2860" s="52"/>
      <c r="E2860" s="52"/>
      <c r="F2860" s="52"/>
      <c r="G2860" s="52"/>
      <c r="H2860" s="52"/>
    </row>
    <row r="2861" spans="1:8" ht="15.75">
      <c r="A2861" s="106">
        <v>43557</v>
      </c>
      <c r="B2861" s="107">
        <v>143.08000000000001</v>
      </c>
      <c r="C2861" s="52"/>
      <c r="D2861" s="52"/>
      <c r="E2861" s="52"/>
      <c r="F2861" s="52"/>
      <c r="G2861" s="52"/>
      <c r="H2861" s="52"/>
    </row>
    <row r="2862" spans="1:8" ht="15.75">
      <c r="A2862" s="106">
        <v>43558</v>
      </c>
      <c r="B2862" s="107">
        <v>142.9</v>
      </c>
      <c r="C2862" s="52"/>
      <c r="D2862" s="52"/>
      <c r="E2862" s="52"/>
      <c r="F2862" s="52"/>
      <c r="G2862" s="52"/>
      <c r="H2862" s="52"/>
    </row>
    <row r="2863" spans="1:8" ht="15.75">
      <c r="A2863" s="106">
        <v>43559</v>
      </c>
      <c r="B2863" s="107">
        <v>142.91</v>
      </c>
      <c r="C2863" s="52"/>
      <c r="D2863" s="52"/>
      <c r="E2863" s="52"/>
      <c r="F2863" s="52"/>
      <c r="G2863" s="52"/>
      <c r="H2863" s="52"/>
    </row>
    <row r="2864" spans="1:8" ht="15.75">
      <c r="A2864" s="106">
        <v>43560</v>
      </c>
      <c r="B2864" s="107">
        <v>142.82</v>
      </c>
      <c r="C2864" s="52"/>
      <c r="D2864" s="52"/>
      <c r="E2864" s="52"/>
      <c r="F2864" s="52"/>
      <c r="G2864" s="52"/>
      <c r="H2864" s="52"/>
    </row>
    <row r="2865" spans="1:8" ht="15.75">
      <c r="A2865" s="106">
        <v>43563</v>
      </c>
      <c r="B2865" s="107">
        <v>142.85</v>
      </c>
      <c r="C2865" s="52"/>
      <c r="D2865" s="52"/>
      <c r="E2865" s="52"/>
      <c r="F2865" s="52"/>
      <c r="G2865" s="52"/>
      <c r="H2865" s="52"/>
    </row>
    <row r="2866" spans="1:8" ht="15.75">
      <c r="A2866" s="106">
        <v>43564</v>
      </c>
      <c r="B2866" s="107">
        <v>142.81</v>
      </c>
      <c r="C2866" s="52"/>
      <c r="D2866" s="52"/>
      <c r="E2866" s="52"/>
      <c r="F2866" s="52"/>
      <c r="G2866" s="52"/>
      <c r="H2866" s="52"/>
    </row>
    <row r="2867" spans="1:8" ht="15.75">
      <c r="A2867" s="106">
        <v>43565</v>
      </c>
      <c r="B2867" s="107">
        <v>142.9</v>
      </c>
      <c r="C2867" s="52"/>
      <c r="D2867" s="52"/>
      <c r="E2867" s="52"/>
      <c r="F2867" s="52"/>
      <c r="G2867" s="52"/>
      <c r="H2867" s="52"/>
    </row>
    <row r="2868" spans="1:8" ht="15.75">
      <c r="A2868" s="106">
        <v>43566</v>
      </c>
      <c r="B2868" s="107">
        <v>143.06</v>
      </c>
      <c r="C2868" s="52"/>
      <c r="D2868" s="52"/>
      <c r="E2868" s="52"/>
      <c r="F2868" s="52"/>
      <c r="G2868" s="52"/>
      <c r="H2868" s="52"/>
    </row>
    <row r="2869" spans="1:8" ht="15.75">
      <c r="A2869" s="106">
        <v>43567</v>
      </c>
      <c r="B2869" s="107">
        <v>142.77000000000001</v>
      </c>
      <c r="C2869" s="52"/>
      <c r="D2869" s="52"/>
      <c r="E2869" s="52"/>
      <c r="F2869" s="52"/>
      <c r="G2869" s="52"/>
      <c r="H2869" s="52"/>
    </row>
    <row r="2870" spans="1:8" ht="15.75">
      <c r="A2870" s="106">
        <v>43570</v>
      </c>
      <c r="B2870" s="107">
        <v>142.52000000000001</v>
      </c>
      <c r="C2870" s="52"/>
      <c r="D2870" s="52"/>
      <c r="E2870" s="52"/>
      <c r="F2870" s="52"/>
      <c r="G2870" s="52"/>
      <c r="H2870" s="52"/>
    </row>
    <row r="2871" spans="1:8" ht="15.75">
      <c r="A2871" s="106">
        <v>43571</v>
      </c>
      <c r="B2871" s="107">
        <v>142.52000000000001</v>
      </c>
      <c r="C2871" s="52"/>
      <c r="D2871" s="52"/>
      <c r="E2871" s="52"/>
      <c r="F2871" s="52"/>
      <c r="G2871" s="52"/>
      <c r="H2871" s="52"/>
    </row>
    <row r="2872" spans="1:8" ht="15.75">
      <c r="A2872" s="106">
        <v>43572</v>
      </c>
      <c r="B2872" s="107">
        <v>142.38</v>
      </c>
      <c r="C2872" s="52"/>
      <c r="D2872" s="52"/>
      <c r="E2872" s="52"/>
      <c r="F2872" s="52"/>
      <c r="G2872" s="52"/>
      <c r="H2872" s="52"/>
    </row>
    <row r="2873" spans="1:8" ht="15.75">
      <c r="A2873" s="106">
        <v>43573</v>
      </c>
      <c r="B2873" s="107">
        <v>142.62</v>
      </c>
      <c r="C2873" s="52"/>
      <c r="D2873" s="52"/>
      <c r="E2873" s="52"/>
      <c r="F2873" s="52"/>
      <c r="G2873" s="52"/>
      <c r="H2873" s="52"/>
    </row>
    <row r="2874" spans="1:8" ht="15.75">
      <c r="A2874" s="106">
        <v>43578</v>
      </c>
      <c r="B2874" s="107">
        <v>142.6</v>
      </c>
      <c r="C2874" s="52"/>
      <c r="D2874" s="52"/>
      <c r="E2874" s="52"/>
      <c r="F2874" s="52"/>
      <c r="G2874" s="52"/>
      <c r="H2874" s="52"/>
    </row>
    <row r="2875" spans="1:8" ht="15.75">
      <c r="A2875" s="106">
        <v>43579</v>
      </c>
      <c r="B2875" s="107">
        <v>142.72999999999999</v>
      </c>
      <c r="C2875" s="52"/>
      <c r="D2875" s="52"/>
      <c r="E2875" s="52"/>
      <c r="F2875" s="52"/>
      <c r="G2875" s="52"/>
      <c r="H2875" s="52"/>
    </row>
    <row r="2876" spans="1:8" ht="15.75">
      <c r="A2876" s="106">
        <v>43580</v>
      </c>
      <c r="B2876" s="107">
        <v>142.93</v>
      </c>
      <c r="C2876" s="52"/>
      <c r="D2876" s="52"/>
      <c r="E2876" s="52"/>
      <c r="F2876" s="52"/>
      <c r="G2876" s="52"/>
      <c r="H2876" s="52"/>
    </row>
    <row r="2877" spans="1:8" ht="15.75">
      <c r="A2877" s="106">
        <v>43581</v>
      </c>
      <c r="B2877" s="107">
        <v>143.02000000000001</v>
      </c>
      <c r="C2877" s="52"/>
      <c r="D2877" s="52"/>
      <c r="E2877" s="52"/>
      <c r="F2877" s="52"/>
      <c r="G2877" s="52"/>
      <c r="H2877" s="52"/>
    </row>
    <row r="2878" spans="1:8" ht="15.75">
      <c r="A2878" s="106">
        <v>43584</v>
      </c>
      <c r="B2878" s="107">
        <v>142.91999999999999</v>
      </c>
      <c r="C2878" s="52"/>
      <c r="D2878" s="52"/>
      <c r="E2878" s="52"/>
      <c r="F2878" s="52"/>
      <c r="G2878" s="52"/>
      <c r="H2878" s="52"/>
    </row>
    <row r="2879" spans="1:8" ht="15.75">
      <c r="A2879" s="106">
        <v>43585</v>
      </c>
      <c r="B2879" s="107">
        <v>142.69</v>
      </c>
      <c r="C2879" s="52"/>
      <c r="D2879" s="52"/>
      <c r="E2879" s="52"/>
      <c r="F2879" s="52"/>
      <c r="G2879" s="52"/>
      <c r="H2879" s="52"/>
    </row>
    <row r="2880" spans="1:8" ht="15.75">
      <c r="A2880" s="106">
        <v>43587</v>
      </c>
      <c r="B2880" s="107">
        <v>142.79</v>
      </c>
      <c r="C2880" s="52"/>
      <c r="D2880" s="52"/>
      <c r="E2880" s="52"/>
      <c r="F2880" s="52"/>
      <c r="G2880" s="52"/>
      <c r="H2880" s="52"/>
    </row>
    <row r="2881" spans="1:8" ht="15.75">
      <c r="A2881" s="106">
        <v>43588</v>
      </c>
      <c r="B2881" s="107">
        <v>142.69999999999999</v>
      </c>
      <c r="C2881" s="52"/>
      <c r="D2881" s="52"/>
      <c r="E2881" s="52"/>
      <c r="F2881" s="52"/>
      <c r="G2881" s="52"/>
      <c r="H2881" s="52"/>
    </row>
    <row r="2882" spans="1:8" ht="15.75">
      <c r="A2882" s="106">
        <v>43591</v>
      </c>
      <c r="B2882" s="107">
        <v>142.88</v>
      </c>
      <c r="C2882" s="52"/>
      <c r="D2882" s="52"/>
      <c r="E2882" s="52"/>
      <c r="F2882" s="52"/>
      <c r="G2882" s="52"/>
      <c r="H2882" s="52"/>
    </row>
    <row r="2883" spans="1:8" ht="15.75">
      <c r="A2883" s="106">
        <v>43592</v>
      </c>
      <c r="B2883" s="107">
        <v>143.02000000000001</v>
      </c>
      <c r="C2883" s="52"/>
      <c r="D2883" s="52"/>
      <c r="E2883" s="52"/>
      <c r="F2883" s="52"/>
      <c r="G2883" s="52"/>
      <c r="H2883" s="52"/>
    </row>
    <row r="2884" spans="1:8" ht="15.75">
      <c r="A2884" s="106">
        <v>43593</v>
      </c>
      <c r="B2884" s="107">
        <v>143.18</v>
      </c>
      <c r="C2884" s="52"/>
      <c r="D2884" s="52"/>
      <c r="E2884" s="52"/>
      <c r="F2884" s="52"/>
      <c r="G2884" s="52"/>
      <c r="H2884" s="52"/>
    </row>
    <row r="2885" spans="1:8" ht="15.75">
      <c r="A2885" s="106">
        <v>43594</v>
      </c>
      <c r="B2885" s="107">
        <v>143.26</v>
      </c>
      <c r="C2885" s="52"/>
      <c r="D2885" s="52"/>
      <c r="E2885" s="52"/>
      <c r="F2885" s="52"/>
      <c r="G2885" s="52"/>
      <c r="H2885" s="52"/>
    </row>
    <row r="2886" spans="1:8" ht="15.75">
      <c r="A2886" s="106">
        <v>43595</v>
      </c>
      <c r="B2886" s="107">
        <v>143.13</v>
      </c>
      <c r="C2886" s="52"/>
      <c r="D2886" s="52"/>
      <c r="E2886" s="52"/>
      <c r="F2886" s="52"/>
      <c r="G2886" s="52"/>
      <c r="H2886" s="52"/>
    </row>
    <row r="2887" spans="1:8" ht="15.75">
      <c r="A2887" s="106">
        <v>43598</v>
      </c>
      <c r="B2887" s="107">
        <v>143.22999999999999</v>
      </c>
      <c r="C2887" s="52"/>
      <c r="D2887" s="52"/>
      <c r="E2887" s="52"/>
      <c r="F2887" s="52"/>
      <c r="G2887" s="52"/>
      <c r="H2887" s="52"/>
    </row>
    <row r="2888" spans="1:8" ht="15.75">
      <c r="A2888" s="106">
        <v>43599</v>
      </c>
      <c r="B2888" s="107">
        <v>143.29</v>
      </c>
      <c r="C2888" s="52"/>
      <c r="D2888" s="52"/>
      <c r="E2888" s="52"/>
      <c r="F2888" s="52"/>
      <c r="G2888" s="52"/>
      <c r="H2888" s="52"/>
    </row>
    <row r="2889" spans="1:8" ht="15.75">
      <c r="A2889" s="106">
        <v>43600</v>
      </c>
      <c r="B2889" s="107">
        <v>143.57</v>
      </c>
      <c r="C2889" s="52"/>
      <c r="D2889" s="52"/>
      <c r="E2889" s="52"/>
      <c r="F2889" s="52"/>
      <c r="G2889" s="52"/>
      <c r="H2889" s="52"/>
    </row>
    <row r="2890" spans="1:8" ht="15.75">
      <c r="A2890" s="106">
        <v>43601</v>
      </c>
      <c r="B2890" s="107">
        <v>143.6</v>
      </c>
      <c r="C2890" s="52"/>
      <c r="D2890" s="52"/>
      <c r="E2890" s="52"/>
      <c r="F2890" s="52"/>
      <c r="G2890" s="52"/>
      <c r="H2890" s="52"/>
    </row>
    <row r="2891" spans="1:8" ht="15.75">
      <c r="A2891" s="106">
        <v>43602</v>
      </c>
      <c r="B2891" s="107">
        <v>143.62</v>
      </c>
      <c r="C2891" s="52"/>
      <c r="D2891" s="52"/>
      <c r="E2891" s="52"/>
      <c r="F2891" s="52"/>
      <c r="G2891" s="52"/>
      <c r="H2891" s="52"/>
    </row>
    <row r="2892" spans="1:8" ht="15.75">
      <c r="A2892" s="106">
        <v>43605</v>
      </c>
      <c r="B2892" s="107">
        <v>143.47999999999999</v>
      </c>
      <c r="C2892" s="52"/>
      <c r="D2892" s="52"/>
      <c r="E2892" s="52"/>
      <c r="F2892" s="52"/>
      <c r="G2892" s="52"/>
      <c r="H2892" s="52"/>
    </row>
    <row r="2893" spans="1:8" ht="15.75">
      <c r="A2893" s="106">
        <v>43606</v>
      </c>
      <c r="B2893" s="107">
        <v>143.49</v>
      </c>
      <c r="C2893" s="52"/>
      <c r="D2893" s="52"/>
      <c r="E2893" s="52"/>
      <c r="F2893" s="52"/>
      <c r="G2893" s="52"/>
      <c r="H2893" s="52"/>
    </row>
    <row r="2894" spans="1:8" ht="15.75">
      <c r="A2894" s="106">
        <v>43607</v>
      </c>
      <c r="B2894" s="107">
        <v>143.34</v>
      </c>
      <c r="C2894" s="52"/>
      <c r="D2894" s="52"/>
      <c r="E2894" s="52"/>
      <c r="F2894" s="52"/>
      <c r="G2894" s="52"/>
      <c r="H2894" s="52"/>
    </row>
    <row r="2895" spans="1:8" ht="15.75">
      <c r="A2895" s="106">
        <v>43608</v>
      </c>
      <c r="B2895" s="107">
        <v>143.53</v>
      </c>
      <c r="C2895" s="52"/>
      <c r="D2895" s="52"/>
      <c r="E2895" s="52"/>
      <c r="F2895" s="52"/>
      <c r="G2895" s="52"/>
      <c r="H2895" s="52"/>
    </row>
    <row r="2896" spans="1:8" ht="15.75">
      <c r="A2896" s="106">
        <v>43609</v>
      </c>
      <c r="B2896" s="107">
        <v>143.62</v>
      </c>
      <c r="C2896" s="52"/>
      <c r="D2896" s="52"/>
      <c r="E2896" s="52"/>
      <c r="F2896" s="52"/>
      <c r="G2896" s="52"/>
      <c r="H2896" s="52"/>
    </row>
    <row r="2897" spans="1:8" ht="15.75">
      <c r="A2897" s="106">
        <v>43612</v>
      </c>
      <c r="B2897" s="107">
        <v>143.68</v>
      </c>
      <c r="C2897" s="52"/>
      <c r="D2897" s="52"/>
      <c r="E2897" s="52"/>
      <c r="F2897" s="52"/>
      <c r="G2897" s="52"/>
      <c r="H2897" s="52"/>
    </row>
    <row r="2898" spans="1:8" ht="15.75">
      <c r="A2898" s="106">
        <v>43613</v>
      </c>
      <c r="B2898" s="107">
        <v>143.86000000000001</v>
      </c>
      <c r="C2898" s="52"/>
      <c r="D2898" s="52"/>
      <c r="E2898" s="52"/>
      <c r="F2898" s="52"/>
      <c r="G2898" s="52"/>
      <c r="H2898" s="52"/>
    </row>
    <row r="2899" spans="1:8" ht="15.75">
      <c r="A2899" s="106">
        <v>43614</v>
      </c>
      <c r="B2899" s="107">
        <v>143.9</v>
      </c>
      <c r="C2899" s="52"/>
      <c r="D2899" s="52"/>
      <c r="E2899" s="52"/>
      <c r="F2899" s="52"/>
      <c r="G2899" s="52"/>
      <c r="H2899" s="52"/>
    </row>
    <row r="2900" spans="1:8" ht="15.75">
      <c r="A2900" s="106">
        <v>43615</v>
      </c>
      <c r="B2900" s="107">
        <v>143.87</v>
      </c>
      <c r="C2900" s="52"/>
      <c r="D2900" s="52"/>
      <c r="E2900" s="52"/>
      <c r="F2900" s="52"/>
      <c r="G2900" s="52"/>
      <c r="H2900" s="52"/>
    </row>
    <row r="2901" spans="1:8" ht="15.75">
      <c r="A2901" s="106">
        <v>43616</v>
      </c>
      <c r="B2901" s="107">
        <v>144.19999999999999</v>
      </c>
      <c r="C2901" s="52"/>
      <c r="D2901" s="52"/>
      <c r="E2901" s="52"/>
      <c r="F2901" s="52"/>
      <c r="G2901" s="52"/>
      <c r="H2901" s="52"/>
    </row>
    <row r="2902" spans="1:8" ht="15.75">
      <c r="A2902" s="106">
        <v>43619</v>
      </c>
      <c r="B2902" s="107">
        <v>144.24</v>
      </c>
      <c r="C2902" s="52"/>
      <c r="D2902" s="52"/>
      <c r="E2902" s="52"/>
      <c r="F2902" s="52"/>
      <c r="G2902" s="52"/>
      <c r="H2902" s="52"/>
    </row>
    <row r="2903" spans="1:8" ht="15.75">
      <c r="A2903" s="106">
        <v>43620</v>
      </c>
      <c r="B2903" s="107">
        <v>144.16999999999999</v>
      </c>
      <c r="C2903" s="52"/>
      <c r="D2903" s="52"/>
      <c r="E2903" s="52"/>
      <c r="F2903" s="52"/>
      <c r="G2903" s="52"/>
      <c r="H2903" s="52"/>
    </row>
    <row r="2904" spans="1:8" ht="15.75">
      <c r="A2904" s="106">
        <v>43621</v>
      </c>
      <c r="B2904" s="107">
        <v>144.13999999999999</v>
      </c>
      <c r="C2904" s="52"/>
      <c r="D2904" s="52"/>
      <c r="E2904" s="52"/>
      <c r="F2904" s="52"/>
      <c r="G2904" s="52"/>
      <c r="H2904" s="52"/>
    </row>
    <row r="2905" spans="1:8" ht="15.75">
      <c r="A2905" s="106">
        <v>43622</v>
      </c>
      <c r="B2905" s="107">
        <v>144.38999999999999</v>
      </c>
      <c r="C2905" s="52"/>
      <c r="D2905" s="52"/>
      <c r="E2905" s="52"/>
      <c r="F2905" s="52"/>
      <c r="G2905" s="52"/>
      <c r="H2905" s="52"/>
    </row>
    <row r="2906" spans="1:8" ht="15.75">
      <c r="A2906" s="106">
        <v>43623</v>
      </c>
      <c r="B2906" s="107">
        <v>144.27000000000001</v>
      </c>
      <c r="C2906" s="52"/>
      <c r="D2906" s="52"/>
      <c r="E2906" s="52"/>
      <c r="F2906" s="52"/>
      <c r="G2906" s="52"/>
      <c r="H2906" s="52"/>
    </row>
    <row r="2907" spans="1:8" ht="15.75">
      <c r="A2907" s="106">
        <v>43627</v>
      </c>
      <c r="B2907" s="107">
        <v>144.19</v>
      </c>
      <c r="C2907" s="52"/>
      <c r="D2907" s="52"/>
      <c r="E2907" s="52"/>
      <c r="F2907" s="52"/>
      <c r="G2907" s="52"/>
      <c r="H2907" s="52"/>
    </row>
    <row r="2908" spans="1:8" ht="15.75">
      <c r="A2908" s="106">
        <v>43628</v>
      </c>
      <c r="B2908" s="107">
        <v>144.26</v>
      </c>
      <c r="C2908" s="52"/>
      <c r="D2908" s="52"/>
      <c r="E2908" s="52"/>
      <c r="F2908" s="52"/>
      <c r="G2908" s="52"/>
      <c r="H2908" s="52"/>
    </row>
    <row r="2909" spans="1:8" ht="15.75">
      <c r="A2909" s="106">
        <v>43629</v>
      </c>
      <c r="B2909" s="107">
        <v>144.30000000000001</v>
      </c>
      <c r="C2909" s="52"/>
      <c r="D2909" s="52"/>
      <c r="E2909" s="52"/>
      <c r="F2909" s="52"/>
      <c r="G2909" s="52"/>
      <c r="H2909" s="52"/>
    </row>
    <row r="2910" spans="1:8" ht="15.75">
      <c r="A2910" s="106">
        <v>43630</v>
      </c>
      <c r="B2910" s="107">
        <v>144.4</v>
      </c>
      <c r="C2910" s="52"/>
      <c r="D2910" s="52"/>
      <c r="E2910" s="52"/>
      <c r="F2910" s="52"/>
      <c r="G2910" s="52"/>
      <c r="H2910" s="52"/>
    </row>
    <row r="2911" spans="1:8" ht="15.75">
      <c r="A2911" s="106">
        <v>43633</v>
      </c>
      <c r="B2911" s="107">
        <v>144.32</v>
      </c>
      <c r="C2911" s="52"/>
      <c r="D2911" s="52"/>
      <c r="E2911" s="52"/>
      <c r="F2911" s="52"/>
      <c r="G2911" s="52"/>
      <c r="H2911" s="52"/>
    </row>
    <row r="2912" spans="1:8" ht="15.75">
      <c r="A2912" s="106">
        <v>43634</v>
      </c>
      <c r="B2912" s="107">
        <v>144.72</v>
      </c>
      <c r="C2912" s="52"/>
      <c r="D2912" s="52"/>
      <c r="E2912" s="52"/>
      <c r="F2912" s="52"/>
      <c r="G2912" s="52"/>
      <c r="H2912" s="52"/>
    </row>
    <row r="2913" spans="1:8" ht="15.75">
      <c r="A2913" s="106">
        <v>43635</v>
      </c>
      <c r="B2913" s="107">
        <v>144.71</v>
      </c>
      <c r="C2913" s="52"/>
      <c r="D2913" s="52"/>
      <c r="E2913" s="52"/>
      <c r="F2913" s="52"/>
      <c r="G2913" s="52"/>
      <c r="H2913" s="52"/>
    </row>
    <row r="2914" spans="1:8" ht="15.75">
      <c r="A2914" s="106">
        <v>43636</v>
      </c>
      <c r="B2914" s="107">
        <v>144.69</v>
      </c>
      <c r="C2914" s="52"/>
      <c r="D2914" s="52"/>
      <c r="E2914" s="52"/>
      <c r="F2914" s="52"/>
      <c r="G2914" s="52"/>
      <c r="H2914" s="52"/>
    </row>
    <row r="2915" spans="1:8" ht="15.75">
      <c r="A2915" s="106">
        <v>43637</v>
      </c>
      <c r="B2915" s="107">
        <v>144.65</v>
      </c>
      <c r="C2915" s="52"/>
      <c r="D2915" s="52"/>
      <c r="E2915" s="52"/>
      <c r="F2915" s="52"/>
      <c r="G2915" s="52"/>
      <c r="H2915" s="52"/>
    </row>
    <row r="2916" spans="1:8" ht="15.75">
      <c r="A2916" s="106">
        <v>43640</v>
      </c>
      <c r="B2916" s="107">
        <v>144.69999999999999</v>
      </c>
      <c r="C2916" s="52"/>
      <c r="D2916" s="52"/>
      <c r="E2916" s="52"/>
      <c r="F2916" s="52"/>
      <c r="G2916" s="52"/>
      <c r="H2916" s="52"/>
    </row>
    <row r="2917" spans="1:8" ht="15.75">
      <c r="A2917" s="106">
        <v>43641</v>
      </c>
      <c r="B2917" s="107">
        <v>144.72999999999999</v>
      </c>
      <c r="C2917" s="52"/>
      <c r="D2917" s="52"/>
      <c r="E2917" s="52"/>
      <c r="F2917" s="52"/>
      <c r="G2917" s="52"/>
      <c r="H2917" s="52"/>
    </row>
    <row r="2918" spans="1:8" ht="15.75">
      <c r="A2918" s="106">
        <v>43642</v>
      </c>
      <c r="B2918" s="107">
        <v>144.76</v>
      </c>
      <c r="C2918" s="52"/>
      <c r="D2918" s="52"/>
      <c r="E2918" s="52"/>
      <c r="F2918" s="52"/>
      <c r="G2918" s="52"/>
      <c r="H2918" s="52"/>
    </row>
    <row r="2919" spans="1:8" ht="15.75">
      <c r="A2919" s="106">
        <v>43643</v>
      </c>
      <c r="B2919" s="107">
        <v>144.58000000000001</v>
      </c>
      <c r="C2919" s="52"/>
      <c r="D2919" s="52"/>
      <c r="E2919" s="52"/>
      <c r="F2919" s="52"/>
      <c r="G2919" s="52"/>
      <c r="H2919" s="52"/>
    </row>
    <row r="2920" spans="1:8" ht="15.75">
      <c r="A2920" s="106">
        <v>43644</v>
      </c>
      <c r="B2920" s="107">
        <v>144.72999999999999</v>
      </c>
      <c r="C2920" s="52"/>
      <c r="D2920" s="52"/>
      <c r="E2920" s="52"/>
      <c r="F2920" s="52"/>
      <c r="G2920" s="52"/>
      <c r="H2920" s="52"/>
    </row>
    <row r="2921" spans="1:8" ht="15.75">
      <c r="A2921" s="106">
        <v>43647</v>
      </c>
      <c r="B2921" s="107">
        <v>144.91</v>
      </c>
      <c r="C2921" s="52"/>
      <c r="D2921" s="52"/>
      <c r="E2921" s="52"/>
      <c r="F2921" s="52"/>
      <c r="G2921" s="52"/>
      <c r="H2921" s="52"/>
    </row>
    <row r="2922" spans="1:8" ht="15.75">
      <c r="A2922" s="106">
        <v>43648</v>
      </c>
      <c r="B2922" s="107">
        <v>145.1</v>
      </c>
      <c r="C2922" s="52"/>
      <c r="D2922" s="52"/>
      <c r="E2922" s="52"/>
      <c r="F2922" s="52"/>
      <c r="G2922" s="52"/>
      <c r="H2922" s="52"/>
    </row>
    <row r="2923" spans="1:8" ht="15.75">
      <c r="A2923" s="106">
        <v>43649</v>
      </c>
      <c r="B2923" s="107">
        <v>145.22</v>
      </c>
      <c r="C2923" s="52"/>
      <c r="D2923" s="52"/>
      <c r="E2923" s="52"/>
      <c r="F2923" s="52"/>
      <c r="G2923" s="52"/>
      <c r="H2923" s="52"/>
    </row>
    <row r="2924" spans="1:8" ht="15.75">
      <c r="A2924" s="106">
        <v>43650</v>
      </c>
      <c r="B2924" s="107">
        <v>145.24</v>
      </c>
      <c r="C2924" s="52"/>
      <c r="D2924" s="52"/>
      <c r="E2924" s="52"/>
      <c r="F2924" s="52"/>
      <c r="G2924" s="52"/>
      <c r="H2924" s="52"/>
    </row>
    <row r="2925" spans="1:8" ht="15.75">
      <c r="A2925" s="106">
        <v>43651</v>
      </c>
      <c r="B2925" s="107">
        <v>145.24</v>
      </c>
      <c r="C2925" s="52"/>
      <c r="D2925" s="52"/>
      <c r="E2925" s="52"/>
      <c r="F2925" s="52"/>
      <c r="G2925" s="52"/>
      <c r="H2925" s="52"/>
    </row>
    <row r="2926" spans="1:8" ht="15.75">
      <c r="A2926" s="106">
        <v>43654</v>
      </c>
      <c r="B2926" s="107">
        <v>145.09</v>
      </c>
      <c r="C2926" s="52"/>
      <c r="D2926" s="52"/>
      <c r="E2926" s="52"/>
      <c r="F2926" s="52"/>
      <c r="G2926" s="52"/>
      <c r="H2926" s="52"/>
    </row>
    <row r="2927" spans="1:8" ht="15.75">
      <c r="A2927" s="106">
        <v>43655</v>
      </c>
      <c r="B2927" s="107">
        <v>144.96</v>
      </c>
      <c r="C2927" s="52"/>
      <c r="D2927" s="52"/>
      <c r="E2927" s="52"/>
      <c r="F2927" s="52"/>
      <c r="G2927" s="52"/>
      <c r="H2927" s="52"/>
    </row>
    <row r="2928" spans="1:8" ht="15.75">
      <c r="A2928" s="106">
        <v>43656</v>
      </c>
      <c r="B2928" s="107">
        <v>144.63</v>
      </c>
      <c r="C2928" s="52"/>
      <c r="D2928" s="52"/>
      <c r="E2928" s="52"/>
      <c r="F2928" s="52"/>
      <c r="G2928" s="52"/>
      <c r="H2928" s="52"/>
    </row>
    <row r="2929" spans="1:8" ht="15.75">
      <c r="A2929" s="106">
        <v>43657</v>
      </c>
      <c r="B2929" s="107">
        <v>144.75</v>
      </c>
      <c r="C2929" s="52"/>
      <c r="D2929" s="52"/>
      <c r="E2929" s="52"/>
      <c r="F2929" s="52"/>
      <c r="G2929" s="52"/>
      <c r="H2929" s="52"/>
    </row>
    <row r="2930" spans="1:8" ht="15.75">
      <c r="A2930" s="106">
        <v>43658</v>
      </c>
      <c r="B2930" s="107">
        <v>144.37</v>
      </c>
      <c r="C2930" s="52"/>
      <c r="D2930" s="52"/>
      <c r="E2930" s="52"/>
      <c r="F2930" s="52"/>
      <c r="G2930" s="52"/>
      <c r="H2930" s="52"/>
    </row>
    <row r="2931" spans="1:8" ht="15.75">
      <c r="A2931" s="106">
        <v>43661</v>
      </c>
      <c r="B2931" s="107">
        <v>144.58000000000001</v>
      </c>
      <c r="C2931" s="52"/>
      <c r="D2931" s="52"/>
      <c r="E2931" s="52"/>
      <c r="F2931" s="52"/>
      <c r="G2931" s="52"/>
      <c r="H2931" s="52"/>
    </row>
    <row r="2932" spans="1:8" ht="15.75">
      <c r="A2932" s="106">
        <v>43662</v>
      </c>
      <c r="B2932" s="107">
        <v>144.74</v>
      </c>
      <c r="C2932" s="52"/>
      <c r="D2932" s="52"/>
      <c r="E2932" s="52"/>
      <c r="F2932" s="52"/>
      <c r="G2932" s="52"/>
      <c r="H2932" s="52"/>
    </row>
    <row r="2933" spans="1:8" ht="15.75">
      <c r="A2933" s="106">
        <v>43663</v>
      </c>
      <c r="B2933" s="107">
        <v>144.76</v>
      </c>
      <c r="C2933" s="52"/>
      <c r="D2933" s="52"/>
      <c r="E2933" s="52"/>
      <c r="F2933" s="52"/>
      <c r="G2933" s="52"/>
      <c r="H2933" s="52"/>
    </row>
    <row r="2934" spans="1:8" ht="15.75">
      <c r="A2934" s="106">
        <v>43664</v>
      </c>
      <c r="B2934" s="107">
        <v>144.97</v>
      </c>
      <c r="C2934" s="52"/>
      <c r="D2934" s="52"/>
      <c r="E2934" s="52"/>
      <c r="F2934" s="52"/>
      <c r="G2934" s="52"/>
      <c r="H2934" s="52"/>
    </row>
    <row r="2935" spans="1:8" ht="15.75">
      <c r="A2935" s="106">
        <v>43665</v>
      </c>
      <c r="B2935" s="107">
        <v>145.1</v>
      </c>
      <c r="C2935" s="52"/>
      <c r="D2935" s="52"/>
      <c r="E2935" s="52"/>
      <c r="F2935" s="52"/>
      <c r="G2935" s="52"/>
      <c r="H2935" s="52"/>
    </row>
    <row r="2936" spans="1:8" ht="15.75">
      <c r="A2936" s="106">
        <v>43668</v>
      </c>
      <c r="B2936" s="107">
        <v>145.19</v>
      </c>
      <c r="C2936" s="52"/>
      <c r="D2936" s="52"/>
      <c r="E2936" s="52"/>
      <c r="F2936" s="52"/>
      <c r="G2936" s="52"/>
      <c r="H2936" s="52"/>
    </row>
    <row r="2937" spans="1:8" ht="15.75">
      <c r="A2937" s="106">
        <v>43669</v>
      </c>
      <c r="B2937" s="107">
        <v>145.19</v>
      </c>
      <c r="C2937" s="52"/>
      <c r="D2937" s="52"/>
      <c r="E2937" s="52"/>
      <c r="F2937" s="52"/>
      <c r="G2937" s="52"/>
      <c r="H2937" s="52"/>
    </row>
    <row r="2938" spans="1:8" ht="15.75">
      <c r="A2938" s="106">
        <v>43670</v>
      </c>
      <c r="B2938" s="107">
        <v>145.32</v>
      </c>
      <c r="C2938" s="52"/>
      <c r="D2938" s="52"/>
      <c r="E2938" s="52"/>
      <c r="F2938" s="52"/>
      <c r="G2938" s="52"/>
      <c r="H2938" s="52"/>
    </row>
    <row r="2939" spans="1:8" ht="15.75">
      <c r="A2939" s="106">
        <v>43671</v>
      </c>
      <c r="B2939" s="107">
        <v>145.38999999999999</v>
      </c>
      <c r="C2939" s="52"/>
      <c r="D2939" s="52"/>
      <c r="E2939" s="52"/>
      <c r="F2939" s="52"/>
      <c r="G2939" s="52"/>
      <c r="H2939" s="52"/>
    </row>
    <row r="2940" spans="1:8" ht="15.75">
      <c r="A2940" s="106">
        <v>43672</v>
      </c>
      <c r="B2940" s="107">
        <v>145.21</v>
      </c>
      <c r="C2940" s="52"/>
      <c r="D2940" s="52"/>
      <c r="E2940" s="52"/>
      <c r="F2940" s="52"/>
      <c r="G2940" s="52"/>
      <c r="H2940" s="52"/>
    </row>
    <row r="2941" spans="1:8" ht="15.75">
      <c r="A2941" s="106">
        <v>43675</v>
      </c>
      <c r="B2941" s="107">
        <v>145.36000000000001</v>
      </c>
      <c r="C2941" s="52"/>
      <c r="D2941" s="52"/>
      <c r="E2941" s="52"/>
      <c r="F2941" s="52"/>
      <c r="G2941" s="52"/>
      <c r="H2941" s="52"/>
    </row>
    <row r="2942" spans="1:8" ht="15.75">
      <c r="A2942" s="106">
        <v>43676</v>
      </c>
      <c r="B2942" s="107">
        <v>145.35</v>
      </c>
      <c r="C2942" s="52"/>
      <c r="D2942" s="52"/>
      <c r="E2942" s="52"/>
      <c r="F2942" s="52"/>
      <c r="G2942" s="52"/>
      <c r="H2942" s="52"/>
    </row>
    <row r="2943" spans="1:8" ht="15.75">
      <c r="A2943" s="106">
        <v>43677</v>
      </c>
      <c r="B2943" s="107">
        <v>145.43</v>
      </c>
      <c r="C2943" s="52"/>
      <c r="D2943" s="52"/>
      <c r="E2943" s="52"/>
      <c r="F2943" s="52"/>
      <c r="G2943" s="52"/>
      <c r="H2943" s="52"/>
    </row>
    <row r="2944" spans="1:8" ht="15.75">
      <c r="A2944" s="106">
        <v>43678</v>
      </c>
      <c r="B2944" s="107">
        <v>145.47</v>
      </c>
      <c r="C2944" s="52"/>
      <c r="D2944" s="52"/>
      <c r="E2944" s="52"/>
      <c r="F2944" s="52"/>
      <c r="G2944" s="52"/>
      <c r="H2944" s="52"/>
    </row>
    <row r="2945" spans="1:8" ht="15.75">
      <c r="A2945" s="106">
        <v>43679</v>
      </c>
      <c r="B2945" s="107">
        <v>145.9</v>
      </c>
      <c r="C2945" s="52"/>
      <c r="D2945" s="52"/>
      <c r="E2945" s="52"/>
      <c r="F2945" s="52"/>
      <c r="G2945" s="52"/>
      <c r="H2945" s="52"/>
    </row>
    <row r="2946" spans="1:8" ht="15.75">
      <c r="A2946" s="106">
        <v>43682</v>
      </c>
      <c r="B2946" s="107">
        <v>146.05000000000001</v>
      </c>
      <c r="C2946" s="52"/>
      <c r="D2946" s="52"/>
      <c r="E2946" s="52"/>
      <c r="F2946" s="52"/>
      <c r="G2946" s="52"/>
      <c r="H2946" s="52"/>
    </row>
    <row r="2947" spans="1:8" ht="15.75">
      <c r="A2947" s="106">
        <v>43683</v>
      </c>
      <c r="B2947" s="107">
        <v>146.15</v>
      </c>
      <c r="C2947" s="52"/>
      <c r="D2947" s="52"/>
      <c r="E2947" s="52"/>
      <c r="F2947" s="52"/>
      <c r="G2947" s="52"/>
      <c r="H2947" s="52"/>
    </row>
    <row r="2948" spans="1:8" ht="15.75">
      <c r="A2948" s="106">
        <v>43684</v>
      </c>
      <c r="B2948" s="107">
        <v>146.37</v>
      </c>
      <c r="C2948" s="52"/>
      <c r="D2948" s="52"/>
      <c r="E2948" s="52"/>
      <c r="F2948" s="52"/>
      <c r="G2948" s="52"/>
      <c r="H2948" s="52"/>
    </row>
    <row r="2949" spans="1:8" ht="15.75">
      <c r="A2949" s="106">
        <v>43685</v>
      </c>
      <c r="B2949" s="107">
        <v>146.41999999999999</v>
      </c>
      <c r="C2949" s="52"/>
      <c r="D2949" s="52"/>
      <c r="E2949" s="52"/>
      <c r="F2949" s="52"/>
      <c r="G2949" s="52"/>
      <c r="H2949" s="52"/>
    </row>
    <row r="2950" spans="1:8" ht="15.75">
      <c r="A2950" s="106">
        <v>43686</v>
      </c>
      <c r="B2950" s="107">
        <v>146.56</v>
      </c>
      <c r="C2950" s="52"/>
      <c r="D2950" s="52"/>
      <c r="E2950" s="52"/>
      <c r="F2950" s="52"/>
      <c r="G2950" s="52"/>
      <c r="H2950" s="52"/>
    </row>
    <row r="2951" spans="1:8" ht="15.75">
      <c r="A2951" s="106">
        <v>43689</v>
      </c>
      <c r="B2951" s="107">
        <v>146.66</v>
      </c>
      <c r="C2951" s="52"/>
      <c r="D2951" s="52"/>
      <c r="E2951" s="52"/>
      <c r="F2951" s="52"/>
      <c r="G2951" s="52"/>
      <c r="H2951" s="52"/>
    </row>
    <row r="2952" spans="1:8" ht="15.75">
      <c r="A2952" s="106">
        <v>43690</v>
      </c>
      <c r="B2952" s="107">
        <v>146.71</v>
      </c>
      <c r="C2952" s="52"/>
      <c r="D2952" s="52"/>
      <c r="E2952" s="52"/>
      <c r="F2952" s="52"/>
      <c r="G2952" s="52"/>
      <c r="H2952" s="52"/>
    </row>
    <row r="2953" spans="1:8" ht="15.75">
      <c r="A2953" s="106">
        <v>43691</v>
      </c>
      <c r="B2953" s="107">
        <v>146.80000000000001</v>
      </c>
      <c r="C2953" s="52"/>
      <c r="D2953" s="52"/>
      <c r="E2953" s="52"/>
      <c r="F2953" s="52"/>
      <c r="G2953" s="52"/>
      <c r="H2953" s="52"/>
    </row>
    <row r="2954" spans="1:8" ht="15.75">
      <c r="A2954" s="106">
        <v>43692</v>
      </c>
      <c r="B2954" s="107">
        <v>146.97</v>
      </c>
      <c r="C2954" s="52"/>
      <c r="D2954" s="52"/>
      <c r="E2954" s="52"/>
      <c r="F2954" s="52"/>
      <c r="G2954" s="52"/>
      <c r="H2954" s="52"/>
    </row>
    <row r="2955" spans="1:8" ht="15.75">
      <c r="A2955" s="106">
        <v>43693</v>
      </c>
      <c r="B2955" s="107">
        <v>147.19</v>
      </c>
      <c r="C2955" s="52"/>
      <c r="D2955" s="52"/>
      <c r="E2955" s="52"/>
      <c r="F2955" s="52"/>
      <c r="G2955" s="52"/>
      <c r="H2955" s="52"/>
    </row>
    <row r="2956" spans="1:8" ht="15.75">
      <c r="A2956" s="106">
        <v>43696</v>
      </c>
      <c r="B2956" s="107">
        <v>146.91999999999999</v>
      </c>
      <c r="C2956" s="52"/>
      <c r="D2956" s="52"/>
      <c r="E2956" s="52"/>
      <c r="F2956" s="52"/>
      <c r="G2956" s="52"/>
      <c r="H2956" s="52"/>
    </row>
    <row r="2957" spans="1:8" ht="15.75">
      <c r="A2957" s="106">
        <v>43697</v>
      </c>
      <c r="B2957" s="107">
        <v>147.12</v>
      </c>
      <c r="C2957" s="52"/>
      <c r="D2957" s="52"/>
      <c r="E2957" s="52"/>
      <c r="F2957" s="52"/>
      <c r="G2957" s="52"/>
      <c r="H2957" s="52"/>
    </row>
    <row r="2958" spans="1:8" ht="15.75">
      <c r="A2958" s="106">
        <v>43698</v>
      </c>
      <c r="B2958" s="107">
        <v>147</v>
      </c>
      <c r="C2958" s="52"/>
      <c r="D2958" s="52"/>
      <c r="E2958" s="52"/>
      <c r="F2958" s="52"/>
      <c r="G2958" s="52"/>
      <c r="H2958" s="52"/>
    </row>
    <row r="2959" spans="1:8" ht="15.75">
      <c r="A2959" s="106">
        <v>43699</v>
      </c>
      <c r="B2959" s="107">
        <v>146.93</v>
      </c>
      <c r="C2959" s="52"/>
      <c r="D2959" s="52"/>
      <c r="E2959" s="52"/>
      <c r="F2959" s="52"/>
      <c r="G2959" s="52"/>
      <c r="H2959" s="52"/>
    </row>
    <row r="2960" spans="1:8" ht="15.75">
      <c r="A2960" s="106">
        <v>43700</v>
      </c>
      <c r="B2960" s="107">
        <v>146.68</v>
      </c>
      <c r="C2960" s="52"/>
      <c r="D2960" s="52"/>
      <c r="E2960" s="52"/>
      <c r="F2960" s="52"/>
      <c r="G2960" s="52"/>
      <c r="H2960" s="52"/>
    </row>
    <row r="2961" spans="1:8" ht="15.75">
      <c r="A2961" s="106">
        <v>43703</v>
      </c>
      <c r="B2961" s="107">
        <v>146.9</v>
      </c>
      <c r="C2961" s="52"/>
      <c r="D2961" s="52"/>
      <c r="E2961" s="52"/>
      <c r="F2961" s="52"/>
      <c r="G2961" s="52"/>
      <c r="H2961" s="52"/>
    </row>
    <row r="2962" spans="1:8" ht="15.75">
      <c r="A2962" s="106">
        <v>43704</v>
      </c>
      <c r="B2962" s="107">
        <v>147</v>
      </c>
      <c r="C2962" s="52"/>
      <c r="D2962" s="52"/>
      <c r="E2962" s="52"/>
      <c r="F2962" s="52"/>
      <c r="G2962" s="52"/>
      <c r="H2962" s="52"/>
    </row>
    <row r="2963" spans="1:8" ht="15.75">
      <c r="A2963" s="106">
        <v>43705</v>
      </c>
      <c r="B2963" s="107">
        <v>147.18</v>
      </c>
      <c r="C2963" s="52"/>
      <c r="D2963" s="52"/>
      <c r="E2963" s="52"/>
      <c r="F2963" s="52"/>
      <c r="G2963" s="52"/>
      <c r="H2963" s="52"/>
    </row>
    <row r="2964" spans="1:8" ht="15.75">
      <c r="A2964" s="106">
        <v>43706</v>
      </c>
      <c r="B2964" s="107">
        <v>147.09</v>
      </c>
      <c r="C2964" s="52"/>
      <c r="D2964" s="52"/>
      <c r="E2964" s="52"/>
      <c r="F2964" s="52"/>
      <c r="G2964" s="52"/>
      <c r="H2964" s="52"/>
    </row>
    <row r="2965" spans="1:8" ht="15.75">
      <c r="A2965" s="106">
        <v>43707</v>
      </c>
      <c r="B2965" s="107">
        <v>147.13</v>
      </c>
      <c r="C2965" s="52"/>
      <c r="D2965" s="52"/>
      <c r="E2965" s="52"/>
      <c r="F2965" s="52"/>
      <c r="G2965" s="52"/>
      <c r="H2965" s="52"/>
    </row>
    <row r="2966" spans="1:8" ht="15.75">
      <c r="A2966" s="106">
        <v>43710</v>
      </c>
      <c r="B2966" s="107">
        <v>147.21</v>
      </c>
      <c r="C2966" s="52"/>
      <c r="D2966" s="52"/>
      <c r="E2966" s="52"/>
      <c r="F2966" s="52"/>
      <c r="G2966" s="52"/>
      <c r="H2966" s="52"/>
    </row>
    <row r="2967" spans="1:8" ht="15.75">
      <c r="A2967" s="106">
        <v>43711</v>
      </c>
      <c r="B2967" s="107">
        <v>147.44</v>
      </c>
      <c r="C2967" s="52"/>
      <c r="D2967" s="52"/>
      <c r="E2967" s="52"/>
      <c r="F2967" s="52"/>
      <c r="G2967" s="52"/>
      <c r="H2967" s="52"/>
    </row>
    <row r="2968" spans="1:8" ht="15.75">
      <c r="A2968" s="106">
        <v>43712</v>
      </c>
      <c r="B2968" s="107">
        <v>147.02000000000001</v>
      </c>
      <c r="C2968" s="52"/>
      <c r="D2968" s="52"/>
      <c r="E2968" s="52"/>
      <c r="F2968" s="52"/>
      <c r="G2968" s="52"/>
      <c r="H2968" s="52"/>
    </row>
    <row r="2969" spans="1:8" ht="15.75">
      <c r="A2969" s="106">
        <v>43713</v>
      </c>
      <c r="B2969" s="107">
        <v>146.84</v>
      </c>
      <c r="C2969" s="52"/>
      <c r="D2969" s="52"/>
      <c r="E2969" s="52"/>
      <c r="F2969" s="52"/>
      <c r="G2969" s="52"/>
      <c r="H2969" s="52"/>
    </row>
    <row r="2970" spans="1:8" ht="15.75">
      <c r="A2970" s="106">
        <v>43714</v>
      </c>
      <c r="B2970" s="107">
        <v>146.53</v>
      </c>
      <c r="C2970" s="52"/>
      <c r="D2970" s="52"/>
      <c r="E2970" s="52"/>
      <c r="F2970" s="52"/>
      <c r="G2970" s="52"/>
      <c r="H2970" s="52"/>
    </row>
    <row r="2971" spans="1:8" ht="15.75">
      <c r="A2971" s="106">
        <v>43717</v>
      </c>
      <c r="B2971" s="107">
        <v>146.57</v>
      </c>
      <c r="C2971" s="52"/>
      <c r="D2971" s="52"/>
      <c r="E2971" s="52"/>
      <c r="F2971" s="52"/>
      <c r="G2971" s="52"/>
      <c r="H2971" s="52"/>
    </row>
    <row r="2972" spans="1:8" ht="15.75">
      <c r="A2972" s="106">
        <v>43718</v>
      </c>
      <c r="B2972" s="107">
        <v>146.44999999999999</v>
      </c>
      <c r="C2972" s="52"/>
      <c r="D2972" s="52"/>
      <c r="E2972" s="52"/>
      <c r="F2972" s="52"/>
      <c r="G2972" s="52"/>
      <c r="H2972" s="52"/>
    </row>
    <row r="2973" spans="1:8" ht="15.75">
      <c r="A2973" s="106">
        <v>43719</v>
      </c>
      <c r="B2973" s="107">
        <v>146.21</v>
      </c>
      <c r="C2973" s="52"/>
      <c r="D2973" s="52"/>
      <c r="E2973" s="52"/>
      <c r="F2973" s="52"/>
      <c r="G2973" s="52"/>
      <c r="H2973" s="52"/>
    </row>
    <row r="2974" spans="1:8" ht="15.75">
      <c r="A2974" s="106">
        <v>43720</v>
      </c>
      <c r="B2974" s="107">
        <v>146.4</v>
      </c>
      <c r="C2974" s="52"/>
      <c r="D2974" s="52"/>
      <c r="E2974" s="52"/>
      <c r="F2974" s="52"/>
      <c r="G2974" s="52"/>
      <c r="H2974" s="52"/>
    </row>
    <row r="2975" spans="1:8" ht="15.75">
      <c r="A2975" s="106">
        <v>43721</v>
      </c>
      <c r="B2975" s="107">
        <v>145.46</v>
      </c>
      <c r="C2975" s="52"/>
      <c r="D2975" s="52"/>
      <c r="E2975" s="52"/>
      <c r="F2975" s="52"/>
      <c r="G2975" s="52"/>
      <c r="H2975" s="52"/>
    </row>
    <row r="2976" spans="1:8" ht="15.75">
      <c r="A2976" s="106">
        <v>43724</v>
      </c>
      <c r="B2976" s="107">
        <v>145.58000000000001</v>
      </c>
      <c r="C2976" s="52"/>
      <c r="D2976" s="52"/>
      <c r="E2976" s="52"/>
      <c r="F2976" s="52"/>
      <c r="G2976" s="52"/>
      <c r="H2976" s="52"/>
    </row>
    <row r="2977" spans="1:8" ht="15.75">
      <c r="A2977" s="106">
        <v>43725</v>
      </c>
      <c r="B2977" s="107">
        <v>145.61000000000001</v>
      </c>
      <c r="C2977" s="52"/>
      <c r="D2977" s="52"/>
      <c r="E2977" s="52"/>
      <c r="F2977" s="52"/>
      <c r="G2977" s="52"/>
      <c r="H2977" s="52"/>
    </row>
    <row r="2978" spans="1:8" ht="15.75">
      <c r="A2978" s="106">
        <v>43726</v>
      </c>
      <c r="B2978" s="107">
        <v>145.66999999999999</v>
      </c>
      <c r="C2978" s="52"/>
      <c r="D2978" s="52"/>
      <c r="E2978" s="52"/>
      <c r="F2978" s="52"/>
      <c r="G2978" s="52"/>
      <c r="H2978" s="52"/>
    </row>
    <row r="2979" spans="1:8" ht="15.75">
      <c r="A2979" s="106">
        <v>43727</v>
      </c>
      <c r="B2979" s="107">
        <v>145.55000000000001</v>
      </c>
      <c r="C2979" s="52"/>
      <c r="D2979" s="52"/>
      <c r="E2979" s="52"/>
      <c r="F2979" s="52"/>
      <c r="G2979" s="52"/>
      <c r="H2979" s="52"/>
    </row>
    <row r="2980" spans="1:8" ht="15.75">
      <c r="A2980" s="106">
        <v>43728</v>
      </c>
      <c r="B2980" s="107">
        <v>145.69999999999999</v>
      </c>
      <c r="C2980" s="52"/>
      <c r="D2980" s="52"/>
      <c r="E2980" s="52"/>
      <c r="F2980" s="52"/>
      <c r="G2980" s="52"/>
      <c r="H2980" s="52"/>
    </row>
    <row r="2981" spans="1:8" ht="15.75">
      <c r="A2981" s="106">
        <v>43731</v>
      </c>
      <c r="B2981" s="107">
        <v>146.05000000000001</v>
      </c>
      <c r="C2981" s="52"/>
      <c r="D2981" s="52"/>
      <c r="E2981" s="52"/>
      <c r="F2981" s="52"/>
      <c r="G2981" s="52"/>
      <c r="H2981" s="52"/>
    </row>
    <row r="2982" spans="1:8" ht="15.75">
      <c r="A2982" s="106">
        <v>43732</v>
      </c>
      <c r="B2982" s="107">
        <v>145.97999999999999</v>
      </c>
      <c r="C2982" s="52"/>
      <c r="D2982" s="52"/>
      <c r="E2982" s="52"/>
      <c r="F2982" s="52"/>
      <c r="G2982" s="52"/>
      <c r="H2982" s="52"/>
    </row>
    <row r="2983" spans="1:8" ht="15.75">
      <c r="A2983" s="106">
        <v>43733</v>
      </c>
      <c r="B2983" s="107">
        <v>146.13999999999999</v>
      </c>
      <c r="C2983" s="52"/>
      <c r="D2983" s="52"/>
      <c r="E2983" s="52"/>
      <c r="F2983" s="52"/>
      <c r="G2983" s="52"/>
      <c r="H2983" s="52"/>
    </row>
    <row r="2984" spans="1:8" ht="15.75">
      <c r="A2984" s="106">
        <v>43734</v>
      </c>
      <c r="B2984" s="107">
        <v>146.03</v>
      </c>
      <c r="C2984" s="52"/>
      <c r="D2984" s="52"/>
      <c r="E2984" s="52"/>
      <c r="F2984" s="52"/>
      <c r="G2984" s="52"/>
      <c r="H2984" s="52"/>
    </row>
    <row r="2985" spans="1:8" ht="15.75">
      <c r="A2985" s="106">
        <v>43735</v>
      </c>
      <c r="B2985" s="107">
        <v>146.02000000000001</v>
      </c>
      <c r="C2985" s="52"/>
      <c r="D2985" s="52"/>
      <c r="E2985" s="52"/>
      <c r="F2985" s="52"/>
      <c r="G2985" s="52"/>
      <c r="H2985" s="52"/>
    </row>
    <row r="2986" spans="1:8" ht="15.75">
      <c r="A2986" s="106">
        <v>43738</v>
      </c>
      <c r="B2986" s="107">
        <v>145.93</v>
      </c>
      <c r="C2986" s="52"/>
      <c r="D2986" s="52"/>
      <c r="E2986" s="52"/>
      <c r="F2986" s="52"/>
      <c r="G2986" s="52"/>
      <c r="H2986" s="52"/>
    </row>
    <row r="2987" spans="1:8" ht="15.75">
      <c r="A2987" s="106">
        <v>43739</v>
      </c>
      <c r="B2987" s="107">
        <v>145.71</v>
      </c>
      <c r="C2987" s="52"/>
      <c r="D2987" s="52"/>
      <c r="E2987" s="52"/>
      <c r="F2987" s="52"/>
      <c r="G2987" s="52"/>
      <c r="H2987" s="52"/>
    </row>
    <row r="2988" spans="1:8" ht="15.75">
      <c r="A2988" s="106">
        <v>43740</v>
      </c>
      <c r="B2988" s="107">
        <v>145.86000000000001</v>
      </c>
      <c r="C2988" s="52"/>
      <c r="D2988" s="52"/>
      <c r="E2988" s="52"/>
      <c r="F2988" s="52"/>
      <c r="G2988" s="52"/>
      <c r="H2988" s="52"/>
    </row>
    <row r="2989" spans="1:8" ht="15.75">
      <c r="A2989" s="106">
        <v>43742</v>
      </c>
      <c r="B2989" s="107">
        <v>146.18</v>
      </c>
      <c r="C2989" s="52"/>
      <c r="D2989" s="52"/>
      <c r="E2989" s="52"/>
      <c r="F2989" s="52"/>
      <c r="G2989" s="52"/>
      <c r="H2989" s="52"/>
    </row>
    <row r="2990" spans="1:8" ht="15.75">
      <c r="A2990" s="106">
        <v>43745</v>
      </c>
      <c r="B2990" s="107">
        <v>146.19999999999999</v>
      </c>
      <c r="C2990" s="52"/>
      <c r="D2990" s="52"/>
      <c r="E2990" s="52"/>
      <c r="F2990" s="52"/>
      <c r="G2990" s="52"/>
      <c r="H2990" s="52"/>
    </row>
    <row r="2991" spans="1:8" ht="15.75">
      <c r="A2991" s="106">
        <v>43746</v>
      </c>
      <c r="B2991" s="107">
        <v>146.13</v>
      </c>
      <c r="C2991" s="52"/>
      <c r="D2991" s="52"/>
      <c r="E2991" s="52"/>
      <c r="F2991" s="52"/>
      <c r="G2991" s="52"/>
      <c r="H2991" s="52"/>
    </row>
    <row r="2992" spans="1:8" ht="15.75">
      <c r="A2992" s="106">
        <v>43747</v>
      </c>
      <c r="B2992" s="107">
        <v>146.15</v>
      </c>
      <c r="C2992" s="52"/>
      <c r="D2992" s="52"/>
      <c r="E2992" s="52"/>
      <c r="F2992" s="52"/>
      <c r="G2992" s="52"/>
      <c r="H2992" s="52"/>
    </row>
    <row r="2993" spans="1:8" ht="15.75">
      <c r="A2993" s="106">
        <v>43748</v>
      </c>
      <c r="B2993" s="107">
        <v>145.86000000000001</v>
      </c>
      <c r="C2993" s="52"/>
      <c r="D2993" s="52"/>
      <c r="E2993" s="52"/>
      <c r="F2993" s="52"/>
      <c r="G2993" s="52"/>
      <c r="H2993" s="52"/>
    </row>
    <row r="2994" spans="1:8" ht="15.75">
      <c r="A2994" s="106">
        <v>43749</v>
      </c>
      <c r="B2994" s="107">
        <v>145.5</v>
      </c>
      <c r="C2994" s="52"/>
      <c r="D2994" s="52"/>
      <c r="E2994" s="52"/>
      <c r="F2994" s="52"/>
      <c r="G2994" s="52"/>
      <c r="H2994" s="52"/>
    </row>
    <row r="2995" spans="1:8" ht="15.75">
      <c r="A2995" s="106">
        <v>43752</v>
      </c>
      <c r="B2995" s="107">
        <v>145.44</v>
      </c>
      <c r="C2995" s="52"/>
      <c r="D2995" s="52"/>
      <c r="E2995" s="52"/>
      <c r="F2995" s="52"/>
      <c r="G2995" s="52"/>
      <c r="H2995" s="52"/>
    </row>
    <row r="2996" spans="1:8" ht="15.75">
      <c r="A2996" s="106">
        <v>43753</v>
      </c>
      <c r="B2996" s="107">
        <v>145.35</v>
      </c>
      <c r="C2996" s="52"/>
      <c r="D2996" s="52"/>
      <c r="E2996" s="52"/>
      <c r="F2996" s="52"/>
      <c r="G2996" s="52"/>
      <c r="H2996" s="52"/>
    </row>
    <row r="2997" spans="1:8" ht="15.75">
      <c r="A2997" s="106">
        <v>43754</v>
      </c>
      <c r="B2997" s="107">
        <v>145.12</v>
      </c>
      <c r="C2997" s="52"/>
      <c r="D2997" s="52"/>
      <c r="E2997" s="52"/>
      <c r="F2997" s="52"/>
      <c r="G2997" s="52"/>
      <c r="H2997" s="52"/>
    </row>
    <row r="2998" spans="1:8" ht="15.75">
      <c r="A2998" s="106">
        <v>43755</v>
      </c>
      <c r="B2998" s="107">
        <v>144.83000000000001</v>
      </c>
      <c r="C2998" s="52"/>
      <c r="D2998" s="52"/>
      <c r="E2998" s="52"/>
      <c r="F2998" s="52"/>
      <c r="G2998" s="52"/>
      <c r="H2998" s="52"/>
    </row>
    <row r="2999" spans="1:8" ht="15.75">
      <c r="A2999" s="106">
        <v>43756</v>
      </c>
      <c r="B2999" s="107">
        <v>144.88999999999999</v>
      </c>
      <c r="C2999" s="52"/>
      <c r="D2999" s="52"/>
      <c r="E2999" s="52"/>
      <c r="F2999" s="52"/>
      <c r="G2999" s="52"/>
      <c r="H2999" s="52"/>
    </row>
    <row r="3000" spans="1:8" ht="15.75">
      <c r="A3000" s="106">
        <v>43759</v>
      </c>
      <c r="B3000" s="107">
        <v>144.68</v>
      </c>
      <c r="C3000" s="52"/>
      <c r="D3000" s="52"/>
      <c r="E3000" s="52"/>
      <c r="F3000" s="52"/>
      <c r="G3000" s="52"/>
      <c r="H3000" s="52"/>
    </row>
    <row r="3001" spans="1:8" ht="15.75">
      <c r="A3001" s="106">
        <v>43760</v>
      </c>
      <c r="B3001" s="107">
        <v>144.82</v>
      </c>
      <c r="C3001" s="52"/>
      <c r="D3001" s="52"/>
      <c r="E3001" s="52"/>
      <c r="F3001" s="52"/>
      <c r="G3001" s="52"/>
      <c r="H3001" s="52"/>
    </row>
    <row r="3002" spans="1:8" ht="15.75">
      <c r="A3002" s="106">
        <v>43761</v>
      </c>
      <c r="B3002" s="107">
        <v>145.01</v>
      </c>
      <c r="C3002" s="52"/>
      <c r="D3002" s="52"/>
      <c r="E3002" s="52"/>
      <c r="F3002" s="52"/>
      <c r="G3002" s="52"/>
      <c r="H3002" s="52"/>
    </row>
    <row r="3003" spans="1:8" ht="15.75">
      <c r="A3003" s="106">
        <v>43762</v>
      </c>
      <c r="B3003" s="107">
        <v>144.87</v>
      </c>
      <c r="C3003" s="52"/>
      <c r="D3003" s="52"/>
      <c r="E3003" s="52"/>
      <c r="F3003" s="52"/>
      <c r="G3003" s="52"/>
      <c r="H3003" s="52"/>
    </row>
    <row r="3004" spans="1:8" ht="15.75">
      <c r="A3004" s="106">
        <v>43763</v>
      </c>
      <c r="B3004" s="107">
        <v>144.86000000000001</v>
      </c>
      <c r="C3004" s="52"/>
      <c r="D3004" s="52"/>
      <c r="E3004" s="52"/>
      <c r="F3004" s="52"/>
      <c r="G3004" s="52"/>
      <c r="H3004" s="52"/>
    </row>
    <row r="3005" spans="1:8" ht="15.75">
      <c r="A3005" s="106">
        <v>43766</v>
      </c>
      <c r="B3005" s="107">
        <v>144.63</v>
      </c>
      <c r="C3005" s="52"/>
      <c r="D3005" s="52"/>
      <c r="E3005" s="52"/>
      <c r="F3005" s="52"/>
      <c r="G3005" s="52"/>
      <c r="H3005" s="52"/>
    </row>
    <row r="3006" spans="1:8" ht="15.75">
      <c r="A3006" s="106">
        <v>43767</v>
      </c>
      <c r="B3006" s="107">
        <v>144.66</v>
      </c>
      <c r="C3006" s="52"/>
      <c r="D3006" s="52"/>
      <c r="E3006" s="52"/>
      <c r="F3006" s="52"/>
      <c r="G3006" s="52"/>
      <c r="H3006" s="52"/>
    </row>
    <row r="3007" spans="1:8" ht="15.75">
      <c r="A3007" s="106">
        <v>43768</v>
      </c>
      <c r="B3007" s="107">
        <v>144.62</v>
      </c>
      <c r="C3007" s="52"/>
      <c r="D3007" s="52"/>
      <c r="E3007" s="52"/>
      <c r="F3007" s="52"/>
      <c r="G3007" s="52"/>
      <c r="H3007" s="52"/>
    </row>
    <row r="3008" spans="1:8" ht="15.75">
      <c r="A3008" s="106">
        <v>43769</v>
      </c>
      <c r="B3008" s="107">
        <v>144.91</v>
      </c>
      <c r="C3008" s="52"/>
      <c r="D3008" s="52"/>
      <c r="E3008" s="52"/>
      <c r="F3008" s="52"/>
      <c r="G3008" s="52"/>
      <c r="H3008" s="52"/>
    </row>
    <row r="3009" spans="1:8" ht="15.75">
      <c r="A3009" s="106">
        <v>43770</v>
      </c>
      <c r="B3009" s="107">
        <v>144.9</v>
      </c>
      <c r="C3009" s="52"/>
      <c r="D3009" s="52"/>
      <c r="E3009" s="52"/>
      <c r="F3009" s="52"/>
      <c r="G3009" s="52"/>
      <c r="H3009" s="52"/>
    </row>
    <row r="3010" spans="1:8" ht="15.75">
      <c r="A3010" s="106">
        <v>43773</v>
      </c>
      <c r="B3010" s="107">
        <v>144.69</v>
      </c>
      <c r="C3010" s="52"/>
      <c r="D3010" s="52"/>
      <c r="E3010" s="52"/>
      <c r="F3010" s="52"/>
      <c r="G3010" s="52"/>
      <c r="H3010" s="52"/>
    </row>
    <row r="3011" spans="1:8" ht="16.5" thickBot="1">
      <c r="A3011" s="106">
        <v>43774</v>
      </c>
      <c r="B3011" s="107">
        <v>144.43</v>
      </c>
      <c r="C3011" s="52"/>
      <c r="D3011" s="52"/>
      <c r="E3011" s="52"/>
      <c r="F3011" s="52"/>
      <c r="G3011" s="52"/>
      <c r="H3011" s="52"/>
    </row>
    <row r="3012" spans="1:8" ht="16.5" thickBot="1">
      <c r="A3012" s="108">
        <v>43775</v>
      </c>
      <c r="B3012" s="109">
        <v>144.36000000000001</v>
      </c>
      <c r="C3012" s="52"/>
      <c r="D3012" s="52"/>
      <c r="E3012" s="52"/>
      <c r="F3012" s="52"/>
      <c r="G3012" s="52"/>
      <c r="H3012" s="52"/>
    </row>
    <row r="3013" spans="1:8" ht="16.5" thickBot="1">
      <c r="A3013" s="108">
        <v>43776</v>
      </c>
      <c r="B3013" s="109">
        <v>144.36000000000001</v>
      </c>
      <c r="C3013" s="52"/>
      <c r="D3013" s="52"/>
      <c r="E3013" s="52"/>
      <c r="F3013" s="52"/>
      <c r="G3013" s="52"/>
      <c r="H3013" s="52"/>
    </row>
    <row r="3014" spans="1:8" ht="16.5" thickBot="1">
      <c r="A3014" s="108">
        <v>43777</v>
      </c>
      <c r="B3014" s="109">
        <v>144.01</v>
      </c>
      <c r="C3014" s="52"/>
      <c r="D3014" s="52"/>
      <c r="E3014" s="52"/>
      <c r="F3014" s="52"/>
      <c r="G3014" s="52"/>
      <c r="H3014" s="52"/>
    </row>
    <row r="3015" spans="1:8" ht="16.5" thickBot="1">
      <c r="A3015" s="108">
        <v>43780</v>
      </c>
      <c r="B3015" s="109">
        <v>144.11000000000001</v>
      </c>
      <c r="C3015" s="52"/>
      <c r="D3015" s="52"/>
      <c r="E3015" s="52"/>
      <c r="F3015" s="52"/>
      <c r="G3015" s="52"/>
      <c r="H3015" s="52"/>
    </row>
    <row r="3016" spans="1:8" ht="16.5" thickBot="1">
      <c r="A3016" s="108">
        <v>43781</v>
      </c>
      <c r="B3016" s="109">
        <v>143.97</v>
      </c>
      <c r="C3016" s="52"/>
      <c r="D3016" s="52"/>
      <c r="E3016" s="52"/>
      <c r="F3016" s="52"/>
      <c r="G3016" s="52"/>
      <c r="H3016" s="52"/>
    </row>
    <row r="3017" spans="1:8" ht="16.5" thickBot="1">
      <c r="A3017" s="108">
        <v>43782</v>
      </c>
      <c r="B3017" s="109">
        <v>144.21</v>
      </c>
      <c r="C3017" s="52"/>
      <c r="D3017" s="52"/>
      <c r="E3017" s="52"/>
      <c r="F3017" s="52"/>
      <c r="G3017" s="52"/>
      <c r="H3017" s="52"/>
    </row>
    <row r="3018" spans="1:8" ht="16.5" thickBot="1">
      <c r="A3018" s="108">
        <v>43783</v>
      </c>
      <c r="B3018" s="109">
        <v>144.41999999999999</v>
      </c>
      <c r="C3018" s="52"/>
      <c r="D3018" s="52"/>
      <c r="E3018" s="52"/>
      <c r="F3018" s="52"/>
      <c r="G3018" s="52"/>
      <c r="H3018" s="52"/>
    </row>
    <row r="3019" spans="1:8" ht="16.5" thickBot="1">
      <c r="A3019" s="108">
        <v>43784</v>
      </c>
      <c r="B3019" s="109">
        <v>144.49</v>
      </c>
      <c r="C3019" s="52"/>
      <c r="D3019" s="52"/>
      <c r="E3019" s="52"/>
      <c r="F3019" s="52"/>
      <c r="G3019" s="52"/>
      <c r="H3019" s="52"/>
    </row>
    <row r="3020" spans="1:8" ht="16.5" thickBot="1">
      <c r="A3020" s="108">
        <v>43787</v>
      </c>
      <c r="B3020" s="109">
        <v>144.4</v>
      </c>
      <c r="C3020" s="52"/>
      <c r="D3020" s="52"/>
      <c r="E3020" s="52"/>
      <c r="F3020" s="52"/>
      <c r="G3020" s="52"/>
      <c r="H3020" s="52"/>
    </row>
    <row r="3021" spans="1:8" ht="16.5" thickBot="1">
      <c r="A3021" s="108">
        <v>43788</v>
      </c>
      <c r="B3021" s="109">
        <v>144.44</v>
      </c>
      <c r="C3021" s="52"/>
      <c r="D3021" s="52"/>
      <c r="E3021" s="52"/>
      <c r="F3021" s="52"/>
      <c r="G3021" s="52"/>
      <c r="H3021" s="52"/>
    </row>
    <row r="3022" spans="1:8" ht="16.5" thickBot="1">
      <c r="A3022" s="108">
        <v>43789</v>
      </c>
      <c r="B3022" s="109">
        <v>144.76</v>
      </c>
      <c r="C3022" s="52"/>
      <c r="D3022" s="52"/>
      <c r="E3022" s="52"/>
      <c r="F3022" s="52"/>
      <c r="G3022" s="52"/>
      <c r="H3022" s="52"/>
    </row>
    <row r="3023" spans="1:8" ht="16.5" thickBot="1">
      <c r="A3023" s="108">
        <v>43790</v>
      </c>
      <c r="B3023" s="109">
        <v>144.51</v>
      </c>
      <c r="C3023" s="52"/>
      <c r="D3023" s="52"/>
      <c r="E3023" s="52"/>
      <c r="F3023" s="52"/>
      <c r="G3023" s="52"/>
      <c r="H3023" s="52"/>
    </row>
    <row r="3024" spans="1:8" ht="16.5" thickBot="1">
      <c r="A3024" s="108">
        <v>43791</v>
      </c>
      <c r="B3024" s="109">
        <v>144.56</v>
      </c>
      <c r="C3024" s="52"/>
      <c r="D3024" s="52"/>
      <c r="E3024" s="52"/>
      <c r="F3024" s="52"/>
      <c r="G3024" s="52"/>
      <c r="H3024" s="52"/>
    </row>
    <row r="3025" spans="1:18" ht="16.5" thickBot="1">
      <c r="A3025" s="108">
        <v>43794</v>
      </c>
      <c r="B3025" s="109">
        <v>144.56</v>
      </c>
      <c r="C3025" s="52"/>
      <c r="D3025" s="52"/>
      <c r="E3025" s="52"/>
      <c r="F3025" s="52"/>
      <c r="G3025" s="52"/>
      <c r="H3025" s="52"/>
    </row>
    <row r="3026" spans="1:18" ht="16.5" thickBot="1">
      <c r="A3026" s="108">
        <v>43795</v>
      </c>
      <c r="B3026" s="109">
        <v>144.62</v>
      </c>
      <c r="C3026" s="52"/>
      <c r="D3026" s="52"/>
      <c r="E3026" s="52"/>
      <c r="F3026" s="52"/>
      <c r="G3026" s="52"/>
      <c r="H3026" s="52"/>
    </row>
    <row r="3027" spans="1:18" ht="16.5" thickBot="1">
      <c r="A3027" s="108">
        <v>43796</v>
      </c>
      <c r="B3027" s="109">
        <v>144.69</v>
      </c>
      <c r="C3027" s="52"/>
      <c r="D3027" s="52"/>
      <c r="E3027" s="52"/>
      <c r="F3027" s="52"/>
      <c r="G3027" s="52"/>
      <c r="H3027" s="52"/>
    </row>
    <row r="3028" spans="1:18" ht="16.5" thickBot="1">
      <c r="A3028" s="108">
        <v>43797</v>
      </c>
      <c r="B3028" s="109">
        <v>144.72</v>
      </c>
      <c r="C3028" s="52"/>
      <c r="D3028" s="52"/>
      <c r="E3028" s="52"/>
      <c r="F3028" s="52"/>
      <c r="G3028" s="52"/>
      <c r="H3028" s="52"/>
    </row>
    <row r="3029" spans="1:18" ht="16.5" thickBot="1">
      <c r="A3029" s="108">
        <v>43798</v>
      </c>
      <c r="B3029" s="109">
        <v>144.66999999999999</v>
      </c>
      <c r="C3029" s="52"/>
      <c r="D3029" s="52"/>
      <c r="E3029" s="52"/>
      <c r="F3029" s="52"/>
      <c r="G3029" s="52"/>
      <c r="H3029" s="52"/>
    </row>
    <row r="3030" spans="1:18" ht="15.75">
      <c r="A3030" s="108">
        <v>43801</v>
      </c>
      <c r="B3030" s="109">
        <v>144.13</v>
      </c>
      <c r="C3030" s="52"/>
      <c r="D3030" s="52"/>
      <c r="E3030" s="52"/>
      <c r="F3030" s="52"/>
      <c r="G3030" s="52"/>
      <c r="H3030" s="52"/>
    </row>
    <row r="3031" spans="1:18" ht="15.75">
      <c r="A3031" s="110">
        <v>43802</v>
      </c>
      <c r="B3031" s="110">
        <v>144.16999999999999</v>
      </c>
      <c r="C3031" s="52"/>
      <c r="D3031" s="52"/>
      <c r="E3031" s="52"/>
      <c r="F3031" s="52"/>
      <c r="G3031" s="52"/>
      <c r="H3031" s="52"/>
    </row>
    <row r="3032" spans="1:18" ht="15.75">
      <c r="A3032" s="27">
        <v>43803</v>
      </c>
      <c r="B3032" s="27">
        <v>144.5</v>
      </c>
      <c r="C3032" s="52"/>
      <c r="D3032" s="52"/>
      <c r="E3032" s="52"/>
      <c r="F3032" s="52"/>
      <c r="G3032" s="52"/>
      <c r="H3032" s="52"/>
    </row>
    <row r="3033" spans="1:18" ht="15.75">
      <c r="A3033" s="27">
        <v>43804</v>
      </c>
      <c r="B3033" s="27">
        <v>144.28</v>
      </c>
      <c r="C3033" s="52"/>
      <c r="D3033" s="52"/>
      <c r="E3033" s="52"/>
      <c r="F3033" s="52"/>
      <c r="G3033" s="52"/>
      <c r="H3033" s="52"/>
    </row>
    <row r="3034" spans="1:18" ht="15.75">
      <c r="A3034" s="27">
        <v>43805</v>
      </c>
      <c r="B3034" s="27">
        <v>144.30000000000001</v>
      </c>
      <c r="C3034" s="52"/>
      <c r="D3034" s="52"/>
      <c r="E3034" s="52"/>
      <c r="F3034" s="52"/>
      <c r="G3034" s="52"/>
      <c r="H3034" s="52"/>
    </row>
    <row r="3035" spans="1:18" ht="15.75">
      <c r="A3035" s="27">
        <v>43808</v>
      </c>
      <c r="B3035" s="27">
        <v>144.33000000000001</v>
      </c>
      <c r="C3035" s="52"/>
      <c r="D3035" s="52"/>
      <c r="E3035" s="52"/>
      <c r="F3035" s="52"/>
      <c r="G3035" s="52"/>
      <c r="H3035" s="52"/>
    </row>
    <row r="3036" spans="1:18" ht="15.75">
      <c r="A3036" s="27">
        <v>43809</v>
      </c>
      <c r="B3036" s="27">
        <v>144.25</v>
      </c>
      <c r="C3036" s="52"/>
      <c r="D3036" s="52"/>
      <c r="E3036" s="52"/>
      <c r="F3036" s="52"/>
      <c r="G3036" s="52"/>
      <c r="H3036" s="52"/>
    </row>
    <row r="3037" spans="1:18" ht="15.75">
      <c r="A3037" s="27">
        <v>43810</v>
      </c>
      <c r="B3037" s="27">
        <v>144.44999999999999</v>
      </c>
      <c r="C3037" s="52"/>
      <c r="D3037" s="52"/>
      <c r="E3037" s="52"/>
      <c r="F3037" s="52"/>
      <c r="G3037" s="52"/>
      <c r="H3037" s="52"/>
    </row>
    <row r="3038" spans="1:18" ht="15.75">
      <c r="A3038">
        <v>43811</v>
      </c>
      <c r="B3038">
        <v>144.49</v>
      </c>
      <c r="C3038" s="52"/>
      <c r="D3038" s="52"/>
      <c r="E3038" s="52"/>
      <c r="F3038" s="52"/>
      <c r="G3038" s="52"/>
      <c r="H3038" s="52"/>
    </row>
    <row r="3039" spans="1:18" ht="15.75">
      <c r="A3039">
        <v>43812</v>
      </c>
      <c r="B3039">
        <v>143.94</v>
      </c>
      <c r="C3039" s="52"/>
      <c r="D3039" s="52"/>
      <c r="E3039" s="52"/>
      <c r="F3039" s="52"/>
      <c r="G3039" s="52"/>
      <c r="H3039" s="52"/>
    </row>
    <row r="3040" spans="1:18" ht="15.75">
      <c r="A3040">
        <v>43815</v>
      </c>
      <c r="B3040">
        <v>144.26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>
        <v>43816</v>
      </c>
      <c r="B3041">
        <v>144.19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>
        <v>43817</v>
      </c>
      <c r="B3042">
        <v>144.22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>
        <v>43818</v>
      </c>
      <c r="B3043">
        <v>143.85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>
        <v>43819</v>
      </c>
      <c r="B3044">
        <v>143.87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>
        <v>43822</v>
      </c>
      <c r="B3045">
        <v>144.07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>
        <v>43826</v>
      </c>
      <c r="B3046">
        <v>143.99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>
        <v>43829</v>
      </c>
      <c r="B3047">
        <v>143.72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>
        <v>43832</v>
      </c>
      <c r="B3048">
        <v>143.53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>
        <v>43833</v>
      </c>
      <c r="B3049">
        <v>144.16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>
        <v>43836</v>
      </c>
      <c r="B3050">
        <v>144.19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>
        <v>43837</v>
      </c>
      <c r="B3051">
        <v>144.1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>
        <v>43838</v>
      </c>
      <c r="B3052">
        <v>144.18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>
        <v>43839</v>
      </c>
      <c r="B3053">
        <v>143.85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>
        <v>43840</v>
      </c>
      <c r="B3054">
        <v>143.75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>
        <v>43843</v>
      </c>
      <c r="B3055">
        <v>143.68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>
        <v>43844</v>
      </c>
      <c r="B3056">
        <v>143.62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>
        <v>43845</v>
      </c>
      <c r="B3057">
        <v>143.84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>
        <v>43846</v>
      </c>
      <c r="B3058">
        <v>143.88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>
        <v>43847</v>
      </c>
      <c r="B3059">
        <v>143.9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>
        <v>43850</v>
      </c>
      <c r="B3060">
        <v>143.83000000000001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>
        <v>43851</v>
      </c>
      <c r="B3061">
        <v>143.91</v>
      </c>
      <c r="C3061" s="52"/>
      <c r="D3061" s="52"/>
      <c r="E3061" s="52"/>
      <c r="F3061" s="52"/>
      <c r="G3061" s="52"/>
      <c r="H3061" s="52"/>
    </row>
    <row r="3062" spans="1:18" ht="15.75">
      <c r="A3062">
        <v>43852</v>
      </c>
      <c r="B3062">
        <v>143.97</v>
      </c>
      <c r="C3062" s="52"/>
      <c r="D3062" s="52"/>
      <c r="E3062" s="52"/>
      <c r="F3062" s="52"/>
      <c r="G3062" s="52"/>
      <c r="H3062" s="52"/>
    </row>
    <row r="3063" spans="1:18" ht="15.75">
      <c r="A3063">
        <v>43853</v>
      </c>
      <c r="B3063">
        <v>144.13999999999999</v>
      </c>
      <c r="C3063" s="52"/>
      <c r="D3063" s="52"/>
      <c r="E3063" s="52"/>
      <c r="F3063" s="52"/>
      <c r="G3063" s="52"/>
      <c r="H3063" s="52"/>
    </row>
    <row r="3064" spans="1:18" ht="15.75">
      <c r="A3064">
        <v>43854</v>
      </c>
      <c r="B3064">
        <v>144.28</v>
      </c>
      <c r="C3064" s="52"/>
      <c r="D3064" s="52"/>
      <c r="E3064" s="52"/>
      <c r="F3064" s="52"/>
      <c r="G3064" s="52"/>
      <c r="H3064" s="52"/>
    </row>
    <row r="3065" spans="1:18" ht="15.75">
      <c r="A3065">
        <v>43857</v>
      </c>
      <c r="B3065">
        <v>144.62</v>
      </c>
      <c r="C3065" s="52"/>
      <c r="D3065" s="52"/>
      <c r="E3065" s="52"/>
      <c r="F3065" s="52"/>
      <c r="G3065" s="52"/>
      <c r="H3065" s="52"/>
    </row>
    <row r="3066" spans="1:18" ht="15.75">
      <c r="A3066">
        <v>43858</v>
      </c>
      <c r="B3066">
        <v>144.80000000000001</v>
      </c>
      <c r="C3066" s="52"/>
      <c r="D3066" s="52"/>
      <c r="E3066" s="52"/>
      <c r="F3066" s="52"/>
      <c r="G3066" s="52"/>
      <c r="H3066" s="52"/>
    </row>
    <row r="3067" spans="1:18" ht="15.75">
      <c r="A3067">
        <v>43859</v>
      </c>
      <c r="B3067">
        <v>144.69</v>
      </c>
      <c r="C3067" s="52"/>
      <c r="D3067" s="52"/>
      <c r="E3067" s="52"/>
      <c r="F3067" s="52"/>
      <c r="G3067" s="52"/>
      <c r="H3067" s="52"/>
    </row>
    <row r="3068" spans="1:18" ht="15.75">
      <c r="A3068">
        <v>43860</v>
      </c>
      <c r="B3068">
        <v>144.80000000000001</v>
      </c>
      <c r="C3068" s="52"/>
      <c r="D3068" s="52"/>
      <c r="E3068" s="52"/>
      <c r="F3068" s="52"/>
      <c r="G3068" s="52"/>
      <c r="H3068" s="52"/>
    </row>
    <row r="3069" spans="1:18" ht="15.75">
      <c r="A3069">
        <v>43861</v>
      </c>
      <c r="B3069">
        <v>144.88</v>
      </c>
      <c r="C3069" s="52"/>
      <c r="D3069" s="52"/>
      <c r="E3069" s="52"/>
      <c r="F3069" s="52"/>
      <c r="G3069" s="52"/>
      <c r="H3069" s="52"/>
    </row>
    <row r="3070" spans="1:18" ht="15.75">
      <c r="A3070">
        <v>43864</v>
      </c>
      <c r="B3070">
        <v>145.02000000000001</v>
      </c>
      <c r="C3070" s="52"/>
      <c r="D3070" s="52"/>
      <c r="E3070" s="52"/>
      <c r="F3070" s="52"/>
      <c r="G3070" s="52"/>
      <c r="H3070" s="52"/>
    </row>
    <row r="3071" spans="1:18" ht="15.75">
      <c r="A3071">
        <v>43865</v>
      </c>
      <c r="B3071">
        <v>144.85</v>
      </c>
      <c r="C3071" s="52"/>
      <c r="D3071" s="52"/>
      <c r="E3071" s="52"/>
      <c r="F3071" s="52"/>
      <c r="G3071" s="52"/>
      <c r="H3071" s="52"/>
    </row>
    <row r="3072" spans="1:18" ht="15.75">
      <c r="A3072">
        <v>43866</v>
      </c>
      <c r="B3072">
        <v>144.6</v>
      </c>
      <c r="C3072" s="52"/>
      <c r="D3072" s="52"/>
      <c r="E3072" s="52"/>
      <c r="F3072" s="52"/>
      <c r="G3072" s="52"/>
      <c r="H3072" s="52"/>
    </row>
    <row r="3073" spans="1:8" ht="15.75">
      <c r="A3073">
        <v>43867</v>
      </c>
      <c r="B3073">
        <v>144.53</v>
      </c>
      <c r="C3073" s="52"/>
      <c r="D3073" s="52"/>
      <c r="E3073" s="52"/>
      <c r="F3073" s="52"/>
      <c r="G3073" s="52"/>
      <c r="H3073" s="52"/>
    </row>
    <row r="3074" spans="1:8" ht="15.75">
      <c r="A3074">
        <v>43868</v>
      </c>
      <c r="B3074">
        <v>144.69999999999999</v>
      </c>
      <c r="C3074" s="52"/>
      <c r="D3074" s="52"/>
      <c r="E3074" s="52"/>
      <c r="F3074" s="52"/>
      <c r="G3074" s="52"/>
      <c r="H3074" s="52"/>
    </row>
    <row r="3075" spans="1:8" ht="15.75">
      <c r="A3075">
        <v>43871</v>
      </c>
      <c r="B3075">
        <v>144.81</v>
      </c>
      <c r="C3075" s="52"/>
      <c r="D3075" s="52"/>
      <c r="E3075" s="52"/>
      <c r="F3075" s="52"/>
      <c r="G3075" s="52"/>
      <c r="H3075" s="52"/>
    </row>
    <row r="3076" spans="1:8" ht="15.75">
      <c r="A3076">
        <v>43872</v>
      </c>
      <c r="B3076">
        <v>144.69999999999999</v>
      </c>
      <c r="C3076" s="52"/>
      <c r="D3076" s="52"/>
      <c r="E3076" s="52"/>
      <c r="F3076" s="52"/>
      <c r="G3076" s="52"/>
      <c r="H3076" s="52"/>
    </row>
    <row r="3077" spans="1:8" ht="15.75">
      <c r="A3077">
        <v>43873</v>
      </c>
      <c r="B3077">
        <v>144.58000000000001</v>
      </c>
      <c r="C3077" s="52"/>
      <c r="D3077" s="52"/>
      <c r="E3077" s="52"/>
      <c r="F3077" s="52"/>
      <c r="G3077" s="52"/>
      <c r="H3077" s="52"/>
    </row>
    <row r="3078" spans="1:8" ht="15.75">
      <c r="A3078">
        <v>43874</v>
      </c>
      <c r="B3078">
        <v>144.82</v>
      </c>
      <c r="C3078" s="52"/>
      <c r="D3078" s="52"/>
      <c r="E3078" s="52"/>
      <c r="F3078" s="52"/>
      <c r="G3078" s="52"/>
      <c r="H3078" s="52"/>
    </row>
    <row r="3079" spans="1:8" ht="15.75">
      <c r="A3079">
        <v>43875</v>
      </c>
      <c r="B3079">
        <v>144.75</v>
      </c>
      <c r="C3079" s="52"/>
      <c r="D3079" s="52"/>
      <c r="E3079" s="52"/>
      <c r="F3079" s="52"/>
      <c r="G3079" s="52"/>
      <c r="H3079" s="52"/>
    </row>
    <row r="3080" spans="1:8" ht="15.75">
      <c r="A3080">
        <v>43878</v>
      </c>
      <c r="B3080">
        <v>144.76</v>
      </c>
      <c r="C3080" s="52"/>
      <c r="D3080" s="52"/>
      <c r="E3080" s="52"/>
      <c r="F3080" s="52"/>
      <c r="G3080" s="52"/>
      <c r="H3080" s="52"/>
    </row>
    <row r="3081" spans="1:8" ht="15.75">
      <c r="A3081">
        <v>43879</v>
      </c>
      <c r="B3081">
        <v>144.91</v>
      </c>
      <c r="C3081" s="52"/>
      <c r="D3081" s="52"/>
      <c r="E3081" s="52"/>
      <c r="F3081" s="52"/>
      <c r="G3081" s="52"/>
      <c r="H3081" s="52"/>
    </row>
    <row r="3082" spans="1:8" ht="15.75">
      <c r="A3082">
        <v>43880</v>
      </c>
      <c r="B3082">
        <v>144.83000000000001</v>
      </c>
      <c r="C3082" s="52"/>
      <c r="D3082" s="52"/>
      <c r="E3082" s="52"/>
      <c r="F3082" s="52"/>
      <c r="G3082" s="52"/>
      <c r="H3082" s="52"/>
    </row>
    <row r="3083" spans="1:8" ht="15.75">
      <c r="A3083">
        <v>43881</v>
      </c>
      <c r="B3083">
        <v>144.83000000000001</v>
      </c>
      <c r="C3083" s="52"/>
      <c r="D3083" s="52"/>
      <c r="E3083" s="52"/>
      <c r="F3083" s="52"/>
      <c r="G3083" s="52"/>
      <c r="H3083" s="52"/>
    </row>
    <row r="3084" spans="1:8" ht="15.75">
      <c r="A3084">
        <v>43882</v>
      </c>
      <c r="B3084">
        <v>144.94</v>
      </c>
      <c r="C3084" s="52"/>
      <c r="D3084" s="52"/>
      <c r="E3084" s="52"/>
      <c r="F3084" s="52"/>
      <c r="G3084" s="52"/>
      <c r="H3084" s="52"/>
    </row>
    <row r="3085" spans="1:8" ht="15.75">
      <c r="A3085">
        <v>43885</v>
      </c>
      <c r="B3085">
        <v>145.25</v>
      </c>
      <c r="C3085" s="52"/>
      <c r="D3085" s="52"/>
      <c r="E3085" s="52"/>
      <c r="F3085" s="52"/>
      <c r="G3085" s="52"/>
      <c r="H3085" s="52"/>
    </row>
    <row r="3086" spans="1:8" ht="15.75">
      <c r="A3086">
        <v>43886</v>
      </c>
      <c r="B3086">
        <v>145.33000000000001</v>
      </c>
      <c r="C3086" s="52"/>
      <c r="D3086" s="52"/>
      <c r="E3086" s="52"/>
      <c r="F3086" s="52"/>
      <c r="G3086" s="52"/>
      <c r="H3086" s="52"/>
    </row>
    <row r="3087" spans="1:8" ht="15.75">
      <c r="A3087">
        <v>43887</v>
      </c>
      <c r="B3087">
        <v>145.46</v>
      </c>
      <c r="C3087" s="52"/>
      <c r="D3087" s="52"/>
      <c r="E3087" s="52"/>
      <c r="F3087" s="52"/>
      <c r="G3087" s="52"/>
      <c r="H3087" s="52"/>
    </row>
    <row r="3088" spans="1:8" ht="15.75">
      <c r="A3088">
        <v>43888</v>
      </c>
      <c r="B3088">
        <v>145.49</v>
      </c>
      <c r="C3088" s="52"/>
      <c r="D3088" s="52"/>
      <c r="E3088" s="52"/>
      <c r="F3088" s="52"/>
      <c r="G3088" s="52"/>
      <c r="H3088" s="52"/>
    </row>
    <row r="3089" spans="1:8" ht="15.75">
      <c r="A3089">
        <v>43889</v>
      </c>
      <c r="B3089">
        <v>146.02000000000001</v>
      </c>
      <c r="C3089" s="52"/>
      <c r="D3089" s="52"/>
      <c r="E3089" s="52"/>
      <c r="F3089" s="52"/>
      <c r="G3089" s="52"/>
      <c r="H3089" s="52"/>
    </row>
    <row r="3090" spans="1:8" ht="15.75">
      <c r="A3090">
        <v>43892</v>
      </c>
      <c r="B3090">
        <v>146.24</v>
      </c>
      <c r="C3090" s="52"/>
      <c r="D3090" s="52"/>
      <c r="E3090" s="52"/>
      <c r="F3090" s="52"/>
      <c r="G3090" s="52"/>
      <c r="H3090" s="52"/>
    </row>
    <row r="3091" spans="1:8" ht="15.75">
      <c r="A3091">
        <v>43893</v>
      </c>
      <c r="B3091">
        <v>145.9</v>
      </c>
      <c r="C3091" s="52"/>
      <c r="D3091" s="52"/>
      <c r="E3091" s="52"/>
      <c r="F3091" s="52"/>
      <c r="G3091" s="52"/>
      <c r="H3091" s="52"/>
    </row>
    <row r="3092" spans="1:8" ht="15.75">
      <c r="A3092">
        <v>43894</v>
      </c>
      <c r="B3092">
        <v>146.28</v>
      </c>
      <c r="C3092" s="52"/>
      <c r="D3092" s="52"/>
      <c r="E3092" s="52"/>
      <c r="F3092" s="52"/>
      <c r="G3092" s="52"/>
      <c r="H3092" s="52"/>
    </row>
    <row r="3093" spans="1:8" ht="15.75">
      <c r="A3093">
        <v>43895</v>
      </c>
      <c r="B3093">
        <v>146.27000000000001</v>
      </c>
      <c r="C3093" s="52"/>
      <c r="D3093" s="52"/>
      <c r="E3093" s="52"/>
      <c r="F3093" s="52"/>
      <c r="G3093" s="52"/>
      <c r="H3093" s="52"/>
    </row>
    <row r="3094" spans="1:8" ht="15.75">
      <c r="A3094">
        <v>43896</v>
      </c>
      <c r="B3094">
        <v>146.91</v>
      </c>
      <c r="C3094" s="52"/>
      <c r="D3094" s="52"/>
      <c r="E3094" s="52"/>
      <c r="F3094" s="52"/>
      <c r="G3094" s="52"/>
      <c r="H3094" s="52"/>
    </row>
    <row r="3095" spans="1:8" ht="15.75">
      <c r="A3095">
        <v>43899</v>
      </c>
      <c r="B3095">
        <v>147.49</v>
      </c>
      <c r="C3095" s="52"/>
      <c r="D3095" s="52"/>
      <c r="E3095" s="52"/>
      <c r="F3095" s="52"/>
      <c r="G3095" s="52"/>
      <c r="H3095" s="52"/>
    </row>
    <row r="3096" spans="1:8" ht="15.75">
      <c r="A3096">
        <v>43900</v>
      </c>
      <c r="B3096">
        <v>146.99</v>
      </c>
      <c r="C3096" s="52"/>
      <c r="D3096" s="52"/>
      <c r="E3096" s="52"/>
      <c r="F3096" s="52"/>
      <c r="G3096" s="52"/>
      <c r="H3096" s="52"/>
    </row>
    <row r="3097" spans="1:8" ht="15.75">
      <c r="A3097">
        <v>43901</v>
      </c>
      <c r="B3097">
        <v>147.16999999999999</v>
      </c>
      <c r="C3097" s="52"/>
      <c r="D3097" s="52"/>
      <c r="E3097" s="52"/>
      <c r="F3097" s="52"/>
      <c r="G3097" s="52"/>
      <c r="H3097" s="52"/>
    </row>
    <row r="3098" spans="1:8" ht="15.75">
      <c r="A3098">
        <v>43902</v>
      </c>
      <c r="B3098">
        <v>152.13999999999999</v>
      </c>
      <c r="C3098" s="52"/>
      <c r="D3098" s="52"/>
      <c r="E3098" s="52"/>
      <c r="F3098" s="52"/>
      <c r="G3098" s="52"/>
      <c r="H3098" s="52"/>
    </row>
    <row r="3099" spans="1:8" ht="15.75">
      <c r="A3099">
        <v>43903</v>
      </c>
      <c r="B3099">
        <v>146.43</v>
      </c>
      <c r="C3099" s="52"/>
      <c r="D3099" s="52"/>
      <c r="E3099" s="52"/>
      <c r="F3099" s="52"/>
      <c r="G3099" s="52"/>
      <c r="H3099" s="52"/>
    </row>
    <row r="3100" spans="1:8" ht="15.75">
      <c r="A3100">
        <v>43906</v>
      </c>
      <c r="B3100">
        <v>145.91</v>
      </c>
      <c r="C3100" s="52"/>
      <c r="D3100" s="52"/>
      <c r="E3100" s="52"/>
      <c r="F3100" s="52"/>
      <c r="G3100" s="52"/>
      <c r="H3100" s="52"/>
    </row>
    <row r="3101" spans="1:8" ht="15.75">
      <c r="A3101">
        <v>43907</v>
      </c>
      <c r="B3101">
        <v>144.99</v>
      </c>
      <c r="C3101" s="52"/>
      <c r="D3101" s="52"/>
      <c r="E3101" s="52"/>
      <c r="F3101" s="52"/>
      <c r="G3101" s="52"/>
      <c r="H3101" s="52"/>
    </row>
    <row r="3102" spans="1:8" ht="15.75">
      <c r="A3102">
        <v>43908</v>
      </c>
      <c r="B3102">
        <v>144.07</v>
      </c>
      <c r="C3102" s="52"/>
      <c r="D3102" s="52"/>
      <c r="E3102" s="52"/>
      <c r="F3102" s="52"/>
      <c r="G3102" s="52"/>
      <c r="H3102" s="52"/>
    </row>
    <row r="3103" spans="1:8" ht="15.75">
      <c r="A3103">
        <v>43909</v>
      </c>
      <c r="B3103">
        <v>143.97999999999999</v>
      </c>
      <c r="C3103" s="52"/>
      <c r="D3103" s="52"/>
      <c r="E3103" s="52"/>
      <c r="F3103" s="52"/>
      <c r="G3103" s="52"/>
      <c r="H3103" s="52"/>
    </row>
    <row r="3104" spans="1:8" ht="15.75">
      <c r="A3104">
        <v>43910</v>
      </c>
      <c r="B3104">
        <v>143.77000000000001</v>
      </c>
      <c r="C3104" s="52"/>
      <c r="D3104" s="52"/>
      <c r="E3104" s="52"/>
      <c r="F3104" s="52"/>
      <c r="G3104" s="52"/>
      <c r="H3104" s="52"/>
    </row>
    <row r="3105" spans="1:8" ht="15.75">
      <c r="A3105">
        <v>43913</v>
      </c>
      <c r="B3105">
        <v>144.55000000000001</v>
      </c>
      <c r="C3105" s="52"/>
      <c r="D3105" s="52"/>
      <c r="E3105" s="52"/>
      <c r="F3105" s="52"/>
      <c r="G3105" s="52"/>
      <c r="H3105" s="52"/>
    </row>
    <row r="3106" spans="1:8" ht="15.75">
      <c r="A3106">
        <v>43914</v>
      </c>
      <c r="B3106">
        <v>144.47</v>
      </c>
      <c r="C3106" s="52"/>
      <c r="D3106" s="52"/>
      <c r="E3106" s="52"/>
      <c r="F3106" s="52"/>
      <c r="G3106" s="52"/>
      <c r="H3106" s="52"/>
    </row>
    <row r="3107" spans="1:8" ht="15.75">
      <c r="A3107">
        <v>43915</v>
      </c>
      <c r="B3107">
        <v>143.97999999999999</v>
      </c>
      <c r="C3107" s="52"/>
      <c r="D3107" s="52"/>
      <c r="E3107" s="52"/>
      <c r="F3107" s="52"/>
      <c r="G3107" s="52"/>
      <c r="H3107" s="52"/>
    </row>
    <row r="3108" spans="1:8" ht="15.75">
      <c r="A3108">
        <v>43916</v>
      </c>
      <c r="B3108">
        <v>144.07</v>
      </c>
      <c r="C3108" s="52"/>
      <c r="D3108" s="52"/>
      <c r="E3108" s="52"/>
      <c r="F3108" s="52"/>
      <c r="G3108" s="52"/>
      <c r="H3108" s="52"/>
    </row>
    <row r="3109" spans="1:8" ht="15.75">
      <c r="A3109">
        <v>43917</v>
      </c>
      <c r="B3109">
        <v>145.04</v>
      </c>
      <c r="C3109" s="52"/>
      <c r="D3109" s="52"/>
      <c r="E3109" s="52"/>
      <c r="F3109" s="52"/>
      <c r="G3109" s="52"/>
      <c r="H3109" s="52"/>
    </row>
    <row r="3110" spans="1:8" ht="15.75">
      <c r="A3110">
        <v>43920</v>
      </c>
      <c r="B3110">
        <v>145.51</v>
      </c>
      <c r="C3110" s="52"/>
      <c r="D3110" s="52"/>
      <c r="E3110" s="52"/>
      <c r="F3110" s="52"/>
      <c r="G3110" s="52"/>
      <c r="H3110" s="52"/>
    </row>
    <row r="3111" spans="1:8" ht="15.75">
      <c r="A3111">
        <v>43921</v>
      </c>
      <c r="B3111">
        <v>145.13</v>
      </c>
      <c r="C3111" s="52"/>
      <c r="D3111" s="52"/>
      <c r="E3111" s="52"/>
      <c r="F3111" s="52"/>
      <c r="G3111" s="52"/>
      <c r="H3111" s="52"/>
    </row>
    <row r="3112" spans="1:8" ht="15.75">
      <c r="A3112">
        <v>43922</v>
      </c>
      <c r="B3112">
        <v>145.25</v>
      </c>
      <c r="C3112" s="52"/>
      <c r="D3112" s="52"/>
      <c r="E3112" s="52"/>
      <c r="F3112" s="52"/>
      <c r="G3112" s="52"/>
      <c r="H3112" s="52"/>
    </row>
    <row r="3113" spans="1:8" ht="15.75">
      <c r="A3113">
        <v>43923</v>
      </c>
      <c r="B3113">
        <v>144.63</v>
      </c>
      <c r="C3113" s="52"/>
      <c r="D3113" s="52"/>
      <c r="E3113" s="52"/>
      <c r="F3113" s="52"/>
      <c r="G3113" s="52"/>
      <c r="H3113" s="52"/>
    </row>
    <row r="3114" spans="1:8" ht="15.75">
      <c r="A3114">
        <v>43924</v>
      </c>
      <c r="B3114">
        <v>144.80000000000001</v>
      </c>
      <c r="C3114" s="52"/>
      <c r="D3114" s="52"/>
      <c r="E3114" s="52"/>
      <c r="F3114" s="52"/>
      <c r="G3114" s="52"/>
      <c r="H3114" s="52"/>
    </row>
    <row r="3115" spans="1:8" ht="15.75">
      <c r="A3115">
        <v>43927</v>
      </c>
      <c r="B3115">
        <v>144.72</v>
      </c>
      <c r="C3115" s="52"/>
      <c r="D3115" s="52"/>
      <c r="E3115" s="52"/>
      <c r="F3115" s="52"/>
      <c r="G3115" s="52"/>
      <c r="H3115" s="52"/>
    </row>
    <row r="3116" spans="1:8" ht="15.75">
      <c r="A3116">
        <v>43928</v>
      </c>
      <c r="B3116">
        <v>144.41999999999999</v>
      </c>
      <c r="C3116" s="52"/>
      <c r="D3116" s="52"/>
      <c r="E3116" s="52"/>
      <c r="F3116" s="52"/>
      <c r="G3116" s="52"/>
      <c r="H3116" s="52"/>
    </row>
    <row r="3117" spans="1:8" ht="15.75">
      <c r="A3117">
        <v>43929</v>
      </c>
      <c r="B3117">
        <v>144.21</v>
      </c>
      <c r="C3117" s="52"/>
      <c r="D3117" s="52"/>
      <c r="E3117" s="52"/>
      <c r="F3117" s="52"/>
      <c r="G3117" s="52"/>
      <c r="H3117" s="52"/>
    </row>
    <row r="3118" spans="1:8" ht="15.75">
      <c r="A3118">
        <v>43930</v>
      </c>
      <c r="B3118">
        <v>144.07</v>
      </c>
      <c r="C3118" s="52"/>
      <c r="D3118" s="52"/>
      <c r="E3118" s="52"/>
      <c r="F3118" s="52"/>
      <c r="G3118" s="52"/>
      <c r="H3118" s="52"/>
    </row>
    <row r="3119" spans="1:8" ht="15.75">
      <c r="A3119">
        <v>43935</v>
      </c>
      <c r="B3119">
        <v>144.24</v>
      </c>
      <c r="C3119" s="52"/>
      <c r="D3119" s="52"/>
      <c r="E3119" s="52"/>
      <c r="F3119" s="52"/>
      <c r="G3119" s="52"/>
      <c r="H3119" s="52"/>
    </row>
    <row r="3120" spans="1:8" ht="15.75">
      <c r="A3120">
        <v>43936</v>
      </c>
      <c r="B3120">
        <v>144.63999999999999</v>
      </c>
      <c r="C3120" s="52"/>
      <c r="D3120" s="52"/>
      <c r="E3120" s="52"/>
      <c r="F3120" s="52"/>
      <c r="G3120" s="52"/>
      <c r="H3120" s="52"/>
    </row>
    <row r="3121" spans="1:8" ht="15.75">
      <c r="A3121">
        <v>43937</v>
      </c>
      <c r="B3121">
        <v>144.76</v>
      </c>
      <c r="C3121" s="52"/>
      <c r="D3121" s="52"/>
      <c r="E3121" s="52"/>
      <c r="F3121" s="52"/>
      <c r="G3121" s="52"/>
      <c r="H3121" s="52"/>
    </row>
    <row r="3122" spans="1:8" ht="15.75">
      <c r="A3122">
        <v>43938</v>
      </c>
      <c r="B3122">
        <v>144.84</v>
      </c>
      <c r="C3122" s="52"/>
      <c r="D3122" s="52"/>
      <c r="E3122" s="52"/>
      <c r="F3122" s="52"/>
      <c r="G3122" s="52"/>
      <c r="H3122" s="52"/>
    </row>
    <row r="3123" spans="1:8" ht="15.75">
      <c r="A3123">
        <v>43941</v>
      </c>
      <c r="B3123">
        <v>144.96</v>
      </c>
      <c r="C3123" s="52"/>
      <c r="D3123" s="52"/>
      <c r="E3123" s="52"/>
      <c r="F3123" s="52"/>
      <c r="G3123" s="52"/>
      <c r="H3123" s="52"/>
    </row>
    <row r="3124" spans="1:8" ht="15.75">
      <c r="A3124">
        <v>43942</v>
      </c>
      <c r="B3124">
        <v>144.69</v>
      </c>
      <c r="C3124" s="52"/>
      <c r="D3124" s="52"/>
      <c r="E3124" s="52"/>
      <c r="F3124" s="52"/>
      <c r="G3124" s="52"/>
      <c r="H3124" s="52"/>
    </row>
    <row r="3125" spans="1:8" ht="15.75">
      <c r="A3125">
        <v>43943</v>
      </c>
      <c r="B3125">
        <v>144.69999999999999</v>
      </c>
      <c r="C3125" s="52"/>
      <c r="D3125" s="52"/>
      <c r="E3125" s="52"/>
      <c r="F3125" s="52"/>
      <c r="G3125" s="52"/>
      <c r="H3125" s="52"/>
    </row>
    <row r="3126" spans="1:8" ht="15.75">
      <c r="A3126">
        <v>43944</v>
      </c>
      <c r="B3126">
        <v>144.44</v>
      </c>
      <c r="C3126" s="52"/>
      <c r="D3126" s="52"/>
      <c r="E3126" s="52"/>
      <c r="F3126" s="52"/>
      <c r="G3126" s="52"/>
      <c r="H3126" s="52"/>
    </row>
    <row r="3127" spans="1:8" ht="15.75">
      <c r="A3127">
        <v>43945</v>
      </c>
      <c r="B3127">
        <v>144.69999999999999</v>
      </c>
      <c r="C3127" s="52"/>
      <c r="D3127" s="52"/>
      <c r="E3127" s="52"/>
      <c r="F3127" s="52"/>
      <c r="G3127" s="52"/>
      <c r="H3127" s="52"/>
    </row>
    <row r="3128" spans="1:8" ht="15.75">
      <c r="A3128">
        <v>43948</v>
      </c>
      <c r="B3128">
        <v>144.78</v>
      </c>
      <c r="C3128" s="52"/>
      <c r="D3128" s="52"/>
      <c r="E3128" s="52"/>
      <c r="F3128" s="52"/>
      <c r="G3128" s="52"/>
      <c r="H3128" s="52"/>
    </row>
    <row r="3129" spans="1:8" ht="15.75">
      <c r="A3129">
        <v>43949</v>
      </c>
      <c r="B3129">
        <v>144.57</v>
      </c>
      <c r="C3129" s="52"/>
      <c r="D3129" s="52"/>
      <c r="E3129" s="52"/>
      <c r="F3129" s="52"/>
      <c r="G3129" s="52"/>
      <c r="H3129" s="52"/>
    </row>
    <row r="3130" spans="1:8" ht="15.75">
      <c r="A3130">
        <v>43950</v>
      </c>
      <c r="B3130">
        <v>144.83000000000001</v>
      </c>
      <c r="C3130" s="52"/>
      <c r="D3130" s="52"/>
      <c r="E3130" s="52"/>
      <c r="F3130" s="52"/>
      <c r="G3130" s="52"/>
      <c r="H3130" s="52"/>
    </row>
    <row r="3131" spans="1:8" ht="15.75">
      <c r="A3131">
        <v>43951</v>
      </c>
      <c r="B3131">
        <v>144.99</v>
      </c>
      <c r="C3131" s="52"/>
      <c r="D3131" s="52"/>
      <c r="E3131" s="52"/>
      <c r="F3131" s="52"/>
      <c r="G3131" s="52"/>
      <c r="H3131" s="52"/>
    </row>
    <row r="3132" spans="1:8" ht="15.75">
      <c r="C3132" s="52"/>
      <c r="D3132" s="52"/>
      <c r="E3132" s="52"/>
      <c r="F3132" s="52"/>
      <c r="G3132" s="52"/>
      <c r="H3132" s="52"/>
    </row>
    <row r="3133" spans="1:8" ht="15.75">
      <c r="C3133" s="52"/>
      <c r="D3133" s="52"/>
      <c r="E3133" s="52"/>
      <c r="F3133" s="52"/>
      <c r="G3133" s="52"/>
      <c r="H3133" s="52"/>
    </row>
    <row r="3134" spans="1:8" ht="15.75">
      <c r="C3134" s="52"/>
      <c r="D3134" s="52"/>
      <c r="E3134" s="52"/>
      <c r="F3134" s="52"/>
      <c r="G3134" s="52"/>
      <c r="H3134" s="52"/>
    </row>
    <row r="3135" spans="1:8" ht="15.75">
      <c r="C3135" s="52"/>
      <c r="D3135" s="52"/>
      <c r="E3135" s="52"/>
      <c r="F3135" s="52"/>
      <c r="G3135" s="52"/>
      <c r="H3135" s="52"/>
    </row>
    <row r="3136" spans="1:8" ht="15.75">
      <c r="C3136" s="52"/>
      <c r="D3136" s="52"/>
      <c r="E3136" s="52"/>
      <c r="F3136" s="52"/>
      <c r="G3136" s="52"/>
      <c r="H3136" s="52"/>
    </row>
    <row r="3137" spans="3:8" ht="15.75">
      <c r="C3137" s="52"/>
      <c r="D3137" s="52"/>
      <c r="E3137" s="52"/>
      <c r="F3137" s="52"/>
      <c r="G3137" s="52"/>
      <c r="H3137" s="52"/>
    </row>
    <row r="3138" spans="3:8" ht="15.75">
      <c r="C3138" s="52"/>
      <c r="D3138" s="52"/>
      <c r="E3138" s="52"/>
      <c r="F3138" s="52"/>
      <c r="G3138" s="52"/>
      <c r="H3138" s="52"/>
    </row>
    <row r="3139" spans="3:8" ht="15.75">
      <c r="C3139" s="52"/>
      <c r="D3139" s="52"/>
      <c r="E3139" s="52"/>
      <c r="F3139" s="52"/>
      <c r="G3139" s="52"/>
      <c r="H3139" s="52"/>
    </row>
    <row r="3140" spans="3:8" ht="15.75">
      <c r="C3140" s="52"/>
      <c r="D3140" s="52"/>
      <c r="E3140" s="52"/>
      <c r="F3140" s="52"/>
      <c r="G3140" s="52"/>
      <c r="H3140" s="52"/>
    </row>
    <row r="3141" spans="3:8" ht="15.75">
      <c r="C3141" s="52"/>
      <c r="D3141" s="52"/>
      <c r="E3141" s="52"/>
      <c r="F3141" s="52"/>
      <c r="G3141" s="52"/>
      <c r="H3141" s="52"/>
    </row>
    <row r="3142" spans="3:8" ht="15.75">
      <c r="C3142" s="52"/>
      <c r="D3142" s="52"/>
      <c r="E3142" s="52"/>
      <c r="F3142" s="52"/>
      <c r="G3142" s="52"/>
      <c r="H3142" s="52"/>
    </row>
    <row r="3143" spans="3:8" ht="15.75">
      <c r="C3143" s="52"/>
      <c r="D3143" s="52"/>
      <c r="E3143" s="52"/>
      <c r="F3143" s="52"/>
      <c r="G3143" s="52"/>
      <c r="H3143" s="52"/>
    </row>
    <row r="3144" spans="3:8" ht="15.75">
      <c r="C3144" s="52"/>
      <c r="D3144" s="52"/>
      <c r="E3144" s="52"/>
      <c r="F3144" s="52"/>
      <c r="G3144" s="52"/>
      <c r="H3144" s="52"/>
    </row>
    <row r="3145" spans="3:8" ht="15.75">
      <c r="C3145" s="52"/>
      <c r="D3145" s="52"/>
      <c r="E3145" s="52"/>
      <c r="F3145" s="52"/>
      <c r="G3145" s="52"/>
      <c r="H3145" s="52"/>
    </row>
    <row r="3146" spans="3:8" ht="15.75">
      <c r="C3146" s="52"/>
      <c r="D3146" s="52"/>
      <c r="E3146" s="52"/>
      <c r="F3146" s="52"/>
      <c r="G3146" s="52"/>
      <c r="H3146" s="52"/>
    </row>
    <row r="3147" spans="3:8" ht="15.75">
      <c r="C3147" s="52"/>
      <c r="D3147" s="52"/>
      <c r="E3147" s="52"/>
      <c r="F3147" s="52"/>
      <c r="G3147" s="52"/>
      <c r="H3147" s="52"/>
    </row>
    <row r="3148" spans="3:8" ht="15.75">
      <c r="C3148" s="52"/>
      <c r="D3148" s="52"/>
      <c r="E3148" s="52"/>
      <c r="F3148" s="52"/>
      <c r="G3148" s="52"/>
      <c r="H3148" s="52"/>
    </row>
    <row r="3149" spans="3:8" ht="15.75">
      <c r="C3149" s="52"/>
      <c r="D3149" s="52"/>
      <c r="E3149" s="52"/>
      <c r="F3149" s="52"/>
      <c r="G3149" s="52"/>
      <c r="H3149" s="52"/>
    </row>
    <row r="3150" spans="3:8" ht="15.75">
      <c r="C3150" s="52"/>
      <c r="D3150" s="52"/>
      <c r="E3150" s="52"/>
      <c r="F3150" s="52"/>
      <c r="G3150" s="52"/>
      <c r="H3150" s="52"/>
    </row>
    <row r="3151" spans="3:8" ht="15.75">
      <c r="C3151" s="52"/>
      <c r="D3151" s="52"/>
      <c r="E3151" s="52"/>
      <c r="F3151" s="52"/>
      <c r="G3151" s="52"/>
      <c r="H3151" s="52"/>
    </row>
    <row r="3152" spans="3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120" priority="27" operator="lessThan">
      <formula>0</formula>
    </cfRule>
    <cfRule type="cellIs" dxfId="119" priority="28" operator="greaterThan">
      <formula>0</formula>
    </cfRule>
  </conditionalFormatting>
  <conditionalFormatting sqref="H7:H155">
    <cfRule type="cellIs" dxfId="118" priority="25" operator="lessThan">
      <formula>0</formula>
    </cfRule>
    <cfRule type="cellIs" dxfId="117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16" priority="23" operator="lessThan">
      <formula>0</formula>
    </cfRule>
    <cfRule type="cellIs" dxfId="115" priority="24" operator="greaterThan">
      <formula>0</formula>
    </cfRule>
  </conditionalFormatting>
  <conditionalFormatting sqref="G6:H6">
    <cfRule type="cellIs" dxfId="114" priority="21" operator="lessThan">
      <formula>0</formula>
    </cfRule>
    <cfRule type="cellIs" dxfId="113" priority="22" operator="greaterThan">
      <formula>0</formula>
    </cfRule>
  </conditionalFormatting>
  <conditionalFormatting sqref="F148:F150">
    <cfRule type="cellIs" dxfId="112" priority="19" operator="lessThan">
      <formula>0</formula>
    </cfRule>
    <cfRule type="cellIs" dxfId="111" priority="20" operator="greaterThan">
      <formula>0</formula>
    </cfRule>
  </conditionalFormatting>
  <conditionalFormatting sqref="N6:O6">
    <cfRule type="cellIs" dxfId="110" priority="17" operator="lessThan">
      <formula>0</formula>
    </cfRule>
    <cfRule type="cellIs" dxfId="109" priority="18" operator="greaterThan">
      <formula>0</formula>
    </cfRule>
  </conditionalFormatting>
  <conditionalFormatting sqref="U6:V6">
    <cfRule type="cellIs" dxfId="108" priority="15" operator="lessThan">
      <formula>0</formula>
    </cfRule>
    <cfRule type="cellIs" dxfId="107" priority="16" operator="greaterThan">
      <formula>0</formula>
    </cfRule>
  </conditionalFormatting>
  <conditionalFormatting sqref="T6:T17">
    <cfRule type="cellIs" dxfId="106" priority="14" operator="greaterThan">
      <formula>0</formula>
    </cfRule>
  </conditionalFormatting>
  <conditionalFormatting sqref="T6:T17">
    <cfRule type="cellIs" dxfId="105" priority="13" operator="lessThan">
      <formula>0</formula>
    </cfRule>
  </conditionalFormatting>
  <conditionalFormatting sqref="M53">
    <cfRule type="cellIs" dxfId="104" priority="11" operator="lessThan">
      <formula>0</formula>
    </cfRule>
    <cfRule type="cellIs" dxfId="103" priority="12" operator="greaterThan">
      <formula>0</formula>
    </cfRule>
  </conditionalFormatting>
  <conditionalFormatting sqref="AH6:AH15 AI6:AJ6 AO6:AO13 AP6:AQ6 AT6:AT8 AU6:AV6">
    <cfRule type="cellIs" dxfId="102" priority="10" operator="greaterThan">
      <formula>0</formula>
    </cfRule>
  </conditionalFormatting>
  <conditionalFormatting sqref="AH6:AH15 AI6:AJ6 AO6:AO13 AP6:AQ6 AT6:AT8 AU6:AV6">
    <cfRule type="cellIs" dxfId="101" priority="9" operator="lessThan">
      <formula>0</formula>
    </cfRule>
  </conditionalFormatting>
  <conditionalFormatting sqref="M107">
    <cfRule type="cellIs" dxfId="100" priority="5" operator="lessThan">
      <formula>0</formula>
    </cfRule>
    <cfRule type="cellIs" dxfId="99" priority="6" operator="greaterThan">
      <formula>0</formula>
    </cfRule>
  </conditionalFormatting>
  <conditionalFormatting sqref="M110:M157">
    <cfRule type="cellIs" dxfId="98" priority="3" operator="lessThan">
      <formula>0</formula>
    </cfRule>
    <cfRule type="cellIs" dxfId="97" priority="4" operator="greaterThan">
      <formula>0</formula>
    </cfRule>
  </conditionalFormatting>
  <conditionalFormatting sqref="M58:M105">
    <cfRule type="cellIs" dxfId="96" priority="7" operator="lessThan">
      <formula>0</formula>
    </cfRule>
    <cfRule type="cellIs" dxfId="95" priority="8" operator="greaterThan">
      <formula>0</formula>
    </cfRule>
  </conditionalFormatting>
  <conditionalFormatting sqref="N59:O59 N111:O111">
    <cfRule type="cellIs" dxfId="94" priority="1" operator="lessThan">
      <formula>0</formula>
    </cfRule>
    <cfRule type="cellIs" dxfId="93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3B01-1954-4989-A559-D4833CFA1318}">
  <dimension ref="A1:AV3177"/>
  <sheetViews>
    <sheetView zoomScale="85" zoomScaleNormal="85" workbookViewId="0">
      <selection sqref="A1:XFD104857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24" t="s">
        <v>51</v>
      </c>
      <c r="B1" s="224"/>
      <c r="C1" s="224"/>
      <c r="D1" s="224"/>
      <c r="E1" s="224"/>
      <c r="F1" s="224"/>
      <c r="G1" s="117"/>
    </row>
    <row r="2" spans="1:48" ht="15.75" customHeight="1">
      <c r="A2" s="225" t="s">
        <v>52</v>
      </c>
      <c r="B2" s="225"/>
      <c r="C2" s="225"/>
      <c r="D2" s="225"/>
      <c r="E2" s="225"/>
      <c r="F2" s="225"/>
      <c r="G2" s="117"/>
    </row>
    <row r="3" spans="1:48" ht="20.25">
      <c r="A3" s="223"/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3"/>
      <c r="B4" s="33"/>
      <c r="C4" s="33"/>
      <c r="D4" s="34" t="s">
        <v>39</v>
      </c>
      <c r="E4" s="34" t="s">
        <v>53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3"/>
      <c r="B5" s="33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19"/>
      <c r="B6" s="88"/>
      <c r="C6" s="52"/>
      <c r="D6" s="120">
        <v>39448</v>
      </c>
      <c r="E6" s="121">
        <v>96.55</v>
      </c>
      <c r="F6" s="55"/>
      <c r="G6" s="56">
        <f>AVERAGE(F6:F150)</f>
        <v>4.0302131288606317E-3</v>
      </c>
      <c r="H6" s="56">
        <f>_xlfn.STDEV.P(F6:F150)</f>
        <v>5.9244933760897308E-3</v>
      </c>
      <c r="J6" s="57">
        <v>39448</v>
      </c>
      <c r="K6" s="58" t="s">
        <v>46</v>
      </c>
      <c r="L6" s="59">
        <v>39539</v>
      </c>
      <c r="M6" s="60">
        <f>$E$9/$E$6-1</f>
        <v>9.8394614189538654E-3</v>
      </c>
      <c r="N6" s="61">
        <f>AVERAGE(M6:M53)</f>
        <v>1.2169372667847282E-2</v>
      </c>
      <c r="O6" s="62">
        <f>_xlfn.STDEV.P(M6:M53)</f>
        <v>1.2926389383944933E-2</v>
      </c>
      <c r="Q6" s="63">
        <v>39448</v>
      </c>
      <c r="R6" s="64" t="s">
        <v>46</v>
      </c>
      <c r="S6" s="65">
        <v>39814</v>
      </c>
      <c r="T6" s="66">
        <f>E18/E6-1</f>
        <v>1.1289487312273527E-2</v>
      </c>
      <c r="U6" s="67">
        <f>AVERAGE(T6:T17)</f>
        <v>4.6846298994053848E-2</v>
      </c>
      <c r="V6" s="66">
        <f>_xlfn.STDEV.P(T6:T17)</f>
        <v>3.2855599262703601E-2</v>
      </c>
      <c r="X6" s="68">
        <v>39448</v>
      </c>
      <c r="Y6" s="68" t="s">
        <v>46</v>
      </c>
      <c r="Z6" s="69">
        <v>40179</v>
      </c>
      <c r="AA6" s="70">
        <f>E30/E6-1</f>
        <v>3.0036250647333951E-3</v>
      </c>
      <c r="AB6" s="71">
        <f>AVERAGE(AA6:AA11)</f>
        <v>0.10265603007010105</v>
      </c>
      <c r="AC6" s="70">
        <f>_xlfn.STDEV.P(AA6:AA11)</f>
        <v>6.2523171229024344E-2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19"/>
      <c r="B7" s="88"/>
      <c r="C7" s="52"/>
      <c r="D7" s="120">
        <v>39479</v>
      </c>
      <c r="E7" s="121">
        <v>96.46</v>
      </c>
      <c r="F7" s="55">
        <f t="shared" ref="F7:F70" si="0">E7/E6-1</f>
        <v>-9.3215950284830651E-4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1.2820512820512775E-2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-8.1933633756656743E-3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8.5295332507228316E-2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19"/>
      <c r="B8" s="88"/>
      <c r="C8" s="52"/>
      <c r="D8" s="120">
        <v>39508</v>
      </c>
      <c r="E8" s="121">
        <v>97.02</v>
      </c>
      <c r="F8" s="55">
        <f t="shared" si="0"/>
        <v>5.8055152394775877E-3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1.9240506329114559E-3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3.2940933498554203E-2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6.8220742150333136E-2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19"/>
      <c r="B9" s="88"/>
      <c r="C9" s="52"/>
      <c r="D9" s="120">
        <v>39539</v>
      </c>
      <c r="E9" s="121">
        <v>97.5</v>
      </c>
      <c r="F9" s="55">
        <f t="shared" si="0"/>
        <v>4.9474335188621765E-3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-1.313927632908829E-2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5.0684794561631552E-2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0.11739556426471909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19"/>
      <c r="B10" s="88"/>
      <c r="C10" s="52"/>
      <c r="D10" s="120">
        <v>39569</v>
      </c>
      <c r="E10" s="121">
        <v>97.9</v>
      </c>
      <c r="F10" s="55">
        <f t="shared" si="0"/>
        <v>4.1025641025642656E-3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-2.0483408439164297E-2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3.3777354900095258E-2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0.13583100836986861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19"/>
      <c r="B11" s="88"/>
      <c r="C11" s="52"/>
      <c r="D11" s="120">
        <v>39600</v>
      </c>
      <c r="E11" s="121">
        <v>98.28</v>
      </c>
      <c r="F11" s="55">
        <f t="shared" si="0"/>
        <v>3.8815117466801663E-3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2.8230865746550204E-3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3.3317993557294034E-2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0.20618990806372373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19"/>
      <c r="B12" s="88"/>
      <c r="C12" s="52"/>
      <c r="D12" s="120">
        <v>39630</v>
      </c>
      <c r="E12" s="121">
        <v>98.75</v>
      </c>
      <c r="F12" s="55">
        <f t="shared" si="0"/>
        <v>4.7822547822546912E-3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6.3601292878741056E-3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$E$87/$E$75-1</f>
        <v>1.9858897308596912E-2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19"/>
      <c r="B13" s="88"/>
      <c r="C13" s="52"/>
      <c r="D13" s="120">
        <v>39661</v>
      </c>
      <c r="E13" s="121">
        <v>99.28</v>
      </c>
      <c r="F13" s="55">
        <f t="shared" si="0"/>
        <v>5.3670886075949387E-3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3.3153750518029046E-3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5.9901993916863905E-2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19"/>
      <c r="B14" s="88"/>
      <c r="C14" s="52"/>
      <c r="D14" s="120">
        <v>39692</v>
      </c>
      <c r="E14" s="121">
        <v>99.06</v>
      </c>
      <c r="F14" s="55">
        <f t="shared" si="0"/>
        <v>-2.2159548751007341E-3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-2.5815778603882622E-3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8.3379832602630488E-2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19"/>
      <c r="B15" s="88"/>
      <c r="C15" s="52"/>
      <c r="D15" s="120">
        <v>39722</v>
      </c>
      <c r="E15" s="121">
        <v>98.94</v>
      </c>
      <c r="F15" s="55">
        <f t="shared" si="0"/>
        <v>-1.2113870381587066E-3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2.4536701521896687E-2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4.8414391876977492E-2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19"/>
      <c r="B16" s="88"/>
      <c r="C16" s="52"/>
      <c r="D16" s="120">
        <v>39753</v>
      </c>
      <c r="E16" s="121">
        <v>98.76</v>
      </c>
      <c r="F16" s="55">
        <f t="shared" si="0"/>
        <v>-1.8192844147967291E-3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1.3136620856911918E-2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8.1830303880974009E-2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5"/>
      <c r="AS16" s="73"/>
      <c r="AT16" s="73"/>
      <c r="AU16" s="52"/>
      <c r="AV16" s="52"/>
    </row>
    <row r="17" spans="1:48" ht="15.75">
      <c r="A17" s="119"/>
      <c r="B17" s="88"/>
      <c r="C17" s="52"/>
      <c r="D17" s="120">
        <v>39783</v>
      </c>
      <c r="E17" s="121">
        <v>98.43</v>
      </c>
      <c r="F17" s="55">
        <f t="shared" si="0"/>
        <v>-3.3414337788578719E-3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-2.2940355076800367E-3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0.11495296788842047</v>
      </c>
      <c r="U17" s="64"/>
      <c r="V17" s="64"/>
      <c r="X17" s="84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5"/>
      <c r="AS17" s="73"/>
      <c r="AT17" s="73"/>
      <c r="AU17" s="52"/>
      <c r="AV17" s="52"/>
    </row>
    <row r="18" spans="1:48" ht="15.75">
      <c r="A18" s="119"/>
      <c r="B18" s="88"/>
      <c r="C18" s="52"/>
      <c r="D18" s="120">
        <v>39814</v>
      </c>
      <c r="E18" s="121">
        <v>97.64</v>
      </c>
      <c r="F18" s="55">
        <f t="shared" si="0"/>
        <v>-8.0260083307934771E-3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-1.6994901529541195E-3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19"/>
      <c r="B19" s="88"/>
      <c r="C19" s="52"/>
      <c r="D19" s="120">
        <v>39845</v>
      </c>
      <c r="E19" s="121">
        <v>97.06</v>
      </c>
      <c r="F19" s="55">
        <f t="shared" si="0"/>
        <v>-5.9401884473576638E-3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9.1127578610052939E-3</v>
      </c>
      <c r="N19" s="78"/>
      <c r="O19" s="78"/>
    </row>
    <row r="20" spans="1:48" ht="15.75">
      <c r="A20" s="119"/>
      <c r="B20" s="88"/>
      <c r="C20" s="52"/>
      <c r="D20" s="120">
        <v>39873</v>
      </c>
      <c r="E20" s="121">
        <v>96.33</v>
      </c>
      <c r="F20" s="55">
        <f t="shared" si="0"/>
        <v>-7.5211209561096837E-3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3.6816512851046923E-2</v>
      </c>
      <c r="N20" s="78"/>
      <c r="O20" s="78"/>
    </row>
    <row r="21" spans="1:48" ht="15.75">
      <c r="A21" s="119"/>
      <c r="B21" s="88"/>
      <c r="C21" s="52"/>
      <c r="D21" s="120">
        <v>39904</v>
      </c>
      <c r="E21" s="121">
        <v>95.64</v>
      </c>
      <c r="F21" s="55">
        <f t="shared" si="0"/>
        <v>-7.1628776082217627E-3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5.9341500765694999E-3</v>
      </c>
      <c r="N21" s="78"/>
      <c r="O21" s="78"/>
    </row>
    <row r="22" spans="1:48" ht="15.75">
      <c r="A22" s="119"/>
      <c r="B22" s="88"/>
      <c r="C22" s="52"/>
      <c r="D22" s="120">
        <v>39934</v>
      </c>
      <c r="E22" s="121">
        <v>95.5</v>
      </c>
      <c r="F22" s="55">
        <f t="shared" si="0"/>
        <v>-1.4638226683396649E-3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1.9980970504283047E-3</v>
      </c>
      <c r="N22" s="78"/>
      <c r="O22" s="78"/>
    </row>
    <row r="23" spans="1:48" ht="15.75">
      <c r="A23" s="119"/>
      <c r="B23" s="88"/>
      <c r="C23" s="52"/>
      <c r="D23" s="120">
        <v>39965</v>
      </c>
      <c r="E23" s="121">
        <v>95.56</v>
      </c>
      <c r="F23" s="55">
        <f t="shared" si="0"/>
        <v>6.2827225130890341E-4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1.623777419048511E-2</v>
      </c>
      <c r="N23" s="78"/>
      <c r="O23" s="78"/>
    </row>
    <row r="24" spans="1:48" ht="15.75">
      <c r="A24" s="119"/>
      <c r="B24" s="88"/>
      <c r="C24" s="52"/>
      <c r="D24" s="120">
        <v>39995</v>
      </c>
      <c r="E24" s="121">
        <v>95.91</v>
      </c>
      <c r="F24" s="55">
        <f t="shared" si="0"/>
        <v>3.6626203432397197E-3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7.3817977948047453E-3</v>
      </c>
      <c r="N24" s="78"/>
      <c r="O24" s="78"/>
    </row>
    <row r="25" spans="1:48" ht="15.75">
      <c r="A25" s="119"/>
      <c r="B25" s="88"/>
      <c r="C25" s="52"/>
      <c r="D25" s="120">
        <v>40026</v>
      </c>
      <c r="E25" s="121">
        <v>96.11</v>
      </c>
      <c r="F25" s="55">
        <f t="shared" si="0"/>
        <v>2.0852882911062132E-3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7.7914850199425345E-3</v>
      </c>
      <c r="N25" s="78"/>
      <c r="O25" s="78"/>
    </row>
    <row r="26" spans="1:48" ht="15.75">
      <c r="A26" s="119"/>
      <c r="B26" s="88"/>
      <c r="C26" s="52"/>
      <c r="D26" s="120">
        <v>40057</v>
      </c>
      <c r="E26" s="121">
        <v>96.36</v>
      </c>
      <c r="F26" s="55">
        <f t="shared" si="0"/>
        <v>2.6011861408803405E-3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2.3193741371375864E-2</v>
      </c>
      <c r="N26" s="78"/>
      <c r="O26" s="78"/>
    </row>
    <row r="27" spans="1:48" ht="15.75">
      <c r="A27" s="119"/>
      <c r="B27" s="88"/>
      <c r="C27" s="52"/>
      <c r="D27" s="120">
        <v>40087</v>
      </c>
      <c r="E27" s="121">
        <v>96.52</v>
      </c>
      <c r="F27" s="55">
        <f t="shared" si="0"/>
        <v>1.6604400166042588E-3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1.8350274354592022E-2</v>
      </c>
      <c r="N27" s="78"/>
      <c r="O27" s="78"/>
    </row>
    <row r="28" spans="1:48" ht="15.75">
      <c r="A28" s="119"/>
      <c r="B28" s="88"/>
      <c r="C28" s="52"/>
      <c r="D28" s="120">
        <v>40118</v>
      </c>
      <c r="E28" s="121">
        <v>96.63</v>
      </c>
      <c r="F28" s="55">
        <f t="shared" si="0"/>
        <v>1.1396601740571999E-3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1.4133027117745778E-2</v>
      </c>
      <c r="N28" s="78"/>
      <c r="O28" s="78"/>
    </row>
    <row r="29" spans="1:48" ht="15.75">
      <c r="A29" s="119"/>
      <c r="B29" s="88"/>
      <c r="C29" s="52"/>
      <c r="D29" s="120">
        <v>40148</v>
      </c>
      <c r="E29" s="121">
        <v>96.57</v>
      </c>
      <c r="F29" s="55">
        <f t="shared" si="0"/>
        <v>-6.2092517851597417E-4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-2.2123508405191283E-2</v>
      </c>
      <c r="N29" s="78"/>
      <c r="O29" s="78"/>
    </row>
    <row r="30" spans="1:48" ht="15.75">
      <c r="A30" s="119"/>
      <c r="B30" s="88"/>
      <c r="C30" s="52"/>
      <c r="D30" s="120">
        <v>40179</v>
      </c>
      <c r="E30" s="121">
        <v>96.84</v>
      </c>
      <c r="F30" s="55">
        <f t="shared" si="0"/>
        <v>2.7958993476235872E-3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1.1044802707758095E-2</v>
      </c>
      <c r="N30" s="78"/>
      <c r="O30" s="78"/>
    </row>
    <row r="31" spans="1:48" ht="15.75">
      <c r="A31" s="119"/>
      <c r="B31" s="88"/>
      <c r="C31" s="52"/>
      <c r="D31" s="120">
        <v>40210</v>
      </c>
      <c r="E31" s="121">
        <v>96.24</v>
      </c>
      <c r="F31" s="55">
        <f t="shared" si="0"/>
        <v>-6.1957868649319403E-3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2.2905470883622492E-2</v>
      </c>
      <c r="N31" s="78"/>
      <c r="O31" s="78"/>
    </row>
    <row r="32" spans="1:48" ht="15.75">
      <c r="A32" s="119"/>
      <c r="B32" s="88"/>
      <c r="C32" s="52"/>
      <c r="D32" s="120">
        <v>40238</v>
      </c>
      <c r="E32" s="121">
        <v>96.54</v>
      </c>
      <c r="F32" s="55">
        <f t="shared" si="0"/>
        <v>3.1172069825438076E-3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8.4402721557144122E-3</v>
      </c>
      <c r="N32" s="78"/>
      <c r="O32" s="78"/>
    </row>
    <row r="33" spans="1:15" ht="15.75">
      <c r="A33" s="119"/>
      <c r="B33" s="88"/>
      <c r="C33" s="52"/>
      <c r="D33" s="120">
        <v>40269</v>
      </c>
      <c r="E33" s="121">
        <v>96.59</v>
      </c>
      <c r="F33" s="55">
        <f t="shared" si="0"/>
        <v>5.1792003314687918E-4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1.0846357502775517E-2</v>
      </c>
      <c r="N33" s="78"/>
      <c r="O33" s="78"/>
    </row>
    <row r="34" spans="1:15" ht="15.75">
      <c r="A34" s="119"/>
      <c r="B34" s="88"/>
      <c r="C34" s="52"/>
      <c r="D34" s="120">
        <v>40299</v>
      </c>
      <c r="E34" s="121">
        <v>96.88</v>
      </c>
      <c r="F34" s="55">
        <f t="shared" si="0"/>
        <v>3.0023811988817428E-3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1.6390672524501548E-2</v>
      </c>
      <c r="N34" s="78"/>
      <c r="O34" s="78"/>
    </row>
    <row r="35" spans="1:15" ht="15.75">
      <c r="A35" s="119"/>
      <c r="B35" s="88"/>
      <c r="C35" s="52"/>
      <c r="D35" s="120">
        <v>40330</v>
      </c>
      <c r="E35" s="121">
        <v>98.24</v>
      </c>
      <c r="F35" s="55">
        <f t="shared" si="0"/>
        <v>1.4037985136251097E-2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1.6292601828761466E-2</v>
      </c>
      <c r="N35" s="78"/>
      <c r="O35" s="78"/>
    </row>
    <row r="36" spans="1:15" ht="15.75">
      <c r="A36" s="119"/>
      <c r="B36" s="88"/>
      <c r="C36" s="52"/>
      <c r="D36" s="120">
        <v>40360</v>
      </c>
      <c r="E36" s="121">
        <v>98.96</v>
      </c>
      <c r="F36" s="55">
        <f t="shared" si="0"/>
        <v>7.3289902280129215E-3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-1.5540651071488387E-3</v>
      </c>
      <c r="N36" s="78"/>
      <c r="O36" s="78"/>
    </row>
    <row r="37" spans="1:15" ht="15.75">
      <c r="A37" s="119"/>
      <c r="B37" s="88"/>
      <c r="C37" s="52"/>
      <c r="D37" s="120">
        <v>40391</v>
      </c>
      <c r="E37" s="121">
        <v>99.98</v>
      </c>
      <c r="F37" s="55">
        <f t="shared" si="0"/>
        <v>1.0307194826192578E-2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2.7689030883919052E-2</v>
      </c>
      <c r="N37" s="78"/>
      <c r="O37" s="78"/>
    </row>
    <row r="38" spans="1:15" ht="15.75">
      <c r="A38" s="119"/>
      <c r="B38" s="88"/>
      <c r="C38" s="52"/>
      <c r="D38" s="120">
        <v>40422</v>
      </c>
      <c r="E38" s="121">
        <v>100</v>
      </c>
      <c r="F38" s="55">
        <f t="shared" si="0"/>
        <v>2.000400080015563E-4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1.387006775607813E-2</v>
      </c>
      <c r="N38" s="78"/>
      <c r="O38" s="78"/>
    </row>
    <row r="39" spans="1:15" ht="15.75">
      <c r="A39" s="119"/>
      <c r="B39" s="88"/>
      <c r="C39" s="52"/>
      <c r="D39" s="120">
        <v>40452</v>
      </c>
      <c r="E39" s="121">
        <v>100.26</v>
      </c>
      <c r="F39" s="55">
        <f t="shared" si="0"/>
        <v>2.6000000000001577E-3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4.0883717273370479E-2</v>
      </c>
      <c r="N39" s="78"/>
      <c r="O39" s="78"/>
    </row>
    <row r="40" spans="1:15" ht="15.75">
      <c r="A40" s="119"/>
      <c r="B40" s="88"/>
      <c r="C40" s="52"/>
      <c r="D40" s="120">
        <v>40483</v>
      </c>
      <c r="E40" s="121">
        <v>100.15</v>
      </c>
      <c r="F40" s="55">
        <f t="shared" si="0"/>
        <v>-1.0971474167165152E-3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5.211874008611117E-3</v>
      </c>
      <c r="N40" s="78"/>
      <c r="O40" s="78"/>
    </row>
    <row r="41" spans="1:15" ht="15.75">
      <c r="A41" s="119"/>
      <c r="B41" s="88"/>
      <c r="C41" s="52"/>
      <c r="D41" s="120">
        <v>40513</v>
      </c>
      <c r="E41" s="121">
        <v>100.01</v>
      </c>
      <c r="F41" s="55">
        <f t="shared" si="0"/>
        <v>-1.3979031452820978E-3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2.12654042681093E-2</v>
      </c>
      <c r="N41" s="78"/>
      <c r="O41" s="78"/>
    </row>
    <row r="42" spans="1:15" ht="15.75">
      <c r="A42" s="119"/>
      <c r="B42" s="88"/>
      <c r="C42" s="52"/>
      <c r="D42" s="120">
        <v>40544</v>
      </c>
      <c r="E42" s="121">
        <v>100.03</v>
      </c>
      <c r="F42" s="55">
        <f t="shared" si="0"/>
        <v>1.9998000199983323E-4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1.1919652711353201E-2</v>
      </c>
      <c r="N42" s="78"/>
      <c r="O42" s="78"/>
    </row>
    <row r="43" spans="1:15" ht="15.75">
      <c r="A43" s="119"/>
      <c r="B43" s="88"/>
      <c r="C43" s="52"/>
      <c r="D43" s="120">
        <v>40575</v>
      </c>
      <c r="E43" s="121">
        <v>100.53</v>
      </c>
      <c r="F43" s="55">
        <f t="shared" si="0"/>
        <v>4.9985004498649399E-3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1.7959717879735271E-2</v>
      </c>
      <c r="N43" s="78"/>
      <c r="O43" s="78"/>
    </row>
    <row r="44" spans="1:15" ht="15.75">
      <c r="A44" s="119"/>
      <c r="B44" s="88"/>
      <c r="C44" s="52"/>
      <c r="D44" s="120">
        <v>40603</v>
      </c>
      <c r="E44" s="121">
        <v>100.14</v>
      </c>
      <c r="F44" s="55">
        <f t="shared" si="0"/>
        <v>-3.8794389734407853E-3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9.2142857142856194E-3</v>
      </c>
      <c r="N44" s="78"/>
      <c r="O44" s="78"/>
    </row>
    <row r="45" spans="1:15" ht="15.75">
      <c r="A45" s="119"/>
      <c r="B45" s="88"/>
      <c r="C45" s="52"/>
      <c r="D45" s="120">
        <v>40634</v>
      </c>
      <c r="E45" s="121">
        <v>99.86</v>
      </c>
      <c r="F45" s="55">
        <f t="shared" si="0"/>
        <v>-2.7960854803275037E-3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8.4931700757309159E-3</v>
      </c>
      <c r="N45" s="78"/>
      <c r="O45" s="78"/>
    </row>
    <row r="46" spans="1:15" ht="15.75">
      <c r="A46" s="119"/>
      <c r="B46" s="88"/>
      <c r="C46" s="52"/>
      <c r="D46" s="120">
        <v>40664</v>
      </c>
      <c r="E46" s="121">
        <v>99.82</v>
      </c>
      <c r="F46" s="55">
        <f t="shared" si="0"/>
        <v>-4.0056078509920212E-4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2.652817741595892E-2</v>
      </c>
      <c r="N46" s="78"/>
      <c r="O46" s="78"/>
    </row>
    <row r="47" spans="1:15" ht="15.75">
      <c r="A47" s="119"/>
      <c r="B47" s="88"/>
      <c r="C47" s="52"/>
      <c r="D47" s="120">
        <v>40695</v>
      </c>
      <c r="E47" s="121">
        <v>100.25</v>
      </c>
      <c r="F47" s="55">
        <f t="shared" si="0"/>
        <v>4.3077539571227952E-3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2.2971217611266637E-2</v>
      </c>
      <c r="N47" s="78"/>
      <c r="O47" s="78"/>
    </row>
    <row r="48" spans="1:15" ht="15.75">
      <c r="A48" s="119"/>
      <c r="B48" s="88"/>
      <c r="C48" s="52"/>
      <c r="D48" s="120">
        <v>40725</v>
      </c>
      <c r="E48" s="121">
        <v>100.77</v>
      </c>
      <c r="F48" s="55">
        <f t="shared" si="0"/>
        <v>5.1870324189526862E-3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2.1586580231237162E-2</v>
      </c>
      <c r="N48" s="78"/>
      <c r="O48" s="78"/>
    </row>
    <row r="49" spans="1:15" ht="15.75">
      <c r="A49" s="119"/>
      <c r="B49" s="88"/>
      <c r="C49" s="52"/>
      <c r="D49" s="120">
        <v>40756</v>
      </c>
      <c r="E49" s="121">
        <v>101.95</v>
      </c>
      <c r="F49" s="55">
        <f t="shared" si="0"/>
        <v>1.1709834276074194E-2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8.4390945963626063E-3</v>
      </c>
      <c r="N49" s="78"/>
      <c r="O49" s="78"/>
    </row>
    <row r="50" spans="1:15" ht="15.75">
      <c r="A50" s="119"/>
      <c r="B50" s="88"/>
      <c r="C50" s="52"/>
      <c r="D50" s="120">
        <v>40787</v>
      </c>
      <c r="E50" s="121">
        <v>103.14</v>
      </c>
      <c r="F50" s="55">
        <f t="shared" si="0"/>
        <v>1.1672388425698843E-2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2.3159260460590358E-2</v>
      </c>
      <c r="N50" s="78"/>
      <c r="O50" s="78"/>
    </row>
    <row r="51" spans="1:15" ht="15.75">
      <c r="A51" s="119"/>
      <c r="B51" s="88"/>
      <c r="C51" s="52"/>
      <c r="D51" s="120">
        <v>40817</v>
      </c>
      <c r="E51" s="121">
        <v>104.48</v>
      </c>
      <c r="F51" s="55">
        <f t="shared" si="0"/>
        <v>1.2992049641264325E-2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3.5379152929241764E-2</v>
      </c>
      <c r="N51" s="78"/>
      <c r="O51" s="78"/>
    </row>
    <row r="52" spans="1:15" ht="15.75">
      <c r="A52" s="119"/>
      <c r="B52" s="88"/>
      <c r="C52" s="52"/>
      <c r="D52" s="120">
        <v>40848</v>
      </c>
      <c r="E52" s="121">
        <v>104.91</v>
      </c>
      <c r="F52" s="55">
        <f t="shared" si="0"/>
        <v>4.1156202143950438E-3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2.5658297611757419E-2</v>
      </c>
      <c r="N52" s="78"/>
      <c r="O52" s="78"/>
    </row>
    <row r="53" spans="1:15" ht="15.75">
      <c r="A53" s="119"/>
      <c r="B53" s="88"/>
      <c r="C53" s="52"/>
      <c r="D53" s="120">
        <v>40878</v>
      </c>
      <c r="E53" s="121">
        <v>104.72</v>
      </c>
      <c r="F53" s="55">
        <f t="shared" si="0"/>
        <v>-1.8110761605185655E-3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2.615081497402838E-2</v>
      </c>
      <c r="N53" s="78"/>
      <c r="O53" s="78"/>
    </row>
    <row r="54" spans="1:15" ht="15.75">
      <c r="A54" s="119"/>
      <c r="B54" s="88"/>
      <c r="C54" s="52"/>
      <c r="D54" s="120">
        <v>40909</v>
      </c>
      <c r="E54" s="121">
        <v>105.1</v>
      </c>
      <c r="F54" s="55">
        <f t="shared" si="0"/>
        <v>3.628724216959478E-3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19"/>
      <c r="B55" s="88"/>
      <c r="C55" s="52"/>
      <c r="D55" s="120">
        <v>40940</v>
      </c>
      <c r="E55" s="121">
        <v>105.62</v>
      </c>
      <c r="F55" s="55">
        <f t="shared" si="0"/>
        <v>4.9476688867746699E-3</v>
      </c>
      <c r="G55" s="81"/>
      <c r="H55" s="55"/>
      <c r="J55" s="87"/>
      <c r="K55" s="88"/>
      <c r="L55" s="89"/>
    </row>
    <row r="56" spans="1:15" ht="15.75">
      <c r="A56" s="119"/>
      <c r="B56" s="88"/>
      <c r="C56" s="52"/>
      <c r="D56" s="120">
        <v>40969</v>
      </c>
      <c r="E56" s="121">
        <v>106.34</v>
      </c>
      <c r="F56" s="55">
        <f t="shared" si="0"/>
        <v>6.8168907403900469E-3</v>
      </c>
      <c r="G56" s="76"/>
      <c r="H56" s="77"/>
      <c r="J56" s="90"/>
      <c r="K56" s="90"/>
      <c r="L56" s="90"/>
      <c r="M56" s="90"/>
    </row>
    <row r="57" spans="1:15" ht="18">
      <c r="A57" s="119"/>
      <c r="B57" s="88"/>
      <c r="C57" s="52"/>
      <c r="D57" s="120">
        <v>41000</v>
      </c>
      <c r="E57" s="121">
        <v>105.31</v>
      </c>
      <c r="F57" s="55">
        <f t="shared" si="0"/>
        <v>-9.6859131088959938E-3</v>
      </c>
      <c r="G57" s="76"/>
      <c r="H57" s="77"/>
      <c r="J57" s="33"/>
      <c r="K57" s="33"/>
      <c r="L57" s="91"/>
      <c r="M57" s="33"/>
      <c r="N57" s="90"/>
    </row>
    <row r="58" spans="1:15" ht="18">
      <c r="A58" s="119"/>
      <c r="B58" s="88"/>
      <c r="C58" s="52"/>
      <c r="D58" s="120">
        <v>41030</v>
      </c>
      <c r="E58" s="121">
        <v>105.44</v>
      </c>
      <c r="F58" s="55">
        <f t="shared" si="0"/>
        <v>1.2344506694521584E-3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19"/>
      <c r="B59" s="88"/>
      <c r="C59" s="52"/>
      <c r="D59" s="120">
        <v>41061</v>
      </c>
      <c r="E59" s="121">
        <v>106.22</v>
      </c>
      <c r="F59" s="55">
        <f t="shared" si="0"/>
        <v>7.3975720789074551E-3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19"/>
      <c r="B60" s="88"/>
      <c r="C60" s="52"/>
      <c r="D60" s="120">
        <v>41091</v>
      </c>
      <c r="E60" s="121">
        <v>107.02</v>
      </c>
      <c r="F60" s="55">
        <f t="shared" si="0"/>
        <v>7.5315383167011696E-3</v>
      </c>
      <c r="G60" s="76"/>
      <c r="H60" s="77"/>
      <c r="J60" s="87"/>
      <c r="K60" s="88"/>
      <c r="L60" s="89"/>
      <c r="M60" s="92"/>
    </row>
    <row r="61" spans="1:15" ht="15.75">
      <c r="A61" s="119"/>
      <c r="B61" s="88"/>
      <c r="C61" s="52"/>
      <c r="D61" s="120">
        <v>41122</v>
      </c>
      <c r="E61" s="121">
        <v>107.14</v>
      </c>
      <c r="F61" s="55">
        <f t="shared" si="0"/>
        <v>1.1212857409830246E-3</v>
      </c>
      <c r="G61" s="81"/>
      <c r="H61" s="55"/>
      <c r="J61" s="95"/>
      <c r="K61" s="88"/>
      <c r="L61" s="96"/>
      <c r="M61" s="92"/>
    </row>
    <row r="62" spans="1:15" ht="15.75">
      <c r="A62" s="119"/>
      <c r="B62" s="88"/>
      <c r="C62" s="52"/>
      <c r="D62" s="120">
        <v>41153</v>
      </c>
      <c r="E62" s="121">
        <v>106.71</v>
      </c>
      <c r="F62" s="55">
        <f t="shared" si="0"/>
        <v>-4.0134403584096701E-3</v>
      </c>
      <c r="G62" s="76"/>
      <c r="H62" s="77"/>
      <c r="J62" s="87"/>
      <c r="K62" s="88"/>
      <c r="L62" s="89"/>
      <c r="M62" s="92"/>
    </row>
    <row r="63" spans="1:15" ht="15.75">
      <c r="A63" s="119"/>
      <c r="B63" s="88"/>
      <c r="C63" s="52"/>
      <c r="D63" s="120">
        <v>41183</v>
      </c>
      <c r="E63" s="121">
        <v>107.81</v>
      </c>
      <c r="F63" s="55">
        <f t="shared" si="0"/>
        <v>1.0308312248149321E-2</v>
      </c>
      <c r="G63" s="76"/>
      <c r="H63" s="77"/>
      <c r="J63" s="87"/>
      <c r="K63" s="88"/>
      <c r="L63" s="89"/>
      <c r="M63" s="92"/>
    </row>
    <row r="64" spans="1:15" ht="15.75">
      <c r="A64" s="119"/>
      <c r="B64" s="88"/>
      <c r="C64" s="52"/>
      <c r="D64" s="120">
        <v>41214</v>
      </c>
      <c r="E64" s="121">
        <v>108.31</v>
      </c>
      <c r="F64" s="55">
        <f t="shared" si="0"/>
        <v>4.6377887023467679E-3</v>
      </c>
      <c r="G64" s="81"/>
      <c r="H64" s="55"/>
      <c r="J64" s="87"/>
      <c r="K64" s="88"/>
      <c r="L64" s="89"/>
      <c r="M64" s="92"/>
    </row>
    <row r="65" spans="1:13" ht="15.75">
      <c r="A65" s="119"/>
      <c r="B65" s="88"/>
      <c r="C65" s="52"/>
      <c r="D65" s="120">
        <v>41244</v>
      </c>
      <c r="E65" s="121">
        <v>109.51</v>
      </c>
      <c r="F65" s="55">
        <f t="shared" si="0"/>
        <v>1.1079309389714798E-2</v>
      </c>
      <c r="G65" s="76"/>
      <c r="H65" s="77"/>
      <c r="J65" s="87"/>
      <c r="K65" s="88"/>
      <c r="L65" s="96"/>
      <c r="M65" s="92"/>
    </row>
    <row r="66" spans="1:13" ht="15.75">
      <c r="A66" s="119"/>
      <c r="B66" s="88"/>
      <c r="C66" s="52"/>
      <c r="D66" s="120">
        <v>41275</v>
      </c>
      <c r="E66" s="121">
        <v>108.65</v>
      </c>
      <c r="F66" s="55">
        <f t="shared" si="0"/>
        <v>-7.8531640946032377E-3</v>
      </c>
      <c r="G66" s="76"/>
      <c r="H66" s="77"/>
      <c r="J66" s="95"/>
      <c r="K66" s="88"/>
      <c r="L66" s="89"/>
      <c r="M66" s="92"/>
    </row>
    <row r="67" spans="1:13" ht="15.75">
      <c r="A67" s="119"/>
      <c r="B67" s="88"/>
      <c r="C67" s="52"/>
      <c r="D67" s="120">
        <v>41306</v>
      </c>
      <c r="E67" s="121">
        <v>108.45</v>
      </c>
      <c r="F67" s="55">
        <f t="shared" si="0"/>
        <v>-1.8407731247124248E-3</v>
      </c>
      <c r="G67" s="81"/>
      <c r="H67" s="55"/>
      <c r="J67" s="87"/>
      <c r="K67" s="88"/>
      <c r="L67" s="89"/>
      <c r="M67" s="92"/>
    </row>
    <row r="68" spans="1:13" ht="15.75">
      <c r="A68" s="119"/>
      <c r="B68" s="88"/>
      <c r="C68" s="52"/>
      <c r="D68" s="120">
        <v>41334</v>
      </c>
      <c r="E68" s="121">
        <v>109.19</v>
      </c>
      <c r="F68" s="55">
        <f t="shared" si="0"/>
        <v>6.8234209313047245E-3</v>
      </c>
      <c r="G68" s="76"/>
      <c r="H68" s="77"/>
      <c r="J68" s="87"/>
      <c r="K68" s="88"/>
      <c r="L68" s="89"/>
      <c r="M68" s="92"/>
    </row>
    <row r="69" spans="1:13" ht="15.75">
      <c r="A69" s="119"/>
      <c r="B69" s="88"/>
      <c r="C69" s="52"/>
      <c r="D69" s="120">
        <v>41365</v>
      </c>
      <c r="E69" s="121">
        <v>111.17</v>
      </c>
      <c r="F69" s="55">
        <f t="shared" si="0"/>
        <v>1.8133528711420599E-2</v>
      </c>
      <c r="G69" s="76"/>
      <c r="H69" s="77"/>
      <c r="J69" s="87"/>
      <c r="K69" s="88"/>
      <c r="L69" s="96"/>
      <c r="M69" s="92"/>
    </row>
    <row r="70" spans="1:13" ht="15.75">
      <c r="A70" s="119"/>
      <c r="B70" s="88"/>
      <c r="C70" s="52"/>
      <c r="D70" s="120">
        <v>41395</v>
      </c>
      <c r="E70" s="121">
        <v>112.85</v>
      </c>
      <c r="F70" s="55">
        <f t="shared" si="0"/>
        <v>1.5111990644958162E-2</v>
      </c>
      <c r="G70" s="81"/>
      <c r="H70" s="55"/>
      <c r="J70" s="87"/>
      <c r="K70" s="88"/>
      <c r="L70" s="89"/>
      <c r="M70" s="92"/>
    </row>
    <row r="71" spans="1:13" ht="15.75">
      <c r="A71" s="119"/>
      <c r="B71" s="88"/>
      <c r="C71" s="52"/>
      <c r="D71" s="120">
        <v>41426</v>
      </c>
      <c r="E71" s="121">
        <v>112.43</v>
      </c>
      <c r="F71" s="55">
        <f t="shared" ref="F71:F134" si="1">E71/E70-1</f>
        <v>-3.7217545414265363E-3</v>
      </c>
      <c r="G71" s="76"/>
      <c r="H71" s="77"/>
      <c r="J71" s="95"/>
      <c r="K71" s="88"/>
      <c r="L71" s="89"/>
      <c r="M71" s="92"/>
    </row>
    <row r="72" spans="1:13" ht="15.75">
      <c r="A72" s="119"/>
      <c r="B72" s="88"/>
      <c r="C72" s="52"/>
      <c r="D72" s="120">
        <v>41456</v>
      </c>
      <c r="E72" s="121">
        <v>113.21</v>
      </c>
      <c r="F72" s="55">
        <f t="shared" si="1"/>
        <v>6.9376500933913121E-3</v>
      </c>
      <c r="G72" s="76"/>
      <c r="H72" s="77"/>
      <c r="J72" s="87"/>
      <c r="K72" s="88"/>
      <c r="L72" s="89"/>
      <c r="M72" s="92"/>
    </row>
    <row r="73" spans="1:13" ht="15.75">
      <c r="A73" s="119"/>
      <c r="B73" s="88"/>
      <c r="C73" s="52"/>
      <c r="D73" s="120">
        <v>41487</v>
      </c>
      <c r="E73" s="121">
        <v>113.79</v>
      </c>
      <c r="F73" s="55">
        <f t="shared" si="1"/>
        <v>5.1232223301829194E-3</v>
      </c>
      <c r="G73" s="81"/>
      <c r="H73" s="55"/>
      <c r="J73" s="87"/>
      <c r="K73" s="88"/>
      <c r="L73" s="96"/>
      <c r="M73" s="92"/>
    </row>
    <row r="74" spans="1:13" ht="15.75">
      <c r="A74" s="119"/>
      <c r="B74" s="88"/>
      <c r="C74" s="52"/>
      <c r="D74" s="120">
        <v>41518</v>
      </c>
      <c r="E74" s="121">
        <v>115.17</v>
      </c>
      <c r="F74" s="55">
        <f t="shared" si="1"/>
        <v>1.2127603480094784E-2</v>
      </c>
      <c r="G74" s="76"/>
      <c r="H74" s="77"/>
      <c r="J74" s="87"/>
      <c r="K74" s="88"/>
      <c r="L74" s="89"/>
      <c r="M74" s="92"/>
    </row>
    <row r="75" spans="1:13" ht="15.75">
      <c r="A75" s="119"/>
      <c r="B75" s="88"/>
      <c r="C75" s="52"/>
      <c r="D75" s="120">
        <v>41548</v>
      </c>
      <c r="E75" s="121">
        <v>114.81</v>
      </c>
      <c r="F75" s="55">
        <f t="shared" si="1"/>
        <v>-3.1258140140661972E-3</v>
      </c>
      <c r="G75" s="76"/>
      <c r="H75" s="77"/>
      <c r="J75" s="87"/>
      <c r="K75" s="88"/>
      <c r="L75" s="89"/>
      <c r="M75" s="92"/>
    </row>
    <row r="76" spans="1:13" ht="15.75">
      <c r="A76" s="119"/>
      <c r="B76" s="88"/>
      <c r="C76" s="52"/>
      <c r="D76" s="120">
        <v>41579</v>
      </c>
      <c r="E76" s="121">
        <v>114.12</v>
      </c>
      <c r="F76" s="55">
        <f t="shared" si="1"/>
        <v>-6.0099294486543053E-3</v>
      </c>
      <c r="G76" s="81"/>
      <c r="H76" s="55"/>
      <c r="J76" s="95"/>
      <c r="K76" s="88"/>
      <c r="L76" s="89"/>
      <c r="M76" s="92"/>
    </row>
    <row r="77" spans="1:13" ht="15.75">
      <c r="A77" s="119"/>
      <c r="B77" s="88"/>
      <c r="C77" s="52"/>
      <c r="D77" s="120">
        <v>41609</v>
      </c>
      <c r="E77" s="121">
        <v>113.02</v>
      </c>
      <c r="F77" s="55">
        <f t="shared" si="1"/>
        <v>-9.6389765159482499E-3</v>
      </c>
      <c r="G77" s="76"/>
      <c r="H77" s="77"/>
      <c r="J77" s="87"/>
      <c r="K77" s="88"/>
      <c r="L77" s="96"/>
      <c r="M77" s="92"/>
    </row>
    <row r="78" spans="1:13" ht="15.75">
      <c r="A78" s="119"/>
      <c r="B78" s="88"/>
      <c r="C78" s="52"/>
      <c r="D78" s="120">
        <v>41640</v>
      </c>
      <c r="E78" s="121">
        <v>112.27</v>
      </c>
      <c r="F78" s="55">
        <f t="shared" si="1"/>
        <v>-6.635993629446113E-3</v>
      </c>
      <c r="G78" s="76"/>
      <c r="H78" s="77"/>
      <c r="J78" s="87"/>
      <c r="K78" s="88"/>
      <c r="L78" s="89"/>
      <c r="M78" s="92"/>
    </row>
    <row r="79" spans="1:13" ht="15.75">
      <c r="A79" s="119"/>
      <c r="B79" s="88"/>
      <c r="C79" s="52"/>
      <c r="D79" s="120">
        <v>41671</v>
      </c>
      <c r="E79" s="121">
        <v>112.22</v>
      </c>
      <c r="F79" s="55">
        <f t="shared" si="1"/>
        <v>-4.4535494789343932E-4</v>
      </c>
      <c r="G79" s="81"/>
      <c r="H79" s="55"/>
      <c r="J79" s="87"/>
      <c r="K79" s="88"/>
      <c r="L79" s="89"/>
      <c r="M79" s="92"/>
    </row>
    <row r="80" spans="1:13" ht="15.75">
      <c r="A80" s="119"/>
      <c r="B80" s="88"/>
      <c r="C80" s="52"/>
      <c r="D80" s="120">
        <v>41699</v>
      </c>
      <c r="E80" s="121">
        <v>112.73</v>
      </c>
      <c r="F80" s="55">
        <f t="shared" si="1"/>
        <v>4.5446444484049664E-3</v>
      </c>
      <c r="G80" s="76"/>
      <c r="H80" s="77"/>
      <c r="J80" s="87"/>
      <c r="K80" s="88"/>
      <c r="L80" s="89"/>
      <c r="M80" s="92"/>
    </row>
    <row r="81" spans="1:13" ht="15.75">
      <c r="A81" s="119"/>
      <c r="B81" s="88"/>
      <c r="C81" s="52"/>
      <c r="D81" s="120">
        <v>41730</v>
      </c>
      <c r="E81" s="121">
        <v>113.51</v>
      </c>
      <c r="F81" s="55">
        <f t="shared" si="1"/>
        <v>6.9191874390135411E-3</v>
      </c>
      <c r="G81" s="76"/>
      <c r="H81" s="77"/>
      <c r="J81" s="95"/>
      <c r="K81" s="88"/>
      <c r="L81" s="96"/>
      <c r="M81" s="92"/>
    </row>
    <row r="82" spans="1:13" ht="15.75">
      <c r="A82" s="119"/>
      <c r="B82" s="88"/>
      <c r="C82" s="52"/>
      <c r="D82" s="120">
        <v>41760</v>
      </c>
      <c r="E82" s="121">
        <v>114.56</v>
      </c>
      <c r="F82" s="55">
        <f t="shared" si="1"/>
        <v>9.2502863183860917E-3</v>
      </c>
      <c r="G82" s="81"/>
      <c r="H82" s="55"/>
      <c r="J82" s="87"/>
      <c r="K82" s="88"/>
      <c r="L82" s="89"/>
      <c r="M82" s="92"/>
    </row>
    <row r="83" spans="1:13" ht="15.75">
      <c r="A83" s="119"/>
      <c r="B83" s="88"/>
      <c r="C83" s="52"/>
      <c r="D83" s="120">
        <v>41791</v>
      </c>
      <c r="E83" s="121">
        <v>115.1</v>
      </c>
      <c r="F83" s="55">
        <f t="shared" si="1"/>
        <v>4.7136871508379752E-3</v>
      </c>
      <c r="G83" s="76"/>
      <c r="H83" s="77"/>
      <c r="J83" s="87"/>
      <c r="K83" s="88"/>
      <c r="L83" s="89"/>
      <c r="M83" s="92"/>
    </row>
    <row r="84" spans="1:13" ht="15.75">
      <c r="A84" s="119"/>
      <c r="B84" s="88"/>
      <c r="C84" s="52"/>
      <c r="D84" s="120">
        <v>41821</v>
      </c>
      <c r="E84" s="121">
        <v>116.11</v>
      </c>
      <c r="F84" s="55">
        <f t="shared" si="1"/>
        <v>8.7749782797568177E-3</v>
      </c>
      <c r="G84" s="76"/>
      <c r="H84" s="77"/>
      <c r="J84" s="87"/>
      <c r="K84" s="88"/>
      <c r="L84" s="89"/>
      <c r="M84" s="92"/>
    </row>
    <row r="85" spans="1:13" ht="15.75">
      <c r="A85" s="119"/>
      <c r="B85" s="88"/>
      <c r="C85" s="52"/>
      <c r="D85" s="120">
        <v>41852</v>
      </c>
      <c r="E85" s="121">
        <v>116.09</v>
      </c>
      <c r="F85" s="55">
        <f t="shared" si="1"/>
        <v>-1.7225045215740753E-4</v>
      </c>
      <c r="G85" s="81"/>
      <c r="H85" s="55"/>
      <c r="J85" s="87"/>
      <c r="K85" s="88"/>
      <c r="L85" s="96"/>
      <c r="M85" s="92"/>
    </row>
    <row r="86" spans="1:13" ht="15.75">
      <c r="A86" s="119"/>
      <c r="B86" s="88"/>
      <c r="C86" s="52"/>
      <c r="D86" s="120">
        <v>41883</v>
      </c>
      <c r="E86" s="121">
        <v>117.01</v>
      </c>
      <c r="F86" s="55">
        <f t="shared" si="1"/>
        <v>7.9248858644156428E-3</v>
      </c>
      <c r="G86" s="76"/>
      <c r="H86" s="77"/>
      <c r="J86" s="95"/>
      <c r="K86" s="88"/>
      <c r="L86" s="89"/>
      <c r="M86" s="92"/>
    </row>
    <row r="87" spans="1:13" ht="15.75">
      <c r="A87" s="119"/>
      <c r="B87" s="88"/>
      <c r="C87" s="52"/>
      <c r="D87" s="120">
        <v>41913</v>
      </c>
      <c r="E87" s="121">
        <v>117.09</v>
      </c>
      <c r="F87" s="55">
        <f t="shared" si="1"/>
        <v>6.8370224767111409E-4</v>
      </c>
      <c r="G87" s="76"/>
      <c r="H87" s="77"/>
      <c r="J87" s="87"/>
      <c r="K87" s="88"/>
      <c r="L87" s="89"/>
      <c r="M87" s="92"/>
    </row>
    <row r="88" spans="1:13" ht="15.75">
      <c r="A88" s="119"/>
      <c r="B88" s="88"/>
      <c r="C88" s="52"/>
      <c r="D88" s="120">
        <v>41944</v>
      </c>
      <c r="E88" s="121">
        <v>117.24</v>
      </c>
      <c r="F88" s="55">
        <f t="shared" si="1"/>
        <v>1.281065846784557E-3</v>
      </c>
      <c r="G88" s="81"/>
      <c r="H88" s="55"/>
      <c r="J88" s="87"/>
      <c r="K88" s="88"/>
      <c r="L88" s="89"/>
      <c r="M88" s="92"/>
    </row>
    <row r="89" spans="1:13" ht="15.75">
      <c r="A89" s="119"/>
      <c r="B89" s="88"/>
      <c r="C89" s="52"/>
      <c r="D89" s="120">
        <v>41974</v>
      </c>
      <c r="E89" s="121">
        <v>117.21</v>
      </c>
      <c r="F89" s="55">
        <f t="shared" si="1"/>
        <v>-2.5588536335718892E-4</v>
      </c>
      <c r="G89" s="76"/>
      <c r="H89" s="77"/>
      <c r="J89" s="87"/>
      <c r="K89" s="88"/>
      <c r="L89" s="96"/>
      <c r="M89" s="92"/>
    </row>
    <row r="90" spans="1:13" ht="15.75">
      <c r="A90" s="119"/>
      <c r="B90" s="88"/>
      <c r="C90" s="52"/>
      <c r="D90" s="120">
        <v>42005</v>
      </c>
      <c r="E90" s="121">
        <v>118.36</v>
      </c>
      <c r="F90" s="55">
        <f t="shared" si="1"/>
        <v>9.8114495350225539E-3</v>
      </c>
      <c r="G90" s="76"/>
      <c r="H90" s="77"/>
      <c r="J90" s="87"/>
      <c r="K90" s="88"/>
      <c r="L90" s="89"/>
      <c r="M90" s="92"/>
    </row>
    <row r="91" spans="1:13" ht="15.75">
      <c r="A91" s="119"/>
      <c r="B91" s="88"/>
      <c r="C91" s="52"/>
      <c r="D91" s="120">
        <v>42036</v>
      </c>
      <c r="E91" s="121">
        <v>119.33</v>
      </c>
      <c r="F91" s="55">
        <f t="shared" si="1"/>
        <v>8.1953362622506631E-3</v>
      </c>
      <c r="G91" s="81"/>
      <c r="H91" s="55"/>
      <c r="J91" s="95"/>
      <c r="K91" s="88"/>
      <c r="L91" s="89"/>
      <c r="M91" s="92"/>
    </row>
    <row r="92" spans="1:13" ht="15.75">
      <c r="A92" s="119"/>
      <c r="B92" s="88"/>
      <c r="C92" s="52"/>
      <c r="D92" s="120">
        <v>42064</v>
      </c>
      <c r="E92" s="121">
        <v>120.03</v>
      </c>
      <c r="F92" s="55">
        <f t="shared" si="1"/>
        <v>5.8660856448504717E-3</v>
      </c>
      <c r="G92" s="76"/>
      <c r="H92" s="77"/>
      <c r="J92" s="87"/>
      <c r="K92" s="88"/>
      <c r="L92" s="89"/>
      <c r="M92" s="92"/>
    </row>
    <row r="93" spans="1:13" ht="15.75">
      <c r="A93" s="119"/>
      <c r="B93" s="88"/>
      <c r="C93" s="52"/>
      <c r="D93" s="120">
        <v>42095</v>
      </c>
      <c r="E93" s="121">
        <v>120.3</v>
      </c>
      <c r="F93" s="55">
        <f t="shared" si="1"/>
        <v>2.2494376405897132E-3</v>
      </c>
      <c r="G93" s="76"/>
      <c r="H93" s="77"/>
      <c r="J93" s="87"/>
      <c r="K93" s="88"/>
      <c r="L93" s="96"/>
      <c r="M93" s="92"/>
    </row>
    <row r="94" spans="1:13" ht="15.75">
      <c r="A94" s="119"/>
      <c r="B94" s="88"/>
      <c r="C94" s="52"/>
      <c r="D94" s="120">
        <v>42125</v>
      </c>
      <c r="E94" s="121">
        <v>120.68</v>
      </c>
      <c r="F94" s="55">
        <f t="shared" si="1"/>
        <v>3.1587697423109962E-3</v>
      </c>
      <c r="G94" s="81"/>
      <c r="H94" s="55"/>
      <c r="J94" s="87"/>
      <c r="K94" s="88"/>
      <c r="L94" s="89"/>
      <c r="M94" s="92"/>
    </row>
    <row r="95" spans="1:13" ht="15.75">
      <c r="A95" s="119"/>
      <c r="B95" s="88"/>
      <c r="C95" s="52"/>
      <c r="D95" s="120">
        <v>42156</v>
      </c>
      <c r="E95" s="121">
        <v>121.37</v>
      </c>
      <c r="F95" s="55">
        <f t="shared" si="1"/>
        <v>5.7176002651639912E-3</v>
      </c>
      <c r="G95" s="76"/>
      <c r="H95" s="77"/>
      <c r="J95" s="87"/>
      <c r="K95" s="88"/>
      <c r="L95" s="89"/>
      <c r="M95" s="92"/>
    </row>
    <row r="96" spans="1:13" ht="15.75">
      <c r="A96" s="119"/>
      <c r="B96" s="88"/>
      <c r="C96" s="52"/>
      <c r="D96" s="120">
        <v>42186</v>
      </c>
      <c r="E96" s="121">
        <v>122.26</v>
      </c>
      <c r="F96" s="55">
        <f t="shared" si="1"/>
        <v>7.3329488341435933E-3</v>
      </c>
      <c r="G96" s="76"/>
      <c r="H96" s="77"/>
      <c r="J96" s="95"/>
      <c r="K96" s="88"/>
      <c r="L96" s="89"/>
      <c r="M96" s="92"/>
    </row>
    <row r="97" spans="1:15" ht="15.75">
      <c r="A97" s="119"/>
      <c r="B97" s="88"/>
      <c r="C97" s="52"/>
      <c r="D97" s="120">
        <v>42217</v>
      </c>
      <c r="E97" s="121">
        <v>122.82</v>
      </c>
      <c r="F97" s="55">
        <f t="shared" si="1"/>
        <v>4.5804024210698291E-3</v>
      </c>
      <c r="G97" s="81"/>
      <c r="H97" s="55"/>
      <c r="J97" s="87"/>
      <c r="K97" s="88"/>
      <c r="L97" s="96"/>
      <c r="M97" s="92"/>
    </row>
    <row r="98" spans="1:15" ht="15.75">
      <c r="A98" s="119"/>
      <c r="B98" s="88"/>
      <c r="C98" s="52"/>
      <c r="D98" s="120">
        <v>42248</v>
      </c>
      <c r="E98" s="121">
        <v>122.53</v>
      </c>
      <c r="F98" s="55">
        <f t="shared" si="1"/>
        <v>-2.3611789610812339E-3</v>
      </c>
      <c r="G98" s="76"/>
      <c r="H98" s="77"/>
      <c r="J98" s="87"/>
      <c r="K98" s="88"/>
      <c r="L98" s="89"/>
      <c r="M98" s="92"/>
    </row>
    <row r="99" spans="1:15" ht="15.75">
      <c r="A99" s="119"/>
      <c r="B99" s="88"/>
      <c r="C99" s="52"/>
      <c r="D99" s="120">
        <v>42278</v>
      </c>
      <c r="E99" s="121">
        <v>122.07</v>
      </c>
      <c r="F99" s="55">
        <f t="shared" si="1"/>
        <v>-3.7541826491471753E-3</v>
      </c>
      <c r="G99" s="76"/>
      <c r="H99" s="77"/>
      <c r="J99" s="87"/>
      <c r="K99" s="88"/>
      <c r="L99" s="89"/>
      <c r="M99" s="92"/>
    </row>
    <row r="100" spans="1:15" ht="15.75">
      <c r="A100" s="119"/>
      <c r="B100" s="88"/>
      <c r="C100" s="52"/>
      <c r="D100" s="120">
        <v>42309</v>
      </c>
      <c r="E100" s="121">
        <v>122.49</v>
      </c>
      <c r="F100" s="55">
        <f t="shared" si="1"/>
        <v>3.4406488080609421E-3</v>
      </c>
      <c r="G100" s="81"/>
      <c r="H100" s="55"/>
      <c r="J100" s="87"/>
      <c r="K100" s="88"/>
      <c r="L100" s="89"/>
      <c r="M100" s="92"/>
    </row>
    <row r="101" spans="1:15" ht="15.75">
      <c r="A101" s="119"/>
      <c r="B101" s="88"/>
      <c r="C101" s="52"/>
      <c r="D101" s="120">
        <v>42339</v>
      </c>
      <c r="E101" s="121">
        <v>123.74</v>
      </c>
      <c r="F101" s="55">
        <f t="shared" si="1"/>
        <v>1.0204914686913202E-2</v>
      </c>
      <c r="G101" s="76"/>
      <c r="H101" s="77"/>
      <c r="J101" s="87"/>
      <c r="K101" s="88"/>
      <c r="L101" s="96"/>
      <c r="M101" s="92"/>
    </row>
    <row r="102" spans="1:15" ht="15.75">
      <c r="A102" s="119"/>
      <c r="B102" s="88"/>
      <c r="C102" s="52"/>
      <c r="D102" s="120">
        <v>42370</v>
      </c>
      <c r="E102" s="121">
        <v>125.45</v>
      </c>
      <c r="F102" s="55">
        <f t="shared" si="1"/>
        <v>1.3819298529174073E-2</v>
      </c>
      <c r="G102" s="76"/>
      <c r="H102" s="77"/>
      <c r="J102" s="87"/>
      <c r="K102" s="88"/>
      <c r="L102" s="89"/>
      <c r="M102" s="92"/>
    </row>
    <row r="103" spans="1:15" ht="15.75">
      <c r="A103" s="119"/>
      <c r="B103" s="88"/>
      <c r="C103" s="52"/>
      <c r="D103" s="120">
        <v>42401</v>
      </c>
      <c r="E103" s="121">
        <v>126.53</v>
      </c>
      <c r="F103" s="55">
        <f t="shared" si="1"/>
        <v>8.609007572738081E-3</v>
      </c>
      <c r="G103" s="81"/>
      <c r="H103" s="55"/>
      <c r="J103" s="95"/>
      <c r="K103" s="88"/>
      <c r="L103" s="89"/>
      <c r="M103" s="92"/>
    </row>
    <row r="104" spans="1:15" ht="15.75">
      <c r="A104" s="119"/>
      <c r="B104" s="88"/>
      <c r="C104" s="52"/>
      <c r="D104" s="120">
        <v>42430</v>
      </c>
      <c r="E104" s="121">
        <v>126.5</v>
      </c>
      <c r="F104" s="55">
        <f t="shared" si="1"/>
        <v>-2.3709792144155362E-4</v>
      </c>
      <c r="G104" s="76"/>
      <c r="H104" s="77"/>
      <c r="J104" s="87"/>
      <c r="K104" s="88"/>
      <c r="L104" s="89"/>
      <c r="M104" s="92"/>
    </row>
    <row r="105" spans="1:15" ht="15.75">
      <c r="A105" s="119"/>
      <c r="B105" s="88"/>
      <c r="C105" s="52"/>
      <c r="D105" s="120">
        <v>42461</v>
      </c>
      <c r="E105" s="121">
        <v>127.19</v>
      </c>
      <c r="F105" s="55">
        <f t="shared" si="1"/>
        <v>5.4545454545453786E-3</v>
      </c>
      <c r="G105" s="76"/>
      <c r="H105" s="77"/>
      <c r="J105" s="87"/>
      <c r="K105" s="88"/>
      <c r="L105" s="96"/>
      <c r="M105" s="92"/>
    </row>
    <row r="106" spans="1:15" ht="15.75">
      <c r="A106" s="119"/>
      <c r="B106" s="88"/>
      <c r="C106" s="52"/>
      <c r="D106" s="120">
        <v>42491</v>
      </c>
      <c r="E106" s="121">
        <v>128.46</v>
      </c>
      <c r="F106" s="55">
        <f t="shared" si="1"/>
        <v>9.9850617186887369E-3</v>
      </c>
      <c r="G106" s="81"/>
      <c r="H106" s="55"/>
      <c r="J106" s="87"/>
      <c r="K106" s="88"/>
      <c r="L106" s="96"/>
      <c r="M106" s="92"/>
    </row>
    <row r="107" spans="1:15" ht="15.75">
      <c r="A107" s="119"/>
      <c r="B107" s="88"/>
      <c r="C107" s="52"/>
      <c r="D107" s="120">
        <v>42522</v>
      </c>
      <c r="E107" s="121">
        <v>131.01</v>
      </c>
      <c r="F107" s="55">
        <f t="shared" si="1"/>
        <v>1.9850537132181101E-2</v>
      </c>
      <c r="G107" s="76"/>
      <c r="H107" s="77"/>
      <c r="J107" s="87"/>
      <c r="K107" s="88"/>
      <c r="L107" s="89"/>
      <c r="M107" s="94"/>
    </row>
    <row r="108" spans="1:15" ht="15.75">
      <c r="A108" s="119"/>
      <c r="B108" s="88"/>
      <c r="C108" s="52"/>
      <c r="D108" s="120">
        <v>42552</v>
      </c>
      <c r="E108" s="121">
        <v>132.38999999999999</v>
      </c>
      <c r="F108" s="55">
        <f t="shared" si="1"/>
        <v>1.0533547057476556E-2</v>
      </c>
      <c r="G108" s="76"/>
      <c r="H108" s="77"/>
      <c r="J108" s="90"/>
      <c r="K108" s="90"/>
      <c r="L108" s="90"/>
      <c r="M108" s="90"/>
    </row>
    <row r="109" spans="1:15" ht="18">
      <c r="A109" s="119"/>
      <c r="B109" s="88"/>
      <c r="C109" s="52"/>
      <c r="D109" s="120">
        <v>42583</v>
      </c>
      <c r="E109" s="121">
        <v>132.66</v>
      </c>
      <c r="F109" s="55">
        <f t="shared" si="1"/>
        <v>2.0394289598912874E-3</v>
      </c>
      <c r="G109" s="81"/>
      <c r="H109" s="55"/>
      <c r="J109" s="33"/>
      <c r="K109" s="33"/>
      <c r="L109" s="91"/>
      <c r="M109" s="33"/>
      <c r="N109" s="90"/>
    </row>
    <row r="110" spans="1:15" ht="18">
      <c r="A110" s="119"/>
      <c r="B110" s="88"/>
      <c r="C110" s="52"/>
      <c r="D110" s="120">
        <v>42614</v>
      </c>
      <c r="E110" s="121">
        <v>132.56</v>
      </c>
      <c r="F110" s="55">
        <f t="shared" si="1"/>
        <v>-7.5380672395597426E-4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19"/>
      <c r="B111" s="88"/>
      <c r="C111" s="52"/>
      <c r="D111" s="120">
        <v>42644</v>
      </c>
      <c r="E111" s="121">
        <v>133.08000000000001</v>
      </c>
      <c r="F111" s="55">
        <f t="shared" si="1"/>
        <v>3.9227519613760364E-3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19"/>
      <c r="B112" s="88"/>
      <c r="C112" s="52"/>
      <c r="D112" s="120">
        <v>42675</v>
      </c>
      <c r="E112" s="121">
        <v>134.35</v>
      </c>
      <c r="F112" s="55">
        <f t="shared" si="1"/>
        <v>9.5431319507062184E-3</v>
      </c>
      <c r="G112" s="81"/>
      <c r="H112" s="55"/>
      <c r="J112" s="87"/>
      <c r="K112" s="88"/>
      <c r="L112" s="87"/>
      <c r="M112" s="92"/>
    </row>
    <row r="113" spans="1:13" ht="15.75">
      <c r="A113" s="119"/>
      <c r="B113" s="88"/>
      <c r="C113" s="52"/>
      <c r="D113" s="120">
        <v>42705</v>
      </c>
      <c r="E113" s="121">
        <v>136.38999999999999</v>
      </c>
      <c r="F113" s="55">
        <f t="shared" si="1"/>
        <v>1.5184220320059394E-2</v>
      </c>
      <c r="G113" s="76"/>
      <c r="H113" s="77"/>
      <c r="J113" s="87"/>
      <c r="K113" s="88"/>
      <c r="L113" s="87"/>
      <c r="M113" s="92"/>
    </row>
    <row r="114" spans="1:13" ht="15.75">
      <c r="A114" s="119"/>
      <c r="B114" s="88"/>
      <c r="C114" s="52"/>
      <c r="D114" s="120">
        <v>42736</v>
      </c>
      <c r="E114" s="121">
        <v>135.91</v>
      </c>
      <c r="F114" s="55">
        <f t="shared" si="1"/>
        <v>-3.519319598210946E-3</v>
      </c>
      <c r="G114" s="76"/>
      <c r="H114" s="77"/>
      <c r="J114" s="95"/>
      <c r="K114" s="88"/>
      <c r="L114" s="87"/>
      <c r="M114" s="92"/>
    </row>
    <row r="115" spans="1:13" ht="15.75">
      <c r="A115" s="119"/>
      <c r="B115" s="88"/>
      <c r="C115" s="52"/>
      <c r="D115" s="120">
        <v>42767</v>
      </c>
      <c r="E115" s="121">
        <v>136.49</v>
      </c>
      <c r="F115" s="55">
        <f t="shared" si="1"/>
        <v>4.2675299830772229E-3</v>
      </c>
      <c r="G115" s="81"/>
      <c r="H115" s="55"/>
      <c r="J115" s="87"/>
      <c r="K115" s="88"/>
      <c r="L115" s="87"/>
      <c r="M115" s="92"/>
    </row>
    <row r="116" spans="1:13" ht="15.75">
      <c r="A116" s="119"/>
      <c r="B116" s="88"/>
      <c r="C116" s="52"/>
      <c r="D116" s="120">
        <v>42795</v>
      </c>
      <c r="E116" s="121">
        <v>136.07</v>
      </c>
      <c r="F116" s="55">
        <f t="shared" si="1"/>
        <v>-3.0771485090483885E-3</v>
      </c>
      <c r="G116" s="76"/>
      <c r="H116" s="77"/>
      <c r="J116" s="87"/>
      <c r="K116" s="88"/>
      <c r="L116" s="87"/>
      <c r="M116" s="92"/>
    </row>
    <row r="117" spans="1:13" ht="15.75">
      <c r="A117" s="119"/>
      <c r="B117" s="88"/>
      <c r="C117" s="52"/>
      <c r="D117" s="120">
        <v>42826</v>
      </c>
      <c r="E117" s="121">
        <v>137.53</v>
      </c>
      <c r="F117" s="55">
        <f t="shared" si="1"/>
        <v>1.0729771441170044E-2</v>
      </c>
      <c r="G117" s="76"/>
      <c r="H117" s="77"/>
      <c r="J117" s="87"/>
      <c r="K117" s="88"/>
      <c r="L117" s="87"/>
      <c r="M117" s="92"/>
    </row>
    <row r="118" spans="1:13" ht="15.75">
      <c r="A118" s="119"/>
      <c r="B118" s="88"/>
      <c r="C118" s="52"/>
      <c r="D118" s="120">
        <v>42856</v>
      </c>
      <c r="E118" s="121">
        <v>138.1</v>
      </c>
      <c r="F118" s="55">
        <f t="shared" si="1"/>
        <v>4.1445502799388745E-3</v>
      </c>
      <c r="G118" s="81"/>
      <c r="H118" s="55"/>
      <c r="J118" s="95"/>
      <c r="K118" s="88"/>
      <c r="L118" s="87"/>
      <c r="M118" s="92"/>
    </row>
    <row r="119" spans="1:13" ht="15.75">
      <c r="A119" s="119"/>
      <c r="B119" s="88"/>
      <c r="C119" s="52"/>
      <c r="D119" s="120">
        <v>42887</v>
      </c>
      <c r="E119" s="121">
        <v>139.53</v>
      </c>
      <c r="F119" s="55">
        <f t="shared" si="1"/>
        <v>1.0354815351194757E-2</v>
      </c>
      <c r="G119" s="76"/>
      <c r="H119" s="77"/>
      <c r="J119" s="87"/>
      <c r="K119" s="88"/>
      <c r="L119" s="87"/>
      <c r="M119" s="92"/>
    </row>
    <row r="120" spans="1:13" ht="15.75">
      <c r="A120" s="119"/>
      <c r="B120" s="88"/>
      <c r="C120" s="52"/>
      <c r="D120" s="120">
        <v>42917</v>
      </c>
      <c r="E120" s="121">
        <v>140</v>
      </c>
      <c r="F120" s="55">
        <f t="shared" si="1"/>
        <v>3.3684512291263236E-3</v>
      </c>
      <c r="G120" s="76"/>
      <c r="H120" s="77"/>
      <c r="J120" s="87"/>
      <c r="K120" s="88"/>
      <c r="L120" s="87"/>
      <c r="M120" s="92"/>
    </row>
    <row r="121" spans="1:13" ht="15.75">
      <c r="A121" s="119"/>
      <c r="B121" s="88"/>
      <c r="C121" s="52"/>
      <c r="D121" s="120">
        <v>42948</v>
      </c>
      <c r="E121" s="121">
        <v>140.22</v>
      </c>
      <c r="F121" s="55">
        <f t="shared" si="1"/>
        <v>1.571428571428557E-3</v>
      </c>
      <c r="G121" s="81"/>
      <c r="H121" s="55"/>
      <c r="J121" s="87"/>
      <c r="K121" s="88"/>
      <c r="L121" s="87"/>
      <c r="M121" s="92"/>
    </row>
    <row r="122" spans="1:13" ht="15.75">
      <c r="A122" s="119"/>
      <c r="B122" s="88"/>
      <c r="C122" s="52"/>
      <c r="D122" s="120">
        <v>42979</v>
      </c>
      <c r="E122" s="121">
        <v>140.83000000000001</v>
      </c>
      <c r="F122" s="55">
        <f t="shared" si="1"/>
        <v>4.3503066609613672E-3</v>
      </c>
      <c r="G122" s="76"/>
      <c r="H122" s="77"/>
      <c r="J122" s="95"/>
      <c r="K122" s="88"/>
      <c r="L122" s="87"/>
      <c r="M122" s="92"/>
    </row>
    <row r="123" spans="1:13" ht="15.75">
      <c r="A123" s="119"/>
      <c r="B123" s="88"/>
      <c r="C123" s="52"/>
      <c r="D123" s="120">
        <v>43009</v>
      </c>
      <c r="E123" s="121">
        <v>141.29</v>
      </c>
      <c r="F123" s="55">
        <f t="shared" si="1"/>
        <v>3.2663494993963038E-3</v>
      </c>
      <c r="G123" s="76"/>
      <c r="H123" s="77"/>
      <c r="J123" s="95"/>
      <c r="K123" s="88"/>
      <c r="L123" s="87"/>
      <c r="M123" s="92"/>
    </row>
    <row r="124" spans="1:13" ht="15.75">
      <c r="A124" s="119"/>
      <c r="B124" s="88"/>
      <c r="C124" s="52"/>
      <c r="D124" s="120">
        <v>43040</v>
      </c>
      <c r="E124" s="121">
        <v>142.22</v>
      </c>
      <c r="F124" s="55">
        <f t="shared" si="1"/>
        <v>6.582206808691371E-3</v>
      </c>
      <c r="G124" s="81"/>
      <c r="H124" s="55"/>
      <c r="J124" s="87"/>
      <c r="K124" s="88"/>
      <c r="L124" s="87"/>
      <c r="M124" s="92"/>
    </row>
    <row r="125" spans="1:13" ht="15.75">
      <c r="A125" s="119"/>
      <c r="B125" s="88"/>
      <c r="C125" s="52"/>
      <c r="D125" s="120">
        <v>43070</v>
      </c>
      <c r="E125" s="121">
        <v>142.81</v>
      </c>
      <c r="F125" s="55">
        <f t="shared" si="1"/>
        <v>4.1485023203486904E-3</v>
      </c>
      <c r="G125" s="76"/>
      <c r="H125" s="77"/>
      <c r="J125" s="87"/>
      <c r="K125" s="88"/>
      <c r="L125" s="87"/>
      <c r="M125" s="92"/>
    </row>
    <row r="126" spans="1:13" ht="15.75">
      <c r="A126" s="119"/>
      <c r="B126" s="88"/>
      <c r="C126" s="52"/>
      <c r="D126" s="120">
        <v>43101</v>
      </c>
      <c r="E126" s="121">
        <v>142.49</v>
      </c>
      <c r="F126" s="55">
        <f t="shared" si="1"/>
        <v>-2.2407394440164818E-3</v>
      </c>
      <c r="G126" s="76"/>
      <c r="H126" s="77"/>
      <c r="J126" s="87"/>
      <c r="K126" s="88"/>
      <c r="L126" s="87"/>
      <c r="M126" s="92"/>
    </row>
    <row r="127" spans="1:13" ht="15.75">
      <c r="A127" s="119"/>
      <c r="B127" s="88"/>
      <c r="C127" s="52"/>
      <c r="D127" s="120">
        <v>43132</v>
      </c>
      <c r="E127" s="121">
        <v>143.18</v>
      </c>
      <c r="F127" s="55">
        <f t="shared" si="1"/>
        <v>4.8424450838655542E-3</v>
      </c>
      <c r="G127" s="81"/>
      <c r="H127" s="55"/>
      <c r="J127" s="95"/>
      <c r="K127" s="88"/>
      <c r="L127" s="87"/>
      <c r="M127" s="92"/>
    </row>
    <row r="128" spans="1:13" ht="15.75">
      <c r="A128" s="119"/>
      <c r="B128" s="88"/>
      <c r="C128" s="52"/>
      <c r="D128" s="120">
        <v>43160</v>
      </c>
      <c r="E128" s="121">
        <v>144.13999999999999</v>
      </c>
      <c r="F128" s="55">
        <f t="shared" si="1"/>
        <v>6.7048470456765319E-3</v>
      </c>
      <c r="G128" s="76"/>
      <c r="H128" s="77"/>
      <c r="J128" s="87"/>
      <c r="K128" s="88"/>
      <c r="L128" s="87"/>
      <c r="M128" s="92"/>
    </row>
    <row r="129" spans="1:13" ht="15.75">
      <c r="A129" s="119"/>
      <c r="B129" s="88"/>
      <c r="C129" s="52"/>
      <c r="D129" s="120">
        <v>43191</v>
      </c>
      <c r="E129" s="121">
        <v>146.27000000000001</v>
      </c>
      <c r="F129" s="55">
        <f t="shared" si="1"/>
        <v>1.4777299847370751E-2</v>
      </c>
      <c r="G129" s="76"/>
      <c r="H129" s="77"/>
      <c r="J129" s="87"/>
      <c r="K129" s="88"/>
      <c r="L129" s="87"/>
      <c r="M129" s="92"/>
    </row>
    <row r="130" spans="1:13" ht="15.75">
      <c r="A130" s="119"/>
      <c r="B130" s="88"/>
      <c r="C130" s="52"/>
      <c r="D130" s="120">
        <v>43221</v>
      </c>
      <c r="E130" s="121">
        <v>146.79</v>
      </c>
      <c r="F130" s="55">
        <f t="shared" si="1"/>
        <v>3.555069392219723E-3</v>
      </c>
      <c r="G130" s="81"/>
      <c r="H130" s="55"/>
      <c r="J130" s="87"/>
      <c r="K130" s="88"/>
      <c r="L130" s="87"/>
      <c r="M130" s="92"/>
    </row>
    <row r="131" spans="1:13" ht="15.75">
      <c r="A131" s="119"/>
      <c r="B131" s="88"/>
      <c r="C131" s="52"/>
      <c r="D131" s="120">
        <v>43252</v>
      </c>
      <c r="E131" s="121">
        <v>147.74</v>
      </c>
      <c r="F131" s="55">
        <f t="shared" si="1"/>
        <v>6.4718305061652881E-3</v>
      </c>
      <c r="G131" s="76"/>
      <c r="H131" s="77"/>
      <c r="J131" s="95"/>
      <c r="K131" s="88"/>
      <c r="L131" s="87"/>
      <c r="M131" s="92"/>
    </row>
    <row r="132" spans="1:13" ht="15.75">
      <c r="A132" s="119"/>
      <c r="B132" s="88"/>
      <c r="C132" s="52"/>
      <c r="D132" s="120">
        <v>43282</v>
      </c>
      <c r="E132" s="121">
        <v>149.63</v>
      </c>
      <c r="F132" s="55">
        <f t="shared" si="1"/>
        <v>1.2792744009746837E-2</v>
      </c>
      <c r="G132" s="76"/>
      <c r="H132" s="77"/>
      <c r="J132" s="87"/>
      <c r="K132" s="88"/>
      <c r="L132" s="87"/>
      <c r="M132" s="92"/>
    </row>
    <row r="133" spans="1:13" ht="15.75">
      <c r="A133" s="119"/>
      <c r="B133" s="88"/>
      <c r="C133" s="52"/>
      <c r="D133" s="120">
        <v>43313</v>
      </c>
      <c r="E133" s="121">
        <v>150.41</v>
      </c>
      <c r="F133" s="55">
        <f t="shared" si="1"/>
        <v>5.2128583840138631E-3</v>
      </c>
      <c r="G133" s="81"/>
      <c r="H133" s="55"/>
      <c r="J133" s="95"/>
      <c r="K133" s="88"/>
      <c r="L133" s="87"/>
      <c r="M133" s="92"/>
    </row>
    <row r="134" spans="1:13" ht="15.75">
      <c r="A134" s="119"/>
      <c r="B134" s="88"/>
      <c r="C134" s="52"/>
      <c r="D134" s="120">
        <v>43344</v>
      </c>
      <c r="E134" s="121">
        <v>151.09</v>
      </c>
      <c r="F134" s="55">
        <f t="shared" si="1"/>
        <v>4.5209759989361942E-3</v>
      </c>
      <c r="G134" s="76"/>
      <c r="H134" s="77"/>
      <c r="J134" s="87"/>
      <c r="K134" s="88"/>
      <c r="L134" s="87"/>
      <c r="M134" s="92"/>
    </row>
    <row r="135" spans="1:13" ht="15.75">
      <c r="A135" s="119"/>
      <c r="B135" s="88"/>
      <c r="C135" s="52"/>
      <c r="D135" s="120">
        <v>43374</v>
      </c>
      <c r="E135" s="121">
        <v>152.86000000000001</v>
      </c>
      <c r="F135" s="55">
        <f t="shared" ref="F135:F149" si="2">E135/E134-1</f>
        <v>1.1714871930637472E-2</v>
      </c>
      <c r="G135" s="76"/>
      <c r="H135" s="77"/>
      <c r="J135" s="87"/>
      <c r="K135" s="88"/>
      <c r="L135" s="87"/>
      <c r="M135" s="92"/>
    </row>
    <row r="136" spans="1:13" ht="15.75">
      <c r="A136" s="119"/>
      <c r="B136" s="88"/>
      <c r="C136" s="52"/>
      <c r="D136" s="120">
        <v>43405</v>
      </c>
      <c r="E136" s="121">
        <v>154.19999999999999</v>
      </c>
      <c r="F136" s="55">
        <f t="shared" si="2"/>
        <v>8.7661912861440872E-3</v>
      </c>
      <c r="G136" s="81"/>
      <c r="H136" s="55"/>
      <c r="J136" s="87"/>
      <c r="K136" s="88"/>
      <c r="L136" s="87"/>
      <c r="M136" s="92"/>
    </row>
    <row r="137" spans="1:13" ht="15.75">
      <c r="A137" s="119"/>
      <c r="B137" s="88"/>
      <c r="C137" s="52"/>
      <c r="D137" s="120">
        <v>43435</v>
      </c>
      <c r="E137" s="121">
        <v>154.18</v>
      </c>
      <c r="F137" s="55">
        <f t="shared" si="2"/>
        <v>-1.297016861218081E-4</v>
      </c>
      <c r="G137" s="76"/>
      <c r="H137" s="77"/>
      <c r="J137" s="95"/>
      <c r="K137" s="88"/>
      <c r="L137" s="87"/>
      <c r="M137" s="92"/>
    </row>
    <row r="138" spans="1:13" ht="15.75">
      <c r="A138" s="119"/>
      <c r="B138" s="88"/>
      <c r="C138" s="52"/>
      <c r="D138" s="120">
        <v>43466</v>
      </c>
      <c r="E138" s="121">
        <v>154.15</v>
      </c>
      <c r="F138" s="55">
        <f t="shared" si="2"/>
        <v>-1.9457776624720591E-4</v>
      </c>
      <c r="G138" s="76"/>
      <c r="H138" s="77"/>
      <c r="J138" s="87"/>
      <c r="K138" s="88"/>
      <c r="L138" s="87"/>
      <c r="M138" s="92"/>
    </row>
    <row r="139" spans="1:13" ht="15.75">
      <c r="A139" s="119"/>
      <c r="B139" s="88"/>
      <c r="C139" s="52"/>
      <c r="D139" s="120">
        <v>43497</v>
      </c>
      <c r="E139" s="121">
        <v>154.13999999999999</v>
      </c>
      <c r="F139" s="55">
        <f t="shared" si="2"/>
        <v>-6.4871878040939635E-5</v>
      </c>
      <c r="G139" s="81"/>
      <c r="H139" s="55"/>
      <c r="J139" s="95"/>
      <c r="K139" s="88"/>
      <c r="L139" s="87"/>
      <c r="M139" s="92"/>
    </row>
    <row r="140" spans="1:13" ht="15.75">
      <c r="A140" s="119"/>
      <c r="B140" s="88"/>
      <c r="C140" s="52"/>
      <c r="D140" s="120">
        <v>43525</v>
      </c>
      <c r="E140" s="121">
        <v>155.74</v>
      </c>
      <c r="F140" s="55">
        <f t="shared" si="2"/>
        <v>1.0380173867912346E-2</v>
      </c>
      <c r="G140" s="76"/>
      <c r="H140" s="77"/>
      <c r="J140" s="87"/>
      <c r="K140" s="88"/>
      <c r="L140" s="87"/>
      <c r="M140" s="92"/>
    </row>
    <row r="141" spans="1:13" ht="15.75">
      <c r="A141" s="119"/>
      <c r="B141" s="88"/>
      <c r="C141" s="52"/>
      <c r="D141" s="120">
        <v>43556</v>
      </c>
      <c r="E141" s="121">
        <v>157.72</v>
      </c>
      <c r="F141" s="55">
        <f t="shared" si="2"/>
        <v>1.2713496853730577E-2</v>
      </c>
      <c r="G141" s="76"/>
      <c r="H141" s="77"/>
      <c r="J141" s="87"/>
      <c r="K141" s="88"/>
      <c r="L141" s="87"/>
      <c r="M141" s="92"/>
    </row>
    <row r="142" spans="1:13" ht="15.75">
      <c r="A142" s="119"/>
      <c r="B142" s="88"/>
      <c r="C142" s="52"/>
      <c r="D142" s="120">
        <v>43586</v>
      </c>
      <c r="E142" s="121">
        <v>160.02000000000001</v>
      </c>
      <c r="F142" s="55">
        <f t="shared" si="2"/>
        <v>1.4582804970834529E-2</v>
      </c>
      <c r="G142" s="81"/>
      <c r="H142" s="55"/>
      <c r="J142" s="87"/>
      <c r="K142" s="88"/>
      <c r="L142" s="87"/>
      <c r="M142" s="92"/>
    </row>
    <row r="143" spans="1:13" ht="15.75">
      <c r="A143" s="119"/>
      <c r="B143" s="88"/>
      <c r="C143" s="52"/>
      <c r="D143" s="120">
        <v>43617</v>
      </c>
      <c r="E143" s="121">
        <v>161.72</v>
      </c>
      <c r="F143" s="55">
        <f t="shared" si="2"/>
        <v>1.0623672040994903E-2</v>
      </c>
      <c r="G143" s="76"/>
      <c r="H143" s="77"/>
      <c r="J143" s="95"/>
      <c r="K143" s="88"/>
      <c r="L143" s="87"/>
      <c r="M143" s="92"/>
    </row>
    <row r="144" spans="1:13" ht="15.75">
      <c r="A144" s="119"/>
      <c r="B144" s="88"/>
      <c r="C144" s="52"/>
      <c r="D144" s="120">
        <v>43647</v>
      </c>
      <c r="E144" s="121">
        <v>163.30000000000001</v>
      </c>
      <c r="F144" s="55">
        <f t="shared" si="2"/>
        <v>9.7699727924809299E-3</v>
      </c>
      <c r="G144" s="76"/>
      <c r="H144" s="77"/>
      <c r="J144" s="95"/>
      <c r="K144" s="88"/>
      <c r="L144" s="87"/>
      <c r="M144" s="92"/>
    </row>
    <row r="145" spans="1:13" ht="15.75">
      <c r="A145" s="119"/>
      <c r="B145" s="88"/>
      <c r="C145" s="52"/>
      <c r="D145" s="120">
        <v>43678</v>
      </c>
      <c r="E145" s="121">
        <v>164.78</v>
      </c>
      <c r="F145" s="55">
        <f t="shared" si="2"/>
        <v>9.0630740967543311E-3</v>
      </c>
      <c r="G145" s="81"/>
      <c r="H145" s="55"/>
      <c r="J145" s="87"/>
      <c r="K145" s="88"/>
      <c r="L145" s="87"/>
      <c r="M145" s="92"/>
    </row>
    <row r="146" spans="1:13" ht="15.75">
      <c r="A146" s="119"/>
      <c r="B146" s="88"/>
      <c r="C146" s="52"/>
      <c r="D146" s="120">
        <v>43709</v>
      </c>
      <c r="E146" s="121">
        <v>166.07</v>
      </c>
      <c r="F146" s="55">
        <f t="shared" si="2"/>
        <v>7.8286199781525401E-3</v>
      </c>
      <c r="G146" s="76"/>
      <c r="H146" s="77"/>
      <c r="J146" s="87"/>
      <c r="K146" s="88"/>
      <c r="L146" s="87"/>
      <c r="M146" s="92"/>
    </row>
    <row r="147" spans="1:13" ht="15.75">
      <c r="A147" s="119"/>
      <c r="B147" s="88"/>
      <c r="C147" s="52"/>
      <c r="D147" s="120">
        <v>43739</v>
      </c>
      <c r="E147" s="121">
        <v>167.49</v>
      </c>
      <c r="F147" s="55">
        <f t="shared" si="2"/>
        <v>8.5506111880533364E-3</v>
      </c>
      <c r="G147" s="76"/>
      <c r="H147" s="77"/>
      <c r="J147" s="87"/>
      <c r="K147" s="88"/>
      <c r="L147" s="87"/>
      <c r="M147" s="92"/>
    </row>
    <row r="148" spans="1:13" ht="15.75">
      <c r="A148" s="119"/>
      <c r="B148" s="88"/>
      <c r="C148" s="52"/>
      <c r="D148" s="120">
        <v>43770</v>
      </c>
      <c r="E148" s="121">
        <v>169.52</v>
      </c>
      <c r="F148" s="55">
        <f t="shared" si="2"/>
        <v>1.2120126574720835E-2</v>
      </c>
      <c r="G148" s="81"/>
      <c r="H148" s="55"/>
      <c r="J148" s="95"/>
      <c r="K148" s="88"/>
      <c r="L148" s="87"/>
      <c r="M148" s="92"/>
    </row>
    <row r="149" spans="1:13" ht="15.75">
      <c r="A149" s="119"/>
      <c r="B149" s="88"/>
      <c r="C149" s="52"/>
      <c r="D149" s="120">
        <v>43800</v>
      </c>
      <c r="E149" s="121">
        <v>169.97</v>
      </c>
      <c r="F149" s="55">
        <f t="shared" si="2"/>
        <v>2.6545540349220964E-3</v>
      </c>
      <c r="G149" s="76"/>
      <c r="H149" s="77"/>
      <c r="J149" s="87"/>
      <c r="K149" s="88"/>
      <c r="L149" s="87"/>
      <c r="M149" s="92"/>
    </row>
    <row r="150" spans="1:13" ht="15.75">
      <c r="A150" s="119"/>
      <c r="B150" s="88"/>
      <c r="C150" s="52"/>
      <c r="D150" s="120">
        <v>43831</v>
      </c>
      <c r="E150" s="121">
        <v>171.87</v>
      </c>
      <c r="F150" s="55">
        <f>E150/E149-1</f>
        <v>1.1178443254691972E-2</v>
      </c>
      <c r="G150" s="76"/>
      <c r="H150" s="77"/>
      <c r="J150" s="87"/>
      <c r="K150" s="88"/>
      <c r="L150" s="87"/>
      <c r="M150" s="92"/>
    </row>
    <row r="151" spans="1:13" ht="15.75">
      <c r="A151" s="119"/>
      <c r="B151" s="88"/>
      <c r="C151" s="52"/>
      <c r="D151" s="120"/>
      <c r="E151" s="121"/>
      <c r="F151" s="55"/>
      <c r="G151" s="81"/>
      <c r="H151" s="55"/>
      <c r="J151" s="87"/>
      <c r="K151" s="88"/>
      <c r="L151" s="87"/>
      <c r="M151" s="92"/>
    </row>
    <row r="152" spans="1:13" ht="15.75">
      <c r="A152" s="119"/>
      <c r="B152" s="88"/>
      <c r="C152" s="52"/>
      <c r="D152" s="122"/>
      <c r="E152" s="123"/>
      <c r="F152" s="92"/>
      <c r="G152" s="97"/>
      <c r="H152" s="52"/>
      <c r="J152" s="95"/>
      <c r="K152" s="88"/>
      <c r="L152" s="87"/>
      <c r="M152" s="92"/>
    </row>
    <row r="153" spans="1:13" ht="15.75">
      <c r="A153" s="119"/>
      <c r="B153" s="88"/>
      <c r="C153" s="52"/>
      <c r="D153" s="122"/>
      <c r="E153" s="123"/>
      <c r="F153" s="92"/>
      <c r="G153" s="97"/>
      <c r="H153" s="52"/>
      <c r="J153" s="95"/>
      <c r="K153" s="88"/>
      <c r="L153" s="87"/>
      <c r="M153" s="92"/>
    </row>
    <row r="154" spans="1:13" ht="15.75">
      <c r="A154" s="119"/>
      <c r="B154" s="88"/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19"/>
      <c r="B155" s="88"/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19"/>
      <c r="B156" s="88"/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19"/>
      <c r="B157" s="88"/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19"/>
      <c r="B158" s="88"/>
      <c r="C158" s="52"/>
      <c r="D158" s="95"/>
      <c r="E158" s="52"/>
      <c r="F158" s="52"/>
      <c r="G158" s="52"/>
      <c r="H158" s="52"/>
      <c r="J158" s="87"/>
    </row>
    <row r="159" spans="1:13" ht="15.75">
      <c r="A159" s="119"/>
      <c r="B159" s="88"/>
      <c r="C159" s="52"/>
      <c r="D159" s="95"/>
      <c r="E159" s="52"/>
      <c r="F159" s="52"/>
      <c r="G159" s="52"/>
      <c r="H159" s="52"/>
      <c r="J159" s="87"/>
    </row>
    <row r="160" spans="1:13" ht="15.75">
      <c r="A160" s="119"/>
      <c r="B160" s="88"/>
      <c r="C160" s="52"/>
      <c r="D160" s="95"/>
      <c r="E160" s="52"/>
      <c r="F160" s="52"/>
      <c r="G160" s="52"/>
      <c r="H160" s="52"/>
    </row>
    <row r="161" spans="1:8" ht="15.75">
      <c r="A161" s="119"/>
      <c r="B161" s="88"/>
      <c r="C161" s="52"/>
      <c r="D161" s="95"/>
      <c r="E161" s="52"/>
      <c r="F161" s="52"/>
      <c r="G161" s="52"/>
      <c r="H161" s="52"/>
    </row>
    <row r="162" spans="1:8" ht="15.75">
      <c r="A162" s="119"/>
      <c r="B162" s="88"/>
      <c r="C162" s="52"/>
      <c r="D162" s="95"/>
      <c r="E162" s="52"/>
      <c r="F162" s="52"/>
      <c r="G162" s="52"/>
      <c r="H162" s="52"/>
    </row>
    <row r="163" spans="1:8" ht="15.75">
      <c r="A163" s="119"/>
      <c r="B163" s="88"/>
      <c r="C163" s="52"/>
      <c r="D163" s="95"/>
      <c r="E163" s="52"/>
      <c r="F163" s="52"/>
      <c r="G163" s="52"/>
      <c r="H163" s="52"/>
    </row>
    <row r="164" spans="1:8" ht="15.75">
      <c r="A164" s="119"/>
      <c r="B164" s="88"/>
      <c r="C164" s="52"/>
      <c r="D164" s="52"/>
      <c r="E164" s="52"/>
      <c r="F164" s="52"/>
      <c r="G164" s="52"/>
      <c r="H164" s="52"/>
    </row>
    <row r="165" spans="1:8" ht="15.75">
      <c r="A165" s="119"/>
      <c r="B165" s="88"/>
      <c r="C165" s="52"/>
      <c r="D165" s="52"/>
      <c r="E165" s="52"/>
      <c r="F165" s="52"/>
      <c r="G165" s="52"/>
      <c r="H165" s="52"/>
    </row>
    <row r="166" spans="1:8" ht="15.75">
      <c r="A166" s="119"/>
      <c r="B166" s="88"/>
      <c r="C166" s="52"/>
      <c r="D166" s="52"/>
      <c r="E166" s="52"/>
      <c r="F166" s="52"/>
      <c r="G166" s="52"/>
      <c r="H166" s="52"/>
    </row>
    <row r="167" spans="1:8" ht="15.75">
      <c r="A167" s="119"/>
      <c r="B167" s="88"/>
      <c r="C167" s="52"/>
      <c r="D167" s="52"/>
      <c r="E167" s="52"/>
      <c r="F167" s="52"/>
      <c r="G167" s="52"/>
      <c r="H167" s="52"/>
    </row>
    <row r="168" spans="1:8" ht="15.75">
      <c r="A168" s="119"/>
      <c r="B168" s="88"/>
      <c r="C168" s="52"/>
      <c r="D168" s="52"/>
      <c r="E168" s="52"/>
      <c r="F168" s="52"/>
      <c r="G168" s="52"/>
      <c r="H168" s="52"/>
    </row>
    <row r="169" spans="1:8" ht="15.75">
      <c r="A169" s="119"/>
      <c r="B169" s="88"/>
      <c r="C169" s="52"/>
      <c r="D169" s="52"/>
      <c r="E169" s="52"/>
      <c r="F169" s="52"/>
      <c r="G169" s="52"/>
      <c r="H169" s="52"/>
    </row>
    <row r="170" spans="1:8" ht="15.75">
      <c r="A170" s="119"/>
      <c r="B170" s="88"/>
      <c r="C170" s="52"/>
      <c r="D170" s="52"/>
      <c r="E170" s="52"/>
      <c r="F170" s="52"/>
      <c r="G170" s="52"/>
      <c r="H170" s="52"/>
    </row>
    <row r="171" spans="1:8" ht="15.75">
      <c r="A171" s="119"/>
      <c r="B171" s="88"/>
      <c r="C171" s="52"/>
      <c r="D171" s="52"/>
      <c r="E171" s="52"/>
      <c r="F171" s="52"/>
      <c r="G171" s="52"/>
      <c r="H171" s="52"/>
    </row>
    <row r="172" spans="1:8" ht="15.75">
      <c r="A172" s="119"/>
      <c r="B172" s="88"/>
      <c r="C172" s="52"/>
      <c r="D172" s="52"/>
      <c r="E172" s="52"/>
      <c r="F172" s="52"/>
      <c r="G172" s="52"/>
      <c r="H172" s="52"/>
    </row>
    <row r="173" spans="1:8" ht="15.75">
      <c r="A173" s="119"/>
      <c r="B173" s="88"/>
      <c r="C173" s="52"/>
      <c r="D173" s="52"/>
      <c r="E173" s="52"/>
      <c r="F173" s="52"/>
      <c r="G173" s="52"/>
      <c r="H173" s="52"/>
    </row>
    <row r="174" spans="1:8" ht="15.75">
      <c r="A174" s="119"/>
      <c r="B174" s="88"/>
      <c r="C174" s="52"/>
      <c r="D174" s="52"/>
      <c r="E174" s="52"/>
      <c r="F174" s="52"/>
      <c r="G174" s="52"/>
      <c r="H174" s="52"/>
    </row>
    <row r="175" spans="1:8" ht="15.75">
      <c r="A175" s="119"/>
      <c r="B175" s="88"/>
      <c r="C175" s="52"/>
      <c r="D175" s="52"/>
      <c r="E175" s="52"/>
      <c r="F175" s="52"/>
      <c r="G175" s="52"/>
      <c r="H175" s="52"/>
    </row>
    <row r="176" spans="1:8" ht="15.75">
      <c r="A176" s="119"/>
      <c r="B176" s="88"/>
      <c r="C176" s="52"/>
      <c r="D176" s="52"/>
      <c r="E176" s="52"/>
      <c r="F176" s="52"/>
      <c r="G176" s="52"/>
      <c r="H176" s="52"/>
    </row>
    <row r="177" spans="1:8" ht="15.75">
      <c r="A177" s="119"/>
      <c r="B177" s="88"/>
      <c r="C177" s="52"/>
      <c r="D177" s="52"/>
      <c r="E177" s="52"/>
      <c r="F177" s="52"/>
      <c r="G177" s="52"/>
      <c r="H177" s="52"/>
    </row>
    <row r="178" spans="1:8" ht="15.75">
      <c r="A178" s="119"/>
      <c r="B178" s="88"/>
      <c r="C178" s="52"/>
      <c r="D178" s="52"/>
      <c r="E178" s="52"/>
      <c r="F178" s="52"/>
      <c r="G178" s="52"/>
      <c r="H178" s="52"/>
    </row>
    <row r="179" spans="1:8" ht="15.75">
      <c r="A179" s="119"/>
      <c r="B179" s="88"/>
      <c r="C179" s="52"/>
      <c r="D179" s="52"/>
      <c r="E179" s="52"/>
      <c r="F179" s="52"/>
      <c r="G179" s="52"/>
      <c r="H179" s="52"/>
    </row>
    <row r="180" spans="1:8" ht="15.75">
      <c r="A180" s="119"/>
      <c r="B180" s="88"/>
      <c r="C180" s="52"/>
      <c r="D180" s="52"/>
      <c r="E180" s="52"/>
      <c r="F180" s="52"/>
      <c r="G180" s="52"/>
      <c r="H180" s="52"/>
    </row>
    <row r="181" spans="1:8" ht="15.75">
      <c r="A181" s="119"/>
      <c r="B181" s="88"/>
      <c r="C181" s="52"/>
      <c r="D181" s="52"/>
      <c r="E181" s="52"/>
      <c r="F181" s="52"/>
      <c r="G181" s="52"/>
      <c r="H181" s="52"/>
    </row>
    <row r="182" spans="1:8" ht="15.75">
      <c r="A182" s="119"/>
      <c r="B182" s="88"/>
      <c r="C182" s="52"/>
      <c r="D182" s="52"/>
      <c r="E182" s="52"/>
      <c r="F182" s="52"/>
      <c r="G182" s="52"/>
      <c r="H182" s="52"/>
    </row>
    <row r="183" spans="1:8" ht="15.75">
      <c r="A183" s="119"/>
      <c r="B183" s="88"/>
      <c r="C183" s="52"/>
      <c r="D183" s="52"/>
      <c r="E183" s="52"/>
      <c r="F183" s="52"/>
      <c r="G183" s="52"/>
      <c r="H183" s="52"/>
    </row>
    <row r="184" spans="1:8" ht="15.75">
      <c r="A184" s="119"/>
      <c r="B184" s="88"/>
      <c r="C184" s="52"/>
      <c r="D184" s="52"/>
      <c r="E184" s="52"/>
      <c r="F184" s="52"/>
      <c r="G184" s="52"/>
      <c r="H184" s="52"/>
    </row>
    <row r="185" spans="1:8" ht="15.75">
      <c r="A185" s="119"/>
      <c r="B185" s="88"/>
      <c r="C185" s="52"/>
      <c r="D185" s="52"/>
      <c r="E185" s="52"/>
      <c r="F185" s="52"/>
      <c r="G185" s="52"/>
      <c r="H185" s="52"/>
    </row>
    <row r="186" spans="1:8" ht="15.75">
      <c r="A186" s="119"/>
      <c r="B186" s="88"/>
      <c r="C186" s="52"/>
      <c r="D186" s="52"/>
      <c r="E186" s="52"/>
      <c r="F186" s="52"/>
      <c r="G186" s="52"/>
      <c r="H186" s="52"/>
    </row>
    <row r="187" spans="1:8" ht="15.75">
      <c r="A187" s="119"/>
      <c r="B187" s="88"/>
      <c r="C187" s="52"/>
      <c r="D187" s="52"/>
      <c r="E187" s="52"/>
      <c r="F187" s="52"/>
      <c r="G187" s="52"/>
      <c r="H187" s="52"/>
    </row>
    <row r="188" spans="1:8" ht="15.75">
      <c r="A188" s="119"/>
      <c r="B188" s="88"/>
      <c r="C188" s="52"/>
      <c r="D188" s="52"/>
      <c r="E188" s="52"/>
      <c r="F188" s="52"/>
      <c r="G188" s="52"/>
      <c r="H188" s="52"/>
    </row>
    <row r="189" spans="1:8" ht="15.75">
      <c r="A189" s="119"/>
      <c r="B189" s="88"/>
      <c r="C189" s="52"/>
      <c r="D189" s="52"/>
      <c r="E189" s="52"/>
      <c r="F189" s="52"/>
      <c r="G189" s="52"/>
      <c r="H189" s="52"/>
    </row>
    <row r="190" spans="1:8" ht="15.75">
      <c r="A190" s="119"/>
      <c r="B190" s="88"/>
      <c r="C190" s="52"/>
      <c r="D190" s="52"/>
      <c r="E190" s="52"/>
      <c r="F190" s="52"/>
      <c r="G190" s="52"/>
      <c r="H190" s="52"/>
    </row>
    <row r="191" spans="1:8" ht="15.75">
      <c r="A191" s="119"/>
      <c r="B191" s="88"/>
      <c r="C191" s="52"/>
      <c r="D191" s="52"/>
      <c r="E191" s="52"/>
      <c r="F191" s="52"/>
      <c r="G191" s="52"/>
      <c r="H191" s="52"/>
    </row>
    <row r="192" spans="1:8" ht="15.75">
      <c r="A192" s="119"/>
      <c r="B192" s="88"/>
      <c r="C192" s="52"/>
      <c r="D192" s="52"/>
      <c r="E192" s="52"/>
      <c r="F192" s="52"/>
      <c r="G192" s="52"/>
      <c r="H192" s="52"/>
    </row>
    <row r="193" spans="1:8" ht="15.75">
      <c r="A193" s="119"/>
      <c r="B193" s="88"/>
      <c r="C193" s="52"/>
      <c r="D193" s="52"/>
      <c r="E193" s="52"/>
      <c r="F193" s="52"/>
      <c r="G193" s="52"/>
      <c r="H193" s="52"/>
    </row>
    <row r="194" spans="1:8" ht="15.75">
      <c r="A194" s="119"/>
      <c r="B194" s="88"/>
      <c r="C194" s="52"/>
      <c r="D194" s="52"/>
      <c r="E194" s="52"/>
      <c r="F194" s="52"/>
      <c r="G194" s="52"/>
      <c r="H194" s="52"/>
    </row>
    <row r="195" spans="1:8" ht="15.75">
      <c r="A195" s="119"/>
      <c r="B195" s="88"/>
      <c r="C195" s="52"/>
      <c r="D195" s="52"/>
      <c r="E195" s="52"/>
      <c r="F195" s="52"/>
      <c r="G195" s="52"/>
      <c r="H195" s="52"/>
    </row>
    <row r="196" spans="1:8" ht="15.75">
      <c r="A196" s="119"/>
      <c r="B196" s="88"/>
      <c r="C196" s="52"/>
      <c r="D196" s="52"/>
      <c r="E196" s="52"/>
      <c r="F196" s="52"/>
      <c r="G196" s="52"/>
      <c r="H196" s="52"/>
    </row>
    <row r="197" spans="1:8" ht="15.75">
      <c r="A197" s="119"/>
      <c r="B197" s="88"/>
      <c r="C197" s="52"/>
      <c r="D197" s="52"/>
      <c r="E197" s="52"/>
      <c r="F197" s="52"/>
      <c r="G197" s="52"/>
      <c r="H197" s="52"/>
    </row>
    <row r="198" spans="1:8" ht="15.75">
      <c r="A198" s="119"/>
      <c r="B198" s="88"/>
      <c r="C198" s="52"/>
      <c r="D198" s="52"/>
      <c r="E198" s="52"/>
      <c r="F198" s="52"/>
      <c r="G198" s="52"/>
      <c r="H198" s="52"/>
    </row>
    <row r="199" spans="1:8" ht="15.75">
      <c r="A199" s="119"/>
      <c r="B199" s="88"/>
      <c r="C199" s="52"/>
      <c r="D199" s="52"/>
      <c r="E199" s="52"/>
      <c r="F199" s="52"/>
      <c r="G199" s="52"/>
      <c r="H199" s="52"/>
    </row>
    <row r="200" spans="1:8" ht="15.75">
      <c r="A200" s="119"/>
      <c r="B200" s="88"/>
      <c r="C200" s="52"/>
      <c r="D200" s="52"/>
      <c r="E200" s="52"/>
      <c r="F200" s="52"/>
      <c r="G200" s="52"/>
      <c r="H200" s="52"/>
    </row>
    <row r="201" spans="1:8" ht="15.75">
      <c r="A201" s="119"/>
      <c r="B201" s="88"/>
      <c r="C201" s="52"/>
      <c r="D201" s="52"/>
      <c r="E201" s="52"/>
      <c r="F201" s="52"/>
      <c r="G201" s="52"/>
      <c r="H201" s="52"/>
    </row>
    <row r="202" spans="1:8" ht="15.75">
      <c r="A202" s="119"/>
      <c r="B202" s="88"/>
      <c r="C202" s="52"/>
      <c r="D202" s="52"/>
      <c r="E202" s="52"/>
      <c r="F202" s="52"/>
      <c r="G202" s="52"/>
      <c r="H202" s="52"/>
    </row>
    <row r="203" spans="1:8" ht="15.75">
      <c r="A203" s="119"/>
      <c r="B203" s="88"/>
      <c r="C203" s="52"/>
      <c r="D203" s="52"/>
      <c r="E203" s="52"/>
      <c r="F203" s="52"/>
      <c r="G203" s="52"/>
      <c r="H203" s="52"/>
    </row>
    <row r="204" spans="1:8" ht="15.75">
      <c r="A204" s="119"/>
      <c r="B204" s="88"/>
      <c r="C204" s="52"/>
      <c r="D204" s="52"/>
      <c r="E204" s="52"/>
      <c r="F204" s="52"/>
      <c r="G204" s="52"/>
      <c r="H204" s="52"/>
    </row>
    <row r="205" spans="1:8" ht="15.75">
      <c r="A205" s="119"/>
      <c r="B205" s="88"/>
      <c r="C205" s="52"/>
      <c r="D205" s="52"/>
      <c r="E205" s="52"/>
      <c r="F205" s="52"/>
      <c r="G205" s="52"/>
      <c r="H205" s="52"/>
    </row>
    <row r="206" spans="1:8" ht="15.75">
      <c r="A206" s="119"/>
      <c r="B206" s="88"/>
      <c r="C206" s="52"/>
      <c r="D206" s="52"/>
      <c r="E206" s="52"/>
      <c r="F206" s="52"/>
      <c r="G206" s="52"/>
      <c r="H206" s="52"/>
    </row>
    <row r="207" spans="1:8" ht="15.75">
      <c r="A207" s="119"/>
      <c r="B207" s="88"/>
      <c r="C207" s="52"/>
      <c r="D207" s="52"/>
      <c r="E207" s="52"/>
      <c r="F207" s="52"/>
      <c r="G207" s="52"/>
      <c r="H207" s="52"/>
    </row>
    <row r="208" spans="1:8" ht="15.75">
      <c r="A208" s="119"/>
      <c r="B208" s="88"/>
      <c r="C208" s="52"/>
      <c r="D208" s="52"/>
      <c r="E208" s="52"/>
      <c r="F208" s="52"/>
      <c r="G208" s="52"/>
      <c r="H208" s="52"/>
    </row>
    <row r="209" spans="1:8" ht="15.75">
      <c r="A209" s="119"/>
      <c r="B209" s="88"/>
      <c r="C209" s="52"/>
      <c r="D209" s="52"/>
      <c r="E209" s="52"/>
      <c r="F209" s="52"/>
      <c r="G209" s="52"/>
      <c r="H209" s="52"/>
    </row>
    <row r="210" spans="1:8" ht="15.75">
      <c r="A210" s="119"/>
      <c r="B210" s="88"/>
      <c r="C210" s="52"/>
      <c r="D210" s="52"/>
      <c r="E210" s="52"/>
      <c r="F210" s="52"/>
      <c r="G210" s="52"/>
      <c r="H210" s="52"/>
    </row>
    <row r="211" spans="1:8" ht="15.75">
      <c r="A211" s="119"/>
      <c r="B211" s="88"/>
      <c r="C211" s="52"/>
      <c r="D211" s="52"/>
      <c r="E211" s="52"/>
      <c r="F211" s="52"/>
      <c r="G211" s="52"/>
      <c r="H211" s="52"/>
    </row>
    <row r="212" spans="1:8" ht="15.75">
      <c r="A212" s="119"/>
      <c r="B212" s="88"/>
      <c r="C212" s="52"/>
      <c r="D212" s="52"/>
      <c r="E212" s="52"/>
      <c r="F212" s="52"/>
      <c r="G212" s="52"/>
      <c r="H212" s="52"/>
    </row>
    <row r="213" spans="1:8" ht="15.75">
      <c r="A213" s="119"/>
      <c r="B213" s="88"/>
      <c r="C213" s="52"/>
      <c r="D213" s="52"/>
      <c r="E213" s="52"/>
      <c r="F213" s="52"/>
      <c r="G213" s="52"/>
      <c r="H213" s="52"/>
    </row>
    <row r="214" spans="1:8" ht="15.75">
      <c r="A214" s="119"/>
      <c r="B214" s="88"/>
      <c r="C214" s="52"/>
      <c r="D214" s="52"/>
      <c r="E214" s="52"/>
      <c r="F214" s="52"/>
      <c r="G214" s="52"/>
      <c r="H214" s="52"/>
    </row>
    <row r="215" spans="1:8" ht="15.75">
      <c r="A215" s="119"/>
      <c r="B215" s="88"/>
      <c r="C215" s="52"/>
      <c r="D215" s="52"/>
      <c r="E215" s="52"/>
      <c r="F215" s="52"/>
      <c r="G215" s="52"/>
      <c r="H215" s="52"/>
    </row>
    <row r="216" spans="1:8" ht="15.75">
      <c r="A216" s="119"/>
      <c r="B216" s="88"/>
      <c r="C216" s="52"/>
      <c r="D216" s="52"/>
      <c r="E216" s="52"/>
      <c r="F216" s="52"/>
      <c r="G216" s="52"/>
      <c r="H216" s="52"/>
    </row>
    <row r="217" spans="1:8" ht="15.75">
      <c r="A217" s="119"/>
      <c r="B217" s="88"/>
      <c r="C217" s="52"/>
      <c r="D217" s="52"/>
      <c r="E217" s="52"/>
      <c r="F217" s="52"/>
      <c r="G217" s="52"/>
      <c r="H217" s="52"/>
    </row>
    <row r="218" spans="1:8" ht="15.75">
      <c r="A218" s="119"/>
      <c r="B218" s="88"/>
      <c r="C218" s="52"/>
      <c r="D218" s="52"/>
      <c r="E218" s="52"/>
      <c r="F218" s="52"/>
      <c r="G218" s="52"/>
      <c r="H218" s="52"/>
    </row>
    <row r="219" spans="1:8" ht="15.75">
      <c r="A219" s="119"/>
      <c r="B219" s="88"/>
      <c r="C219" s="52"/>
      <c r="D219" s="52"/>
      <c r="E219" s="52"/>
      <c r="F219" s="52"/>
      <c r="G219" s="52"/>
      <c r="H219" s="52"/>
    </row>
    <row r="220" spans="1:8" ht="15.75">
      <c r="A220" s="119"/>
      <c r="B220" s="88"/>
      <c r="C220" s="52"/>
      <c r="D220" s="52"/>
      <c r="E220" s="52"/>
      <c r="F220" s="52"/>
      <c r="G220" s="52"/>
      <c r="H220" s="52"/>
    </row>
    <row r="221" spans="1:8" ht="15.75">
      <c r="A221" s="119"/>
      <c r="B221" s="88"/>
      <c r="C221" s="52"/>
      <c r="D221" s="52"/>
      <c r="E221" s="52"/>
      <c r="F221" s="52"/>
      <c r="G221" s="52"/>
      <c r="H221" s="52"/>
    </row>
    <row r="222" spans="1:8" ht="15.75">
      <c r="A222" s="119"/>
      <c r="B222" s="88"/>
      <c r="C222" s="52"/>
      <c r="D222" s="52"/>
      <c r="E222" s="52"/>
      <c r="F222" s="52"/>
      <c r="G222" s="52"/>
      <c r="H222" s="52"/>
    </row>
    <row r="223" spans="1:8" ht="15.75">
      <c r="A223" s="119"/>
      <c r="B223" s="88"/>
      <c r="C223" s="52"/>
      <c r="D223" s="52"/>
      <c r="E223" s="52"/>
      <c r="F223" s="52"/>
      <c r="G223" s="52"/>
      <c r="H223" s="52"/>
    </row>
    <row r="224" spans="1:8" ht="15.75">
      <c r="A224" s="119"/>
      <c r="B224" s="88"/>
      <c r="C224" s="52"/>
      <c r="D224" s="52"/>
      <c r="E224" s="52"/>
      <c r="F224" s="52"/>
      <c r="G224" s="52"/>
      <c r="H224" s="52"/>
    </row>
    <row r="225" spans="1:8" ht="15.75">
      <c r="A225" s="119"/>
      <c r="B225" s="88"/>
      <c r="C225" s="52"/>
      <c r="D225" s="52"/>
      <c r="E225" s="52"/>
      <c r="F225" s="52"/>
      <c r="G225" s="52"/>
      <c r="H225" s="52"/>
    </row>
    <row r="226" spans="1:8" ht="15.75">
      <c r="A226" s="119"/>
      <c r="B226" s="88"/>
      <c r="C226" s="52"/>
      <c r="D226" s="52"/>
      <c r="E226" s="52"/>
      <c r="F226" s="52"/>
      <c r="G226" s="52"/>
      <c r="H226" s="52"/>
    </row>
    <row r="227" spans="1:8" ht="15.75">
      <c r="A227" s="119"/>
      <c r="B227" s="88"/>
      <c r="C227" s="52"/>
      <c r="D227" s="52"/>
      <c r="E227" s="52"/>
      <c r="F227" s="52"/>
      <c r="G227" s="52"/>
      <c r="H227" s="52"/>
    </row>
    <row r="228" spans="1:8" ht="15.75">
      <c r="A228" s="119"/>
      <c r="B228" s="88"/>
      <c r="C228" s="52"/>
      <c r="D228" s="52"/>
      <c r="E228" s="52"/>
      <c r="F228" s="52"/>
      <c r="G228" s="52"/>
      <c r="H228" s="52"/>
    </row>
    <row r="229" spans="1:8" ht="15.75">
      <c r="A229" s="119"/>
      <c r="B229" s="88"/>
      <c r="C229" s="52"/>
      <c r="D229" s="52"/>
      <c r="E229" s="52"/>
      <c r="F229" s="52"/>
      <c r="G229" s="52"/>
      <c r="H229" s="52"/>
    </row>
    <row r="230" spans="1:8" ht="15.75">
      <c r="A230" s="119"/>
      <c r="B230" s="88"/>
      <c r="C230" s="52"/>
      <c r="D230" s="52"/>
      <c r="E230" s="52"/>
      <c r="F230" s="52"/>
      <c r="G230" s="52"/>
      <c r="H230" s="52"/>
    </row>
    <row r="231" spans="1:8" ht="15.75">
      <c r="A231" s="119"/>
      <c r="B231" s="88"/>
      <c r="C231" s="52"/>
      <c r="D231" s="52"/>
      <c r="E231" s="52"/>
      <c r="F231" s="52"/>
      <c r="G231" s="52"/>
      <c r="H231" s="52"/>
    </row>
    <row r="232" spans="1:8" ht="15.75">
      <c r="A232" s="119"/>
      <c r="B232" s="88"/>
      <c r="C232" s="52"/>
      <c r="D232" s="52"/>
      <c r="E232" s="52"/>
      <c r="F232" s="52"/>
      <c r="G232" s="52"/>
      <c r="H232" s="52"/>
    </row>
    <row r="233" spans="1:8" ht="15.75">
      <c r="A233" s="119"/>
      <c r="B233" s="88"/>
      <c r="C233" s="52"/>
      <c r="D233" s="52"/>
      <c r="E233" s="52"/>
      <c r="F233" s="52"/>
      <c r="G233" s="52"/>
      <c r="H233" s="52"/>
    </row>
    <row r="234" spans="1:8" ht="15.75">
      <c r="A234" s="119"/>
      <c r="B234" s="88"/>
      <c r="C234" s="52"/>
      <c r="D234" s="52"/>
      <c r="E234" s="52"/>
      <c r="F234" s="52"/>
      <c r="G234" s="52"/>
      <c r="H234" s="52"/>
    </row>
    <row r="235" spans="1:8" ht="15.75">
      <c r="A235" s="119"/>
      <c r="B235" s="88"/>
      <c r="C235" s="52"/>
      <c r="D235" s="52"/>
      <c r="E235" s="52"/>
      <c r="F235" s="52"/>
      <c r="G235" s="52"/>
      <c r="H235" s="52"/>
    </row>
    <row r="236" spans="1:8" ht="15.75">
      <c r="A236" s="119"/>
      <c r="B236" s="88"/>
      <c r="C236" s="52"/>
      <c r="D236" s="52"/>
      <c r="E236" s="52"/>
      <c r="F236" s="52"/>
      <c r="G236" s="52"/>
      <c r="H236" s="52"/>
    </row>
    <row r="237" spans="1:8" ht="15.75">
      <c r="A237" s="119"/>
      <c r="B237" s="88"/>
      <c r="C237" s="52"/>
      <c r="D237" s="52"/>
      <c r="E237" s="52"/>
      <c r="F237" s="52"/>
      <c r="G237" s="52"/>
      <c r="H237" s="52"/>
    </row>
    <row r="238" spans="1:8" ht="15.75">
      <c r="A238" s="119"/>
      <c r="B238" s="88"/>
      <c r="C238" s="52"/>
      <c r="D238" s="52"/>
      <c r="E238" s="52"/>
      <c r="F238" s="52"/>
      <c r="G238" s="52"/>
      <c r="H238" s="52"/>
    </row>
    <row r="239" spans="1:8" ht="15.75">
      <c r="A239" s="119"/>
      <c r="B239" s="88"/>
      <c r="C239" s="52"/>
      <c r="D239" s="52"/>
      <c r="E239" s="52"/>
      <c r="F239" s="52"/>
      <c r="G239" s="52"/>
      <c r="H239" s="52"/>
    </row>
    <row r="240" spans="1:8" ht="15.75">
      <c r="A240" s="119"/>
      <c r="B240" s="88"/>
      <c r="C240" s="52"/>
      <c r="D240" s="52"/>
      <c r="E240" s="52"/>
      <c r="F240" s="52"/>
      <c r="G240" s="52"/>
      <c r="H240" s="52"/>
    </row>
    <row r="241" spans="1:8" ht="15.75">
      <c r="A241" s="119"/>
      <c r="B241" s="88"/>
      <c r="C241" s="52"/>
      <c r="D241" s="52"/>
      <c r="E241" s="52"/>
      <c r="F241" s="52"/>
      <c r="G241" s="52"/>
      <c r="H241" s="52"/>
    </row>
    <row r="242" spans="1:8" ht="15.75">
      <c r="A242" s="119"/>
      <c r="B242" s="88"/>
      <c r="C242" s="52"/>
      <c r="D242" s="52"/>
      <c r="E242" s="52"/>
      <c r="F242" s="52"/>
      <c r="G242" s="52"/>
      <c r="H242" s="52"/>
    </row>
    <row r="243" spans="1:8" ht="15.75">
      <c r="A243" s="119"/>
      <c r="B243" s="88"/>
      <c r="C243" s="52"/>
      <c r="D243" s="52"/>
      <c r="E243" s="52"/>
      <c r="F243" s="52"/>
      <c r="G243" s="52"/>
      <c r="H243" s="52"/>
    </row>
    <row r="244" spans="1:8" ht="15.75">
      <c r="A244" s="119"/>
      <c r="B244" s="88"/>
      <c r="C244" s="52"/>
      <c r="D244" s="52"/>
      <c r="E244" s="52"/>
      <c r="F244" s="52"/>
      <c r="G244" s="52"/>
      <c r="H244" s="52"/>
    </row>
    <row r="245" spans="1:8" ht="15.75">
      <c r="A245" s="119"/>
      <c r="B245" s="88"/>
      <c r="C245" s="52"/>
      <c r="D245" s="52"/>
      <c r="E245" s="52"/>
      <c r="F245" s="52"/>
      <c r="G245" s="52"/>
      <c r="H245" s="52"/>
    </row>
    <row r="246" spans="1:8" ht="15.75">
      <c r="A246" s="119"/>
      <c r="B246" s="88"/>
      <c r="C246" s="52"/>
      <c r="D246" s="52"/>
      <c r="E246" s="52"/>
      <c r="F246" s="52"/>
      <c r="G246" s="52"/>
      <c r="H246" s="52"/>
    </row>
    <row r="247" spans="1:8" ht="15.75">
      <c r="A247" s="119"/>
      <c r="B247" s="88"/>
      <c r="C247" s="52"/>
      <c r="D247" s="52"/>
      <c r="E247" s="52"/>
      <c r="F247" s="52"/>
      <c r="G247" s="52"/>
      <c r="H247" s="52"/>
    </row>
    <row r="248" spans="1:8" ht="15.75">
      <c r="A248" s="119"/>
      <c r="B248" s="88"/>
      <c r="C248" s="52"/>
      <c r="D248" s="52"/>
      <c r="E248" s="52"/>
      <c r="F248" s="52"/>
      <c r="G248" s="52"/>
      <c r="H248" s="52"/>
    </row>
    <row r="249" spans="1:8" ht="15.75">
      <c r="A249" s="119"/>
      <c r="B249" s="88"/>
      <c r="C249" s="52"/>
      <c r="D249" s="52"/>
      <c r="E249" s="52"/>
      <c r="F249" s="52"/>
      <c r="G249" s="52"/>
      <c r="H249" s="52"/>
    </row>
    <row r="250" spans="1:8" ht="15.75">
      <c r="A250" s="119"/>
      <c r="B250" s="88"/>
      <c r="C250" s="52"/>
      <c r="D250" s="52"/>
      <c r="E250" s="52"/>
      <c r="F250" s="52"/>
      <c r="G250" s="52"/>
      <c r="H250" s="52"/>
    </row>
    <row r="251" spans="1:8" ht="15.75">
      <c r="A251" s="119"/>
      <c r="B251" s="88"/>
      <c r="C251" s="52"/>
      <c r="D251" s="52"/>
      <c r="E251" s="52"/>
      <c r="F251" s="52"/>
      <c r="G251" s="52"/>
      <c r="H251" s="52"/>
    </row>
    <row r="252" spans="1:8" ht="15.75">
      <c r="A252" s="119"/>
      <c r="B252" s="88"/>
      <c r="C252" s="52"/>
      <c r="D252" s="52"/>
      <c r="E252" s="52"/>
      <c r="F252" s="52"/>
      <c r="G252" s="52"/>
      <c r="H252" s="52"/>
    </row>
    <row r="253" spans="1:8" ht="15.75">
      <c r="A253" s="119"/>
      <c r="B253" s="88"/>
      <c r="C253" s="52"/>
      <c r="D253" s="52"/>
      <c r="E253" s="52"/>
      <c r="F253" s="52"/>
      <c r="G253" s="52"/>
      <c r="H253" s="52"/>
    </row>
    <row r="254" spans="1:8" ht="15.75">
      <c r="A254" s="119"/>
      <c r="B254" s="88"/>
      <c r="C254" s="52"/>
      <c r="D254" s="52"/>
      <c r="E254" s="52"/>
      <c r="F254" s="52"/>
      <c r="G254" s="52"/>
      <c r="H254" s="52"/>
    </row>
    <row r="255" spans="1:8" ht="15.75">
      <c r="A255" s="119"/>
      <c r="B255" s="88"/>
      <c r="C255" s="52"/>
      <c r="D255" s="52"/>
      <c r="E255" s="52"/>
      <c r="F255" s="52"/>
      <c r="G255" s="52"/>
      <c r="H255" s="52"/>
    </row>
    <row r="256" spans="1:8" ht="15.75">
      <c r="A256" s="119"/>
      <c r="B256" s="88"/>
      <c r="C256" s="52"/>
      <c r="D256" s="52"/>
      <c r="E256" s="52"/>
      <c r="F256" s="52"/>
      <c r="G256" s="52"/>
      <c r="H256" s="52"/>
    </row>
    <row r="257" spans="1:8" ht="15.75">
      <c r="A257" s="119"/>
      <c r="B257" s="88"/>
      <c r="C257" s="52"/>
      <c r="D257" s="52"/>
      <c r="E257" s="52"/>
      <c r="F257" s="52"/>
      <c r="G257" s="52"/>
      <c r="H257" s="52"/>
    </row>
    <row r="258" spans="1:8" ht="15.75">
      <c r="A258" s="119"/>
      <c r="B258" s="88"/>
      <c r="C258" s="52"/>
      <c r="D258" s="52"/>
      <c r="E258" s="52"/>
      <c r="F258" s="52"/>
      <c r="G258" s="52"/>
      <c r="H258" s="52"/>
    </row>
    <row r="259" spans="1:8" ht="15.75">
      <c r="A259" s="119"/>
      <c r="B259" s="88"/>
      <c r="C259" s="52"/>
      <c r="D259" s="52"/>
      <c r="E259" s="52"/>
      <c r="F259" s="52"/>
      <c r="G259" s="52"/>
      <c r="H259" s="52"/>
    </row>
    <row r="260" spans="1:8" ht="15.75">
      <c r="A260" s="119"/>
      <c r="B260" s="88"/>
      <c r="C260" s="52"/>
      <c r="D260" s="52"/>
      <c r="E260" s="52"/>
      <c r="F260" s="52"/>
      <c r="G260" s="52"/>
      <c r="H260" s="52"/>
    </row>
    <row r="261" spans="1:8" ht="15.75">
      <c r="A261" s="119"/>
      <c r="B261" s="88"/>
      <c r="C261" s="52"/>
      <c r="D261" s="52"/>
      <c r="E261" s="52"/>
      <c r="F261" s="52"/>
      <c r="G261" s="52"/>
      <c r="H261" s="52"/>
    </row>
    <row r="262" spans="1:8" ht="15.75">
      <c r="A262" s="119"/>
      <c r="B262" s="88"/>
      <c r="C262" s="52"/>
      <c r="D262" s="52"/>
      <c r="E262" s="52"/>
      <c r="F262" s="52"/>
      <c r="G262" s="52"/>
      <c r="H262" s="52"/>
    </row>
    <row r="263" spans="1:8" ht="15.75">
      <c r="A263" s="119"/>
      <c r="B263" s="88"/>
      <c r="C263" s="52"/>
      <c r="D263" s="52"/>
      <c r="E263" s="52"/>
      <c r="F263" s="52"/>
      <c r="G263" s="52"/>
      <c r="H263" s="52"/>
    </row>
    <row r="264" spans="1:8" ht="15.75">
      <c r="A264" s="119"/>
      <c r="B264" s="88"/>
      <c r="C264" s="52"/>
      <c r="D264" s="52"/>
      <c r="E264" s="52"/>
      <c r="F264" s="52"/>
      <c r="G264" s="52"/>
      <c r="H264" s="52"/>
    </row>
    <row r="265" spans="1:8" ht="15.75">
      <c r="A265" s="119"/>
      <c r="B265" s="88"/>
      <c r="C265" s="52"/>
      <c r="D265" s="52"/>
      <c r="E265" s="52"/>
      <c r="F265" s="52"/>
      <c r="G265" s="52"/>
      <c r="H265" s="52"/>
    </row>
    <row r="266" spans="1:8" ht="15.75">
      <c r="A266" s="119"/>
      <c r="B266" s="88"/>
      <c r="C266" s="52"/>
      <c r="D266" s="52"/>
      <c r="E266" s="52"/>
      <c r="F266" s="52"/>
      <c r="G266" s="52"/>
      <c r="H266" s="52"/>
    </row>
    <row r="267" spans="1:8" ht="15.75">
      <c r="A267" s="119"/>
      <c r="B267" s="88"/>
      <c r="C267" s="52"/>
      <c r="D267" s="52"/>
      <c r="E267" s="52"/>
      <c r="F267" s="52"/>
      <c r="G267" s="52"/>
      <c r="H267" s="52"/>
    </row>
    <row r="268" spans="1:8" ht="15.75">
      <c r="A268" s="119"/>
      <c r="B268" s="88"/>
      <c r="C268" s="52"/>
      <c r="D268" s="52"/>
      <c r="E268" s="52"/>
      <c r="F268" s="52"/>
      <c r="G268" s="52"/>
      <c r="H268" s="52"/>
    </row>
    <row r="269" spans="1:8" ht="15.75">
      <c r="A269" s="119"/>
      <c r="B269" s="88"/>
      <c r="C269" s="52"/>
      <c r="D269" s="52"/>
      <c r="E269" s="52"/>
      <c r="F269" s="52"/>
      <c r="G269" s="52"/>
      <c r="H269" s="52"/>
    </row>
    <row r="270" spans="1:8" ht="15.75">
      <c r="A270" s="119"/>
      <c r="B270" s="88"/>
      <c r="C270" s="52"/>
      <c r="D270" s="52"/>
      <c r="E270" s="52"/>
      <c r="F270" s="52"/>
      <c r="G270" s="52"/>
      <c r="H270" s="52"/>
    </row>
    <row r="271" spans="1:8" ht="15.75">
      <c r="A271" s="119"/>
      <c r="B271" s="88"/>
      <c r="C271" s="52"/>
      <c r="D271" s="52"/>
      <c r="E271" s="52"/>
      <c r="F271" s="52"/>
      <c r="G271" s="52"/>
      <c r="H271" s="52"/>
    </row>
    <row r="272" spans="1:8" ht="15.75">
      <c r="A272" s="119"/>
      <c r="B272" s="88"/>
      <c r="C272" s="52"/>
      <c r="D272" s="52"/>
      <c r="E272" s="52"/>
      <c r="F272" s="52"/>
      <c r="G272" s="52"/>
      <c r="H272" s="52"/>
    </row>
    <row r="273" spans="1:8" ht="15.75">
      <c r="A273" s="119"/>
      <c r="B273" s="88"/>
      <c r="C273" s="52"/>
      <c r="D273" s="52"/>
      <c r="E273" s="52"/>
      <c r="F273" s="52"/>
      <c r="G273" s="52"/>
      <c r="H273" s="52"/>
    </row>
    <row r="274" spans="1:8" ht="15.75">
      <c r="A274" s="119"/>
      <c r="B274" s="88"/>
      <c r="C274" s="52"/>
      <c r="D274" s="52"/>
      <c r="E274" s="52"/>
      <c r="F274" s="52"/>
      <c r="G274" s="52"/>
      <c r="H274" s="52"/>
    </row>
    <row r="275" spans="1:8" ht="15.75">
      <c r="A275" s="119"/>
      <c r="B275" s="88"/>
      <c r="C275" s="52"/>
      <c r="D275" s="52"/>
      <c r="E275" s="52"/>
      <c r="F275" s="52"/>
      <c r="G275" s="52"/>
      <c r="H275" s="52"/>
    </row>
    <row r="276" spans="1:8" ht="15.75">
      <c r="A276" s="119"/>
      <c r="B276" s="88"/>
      <c r="C276" s="52"/>
      <c r="D276" s="52"/>
      <c r="E276" s="52"/>
      <c r="F276" s="52"/>
      <c r="G276" s="52"/>
      <c r="H276" s="52"/>
    </row>
    <row r="277" spans="1:8" ht="15.75">
      <c r="A277" s="119"/>
      <c r="B277" s="88"/>
      <c r="C277" s="52"/>
      <c r="D277" s="52"/>
      <c r="E277" s="52"/>
      <c r="F277" s="52"/>
      <c r="G277" s="52"/>
      <c r="H277" s="52"/>
    </row>
    <row r="278" spans="1:8" ht="15.75">
      <c r="A278" s="119"/>
      <c r="B278" s="88"/>
      <c r="C278" s="52"/>
      <c r="D278" s="52"/>
      <c r="E278" s="52"/>
      <c r="F278" s="52"/>
      <c r="G278" s="52"/>
      <c r="H278" s="52"/>
    </row>
    <row r="279" spans="1:8" ht="15.75">
      <c r="A279" s="119"/>
      <c r="B279" s="88"/>
      <c r="C279" s="52"/>
      <c r="D279" s="52"/>
      <c r="E279" s="52"/>
      <c r="F279" s="52"/>
      <c r="G279" s="52"/>
      <c r="H279" s="52"/>
    </row>
    <row r="280" spans="1:8" ht="15.75">
      <c r="A280" s="119"/>
      <c r="B280" s="88"/>
      <c r="C280" s="52"/>
      <c r="D280" s="52"/>
      <c r="E280" s="52"/>
      <c r="F280" s="52"/>
      <c r="G280" s="52"/>
      <c r="H280" s="52"/>
    </row>
    <row r="281" spans="1:8" ht="15.75">
      <c r="A281" s="119"/>
      <c r="B281" s="88"/>
      <c r="C281" s="52"/>
      <c r="D281" s="52"/>
      <c r="E281" s="52"/>
      <c r="F281" s="52"/>
      <c r="G281" s="52"/>
      <c r="H281" s="52"/>
    </row>
    <row r="282" spans="1:8" ht="15.75">
      <c r="A282" s="119"/>
      <c r="B282" s="88"/>
      <c r="C282" s="52"/>
      <c r="D282" s="52"/>
      <c r="E282" s="52"/>
      <c r="F282" s="52"/>
      <c r="G282" s="52"/>
      <c r="H282" s="52"/>
    </row>
    <row r="283" spans="1:8" ht="15.75">
      <c r="A283" s="119"/>
      <c r="B283" s="88"/>
      <c r="C283" s="52"/>
      <c r="D283" s="52"/>
      <c r="E283" s="52"/>
      <c r="F283" s="52"/>
      <c r="G283" s="52"/>
      <c r="H283" s="52"/>
    </row>
    <row r="284" spans="1:8" ht="15.75">
      <c r="A284" s="119"/>
      <c r="B284" s="88"/>
      <c r="C284" s="52"/>
      <c r="D284" s="52"/>
      <c r="E284" s="52"/>
      <c r="F284" s="52"/>
      <c r="G284" s="52"/>
      <c r="H284" s="52"/>
    </row>
    <row r="285" spans="1:8" ht="15.75">
      <c r="A285" s="119"/>
      <c r="B285" s="88"/>
      <c r="C285" s="52"/>
      <c r="D285" s="52"/>
      <c r="E285" s="52"/>
      <c r="F285" s="52"/>
      <c r="G285" s="52"/>
      <c r="H285" s="52"/>
    </row>
    <row r="286" spans="1:8" ht="15.75">
      <c r="A286" s="119"/>
      <c r="B286" s="88"/>
      <c r="C286" s="52"/>
      <c r="D286" s="52"/>
      <c r="E286" s="52"/>
      <c r="F286" s="52"/>
      <c r="G286" s="52"/>
      <c r="H286" s="52"/>
    </row>
    <row r="287" spans="1:8" ht="15.75">
      <c r="A287" s="119"/>
      <c r="B287" s="88"/>
      <c r="C287" s="52"/>
      <c r="D287" s="52"/>
      <c r="E287" s="52"/>
      <c r="F287" s="52"/>
      <c r="G287" s="52"/>
      <c r="H287" s="52"/>
    </row>
    <row r="288" spans="1:8" ht="15.75">
      <c r="A288" s="119"/>
      <c r="B288" s="88"/>
      <c r="C288" s="52"/>
      <c r="D288" s="52"/>
      <c r="E288" s="52"/>
      <c r="F288" s="52"/>
      <c r="G288" s="52"/>
      <c r="H288" s="52"/>
    </row>
    <row r="289" spans="1:8" ht="15.75">
      <c r="A289" s="119"/>
      <c r="B289" s="88"/>
      <c r="C289" s="52"/>
      <c r="D289" s="52"/>
      <c r="E289" s="52"/>
      <c r="F289" s="52"/>
      <c r="G289" s="52"/>
      <c r="H289" s="52"/>
    </row>
    <row r="290" spans="1:8" ht="15.75">
      <c r="A290" s="119"/>
      <c r="B290" s="88"/>
      <c r="C290" s="52"/>
      <c r="D290" s="52"/>
      <c r="E290" s="52"/>
      <c r="F290" s="52"/>
      <c r="G290" s="52"/>
      <c r="H290" s="52"/>
    </row>
    <row r="291" spans="1:8" ht="15.75">
      <c r="A291" s="119"/>
      <c r="B291" s="88"/>
      <c r="C291" s="52"/>
      <c r="D291" s="52"/>
      <c r="E291" s="52"/>
      <c r="F291" s="52"/>
      <c r="G291" s="52"/>
      <c r="H291" s="52"/>
    </row>
    <row r="292" spans="1:8" ht="15.75">
      <c r="A292" s="119"/>
      <c r="B292" s="88"/>
      <c r="C292" s="52"/>
      <c r="D292" s="52"/>
      <c r="E292" s="52"/>
      <c r="F292" s="52"/>
      <c r="G292" s="52"/>
      <c r="H292" s="52"/>
    </row>
    <row r="293" spans="1:8" ht="15.75">
      <c r="A293" s="119"/>
      <c r="B293" s="88"/>
      <c r="C293" s="52"/>
      <c r="D293" s="52"/>
      <c r="E293" s="52"/>
      <c r="F293" s="52"/>
      <c r="G293" s="52"/>
      <c r="H293" s="52"/>
    </row>
    <row r="294" spans="1:8" ht="15.75">
      <c r="A294" s="119"/>
      <c r="B294" s="88"/>
      <c r="C294" s="52"/>
      <c r="D294" s="52"/>
      <c r="E294" s="52"/>
      <c r="F294" s="52"/>
      <c r="G294" s="52"/>
      <c r="H294" s="52"/>
    </row>
    <row r="295" spans="1:8" ht="15.75">
      <c r="A295" s="119"/>
      <c r="B295" s="88"/>
      <c r="C295" s="52"/>
      <c r="D295" s="52"/>
      <c r="E295" s="52"/>
      <c r="F295" s="52"/>
      <c r="G295" s="52"/>
      <c r="H295" s="52"/>
    </row>
    <row r="296" spans="1:8" ht="15.75">
      <c r="A296" s="119"/>
      <c r="B296" s="88"/>
      <c r="C296" s="52"/>
      <c r="D296" s="52"/>
      <c r="E296" s="52"/>
      <c r="F296" s="52"/>
      <c r="G296" s="52"/>
      <c r="H296" s="52"/>
    </row>
    <row r="297" spans="1:8" ht="15.75">
      <c r="A297" s="119"/>
      <c r="B297" s="88"/>
      <c r="C297" s="52"/>
      <c r="D297" s="52"/>
      <c r="E297" s="52"/>
      <c r="F297" s="52"/>
      <c r="G297" s="52"/>
      <c r="H297" s="52"/>
    </row>
    <row r="298" spans="1:8" ht="15.75">
      <c r="A298" s="119"/>
      <c r="B298" s="88"/>
      <c r="C298" s="52"/>
      <c r="D298" s="52"/>
      <c r="E298" s="52"/>
      <c r="F298" s="52"/>
      <c r="G298" s="52"/>
      <c r="H298" s="52"/>
    </row>
    <row r="299" spans="1:8" ht="15.75">
      <c r="A299" s="119"/>
      <c r="B299" s="88"/>
      <c r="C299" s="52"/>
      <c r="D299" s="52"/>
      <c r="E299" s="52"/>
      <c r="F299" s="52"/>
      <c r="G299" s="52"/>
      <c r="H299" s="52"/>
    </row>
    <row r="300" spans="1:8" ht="15.75">
      <c r="A300" s="119"/>
      <c r="B300" s="88"/>
      <c r="C300" s="52"/>
      <c r="D300" s="52"/>
      <c r="E300" s="52"/>
      <c r="F300" s="52"/>
      <c r="G300" s="52"/>
      <c r="H300" s="52"/>
    </row>
    <row r="301" spans="1:8" ht="15.75">
      <c r="A301" s="119"/>
      <c r="B301" s="88"/>
      <c r="C301" s="52"/>
      <c r="D301" s="52"/>
      <c r="E301" s="52"/>
      <c r="F301" s="52"/>
      <c r="G301" s="52"/>
      <c r="H301" s="52"/>
    </row>
    <row r="302" spans="1:8" ht="15.75">
      <c r="A302" s="119"/>
      <c r="B302" s="88"/>
      <c r="C302" s="52"/>
      <c r="D302" s="52"/>
      <c r="E302" s="52"/>
      <c r="F302" s="52"/>
      <c r="G302" s="52"/>
      <c r="H302" s="52"/>
    </row>
    <row r="303" spans="1:8" ht="15.75">
      <c r="A303" s="119"/>
      <c r="B303" s="88"/>
      <c r="C303" s="52"/>
      <c r="D303" s="52"/>
      <c r="E303" s="52"/>
      <c r="F303" s="52"/>
      <c r="G303" s="52"/>
      <c r="H303" s="52"/>
    </row>
    <row r="304" spans="1:8" ht="15.75">
      <c r="A304" s="119"/>
      <c r="B304" s="88"/>
      <c r="C304" s="52"/>
      <c r="D304" s="52"/>
      <c r="E304" s="52"/>
      <c r="F304" s="52"/>
      <c r="G304" s="52"/>
      <c r="H304" s="52"/>
    </row>
    <row r="305" spans="1:8" ht="15.75">
      <c r="A305" s="119"/>
      <c r="B305" s="88"/>
      <c r="C305" s="52"/>
      <c r="D305" s="52"/>
      <c r="E305" s="52"/>
      <c r="F305" s="52"/>
      <c r="G305" s="52"/>
      <c r="H305" s="52"/>
    </row>
    <row r="306" spans="1:8" ht="15.75">
      <c r="A306" s="119"/>
      <c r="B306" s="88"/>
      <c r="C306" s="52"/>
      <c r="D306" s="52"/>
      <c r="E306" s="52"/>
      <c r="F306" s="52"/>
      <c r="G306" s="52"/>
      <c r="H306" s="52"/>
    </row>
    <row r="307" spans="1:8" ht="15.75">
      <c r="A307" s="119"/>
      <c r="B307" s="88"/>
      <c r="C307" s="52"/>
      <c r="D307" s="52"/>
      <c r="E307" s="52"/>
      <c r="F307" s="52"/>
      <c r="G307" s="52"/>
      <c r="H307" s="52"/>
    </row>
    <row r="308" spans="1:8" ht="15.75">
      <c r="A308" s="119"/>
      <c r="B308" s="88"/>
      <c r="C308" s="52"/>
      <c r="D308" s="52"/>
      <c r="E308" s="52"/>
      <c r="F308" s="52"/>
      <c r="G308" s="52"/>
      <c r="H308" s="52"/>
    </row>
    <row r="309" spans="1:8" ht="15.75">
      <c r="A309" s="119"/>
      <c r="B309" s="88"/>
      <c r="C309" s="52"/>
      <c r="D309" s="52"/>
      <c r="E309" s="52"/>
      <c r="F309" s="52"/>
      <c r="G309" s="52"/>
      <c r="H309" s="52"/>
    </row>
    <row r="310" spans="1:8" ht="15.75">
      <c r="A310" s="119"/>
      <c r="B310" s="88"/>
      <c r="C310" s="52"/>
      <c r="D310" s="52"/>
      <c r="E310" s="52"/>
      <c r="F310" s="52"/>
      <c r="G310" s="52"/>
      <c r="H310" s="52"/>
    </row>
    <row r="311" spans="1:8" ht="15.75">
      <c r="A311" s="119"/>
      <c r="B311" s="88"/>
      <c r="C311" s="52"/>
      <c r="D311" s="52"/>
      <c r="E311" s="52"/>
      <c r="F311" s="52"/>
      <c r="G311" s="52"/>
      <c r="H311" s="52"/>
    </row>
    <row r="312" spans="1:8" ht="15.75">
      <c r="A312" s="119"/>
      <c r="B312" s="88"/>
      <c r="C312" s="52"/>
      <c r="D312" s="52"/>
      <c r="E312" s="52"/>
      <c r="F312" s="52"/>
      <c r="G312" s="52"/>
      <c r="H312" s="52"/>
    </row>
    <row r="313" spans="1:8" ht="15.75">
      <c r="A313" s="119"/>
      <c r="B313" s="88"/>
      <c r="C313" s="52"/>
      <c r="D313" s="52"/>
      <c r="E313" s="52"/>
      <c r="F313" s="52"/>
      <c r="G313" s="52"/>
      <c r="H313" s="52"/>
    </row>
    <row r="314" spans="1:8" ht="15.75">
      <c r="A314" s="119"/>
      <c r="B314" s="88"/>
      <c r="C314" s="52"/>
      <c r="D314" s="52"/>
      <c r="E314" s="52"/>
      <c r="F314" s="52"/>
      <c r="G314" s="52"/>
      <c r="H314" s="52"/>
    </row>
    <row r="315" spans="1:8" ht="15.75">
      <c r="A315" s="119"/>
      <c r="B315" s="88"/>
      <c r="C315" s="52"/>
      <c r="D315" s="52"/>
      <c r="E315" s="52"/>
      <c r="F315" s="52"/>
      <c r="G315" s="52"/>
      <c r="H315" s="52"/>
    </row>
    <row r="316" spans="1:8" ht="15.75">
      <c r="A316" s="119"/>
      <c r="B316" s="88"/>
      <c r="C316" s="52"/>
      <c r="D316" s="52"/>
      <c r="E316" s="52"/>
      <c r="F316" s="52"/>
      <c r="G316" s="52"/>
      <c r="H316" s="52"/>
    </row>
    <row r="317" spans="1:8" ht="15.75">
      <c r="A317" s="119"/>
      <c r="B317" s="88"/>
      <c r="C317" s="52"/>
      <c r="D317" s="52"/>
      <c r="E317" s="52"/>
      <c r="F317" s="52"/>
      <c r="G317" s="52"/>
      <c r="H317" s="52"/>
    </row>
    <row r="318" spans="1:8" ht="15.75">
      <c r="A318" s="119"/>
      <c r="B318" s="88"/>
      <c r="C318" s="52"/>
      <c r="D318" s="52"/>
      <c r="E318" s="52"/>
      <c r="F318" s="52"/>
      <c r="G318" s="52"/>
      <c r="H318" s="52"/>
    </row>
    <row r="319" spans="1:8" ht="15.75">
      <c r="A319" s="119"/>
      <c r="B319" s="88"/>
      <c r="C319" s="52"/>
      <c r="D319" s="52"/>
      <c r="E319" s="52"/>
      <c r="F319" s="52"/>
      <c r="G319" s="52"/>
      <c r="H319" s="52"/>
    </row>
    <row r="320" spans="1:8" ht="15.75">
      <c r="A320" s="119"/>
      <c r="B320" s="88"/>
      <c r="C320" s="52"/>
      <c r="D320" s="52"/>
      <c r="E320" s="52"/>
      <c r="F320" s="52"/>
      <c r="G320" s="52"/>
      <c r="H320" s="52"/>
    </row>
    <row r="321" spans="1:8" ht="15.75">
      <c r="A321" s="119"/>
      <c r="B321" s="88"/>
      <c r="C321" s="52"/>
      <c r="D321" s="52"/>
      <c r="E321" s="52"/>
      <c r="F321" s="52"/>
      <c r="G321" s="52"/>
      <c r="H321" s="52"/>
    </row>
    <row r="322" spans="1:8" ht="15.75">
      <c r="A322" s="119"/>
      <c r="B322" s="88"/>
      <c r="C322" s="52"/>
      <c r="D322" s="52"/>
      <c r="E322" s="52"/>
      <c r="F322" s="52"/>
      <c r="G322" s="52"/>
      <c r="H322" s="52"/>
    </row>
    <row r="323" spans="1:8" ht="15.75">
      <c r="A323" s="119"/>
      <c r="B323" s="88"/>
      <c r="C323" s="52"/>
      <c r="D323" s="52"/>
      <c r="E323" s="52"/>
      <c r="F323" s="52"/>
      <c r="G323" s="52"/>
      <c r="H323" s="52"/>
    </row>
    <row r="324" spans="1:8" ht="15.75">
      <c r="A324" s="119"/>
      <c r="B324" s="88"/>
      <c r="C324" s="52"/>
      <c r="D324" s="52"/>
      <c r="E324" s="52"/>
      <c r="F324" s="52"/>
      <c r="G324" s="52"/>
      <c r="H324" s="52"/>
    </row>
    <row r="325" spans="1:8" ht="15.75">
      <c r="A325" s="119"/>
      <c r="B325" s="88"/>
      <c r="C325" s="52"/>
      <c r="D325" s="52"/>
      <c r="E325" s="52"/>
      <c r="F325" s="52"/>
      <c r="G325" s="52"/>
      <c r="H325" s="52"/>
    </row>
    <row r="326" spans="1:8" ht="15.75">
      <c r="A326" s="119"/>
      <c r="B326" s="88"/>
      <c r="C326" s="52"/>
      <c r="D326" s="52"/>
      <c r="E326" s="52"/>
      <c r="F326" s="52"/>
      <c r="G326" s="52"/>
      <c r="H326" s="52"/>
    </row>
    <row r="327" spans="1:8" ht="15.75">
      <c r="A327" s="119"/>
      <c r="B327" s="88"/>
      <c r="C327" s="52"/>
      <c r="D327" s="52"/>
      <c r="E327" s="52"/>
      <c r="F327" s="52"/>
      <c r="G327" s="52"/>
      <c r="H327" s="52"/>
    </row>
    <row r="328" spans="1:8" ht="15.75">
      <c r="A328" s="119"/>
      <c r="B328" s="88"/>
      <c r="C328" s="52"/>
      <c r="D328" s="52"/>
      <c r="E328" s="52"/>
      <c r="F328" s="52"/>
      <c r="G328" s="52"/>
      <c r="H328" s="52"/>
    </row>
    <row r="329" spans="1:8" ht="15.75">
      <c r="A329" s="119"/>
      <c r="B329" s="88"/>
      <c r="C329" s="52"/>
      <c r="D329" s="52"/>
      <c r="E329" s="52"/>
      <c r="F329" s="52"/>
      <c r="G329" s="52"/>
      <c r="H329" s="52"/>
    </row>
    <row r="330" spans="1:8" ht="15.75">
      <c r="A330" s="119"/>
      <c r="B330" s="88"/>
      <c r="C330" s="52"/>
      <c r="D330" s="52"/>
      <c r="E330" s="52"/>
      <c r="F330" s="52"/>
      <c r="G330" s="52"/>
      <c r="H330" s="52"/>
    </row>
    <row r="331" spans="1:8" ht="15.75">
      <c r="A331" s="119"/>
      <c r="B331" s="88"/>
      <c r="C331" s="52"/>
      <c r="D331" s="52"/>
      <c r="E331" s="52"/>
      <c r="F331" s="52"/>
      <c r="G331" s="52"/>
      <c r="H331" s="52"/>
    </row>
    <row r="332" spans="1:8" ht="15.75">
      <c r="A332" s="119"/>
      <c r="B332" s="88"/>
      <c r="C332" s="52"/>
      <c r="D332" s="52"/>
      <c r="E332" s="52"/>
      <c r="F332" s="52"/>
      <c r="G332" s="52"/>
      <c r="H332" s="52"/>
    </row>
    <row r="333" spans="1:8" ht="15.75">
      <c r="A333" s="119"/>
      <c r="B333" s="88"/>
      <c r="C333" s="52"/>
      <c r="D333" s="52"/>
      <c r="E333" s="52"/>
      <c r="F333" s="52"/>
      <c r="G333" s="52"/>
      <c r="H333" s="52"/>
    </row>
    <row r="334" spans="1:8" ht="15.75">
      <c r="A334" s="119"/>
      <c r="B334" s="88"/>
      <c r="C334" s="52"/>
      <c r="D334" s="52"/>
      <c r="E334" s="52"/>
      <c r="F334" s="52"/>
      <c r="G334" s="52"/>
      <c r="H334" s="52"/>
    </row>
    <row r="335" spans="1:8" ht="15.75">
      <c r="A335" s="119"/>
      <c r="B335" s="88"/>
      <c r="C335" s="52"/>
      <c r="D335" s="52"/>
      <c r="E335" s="52"/>
      <c r="F335" s="52"/>
      <c r="G335" s="52"/>
      <c r="H335" s="52"/>
    </row>
    <row r="336" spans="1:8" ht="15.75">
      <c r="A336" s="119"/>
      <c r="B336" s="88"/>
      <c r="C336" s="52"/>
      <c r="D336" s="52"/>
      <c r="E336" s="52"/>
      <c r="F336" s="52"/>
      <c r="G336" s="52"/>
      <c r="H336" s="52"/>
    </row>
    <row r="337" spans="1:8" ht="15.75">
      <c r="A337" s="119"/>
      <c r="B337" s="88"/>
      <c r="C337" s="52"/>
      <c r="D337" s="52"/>
      <c r="E337" s="52"/>
      <c r="F337" s="52"/>
      <c r="G337" s="52"/>
      <c r="H337" s="52"/>
    </row>
    <row r="338" spans="1:8" ht="15.75">
      <c r="A338" s="119"/>
      <c r="B338" s="88"/>
      <c r="C338" s="52"/>
      <c r="D338" s="52"/>
      <c r="E338" s="52"/>
      <c r="F338" s="52"/>
      <c r="G338" s="52"/>
      <c r="H338" s="52"/>
    </row>
    <row r="339" spans="1:8" ht="15.75">
      <c r="A339" s="119"/>
      <c r="B339" s="88"/>
      <c r="C339" s="52"/>
      <c r="D339" s="52"/>
      <c r="E339" s="52"/>
      <c r="F339" s="52"/>
      <c r="G339" s="52"/>
      <c r="H339" s="52"/>
    </row>
    <row r="340" spans="1:8" ht="15.75">
      <c r="A340" s="119"/>
      <c r="B340" s="88"/>
      <c r="C340" s="52"/>
      <c r="D340" s="52"/>
      <c r="E340" s="52"/>
      <c r="F340" s="52"/>
      <c r="G340" s="52"/>
      <c r="H340" s="52"/>
    </row>
    <row r="341" spans="1:8" ht="15.75">
      <c r="A341" s="119"/>
      <c r="B341" s="88"/>
      <c r="C341" s="52"/>
      <c r="D341" s="52"/>
      <c r="E341" s="52"/>
      <c r="F341" s="52"/>
      <c r="G341" s="52"/>
      <c r="H341" s="52"/>
    </row>
    <row r="342" spans="1:8" ht="15.75">
      <c r="A342" s="119"/>
      <c r="B342" s="88"/>
      <c r="C342" s="52"/>
      <c r="D342" s="52"/>
      <c r="E342" s="52"/>
      <c r="F342" s="52"/>
      <c r="G342" s="52"/>
      <c r="H342" s="52"/>
    </row>
    <row r="343" spans="1:8" ht="15.75">
      <c r="A343" s="119"/>
      <c r="B343" s="88"/>
      <c r="C343" s="52"/>
      <c r="D343" s="52"/>
      <c r="E343" s="52"/>
      <c r="F343" s="52"/>
      <c r="G343" s="52"/>
      <c r="H343" s="52"/>
    </row>
    <row r="344" spans="1:8" ht="15.75">
      <c r="A344" s="119"/>
      <c r="B344" s="88"/>
      <c r="C344" s="52"/>
      <c r="D344" s="52"/>
      <c r="E344" s="52"/>
      <c r="F344" s="52"/>
      <c r="G344" s="52"/>
      <c r="H344" s="52"/>
    </row>
    <row r="345" spans="1:8" ht="15.75">
      <c r="A345" s="119"/>
      <c r="B345" s="88"/>
      <c r="C345" s="52"/>
      <c r="D345" s="52"/>
      <c r="E345" s="52"/>
      <c r="F345" s="52"/>
      <c r="G345" s="52"/>
      <c r="H345" s="52"/>
    </row>
    <row r="346" spans="1:8" ht="15.75">
      <c r="A346" s="119"/>
      <c r="B346" s="88"/>
      <c r="C346" s="52"/>
      <c r="D346" s="52"/>
      <c r="E346" s="52"/>
      <c r="F346" s="52"/>
      <c r="G346" s="52"/>
      <c r="H346" s="52"/>
    </row>
    <row r="347" spans="1:8" ht="15.75">
      <c r="A347" s="119"/>
      <c r="B347" s="88"/>
      <c r="C347" s="52"/>
      <c r="D347" s="52"/>
      <c r="E347" s="52"/>
      <c r="F347" s="52"/>
      <c r="G347" s="52"/>
      <c r="H347" s="52"/>
    </row>
    <row r="348" spans="1:8" ht="15.75">
      <c r="A348" s="119"/>
      <c r="B348" s="88"/>
      <c r="C348" s="52"/>
      <c r="D348" s="52"/>
      <c r="E348" s="52"/>
      <c r="F348" s="52"/>
      <c r="G348" s="52"/>
      <c r="H348" s="52"/>
    </row>
    <row r="349" spans="1:8" ht="15.75">
      <c r="A349" s="119"/>
      <c r="B349" s="88"/>
      <c r="C349" s="52"/>
      <c r="D349" s="52"/>
      <c r="E349" s="52"/>
      <c r="F349" s="52"/>
      <c r="G349" s="52"/>
      <c r="H349" s="52"/>
    </row>
    <row r="350" spans="1:8" ht="15.75">
      <c r="A350" s="119"/>
      <c r="B350" s="88"/>
      <c r="C350" s="52"/>
      <c r="D350" s="52"/>
      <c r="E350" s="52"/>
      <c r="F350" s="52"/>
      <c r="G350" s="52"/>
      <c r="H350" s="52"/>
    </row>
    <row r="351" spans="1:8" ht="15.75">
      <c r="A351" s="119"/>
      <c r="B351" s="88"/>
      <c r="C351" s="52"/>
      <c r="D351" s="52"/>
      <c r="E351" s="52"/>
      <c r="F351" s="52"/>
      <c r="G351" s="52"/>
      <c r="H351" s="52"/>
    </row>
    <row r="352" spans="1:8" ht="15.75">
      <c r="A352" s="119"/>
      <c r="B352" s="88"/>
      <c r="C352" s="52"/>
      <c r="D352" s="52"/>
      <c r="E352" s="52"/>
      <c r="F352" s="52"/>
      <c r="G352" s="52"/>
      <c r="H352" s="52"/>
    </row>
    <row r="353" spans="1:8" ht="15.75">
      <c r="A353" s="119"/>
      <c r="B353" s="88"/>
      <c r="C353" s="52"/>
      <c r="D353" s="52"/>
      <c r="E353" s="52"/>
      <c r="F353" s="52"/>
      <c r="G353" s="52"/>
      <c r="H353" s="52"/>
    </row>
    <row r="354" spans="1:8" ht="15.75">
      <c r="A354" s="119"/>
      <c r="B354" s="88"/>
      <c r="C354" s="52"/>
      <c r="D354" s="52"/>
      <c r="E354" s="52"/>
      <c r="F354" s="52"/>
      <c r="G354" s="52"/>
      <c r="H354" s="52"/>
    </row>
    <row r="355" spans="1:8" ht="15.75">
      <c r="A355" s="119"/>
      <c r="B355" s="88"/>
      <c r="C355" s="52"/>
      <c r="D355" s="52"/>
      <c r="E355" s="52"/>
      <c r="F355" s="52"/>
      <c r="G355" s="52"/>
      <c r="H355" s="52"/>
    </row>
    <row r="356" spans="1:8" ht="15.75">
      <c r="A356" s="119"/>
      <c r="B356" s="88"/>
      <c r="C356" s="52"/>
      <c r="D356" s="52"/>
      <c r="E356" s="52"/>
      <c r="F356" s="52"/>
      <c r="G356" s="52"/>
      <c r="H356" s="52"/>
    </row>
    <row r="357" spans="1:8" ht="15.75">
      <c r="A357" s="119"/>
      <c r="B357" s="88"/>
      <c r="C357" s="52"/>
      <c r="D357" s="52"/>
      <c r="E357" s="52"/>
      <c r="F357" s="52"/>
      <c r="G357" s="52"/>
      <c r="H357" s="52"/>
    </row>
    <row r="358" spans="1:8" ht="15.75">
      <c r="A358" s="119"/>
      <c r="B358" s="88"/>
      <c r="C358" s="52"/>
      <c r="D358" s="52"/>
      <c r="E358" s="52"/>
      <c r="F358" s="52"/>
      <c r="G358" s="52"/>
      <c r="H358" s="52"/>
    </row>
    <row r="359" spans="1:8" ht="15.75">
      <c r="A359" s="119"/>
      <c r="B359" s="88"/>
      <c r="C359" s="52"/>
      <c r="D359" s="52"/>
      <c r="E359" s="52"/>
      <c r="F359" s="52"/>
      <c r="G359" s="52"/>
      <c r="H359" s="52"/>
    </row>
    <row r="360" spans="1:8" ht="15.75">
      <c r="A360" s="119"/>
      <c r="B360" s="88"/>
      <c r="C360" s="52"/>
      <c r="D360" s="52"/>
      <c r="E360" s="52"/>
      <c r="F360" s="52"/>
      <c r="G360" s="52"/>
      <c r="H360" s="52"/>
    </row>
    <row r="361" spans="1:8" ht="15.75">
      <c r="A361" s="119"/>
      <c r="B361" s="88"/>
      <c r="C361" s="52"/>
      <c r="D361" s="52"/>
      <c r="E361" s="52"/>
      <c r="F361" s="52"/>
      <c r="G361" s="52"/>
      <c r="H361" s="52"/>
    </row>
    <row r="362" spans="1:8" ht="15.75">
      <c r="A362" s="119"/>
      <c r="B362" s="88"/>
      <c r="C362" s="52"/>
      <c r="D362" s="52"/>
      <c r="E362" s="52"/>
      <c r="F362" s="52"/>
      <c r="G362" s="52"/>
      <c r="H362" s="52"/>
    </row>
    <row r="363" spans="1:8" ht="15.75">
      <c r="A363" s="119"/>
      <c r="B363" s="88"/>
      <c r="C363" s="52"/>
      <c r="D363" s="52"/>
      <c r="E363" s="52"/>
      <c r="F363" s="52"/>
      <c r="G363" s="52"/>
      <c r="H363" s="52"/>
    </row>
    <row r="364" spans="1:8" ht="15.75">
      <c r="A364" s="119"/>
      <c r="B364" s="88"/>
      <c r="C364" s="52"/>
      <c r="D364" s="52"/>
      <c r="E364" s="52"/>
      <c r="F364" s="52"/>
      <c r="G364" s="52"/>
      <c r="H364" s="52"/>
    </row>
    <row r="365" spans="1:8" ht="15.75">
      <c r="A365" s="119"/>
      <c r="B365" s="88"/>
      <c r="C365" s="52"/>
      <c r="D365" s="52"/>
      <c r="E365" s="52"/>
      <c r="F365" s="52"/>
      <c r="G365" s="52"/>
      <c r="H365" s="52"/>
    </row>
    <row r="366" spans="1:8" ht="15.75">
      <c r="A366" s="119"/>
      <c r="B366" s="88"/>
      <c r="C366" s="52"/>
      <c r="D366" s="52"/>
      <c r="E366" s="52"/>
      <c r="F366" s="52"/>
      <c r="G366" s="52"/>
      <c r="H366" s="52"/>
    </row>
    <row r="367" spans="1:8" ht="15.75">
      <c r="A367" s="119"/>
      <c r="B367" s="88"/>
      <c r="C367" s="52"/>
      <c r="D367" s="52"/>
      <c r="E367" s="52"/>
      <c r="F367" s="52"/>
      <c r="G367" s="52"/>
      <c r="H367" s="52"/>
    </row>
    <row r="368" spans="1:8" ht="15.75">
      <c r="A368" s="119"/>
      <c r="B368" s="88"/>
      <c r="C368" s="52"/>
      <c r="D368" s="52"/>
      <c r="E368" s="52"/>
      <c r="F368" s="52"/>
      <c r="G368" s="52"/>
      <c r="H368" s="52"/>
    </row>
    <row r="369" spans="1:8" ht="15.75">
      <c r="A369" s="119"/>
      <c r="B369" s="88"/>
      <c r="C369" s="52"/>
      <c r="D369" s="52"/>
      <c r="E369" s="52"/>
      <c r="F369" s="52"/>
      <c r="G369" s="52"/>
      <c r="H369" s="52"/>
    </row>
    <row r="370" spans="1:8" ht="15.75">
      <c r="A370" s="119"/>
      <c r="B370" s="88"/>
      <c r="C370" s="52"/>
      <c r="D370" s="52"/>
      <c r="E370" s="52"/>
      <c r="F370" s="52"/>
      <c r="G370" s="52"/>
      <c r="H370" s="52"/>
    </row>
    <row r="371" spans="1:8" ht="15.75">
      <c r="A371" s="119"/>
      <c r="B371" s="88"/>
      <c r="C371" s="52"/>
      <c r="D371" s="52"/>
      <c r="E371" s="52"/>
      <c r="F371" s="52"/>
      <c r="G371" s="52"/>
      <c r="H371" s="52"/>
    </row>
    <row r="372" spans="1:8" ht="15.75">
      <c r="A372" s="119"/>
      <c r="B372" s="88"/>
      <c r="C372" s="52"/>
      <c r="D372" s="52"/>
      <c r="E372" s="52"/>
      <c r="F372" s="52"/>
      <c r="G372" s="52"/>
      <c r="H372" s="52"/>
    </row>
    <row r="373" spans="1:8" ht="15.75">
      <c r="A373" s="119"/>
      <c r="B373" s="88"/>
      <c r="C373" s="52"/>
      <c r="D373" s="52"/>
      <c r="E373" s="52"/>
      <c r="F373" s="52"/>
      <c r="G373" s="52"/>
      <c r="H373" s="52"/>
    </row>
    <row r="374" spans="1:8" ht="15.75">
      <c r="A374" s="119"/>
      <c r="B374" s="88"/>
      <c r="C374" s="52"/>
      <c r="D374" s="52"/>
      <c r="E374" s="52"/>
      <c r="F374" s="52"/>
      <c r="G374" s="52"/>
      <c r="H374" s="52"/>
    </row>
    <row r="375" spans="1:8" ht="15.75">
      <c r="A375" s="119"/>
      <c r="B375" s="88"/>
      <c r="C375" s="52"/>
      <c r="D375" s="52"/>
      <c r="E375" s="52"/>
      <c r="F375" s="52"/>
      <c r="G375" s="52"/>
      <c r="H375" s="52"/>
    </row>
    <row r="376" spans="1:8" ht="15.75">
      <c r="A376" s="119"/>
      <c r="B376" s="88"/>
      <c r="C376" s="52"/>
      <c r="D376" s="52"/>
      <c r="E376" s="52"/>
      <c r="F376" s="52"/>
      <c r="G376" s="52"/>
      <c r="H376" s="52"/>
    </row>
    <row r="377" spans="1:8" ht="15.75">
      <c r="A377" s="119"/>
      <c r="B377" s="88"/>
      <c r="C377" s="52"/>
      <c r="D377" s="52"/>
      <c r="E377" s="52"/>
      <c r="F377" s="52"/>
      <c r="G377" s="52"/>
      <c r="H377" s="52"/>
    </row>
    <row r="378" spans="1:8" ht="15.75">
      <c r="A378" s="119"/>
      <c r="B378" s="88"/>
      <c r="C378" s="52"/>
      <c r="D378" s="52"/>
      <c r="E378" s="52"/>
      <c r="F378" s="52"/>
      <c r="G378" s="52"/>
      <c r="H378" s="52"/>
    </row>
    <row r="379" spans="1:8" ht="15.75">
      <c r="A379" s="119"/>
      <c r="B379" s="88"/>
      <c r="C379" s="52"/>
      <c r="D379" s="52"/>
      <c r="E379" s="52"/>
      <c r="F379" s="52"/>
      <c r="G379" s="52"/>
      <c r="H379" s="52"/>
    </row>
    <row r="380" spans="1:8" ht="15.75">
      <c r="A380" s="119"/>
      <c r="B380" s="88"/>
      <c r="C380" s="52"/>
      <c r="D380" s="52"/>
      <c r="E380" s="52"/>
      <c r="F380" s="52"/>
      <c r="G380" s="52"/>
      <c r="H380" s="52"/>
    </row>
    <row r="381" spans="1:8" ht="15.75">
      <c r="A381" s="119"/>
      <c r="B381" s="88"/>
      <c r="C381" s="52"/>
      <c r="D381" s="52"/>
      <c r="E381" s="52"/>
      <c r="F381" s="52"/>
      <c r="G381" s="52"/>
      <c r="H381" s="52"/>
    </row>
    <row r="382" spans="1:8" ht="15.75">
      <c r="A382" s="119"/>
      <c r="B382" s="88"/>
      <c r="C382" s="52"/>
      <c r="D382" s="52"/>
      <c r="E382" s="52"/>
      <c r="F382" s="52"/>
      <c r="G382" s="52"/>
      <c r="H382" s="52"/>
    </row>
    <row r="383" spans="1:8" ht="15.75">
      <c r="A383" s="119"/>
      <c r="B383" s="88"/>
      <c r="C383" s="52"/>
      <c r="D383" s="52"/>
      <c r="E383" s="52"/>
      <c r="F383" s="52"/>
      <c r="G383" s="52"/>
      <c r="H383" s="52"/>
    </row>
    <row r="384" spans="1:8" ht="15.75">
      <c r="A384" s="119"/>
      <c r="B384" s="88"/>
      <c r="C384" s="52"/>
      <c r="D384" s="52"/>
      <c r="E384" s="52"/>
      <c r="F384" s="52"/>
      <c r="G384" s="52"/>
      <c r="H384" s="52"/>
    </row>
    <row r="385" spans="1:8" ht="15.75">
      <c r="A385" s="119"/>
      <c r="B385" s="88"/>
      <c r="C385" s="52"/>
      <c r="D385" s="52"/>
      <c r="E385" s="52"/>
      <c r="F385" s="52"/>
      <c r="G385" s="52"/>
      <c r="H385" s="52"/>
    </row>
    <row r="386" spans="1:8" ht="15.75">
      <c r="A386" s="119"/>
      <c r="B386" s="88"/>
      <c r="C386" s="52"/>
      <c r="D386" s="52"/>
      <c r="E386" s="52"/>
      <c r="F386" s="52"/>
      <c r="G386" s="52"/>
      <c r="H386" s="52"/>
    </row>
    <row r="387" spans="1:8" ht="15.75">
      <c r="A387" s="119"/>
      <c r="B387" s="88"/>
      <c r="C387" s="52"/>
      <c r="D387" s="52"/>
      <c r="E387" s="52"/>
      <c r="F387" s="52"/>
      <c r="G387" s="52"/>
      <c r="H387" s="52"/>
    </row>
    <row r="388" spans="1:8" ht="15.75">
      <c r="A388" s="119"/>
      <c r="B388" s="88"/>
      <c r="C388" s="52"/>
      <c r="D388" s="52"/>
      <c r="E388" s="52"/>
      <c r="F388" s="52"/>
      <c r="G388" s="52"/>
      <c r="H388" s="52"/>
    </row>
    <row r="389" spans="1:8" ht="15.75">
      <c r="A389" s="119"/>
      <c r="B389" s="88"/>
      <c r="C389" s="52"/>
      <c r="D389" s="52"/>
      <c r="E389" s="52"/>
      <c r="F389" s="52"/>
      <c r="G389" s="52"/>
      <c r="H389" s="52"/>
    </row>
    <row r="390" spans="1:8" ht="15.75">
      <c r="A390" s="119"/>
      <c r="B390" s="88"/>
      <c r="C390" s="52"/>
      <c r="D390" s="52"/>
      <c r="E390" s="52"/>
      <c r="F390" s="52"/>
      <c r="G390" s="52"/>
      <c r="H390" s="52"/>
    </row>
    <row r="391" spans="1:8" ht="15.75">
      <c r="A391" s="119"/>
      <c r="B391" s="88"/>
      <c r="C391" s="52"/>
      <c r="D391" s="52"/>
      <c r="E391" s="52"/>
      <c r="F391" s="52"/>
      <c r="G391" s="52"/>
      <c r="H391" s="52"/>
    </row>
    <row r="392" spans="1:8" ht="15.75">
      <c r="A392" s="119"/>
      <c r="B392" s="88"/>
      <c r="C392" s="52"/>
      <c r="D392" s="52"/>
      <c r="E392" s="52"/>
      <c r="F392" s="52"/>
      <c r="G392" s="52"/>
      <c r="H392" s="52"/>
    </row>
    <row r="393" spans="1:8" ht="15.75">
      <c r="A393" s="119"/>
      <c r="B393" s="88"/>
      <c r="C393" s="52"/>
      <c r="D393" s="52"/>
      <c r="E393" s="52"/>
      <c r="F393" s="52"/>
      <c r="G393" s="52"/>
      <c r="H393" s="52"/>
    </row>
    <row r="394" spans="1:8" ht="15.75">
      <c r="A394" s="119"/>
      <c r="B394" s="88"/>
      <c r="C394" s="52"/>
      <c r="D394" s="52"/>
      <c r="E394" s="52"/>
      <c r="F394" s="52"/>
      <c r="G394" s="52"/>
      <c r="H394" s="52"/>
    </row>
    <row r="395" spans="1:8" ht="15.75">
      <c r="A395" s="119"/>
      <c r="B395" s="88"/>
      <c r="C395" s="52"/>
      <c r="D395" s="52"/>
      <c r="E395" s="52"/>
      <c r="F395" s="52"/>
      <c r="G395" s="52"/>
      <c r="H395" s="52"/>
    </row>
    <row r="396" spans="1:8" ht="15.75">
      <c r="A396" s="119"/>
      <c r="B396" s="88"/>
      <c r="C396" s="52"/>
      <c r="D396" s="52"/>
      <c r="E396" s="52"/>
      <c r="F396" s="52"/>
      <c r="G396" s="52"/>
      <c r="H396" s="52"/>
    </row>
    <row r="397" spans="1:8" ht="15.75">
      <c r="A397" s="119"/>
      <c r="B397" s="88"/>
      <c r="C397" s="52"/>
      <c r="D397" s="52"/>
      <c r="E397" s="52"/>
      <c r="F397" s="52"/>
      <c r="G397" s="52"/>
      <c r="H397" s="52"/>
    </row>
    <row r="398" spans="1:8" ht="15.75">
      <c r="A398" s="119"/>
      <c r="B398" s="88"/>
      <c r="C398" s="52"/>
      <c r="D398" s="52"/>
      <c r="E398" s="52"/>
      <c r="F398" s="52"/>
      <c r="G398" s="52"/>
      <c r="H398" s="52"/>
    </row>
    <row r="399" spans="1:8" ht="15.75">
      <c r="A399" s="119"/>
      <c r="B399" s="88"/>
      <c r="C399" s="52"/>
      <c r="D399" s="52"/>
      <c r="E399" s="52"/>
      <c r="F399" s="52"/>
      <c r="G399" s="52"/>
      <c r="H399" s="52"/>
    </row>
    <row r="400" spans="1:8" ht="15.75">
      <c r="A400" s="119"/>
      <c r="B400" s="88"/>
      <c r="C400" s="52"/>
      <c r="D400" s="52"/>
      <c r="E400" s="52"/>
      <c r="F400" s="52"/>
      <c r="G400" s="52"/>
      <c r="H400" s="52"/>
    </row>
    <row r="401" spans="1:8" ht="15.75">
      <c r="A401" s="119"/>
      <c r="B401" s="88"/>
      <c r="C401" s="52"/>
      <c r="D401" s="52"/>
      <c r="E401" s="52"/>
      <c r="F401" s="52"/>
      <c r="G401" s="52"/>
      <c r="H401" s="52"/>
    </row>
    <row r="402" spans="1:8" ht="15.75">
      <c r="A402" s="119"/>
      <c r="B402" s="88"/>
      <c r="C402" s="52"/>
      <c r="D402" s="52"/>
      <c r="E402" s="52"/>
      <c r="F402" s="52"/>
      <c r="G402" s="52"/>
      <c r="H402" s="52"/>
    </row>
    <row r="403" spans="1:8" ht="15.75">
      <c r="A403" s="119"/>
      <c r="B403" s="88"/>
      <c r="C403" s="52"/>
      <c r="D403" s="52"/>
      <c r="E403" s="52"/>
      <c r="F403" s="52"/>
      <c r="G403" s="52"/>
      <c r="H403" s="52"/>
    </row>
    <row r="404" spans="1:8" ht="15.75">
      <c r="A404" s="119"/>
      <c r="B404" s="88"/>
      <c r="C404" s="52"/>
      <c r="D404" s="52"/>
      <c r="E404" s="52"/>
      <c r="F404" s="52"/>
      <c r="G404" s="52"/>
      <c r="H404" s="52"/>
    </row>
    <row r="405" spans="1:8" ht="15.75">
      <c r="A405" s="119"/>
      <c r="B405" s="88"/>
      <c r="C405" s="52"/>
      <c r="D405" s="52"/>
      <c r="E405" s="52"/>
      <c r="F405" s="52"/>
      <c r="G405" s="52"/>
      <c r="H405" s="52"/>
    </row>
    <row r="406" spans="1:8" ht="15.75">
      <c r="A406" s="119"/>
      <c r="B406" s="88"/>
      <c r="C406" s="52"/>
      <c r="D406" s="52"/>
      <c r="E406" s="52"/>
      <c r="F406" s="52"/>
      <c r="G406" s="52"/>
      <c r="H406" s="52"/>
    </row>
    <row r="407" spans="1:8" ht="15.75">
      <c r="A407" s="119"/>
      <c r="B407" s="88"/>
      <c r="C407" s="52"/>
      <c r="D407" s="52"/>
      <c r="E407" s="52"/>
      <c r="F407" s="52"/>
      <c r="G407" s="52"/>
      <c r="H407" s="52"/>
    </row>
    <row r="408" spans="1:8" ht="15.75">
      <c r="A408" s="119"/>
      <c r="B408" s="88"/>
      <c r="C408" s="52"/>
      <c r="D408" s="52"/>
      <c r="E408" s="52"/>
      <c r="F408" s="52"/>
      <c r="G408" s="52"/>
      <c r="H408" s="52"/>
    </row>
    <row r="409" spans="1:8" ht="15.75">
      <c r="A409" s="119"/>
      <c r="B409" s="88"/>
      <c r="C409" s="52"/>
      <c r="D409" s="52"/>
      <c r="E409" s="52"/>
      <c r="F409" s="52"/>
      <c r="G409" s="52"/>
      <c r="H409" s="52"/>
    </row>
    <row r="410" spans="1:8" ht="15.75">
      <c r="A410" s="119"/>
      <c r="B410" s="88"/>
      <c r="C410" s="52"/>
      <c r="D410" s="52"/>
      <c r="E410" s="52"/>
      <c r="F410" s="52"/>
      <c r="G410" s="52"/>
      <c r="H410" s="52"/>
    </row>
    <row r="411" spans="1:8" ht="15.75">
      <c r="A411" s="119"/>
      <c r="B411" s="88"/>
      <c r="C411" s="52"/>
      <c r="D411" s="52"/>
      <c r="E411" s="52"/>
      <c r="F411" s="52"/>
      <c r="G411" s="52"/>
      <c r="H411" s="52"/>
    </row>
    <row r="412" spans="1:8" ht="15.75">
      <c r="A412" s="119"/>
      <c r="B412" s="88"/>
      <c r="C412" s="52"/>
      <c r="D412" s="52"/>
      <c r="E412" s="52"/>
      <c r="F412" s="52"/>
      <c r="G412" s="52"/>
      <c r="H412" s="52"/>
    </row>
    <row r="413" spans="1:8" ht="15.75">
      <c r="A413" s="119"/>
      <c r="B413" s="88"/>
      <c r="C413" s="52"/>
      <c r="D413" s="52"/>
      <c r="E413" s="52"/>
      <c r="F413" s="52"/>
      <c r="G413" s="52"/>
      <c r="H413" s="52"/>
    </row>
    <row r="414" spans="1:8" ht="15.75">
      <c r="A414" s="119"/>
      <c r="B414" s="88"/>
      <c r="C414" s="52"/>
      <c r="D414" s="52"/>
      <c r="E414" s="52"/>
      <c r="F414" s="52"/>
      <c r="G414" s="52"/>
      <c r="H414" s="52"/>
    </row>
    <row r="415" spans="1:8" ht="15.75">
      <c r="A415" s="119"/>
      <c r="B415" s="88"/>
      <c r="C415" s="52"/>
      <c r="D415" s="52"/>
      <c r="E415" s="52"/>
      <c r="F415" s="52"/>
      <c r="G415" s="52"/>
      <c r="H415" s="52"/>
    </row>
    <row r="416" spans="1:8" ht="15.75">
      <c r="A416" s="119"/>
      <c r="B416" s="88"/>
      <c r="C416" s="52"/>
      <c r="D416" s="52"/>
      <c r="E416" s="52"/>
      <c r="F416" s="52"/>
      <c r="G416" s="52"/>
      <c r="H416" s="52"/>
    </row>
    <row r="417" spans="1:8" ht="15.75">
      <c r="A417" s="119"/>
      <c r="B417" s="88"/>
      <c r="C417" s="52"/>
      <c r="D417" s="52"/>
      <c r="E417" s="52"/>
      <c r="F417" s="52"/>
      <c r="G417" s="52"/>
      <c r="H417" s="52"/>
    </row>
    <row r="418" spans="1:8" ht="15.75">
      <c r="A418" s="119"/>
      <c r="B418" s="88"/>
      <c r="C418" s="52"/>
      <c r="D418" s="52"/>
      <c r="E418" s="52"/>
      <c r="F418" s="52"/>
      <c r="G418" s="52"/>
      <c r="H418" s="52"/>
    </row>
    <row r="419" spans="1:8" ht="15.75">
      <c r="A419" s="119"/>
      <c r="B419" s="88"/>
      <c r="C419" s="52"/>
      <c r="D419" s="52"/>
      <c r="E419" s="52"/>
      <c r="F419" s="52"/>
      <c r="G419" s="52"/>
      <c r="H419" s="52"/>
    </row>
    <row r="420" spans="1:8" ht="15.75">
      <c r="A420" s="119"/>
      <c r="B420" s="88"/>
      <c r="C420" s="52"/>
      <c r="D420" s="52"/>
      <c r="E420" s="52"/>
      <c r="F420" s="52"/>
      <c r="G420" s="52"/>
      <c r="H420" s="52"/>
    </row>
    <row r="421" spans="1:8" ht="15.75">
      <c r="A421" s="119"/>
      <c r="B421" s="88"/>
      <c r="C421" s="52"/>
      <c r="D421" s="52"/>
      <c r="E421" s="52"/>
      <c r="F421" s="52"/>
      <c r="G421" s="52"/>
      <c r="H421" s="52"/>
    </row>
    <row r="422" spans="1:8" ht="15.75">
      <c r="A422" s="119"/>
      <c r="B422" s="88"/>
      <c r="C422" s="52"/>
      <c r="D422" s="52"/>
      <c r="E422" s="52"/>
      <c r="F422" s="52"/>
      <c r="G422" s="52"/>
      <c r="H422" s="52"/>
    </row>
    <row r="423" spans="1:8" ht="15.75">
      <c r="A423" s="119"/>
      <c r="B423" s="88"/>
      <c r="C423" s="52"/>
      <c r="D423" s="52"/>
      <c r="E423" s="52"/>
      <c r="F423" s="52"/>
      <c r="G423" s="52"/>
      <c r="H423" s="52"/>
    </row>
    <row r="424" spans="1:8" ht="15.75">
      <c r="A424" s="119"/>
      <c r="B424" s="88"/>
      <c r="C424" s="52"/>
      <c r="D424" s="52"/>
      <c r="E424" s="52"/>
      <c r="F424" s="52"/>
      <c r="G424" s="52"/>
      <c r="H424" s="52"/>
    </row>
    <row r="425" spans="1:8" ht="15.75">
      <c r="A425" s="119"/>
      <c r="B425" s="88"/>
      <c r="C425" s="52"/>
      <c r="D425" s="52"/>
      <c r="E425" s="52"/>
      <c r="F425" s="52"/>
      <c r="G425" s="52"/>
      <c r="H425" s="52"/>
    </row>
    <row r="426" spans="1:8" ht="15.75">
      <c r="A426" s="119"/>
      <c r="B426" s="88"/>
      <c r="C426" s="52"/>
      <c r="D426" s="52"/>
      <c r="E426" s="52"/>
      <c r="F426" s="52"/>
      <c r="G426" s="52"/>
      <c r="H426" s="52"/>
    </row>
    <row r="427" spans="1:8" ht="15.75">
      <c r="A427" s="119"/>
      <c r="B427" s="88"/>
      <c r="C427" s="52"/>
      <c r="D427" s="52"/>
      <c r="E427" s="52"/>
      <c r="F427" s="52"/>
      <c r="G427" s="52"/>
      <c r="H427" s="52"/>
    </row>
    <row r="428" spans="1:8" ht="15.75">
      <c r="A428" s="119"/>
      <c r="B428" s="88"/>
      <c r="C428" s="52"/>
      <c r="D428" s="52"/>
      <c r="E428" s="52"/>
      <c r="F428" s="52"/>
      <c r="G428" s="52"/>
      <c r="H428" s="52"/>
    </row>
    <row r="429" spans="1:8" ht="15.75">
      <c r="A429" s="119"/>
      <c r="B429" s="88"/>
      <c r="C429" s="52"/>
      <c r="D429" s="52"/>
      <c r="E429" s="52"/>
      <c r="F429" s="52"/>
      <c r="G429" s="52"/>
      <c r="H429" s="52"/>
    </row>
    <row r="430" spans="1:8" ht="15.75">
      <c r="A430" s="119"/>
      <c r="B430" s="88"/>
      <c r="C430" s="52"/>
      <c r="D430" s="52"/>
      <c r="E430" s="52"/>
      <c r="F430" s="52"/>
      <c r="G430" s="52"/>
      <c r="H430" s="52"/>
    </row>
    <row r="431" spans="1:8" ht="15.75">
      <c r="A431" s="119"/>
      <c r="B431" s="88"/>
      <c r="C431" s="52"/>
      <c r="D431" s="52"/>
      <c r="E431" s="52"/>
      <c r="F431" s="52"/>
      <c r="G431" s="52"/>
      <c r="H431" s="52"/>
    </row>
    <row r="432" spans="1:8" ht="15.75">
      <c r="A432" s="119"/>
      <c r="B432" s="88"/>
      <c r="C432" s="52"/>
      <c r="D432" s="52"/>
      <c r="E432" s="52"/>
      <c r="F432" s="52"/>
      <c r="G432" s="52"/>
      <c r="H432" s="52"/>
    </row>
    <row r="433" spans="1:8" ht="15.75">
      <c r="A433" s="119"/>
      <c r="B433" s="88"/>
      <c r="C433" s="52"/>
      <c r="D433" s="52"/>
      <c r="E433" s="52"/>
      <c r="F433" s="52"/>
      <c r="G433" s="52"/>
      <c r="H433" s="52"/>
    </row>
    <row r="434" spans="1:8" ht="15.75">
      <c r="A434" s="119"/>
      <c r="B434" s="88"/>
      <c r="C434" s="52"/>
      <c r="D434" s="52"/>
      <c r="E434" s="52"/>
      <c r="F434" s="52"/>
      <c r="G434" s="52"/>
      <c r="H434" s="52"/>
    </row>
    <row r="435" spans="1:8" ht="15.75">
      <c r="A435" s="119"/>
      <c r="B435" s="88"/>
      <c r="C435" s="52"/>
      <c r="D435" s="52"/>
      <c r="E435" s="52"/>
      <c r="F435" s="52"/>
      <c r="G435" s="52"/>
      <c r="H435" s="52"/>
    </row>
    <row r="436" spans="1:8" ht="15.75">
      <c r="A436" s="119"/>
      <c r="B436" s="88"/>
      <c r="C436" s="52"/>
      <c r="D436" s="52"/>
      <c r="E436" s="52"/>
      <c r="F436" s="52"/>
      <c r="G436" s="52"/>
      <c r="H436" s="52"/>
    </row>
    <row r="437" spans="1:8" ht="15.75">
      <c r="A437" s="119"/>
      <c r="B437" s="88"/>
      <c r="C437" s="52"/>
      <c r="D437" s="52"/>
      <c r="E437" s="52"/>
      <c r="F437" s="52"/>
      <c r="G437" s="52"/>
      <c r="H437" s="52"/>
    </row>
    <row r="438" spans="1:8" ht="15.75">
      <c r="A438" s="119"/>
      <c r="B438" s="88"/>
      <c r="C438" s="52"/>
      <c r="D438" s="52"/>
      <c r="E438" s="52"/>
      <c r="F438" s="52"/>
      <c r="G438" s="52"/>
      <c r="H438" s="52"/>
    </row>
    <row r="439" spans="1:8" ht="15.75">
      <c r="A439" s="119"/>
      <c r="B439" s="88"/>
      <c r="C439" s="52"/>
      <c r="D439" s="52"/>
      <c r="E439" s="52"/>
      <c r="F439" s="52"/>
      <c r="G439" s="52"/>
      <c r="H439" s="52"/>
    </row>
    <row r="440" spans="1:8" ht="15.75">
      <c r="A440" s="119"/>
      <c r="B440" s="88"/>
      <c r="C440" s="52"/>
      <c r="D440" s="52"/>
      <c r="E440" s="52"/>
      <c r="F440" s="52"/>
      <c r="G440" s="52"/>
      <c r="H440" s="52"/>
    </row>
    <row r="441" spans="1:8" ht="15.75">
      <c r="A441" s="119"/>
      <c r="B441" s="88"/>
      <c r="C441" s="52"/>
      <c r="D441" s="52"/>
      <c r="E441" s="52"/>
      <c r="F441" s="52"/>
      <c r="G441" s="52"/>
      <c r="H441" s="52"/>
    </row>
    <row r="442" spans="1:8" ht="15.75">
      <c r="A442" s="119"/>
      <c r="B442" s="88"/>
      <c r="C442" s="52"/>
      <c r="D442" s="52"/>
      <c r="E442" s="52"/>
      <c r="F442" s="52"/>
      <c r="G442" s="52"/>
      <c r="H442" s="52"/>
    </row>
    <row r="443" spans="1:8" ht="15.75">
      <c r="A443" s="119"/>
      <c r="B443" s="88"/>
      <c r="C443" s="52"/>
      <c r="D443" s="52"/>
      <c r="E443" s="52"/>
      <c r="F443" s="52"/>
      <c r="G443" s="52"/>
      <c r="H443" s="52"/>
    </row>
    <row r="444" spans="1:8" ht="15.75">
      <c r="A444" s="119"/>
      <c r="B444" s="88"/>
      <c r="C444" s="52"/>
      <c r="D444" s="52"/>
      <c r="E444" s="52"/>
      <c r="F444" s="52"/>
      <c r="G444" s="52"/>
      <c r="H444" s="52"/>
    </row>
    <row r="445" spans="1:8" ht="15.75">
      <c r="A445" s="119"/>
      <c r="B445" s="88"/>
      <c r="C445" s="52"/>
      <c r="D445" s="52"/>
      <c r="E445" s="52"/>
      <c r="F445" s="52"/>
      <c r="G445" s="52"/>
      <c r="H445" s="52"/>
    </row>
    <row r="446" spans="1:8" ht="15.75">
      <c r="A446" s="119"/>
      <c r="B446" s="88"/>
      <c r="C446" s="52"/>
      <c r="D446" s="52"/>
      <c r="E446" s="52"/>
      <c r="F446" s="52"/>
      <c r="G446" s="52"/>
      <c r="H446" s="52"/>
    </row>
    <row r="447" spans="1:8" ht="15.75">
      <c r="A447" s="119"/>
      <c r="B447" s="88"/>
      <c r="C447" s="52"/>
      <c r="D447" s="52"/>
      <c r="E447" s="52"/>
      <c r="F447" s="52"/>
      <c r="G447" s="52"/>
      <c r="H447" s="52"/>
    </row>
    <row r="448" spans="1:8" ht="15.75">
      <c r="A448" s="119"/>
      <c r="B448" s="88"/>
      <c r="C448" s="52"/>
      <c r="D448" s="52"/>
      <c r="E448" s="52"/>
      <c r="F448" s="52"/>
      <c r="G448" s="52"/>
      <c r="H448" s="52"/>
    </row>
    <row r="449" spans="1:8" ht="15.75">
      <c r="A449" s="119"/>
      <c r="B449" s="88"/>
      <c r="C449" s="52"/>
      <c r="D449" s="52"/>
      <c r="E449" s="52"/>
      <c r="F449" s="52"/>
      <c r="G449" s="52"/>
      <c r="H449" s="52"/>
    </row>
    <row r="450" spans="1:8" ht="15.75">
      <c r="A450" s="119"/>
      <c r="B450" s="88"/>
      <c r="C450" s="52"/>
      <c r="D450" s="52"/>
      <c r="E450" s="52"/>
      <c r="F450" s="52"/>
      <c r="G450" s="52"/>
      <c r="H450" s="52"/>
    </row>
    <row r="451" spans="1:8" ht="15.75">
      <c r="A451" s="119"/>
      <c r="B451" s="88"/>
      <c r="C451" s="52"/>
      <c r="D451" s="52"/>
      <c r="E451" s="52"/>
      <c r="F451" s="52"/>
      <c r="G451" s="52"/>
      <c r="H451" s="52"/>
    </row>
    <row r="452" spans="1:8" ht="15.75">
      <c r="A452" s="119"/>
      <c r="B452" s="88"/>
      <c r="C452" s="52"/>
      <c r="D452" s="52"/>
      <c r="E452" s="52"/>
      <c r="F452" s="52"/>
      <c r="G452" s="52"/>
      <c r="H452" s="52"/>
    </row>
    <row r="453" spans="1:8" ht="15.75">
      <c r="A453" s="119"/>
      <c r="B453" s="88"/>
      <c r="C453" s="52"/>
      <c r="D453" s="52"/>
      <c r="E453" s="52"/>
      <c r="F453" s="52"/>
      <c r="G453" s="52"/>
      <c r="H453" s="52"/>
    </row>
    <row r="454" spans="1:8" ht="15.75">
      <c r="A454" s="119"/>
      <c r="B454" s="88"/>
      <c r="C454" s="52"/>
      <c r="D454" s="52"/>
      <c r="E454" s="52"/>
      <c r="F454" s="52"/>
      <c r="G454" s="52"/>
      <c r="H454" s="52"/>
    </row>
    <row r="455" spans="1:8" ht="15.75">
      <c r="A455" s="119"/>
      <c r="B455" s="88"/>
      <c r="C455" s="52"/>
      <c r="D455" s="52"/>
      <c r="E455" s="52"/>
      <c r="F455" s="52"/>
      <c r="G455" s="52"/>
      <c r="H455" s="52"/>
    </row>
    <row r="456" spans="1:8" ht="15.75">
      <c r="A456" s="119"/>
      <c r="B456" s="88"/>
      <c r="C456" s="52"/>
      <c r="D456" s="52"/>
      <c r="E456" s="52"/>
      <c r="F456" s="52"/>
      <c r="G456" s="52"/>
      <c r="H456" s="52"/>
    </row>
    <row r="457" spans="1:8" ht="15.75">
      <c r="A457" s="119"/>
      <c r="B457" s="88"/>
      <c r="C457" s="52"/>
      <c r="D457" s="52"/>
      <c r="E457" s="52"/>
      <c r="F457" s="52"/>
      <c r="G457" s="52"/>
      <c r="H457" s="52"/>
    </row>
    <row r="458" spans="1:8" ht="15.75">
      <c r="A458" s="119"/>
      <c r="B458" s="88"/>
      <c r="C458" s="52"/>
      <c r="D458" s="52"/>
      <c r="E458" s="52"/>
      <c r="F458" s="52"/>
      <c r="G458" s="52"/>
      <c r="H458" s="52"/>
    </row>
    <row r="459" spans="1:8" ht="15.75">
      <c r="A459" s="119"/>
      <c r="B459" s="88"/>
      <c r="C459" s="52"/>
      <c r="D459" s="52"/>
      <c r="E459" s="52"/>
      <c r="F459" s="52"/>
      <c r="G459" s="52"/>
      <c r="H459" s="52"/>
    </row>
    <row r="460" spans="1:8" ht="15.75">
      <c r="A460" s="119"/>
      <c r="B460" s="88"/>
      <c r="C460" s="52"/>
      <c r="D460" s="52"/>
      <c r="E460" s="52"/>
      <c r="F460" s="52"/>
      <c r="G460" s="52"/>
      <c r="H460" s="52"/>
    </row>
    <row r="461" spans="1:8" ht="15.75">
      <c r="A461" s="119"/>
      <c r="B461" s="88"/>
      <c r="C461" s="52"/>
      <c r="D461" s="52"/>
      <c r="E461" s="52"/>
      <c r="F461" s="52"/>
      <c r="G461" s="52"/>
      <c r="H461" s="52"/>
    </row>
    <row r="462" spans="1:8" ht="15.75">
      <c r="A462" s="119"/>
      <c r="B462" s="88"/>
      <c r="C462" s="52"/>
      <c r="D462" s="52"/>
      <c r="E462" s="52"/>
      <c r="F462" s="52"/>
      <c r="G462" s="52"/>
      <c r="H462" s="52"/>
    </row>
    <row r="463" spans="1:8" ht="15.75">
      <c r="A463" s="119"/>
      <c r="B463" s="88"/>
      <c r="C463" s="52"/>
      <c r="D463" s="52"/>
      <c r="E463" s="52"/>
      <c r="F463" s="52"/>
      <c r="G463" s="52"/>
      <c r="H463" s="52"/>
    </row>
    <row r="464" spans="1:8" ht="15.75">
      <c r="A464" s="119"/>
      <c r="B464" s="88"/>
      <c r="C464" s="52"/>
      <c r="D464" s="52"/>
      <c r="E464" s="52"/>
      <c r="F464" s="52"/>
      <c r="G464" s="52"/>
      <c r="H464" s="52"/>
    </row>
    <row r="465" spans="1:8" ht="15.75">
      <c r="A465" s="119"/>
      <c r="B465" s="88"/>
      <c r="C465" s="52"/>
      <c r="D465" s="52"/>
      <c r="E465" s="52"/>
      <c r="F465" s="52"/>
      <c r="G465" s="52"/>
      <c r="H465" s="52"/>
    </row>
    <row r="466" spans="1:8" ht="15.75">
      <c r="A466" s="119"/>
      <c r="B466" s="88"/>
      <c r="C466" s="52"/>
      <c r="D466" s="52"/>
      <c r="E466" s="52"/>
      <c r="F466" s="52"/>
      <c r="G466" s="52"/>
      <c r="H466" s="52"/>
    </row>
    <row r="467" spans="1:8" ht="15.75">
      <c r="A467" s="119"/>
      <c r="B467" s="88"/>
      <c r="C467" s="52"/>
      <c r="D467" s="52"/>
      <c r="E467" s="52"/>
      <c r="F467" s="52"/>
      <c r="G467" s="52"/>
      <c r="H467" s="52"/>
    </row>
    <row r="468" spans="1:8" ht="15.75">
      <c r="A468" s="119"/>
      <c r="B468" s="88"/>
      <c r="C468" s="52"/>
      <c r="D468" s="52"/>
      <c r="E468" s="52"/>
      <c r="F468" s="52"/>
      <c r="G468" s="52"/>
      <c r="H468" s="52"/>
    </row>
    <row r="469" spans="1:8" ht="15.75">
      <c r="A469" s="119"/>
      <c r="B469" s="88"/>
      <c r="C469" s="52"/>
      <c r="D469" s="52"/>
      <c r="E469" s="52"/>
      <c r="F469" s="52"/>
      <c r="G469" s="52"/>
      <c r="H469" s="52"/>
    </row>
    <row r="470" spans="1:8" ht="15.75">
      <c r="A470" s="119"/>
      <c r="B470" s="88"/>
      <c r="C470" s="52"/>
      <c r="D470" s="52"/>
      <c r="E470" s="52"/>
      <c r="F470" s="52"/>
      <c r="G470" s="52"/>
      <c r="H470" s="52"/>
    </row>
    <row r="471" spans="1:8" ht="15.75">
      <c r="A471" s="119"/>
      <c r="B471" s="88"/>
      <c r="C471" s="52"/>
      <c r="D471" s="52"/>
      <c r="E471" s="52"/>
      <c r="F471" s="52"/>
      <c r="G471" s="52"/>
      <c r="H471" s="52"/>
    </row>
    <row r="472" spans="1:8" ht="15.75">
      <c r="A472" s="119"/>
      <c r="B472" s="88"/>
      <c r="C472" s="52"/>
      <c r="D472" s="52"/>
      <c r="E472" s="52"/>
      <c r="F472" s="52"/>
      <c r="G472" s="52"/>
      <c r="H472" s="52"/>
    </row>
    <row r="473" spans="1:8" ht="15.75">
      <c r="A473" s="119"/>
      <c r="B473" s="88"/>
      <c r="C473" s="52"/>
      <c r="D473" s="52"/>
      <c r="E473" s="52"/>
      <c r="F473" s="52"/>
      <c r="G473" s="52"/>
      <c r="H473" s="52"/>
    </row>
    <row r="474" spans="1:8" ht="15.75">
      <c r="A474" s="119"/>
      <c r="B474" s="88"/>
      <c r="C474" s="52"/>
      <c r="D474" s="52"/>
      <c r="E474" s="52"/>
      <c r="F474" s="52"/>
      <c r="G474" s="52"/>
      <c r="H474" s="52"/>
    </row>
    <row r="475" spans="1:8" ht="15.75">
      <c r="A475" s="119"/>
      <c r="B475" s="88"/>
      <c r="C475" s="52"/>
      <c r="D475" s="52"/>
      <c r="E475" s="52"/>
      <c r="F475" s="52"/>
      <c r="G475" s="52"/>
      <c r="H475" s="52"/>
    </row>
    <row r="476" spans="1:8" ht="15.75">
      <c r="A476" s="119"/>
      <c r="B476" s="88"/>
      <c r="C476" s="52"/>
      <c r="D476" s="52"/>
      <c r="E476" s="52"/>
      <c r="F476" s="52"/>
      <c r="G476" s="52"/>
      <c r="H476" s="52"/>
    </row>
    <row r="477" spans="1:8" ht="15.75">
      <c r="A477" s="119"/>
      <c r="B477" s="88"/>
      <c r="C477" s="52"/>
      <c r="D477" s="52"/>
      <c r="E477" s="52"/>
      <c r="F477" s="52"/>
      <c r="G477" s="52"/>
      <c r="H477" s="52"/>
    </row>
    <row r="478" spans="1:8" ht="15.75">
      <c r="A478" s="119"/>
      <c r="B478" s="88"/>
      <c r="C478" s="52"/>
      <c r="D478" s="52"/>
      <c r="E478" s="52"/>
      <c r="F478" s="52"/>
      <c r="G478" s="52"/>
      <c r="H478" s="52"/>
    </row>
    <row r="479" spans="1:8" ht="15.75">
      <c r="A479" s="119"/>
      <c r="B479" s="88"/>
      <c r="C479" s="52"/>
      <c r="D479" s="52"/>
      <c r="E479" s="52"/>
      <c r="F479" s="52"/>
      <c r="G479" s="52"/>
      <c r="H479" s="52"/>
    </row>
    <row r="480" spans="1:8" ht="15.75">
      <c r="A480" s="119"/>
      <c r="B480" s="88"/>
      <c r="C480" s="52"/>
      <c r="D480" s="52"/>
      <c r="E480" s="52"/>
      <c r="F480" s="52"/>
      <c r="G480" s="52"/>
      <c r="H480" s="52"/>
    </row>
    <row r="481" spans="1:8" ht="15.75">
      <c r="A481" s="119"/>
      <c r="B481" s="88"/>
      <c r="C481" s="52"/>
      <c r="D481" s="52"/>
      <c r="E481" s="52"/>
      <c r="F481" s="52"/>
      <c r="G481" s="52"/>
      <c r="H481" s="52"/>
    </row>
    <row r="482" spans="1:8" ht="15.75">
      <c r="A482" s="119"/>
      <c r="B482" s="88"/>
      <c r="C482" s="52"/>
      <c r="D482" s="52"/>
      <c r="E482" s="52"/>
      <c r="F482" s="52"/>
      <c r="G482" s="52"/>
      <c r="H482" s="52"/>
    </row>
    <row r="483" spans="1:8" ht="15.75">
      <c r="A483" s="119"/>
      <c r="B483" s="88"/>
      <c r="C483" s="52"/>
      <c r="D483" s="52"/>
      <c r="E483" s="52"/>
      <c r="F483" s="52"/>
      <c r="G483" s="52"/>
      <c r="H483" s="52"/>
    </row>
    <row r="484" spans="1:8" ht="15.75">
      <c r="A484" s="119"/>
      <c r="B484" s="88"/>
      <c r="C484" s="52"/>
      <c r="D484" s="52"/>
      <c r="E484" s="52"/>
      <c r="F484" s="52"/>
      <c r="G484" s="52"/>
      <c r="H484" s="52"/>
    </row>
    <row r="485" spans="1:8" ht="15.75">
      <c r="A485" s="119"/>
      <c r="B485" s="88"/>
      <c r="C485" s="52"/>
      <c r="D485" s="52"/>
      <c r="E485" s="52"/>
      <c r="F485" s="52"/>
      <c r="G485" s="52"/>
      <c r="H485" s="52"/>
    </row>
    <row r="486" spans="1:8" ht="15.75">
      <c r="A486" s="119"/>
      <c r="B486" s="88"/>
      <c r="C486" s="52"/>
      <c r="D486" s="52"/>
      <c r="E486" s="52"/>
      <c r="F486" s="52"/>
      <c r="G486" s="52"/>
      <c r="H486" s="52"/>
    </row>
    <row r="487" spans="1:8" ht="15.75">
      <c r="A487" s="119"/>
      <c r="B487" s="88"/>
      <c r="C487" s="52"/>
      <c r="D487" s="52"/>
      <c r="E487" s="52"/>
      <c r="F487" s="52"/>
      <c r="G487" s="52"/>
      <c r="H487" s="52"/>
    </row>
    <row r="488" spans="1:8" ht="15.75">
      <c r="A488" s="119"/>
      <c r="B488" s="88"/>
      <c r="C488" s="52"/>
      <c r="D488" s="52"/>
      <c r="E488" s="52"/>
      <c r="F488" s="52"/>
      <c r="G488" s="52"/>
      <c r="H488" s="52"/>
    </row>
    <row r="489" spans="1:8" ht="15.75">
      <c r="A489" s="119"/>
      <c r="B489" s="88"/>
      <c r="C489" s="52"/>
      <c r="D489" s="52"/>
      <c r="E489" s="52"/>
      <c r="F489" s="52"/>
      <c r="G489" s="52"/>
      <c r="H489" s="52"/>
    </row>
    <row r="490" spans="1:8" ht="15.75">
      <c r="A490" s="119"/>
      <c r="B490" s="88"/>
      <c r="C490" s="52"/>
      <c r="D490" s="52"/>
      <c r="E490" s="52"/>
      <c r="F490" s="52"/>
      <c r="G490" s="52"/>
      <c r="H490" s="52"/>
    </row>
    <row r="491" spans="1:8" ht="15.75">
      <c r="A491" s="119"/>
      <c r="B491" s="88"/>
      <c r="C491" s="52"/>
      <c r="D491" s="52"/>
      <c r="E491" s="52"/>
      <c r="F491" s="52"/>
      <c r="G491" s="52"/>
      <c r="H491" s="52"/>
    </row>
    <row r="492" spans="1:8" ht="15.75">
      <c r="A492" s="119"/>
      <c r="B492" s="88"/>
      <c r="C492" s="52"/>
      <c r="D492" s="52"/>
      <c r="E492" s="52"/>
      <c r="F492" s="52"/>
      <c r="G492" s="52"/>
      <c r="H492" s="52"/>
    </row>
    <row r="493" spans="1:8" ht="15.75">
      <c r="A493" s="119"/>
      <c r="B493" s="88"/>
      <c r="C493" s="52"/>
      <c r="D493" s="52"/>
      <c r="E493" s="52"/>
      <c r="F493" s="52"/>
      <c r="G493" s="52"/>
      <c r="H493" s="52"/>
    </row>
    <row r="494" spans="1:8" ht="15.75">
      <c r="A494" s="119"/>
      <c r="B494" s="88"/>
      <c r="C494" s="52"/>
      <c r="D494" s="52"/>
      <c r="E494" s="52"/>
      <c r="F494" s="52"/>
      <c r="G494" s="52"/>
      <c r="H494" s="52"/>
    </row>
    <row r="495" spans="1:8" ht="15.75">
      <c r="A495" s="119"/>
      <c r="B495" s="88"/>
      <c r="C495" s="52"/>
      <c r="D495" s="52"/>
      <c r="E495" s="52"/>
      <c r="F495" s="52"/>
      <c r="G495" s="52"/>
      <c r="H495" s="52"/>
    </row>
    <row r="496" spans="1:8" ht="15.75">
      <c r="A496" s="119"/>
      <c r="B496" s="88"/>
      <c r="C496" s="52"/>
      <c r="D496" s="52"/>
      <c r="E496" s="52"/>
      <c r="F496" s="52"/>
      <c r="G496" s="52"/>
      <c r="H496" s="52"/>
    </row>
    <row r="497" spans="1:8" ht="15.75">
      <c r="A497" s="119"/>
      <c r="B497" s="88"/>
      <c r="C497" s="52"/>
      <c r="D497" s="52"/>
      <c r="E497" s="52"/>
      <c r="F497" s="52"/>
      <c r="G497" s="52"/>
      <c r="H497" s="52"/>
    </row>
    <row r="498" spans="1:8" ht="15.75">
      <c r="A498" s="119"/>
      <c r="B498" s="88"/>
      <c r="C498" s="52"/>
      <c r="D498" s="52"/>
      <c r="E498" s="52"/>
      <c r="F498" s="52"/>
      <c r="G498" s="52"/>
      <c r="H498" s="52"/>
    </row>
    <row r="499" spans="1:8" ht="15.75">
      <c r="A499" s="119"/>
      <c r="B499" s="88"/>
      <c r="C499" s="52"/>
      <c r="D499" s="52"/>
      <c r="E499" s="52"/>
      <c r="F499" s="52"/>
      <c r="G499" s="52"/>
      <c r="H499" s="52"/>
    </row>
    <row r="500" spans="1:8" ht="15.75">
      <c r="A500" s="119"/>
      <c r="B500" s="88"/>
      <c r="C500" s="52"/>
      <c r="D500" s="52"/>
      <c r="E500" s="52"/>
      <c r="F500" s="52"/>
      <c r="G500" s="52"/>
      <c r="H500" s="52"/>
    </row>
    <row r="501" spans="1:8" ht="15.75">
      <c r="A501" s="119"/>
      <c r="B501" s="88"/>
      <c r="C501" s="52"/>
      <c r="D501" s="52"/>
      <c r="E501" s="52"/>
      <c r="F501" s="52"/>
      <c r="G501" s="52"/>
      <c r="H501" s="52"/>
    </row>
    <row r="502" spans="1:8" ht="15.75">
      <c r="A502" s="119"/>
      <c r="B502" s="88"/>
      <c r="C502" s="52"/>
      <c r="D502" s="52"/>
      <c r="E502" s="52"/>
      <c r="F502" s="52"/>
      <c r="G502" s="52"/>
      <c r="H502" s="52"/>
    </row>
    <row r="503" spans="1:8" ht="15.75">
      <c r="A503" s="119"/>
      <c r="B503" s="88"/>
      <c r="C503" s="52"/>
      <c r="D503" s="52"/>
      <c r="E503" s="52"/>
      <c r="F503" s="52"/>
      <c r="G503" s="52"/>
      <c r="H503" s="52"/>
    </row>
    <row r="504" spans="1:8" ht="15.75">
      <c r="A504" s="119"/>
      <c r="B504" s="88"/>
      <c r="C504" s="52"/>
      <c r="D504" s="52"/>
      <c r="E504" s="52"/>
      <c r="F504" s="52"/>
      <c r="G504" s="52"/>
      <c r="H504" s="52"/>
    </row>
    <row r="505" spans="1:8" ht="15.75">
      <c r="A505" s="119"/>
      <c r="B505" s="88"/>
      <c r="C505" s="52"/>
      <c r="D505" s="52"/>
      <c r="E505" s="52"/>
      <c r="F505" s="52"/>
      <c r="G505" s="52"/>
      <c r="H505" s="52"/>
    </row>
    <row r="506" spans="1:8" ht="15.75">
      <c r="A506" s="119"/>
      <c r="B506" s="88"/>
      <c r="C506" s="52"/>
      <c r="D506" s="52"/>
      <c r="E506" s="52"/>
      <c r="F506" s="52"/>
      <c r="G506" s="52"/>
      <c r="H506" s="52"/>
    </row>
    <row r="507" spans="1:8" ht="15.75">
      <c r="A507" s="119"/>
      <c r="B507" s="88"/>
      <c r="C507" s="52"/>
      <c r="D507" s="52"/>
      <c r="E507" s="52"/>
      <c r="F507" s="52"/>
      <c r="G507" s="52"/>
      <c r="H507" s="52"/>
    </row>
    <row r="508" spans="1:8" ht="15.75">
      <c r="A508" s="119"/>
      <c r="B508" s="88"/>
      <c r="C508" s="52"/>
      <c r="D508" s="52"/>
      <c r="E508" s="52"/>
      <c r="F508" s="52"/>
      <c r="G508" s="52"/>
      <c r="H508" s="52"/>
    </row>
    <row r="509" spans="1:8" ht="15.75">
      <c r="A509" s="119"/>
      <c r="B509" s="88"/>
      <c r="C509" s="52"/>
      <c r="D509" s="52"/>
      <c r="E509" s="52"/>
      <c r="F509" s="52"/>
      <c r="G509" s="52"/>
      <c r="H509" s="52"/>
    </row>
    <row r="510" spans="1:8" ht="15.75">
      <c r="A510" s="119"/>
      <c r="B510" s="88"/>
      <c r="C510" s="52"/>
      <c r="D510" s="52"/>
      <c r="E510" s="52"/>
      <c r="F510" s="52"/>
      <c r="G510" s="52"/>
      <c r="H510" s="52"/>
    </row>
    <row r="511" spans="1:8" ht="15.75">
      <c r="A511" s="119"/>
      <c r="B511" s="88"/>
      <c r="C511" s="52"/>
      <c r="D511" s="52"/>
      <c r="E511" s="52"/>
      <c r="F511" s="52"/>
      <c r="G511" s="52"/>
      <c r="H511" s="52"/>
    </row>
    <row r="512" spans="1:8" ht="15.75">
      <c r="A512" s="119"/>
      <c r="B512" s="88"/>
      <c r="C512" s="52"/>
      <c r="D512" s="52"/>
      <c r="E512" s="52"/>
      <c r="F512" s="52"/>
      <c r="G512" s="52"/>
      <c r="H512" s="52"/>
    </row>
    <row r="513" spans="1:8" ht="15.75">
      <c r="A513" s="119"/>
      <c r="B513" s="88"/>
      <c r="C513" s="52"/>
      <c r="D513" s="52"/>
      <c r="E513" s="52"/>
      <c r="F513" s="52"/>
      <c r="G513" s="52"/>
      <c r="H513" s="52"/>
    </row>
    <row r="514" spans="1:8" ht="15.75">
      <c r="A514" s="119"/>
      <c r="B514" s="88"/>
      <c r="C514" s="52"/>
      <c r="D514" s="52"/>
      <c r="E514" s="52"/>
      <c r="F514" s="52"/>
      <c r="G514" s="52"/>
      <c r="H514" s="52"/>
    </row>
    <row r="515" spans="1:8" ht="15.75">
      <c r="A515" s="119"/>
      <c r="B515" s="88"/>
      <c r="C515" s="52"/>
      <c r="D515" s="52"/>
      <c r="E515" s="52"/>
      <c r="F515" s="52"/>
      <c r="G515" s="52"/>
      <c r="H515" s="52"/>
    </row>
    <row r="516" spans="1:8" ht="15.75">
      <c r="A516" s="119"/>
      <c r="B516" s="88"/>
      <c r="C516" s="52"/>
      <c r="D516" s="52"/>
      <c r="E516" s="52"/>
      <c r="F516" s="52"/>
      <c r="G516" s="52"/>
      <c r="H516" s="52"/>
    </row>
    <row r="517" spans="1:8" ht="15.75">
      <c r="A517" s="119"/>
      <c r="B517" s="88"/>
      <c r="C517" s="52"/>
      <c r="D517" s="52"/>
      <c r="E517" s="52"/>
      <c r="F517" s="52"/>
      <c r="G517" s="52"/>
      <c r="H517" s="52"/>
    </row>
    <row r="518" spans="1:8" ht="15.75">
      <c r="A518" s="119"/>
      <c r="B518" s="88"/>
      <c r="C518" s="52"/>
      <c r="D518" s="52"/>
      <c r="E518" s="52"/>
      <c r="F518" s="52"/>
      <c r="G518" s="52"/>
      <c r="H518" s="52"/>
    </row>
    <row r="519" spans="1:8" ht="15.75">
      <c r="A519" s="119"/>
      <c r="B519" s="88"/>
      <c r="C519" s="52"/>
      <c r="D519" s="52"/>
      <c r="E519" s="52"/>
      <c r="F519" s="52"/>
      <c r="G519" s="52"/>
      <c r="H519" s="52"/>
    </row>
    <row r="520" spans="1:8" ht="15.75">
      <c r="A520" s="119"/>
      <c r="B520" s="88"/>
      <c r="C520" s="52"/>
      <c r="D520" s="52"/>
      <c r="E520" s="52"/>
      <c r="F520" s="52"/>
      <c r="G520" s="52"/>
      <c r="H520" s="52"/>
    </row>
    <row r="521" spans="1:8" ht="15.75">
      <c r="A521" s="119"/>
      <c r="B521" s="88"/>
      <c r="C521" s="52"/>
      <c r="D521" s="52"/>
      <c r="E521" s="52"/>
      <c r="F521" s="52"/>
      <c r="G521" s="52"/>
      <c r="H521" s="52"/>
    </row>
    <row r="522" spans="1:8" ht="15.75">
      <c r="A522" s="119"/>
      <c r="B522" s="88"/>
      <c r="C522" s="52"/>
      <c r="D522" s="52"/>
      <c r="E522" s="52"/>
      <c r="F522" s="52"/>
      <c r="G522" s="52"/>
      <c r="H522" s="52"/>
    </row>
    <row r="523" spans="1:8" ht="15.75">
      <c r="A523" s="119"/>
      <c r="B523" s="88"/>
      <c r="C523" s="52"/>
      <c r="D523" s="52"/>
      <c r="E523" s="52"/>
      <c r="F523" s="52"/>
      <c r="G523" s="52"/>
      <c r="H523" s="52"/>
    </row>
    <row r="524" spans="1:8" ht="15.75">
      <c r="A524" s="119"/>
      <c r="B524" s="88"/>
      <c r="C524" s="52"/>
      <c r="D524" s="52"/>
      <c r="E524" s="52"/>
      <c r="F524" s="52"/>
      <c r="G524" s="52"/>
      <c r="H524" s="52"/>
    </row>
    <row r="525" spans="1:8" ht="15.75">
      <c r="A525" s="119"/>
      <c r="B525" s="88"/>
      <c r="C525" s="52"/>
      <c r="D525" s="52"/>
      <c r="E525" s="52"/>
      <c r="F525" s="52"/>
      <c r="G525" s="52"/>
      <c r="H525" s="52"/>
    </row>
    <row r="526" spans="1:8" ht="15.75">
      <c r="A526" s="119"/>
      <c r="B526" s="88"/>
      <c r="C526" s="52"/>
      <c r="D526" s="52"/>
      <c r="E526" s="52"/>
      <c r="F526" s="52"/>
      <c r="G526" s="52"/>
      <c r="H526" s="52"/>
    </row>
    <row r="527" spans="1:8" ht="15.75">
      <c r="A527" s="119"/>
      <c r="B527" s="88"/>
      <c r="C527" s="52"/>
      <c r="D527" s="52"/>
      <c r="E527" s="52"/>
      <c r="F527" s="52"/>
      <c r="G527" s="52"/>
      <c r="H527" s="52"/>
    </row>
    <row r="528" spans="1:8" ht="15.75">
      <c r="A528" s="119"/>
      <c r="B528" s="88"/>
      <c r="C528" s="52"/>
      <c r="D528" s="52"/>
      <c r="E528" s="52"/>
      <c r="F528" s="52"/>
      <c r="G528" s="52"/>
      <c r="H528" s="52"/>
    </row>
    <row r="529" spans="1:8" ht="15.75">
      <c r="A529" s="119"/>
      <c r="B529" s="88"/>
      <c r="C529" s="52"/>
      <c r="D529" s="52"/>
      <c r="E529" s="52"/>
      <c r="F529" s="52"/>
      <c r="G529" s="52"/>
      <c r="H529" s="52"/>
    </row>
    <row r="530" spans="1:8" ht="15.75">
      <c r="A530" s="119"/>
      <c r="B530" s="88"/>
      <c r="C530" s="52"/>
      <c r="D530" s="52"/>
      <c r="E530" s="52"/>
      <c r="F530" s="52"/>
      <c r="G530" s="52"/>
      <c r="H530" s="52"/>
    </row>
    <row r="531" spans="1:8" ht="15.75">
      <c r="A531" s="119"/>
      <c r="B531" s="88"/>
      <c r="C531" s="52"/>
      <c r="D531" s="52"/>
      <c r="E531" s="52"/>
      <c r="F531" s="52"/>
      <c r="G531" s="52"/>
      <c r="H531" s="52"/>
    </row>
    <row r="532" spans="1:8" ht="15.75">
      <c r="A532" s="119"/>
      <c r="B532" s="88"/>
      <c r="C532" s="52"/>
      <c r="D532" s="52"/>
      <c r="E532" s="52"/>
      <c r="F532" s="52"/>
      <c r="G532" s="52"/>
      <c r="H532" s="52"/>
    </row>
    <row r="533" spans="1:8" ht="15.75">
      <c r="A533" s="119"/>
      <c r="B533" s="88"/>
      <c r="C533" s="52"/>
      <c r="D533" s="52"/>
      <c r="E533" s="52"/>
      <c r="F533" s="52"/>
      <c r="G533" s="52"/>
      <c r="H533" s="52"/>
    </row>
    <row r="534" spans="1:8" ht="15.75">
      <c r="A534" s="119"/>
      <c r="B534" s="88"/>
      <c r="C534" s="52"/>
      <c r="D534" s="52"/>
      <c r="E534" s="52"/>
      <c r="F534" s="52"/>
      <c r="G534" s="52"/>
      <c r="H534" s="52"/>
    </row>
    <row r="535" spans="1:8" ht="15.75">
      <c r="A535" s="119"/>
      <c r="B535" s="88"/>
      <c r="C535" s="52"/>
      <c r="D535" s="52"/>
      <c r="E535" s="52"/>
      <c r="F535" s="52"/>
      <c r="G535" s="52"/>
      <c r="H535" s="52"/>
    </row>
    <row r="536" spans="1:8" ht="15.75">
      <c r="A536" s="119"/>
      <c r="B536" s="88"/>
      <c r="C536" s="52"/>
      <c r="D536" s="52"/>
      <c r="E536" s="52"/>
      <c r="F536" s="52"/>
      <c r="G536" s="52"/>
      <c r="H536" s="52"/>
    </row>
    <row r="537" spans="1:8" ht="15.75">
      <c r="A537" s="119"/>
      <c r="B537" s="88"/>
      <c r="C537" s="52"/>
      <c r="D537" s="52"/>
      <c r="E537" s="52"/>
      <c r="F537" s="52"/>
      <c r="G537" s="52"/>
      <c r="H537" s="52"/>
    </row>
    <row r="538" spans="1:8" ht="15.75">
      <c r="A538" s="119"/>
      <c r="B538" s="88"/>
      <c r="C538" s="52"/>
      <c r="D538" s="52"/>
      <c r="E538" s="52"/>
      <c r="F538" s="52"/>
      <c r="G538" s="52"/>
      <c r="H538" s="52"/>
    </row>
    <row r="539" spans="1:8" ht="15.75">
      <c r="A539" s="119"/>
      <c r="B539" s="88"/>
      <c r="C539" s="52"/>
      <c r="D539" s="52"/>
      <c r="E539" s="52"/>
      <c r="F539" s="52"/>
      <c r="G539" s="52"/>
      <c r="H539" s="52"/>
    </row>
    <row r="540" spans="1:8" ht="15.75">
      <c r="A540" s="119"/>
      <c r="B540" s="88"/>
      <c r="C540" s="52"/>
      <c r="D540" s="52"/>
      <c r="E540" s="52"/>
      <c r="F540" s="52"/>
      <c r="G540" s="52"/>
      <c r="H540" s="52"/>
    </row>
    <row r="541" spans="1:8" ht="15.75">
      <c r="A541" s="119"/>
      <c r="B541" s="88"/>
      <c r="C541" s="52"/>
      <c r="D541" s="52"/>
      <c r="E541" s="52"/>
      <c r="F541" s="52"/>
      <c r="G541" s="52"/>
      <c r="H541" s="52"/>
    </row>
    <row r="542" spans="1:8" ht="15.75">
      <c r="A542" s="119"/>
      <c r="B542" s="88"/>
      <c r="C542" s="52"/>
      <c r="D542" s="52"/>
      <c r="E542" s="52"/>
      <c r="F542" s="52"/>
      <c r="G542" s="52"/>
      <c r="H542" s="52"/>
    </row>
    <row r="543" spans="1:8" ht="15.75">
      <c r="A543" s="119"/>
      <c r="B543" s="88"/>
      <c r="C543" s="52"/>
      <c r="D543" s="52"/>
      <c r="E543" s="52"/>
      <c r="F543" s="52"/>
      <c r="G543" s="52"/>
      <c r="H543" s="52"/>
    </row>
    <row r="544" spans="1:8" ht="15.75">
      <c r="A544" s="119"/>
      <c r="B544" s="88"/>
      <c r="C544" s="52"/>
      <c r="D544" s="52"/>
      <c r="E544" s="52"/>
      <c r="F544" s="52"/>
      <c r="G544" s="52"/>
      <c r="H544" s="52"/>
    </row>
    <row r="545" spans="1:8" ht="15.75">
      <c r="A545" s="119"/>
      <c r="B545" s="88"/>
      <c r="C545" s="52"/>
      <c r="D545" s="52"/>
      <c r="E545" s="52"/>
      <c r="F545" s="52"/>
      <c r="G545" s="52"/>
      <c r="H545" s="52"/>
    </row>
    <row r="546" spans="1:8" ht="15.75">
      <c r="A546" s="119"/>
      <c r="B546" s="88"/>
      <c r="C546" s="52"/>
      <c r="D546" s="52"/>
      <c r="E546" s="52"/>
      <c r="F546" s="52"/>
      <c r="G546" s="52"/>
      <c r="H546" s="52"/>
    </row>
    <row r="547" spans="1:8" ht="15.75">
      <c r="A547" s="119"/>
      <c r="B547" s="88"/>
      <c r="C547" s="52"/>
      <c r="D547" s="52"/>
      <c r="E547" s="52"/>
      <c r="F547" s="52"/>
      <c r="G547" s="52"/>
      <c r="H547" s="52"/>
    </row>
    <row r="548" spans="1:8" ht="15.75">
      <c r="A548" s="119"/>
      <c r="B548" s="88"/>
      <c r="C548" s="52"/>
      <c r="D548" s="52"/>
      <c r="E548" s="52"/>
      <c r="F548" s="52"/>
      <c r="G548" s="52"/>
      <c r="H548" s="52"/>
    </row>
    <row r="549" spans="1:8" ht="15.75">
      <c r="A549" s="119"/>
      <c r="B549" s="88"/>
      <c r="C549" s="52"/>
      <c r="D549" s="52"/>
      <c r="E549" s="52"/>
      <c r="F549" s="52"/>
      <c r="G549" s="52"/>
      <c r="H549" s="52"/>
    </row>
    <row r="550" spans="1:8" ht="15.75">
      <c r="A550" s="119"/>
      <c r="B550" s="88"/>
      <c r="C550" s="52"/>
      <c r="D550" s="52"/>
      <c r="E550" s="52"/>
      <c r="F550" s="52"/>
      <c r="G550" s="52"/>
      <c r="H550" s="52"/>
    </row>
    <row r="551" spans="1:8" ht="15.75">
      <c r="A551" s="119"/>
      <c r="B551" s="88"/>
      <c r="C551" s="52"/>
      <c r="D551" s="52"/>
      <c r="E551" s="52"/>
      <c r="F551" s="52"/>
      <c r="G551" s="52"/>
      <c r="H551" s="52"/>
    </row>
    <row r="552" spans="1:8" ht="15.75">
      <c r="A552" s="119"/>
      <c r="B552" s="88"/>
      <c r="C552" s="52"/>
      <c r="D552" s="52"/>
      <c r="E552" s="52"/>
      <c r="F552" s="52"/>
      <c r="G552" s="52"/>
      <c r="H552" s="52"/>
    </row>
    <row r="553" spans="1:8" ht="15.75">
      <c r="A553" s="119"/>
      <c r="B553" s="88"/>
      <c r="C553" s="52"/>
      <c r="D553" s="52"/>
      <c r="E553" s="52"/>
      <c r="F553" s="52"/>
      <c r="G553" s="52"/>
      <c r="H553" s="52"/>
    </row>
    <row r="554" spans="1:8" ht="15.75">
      <c r="A554" s="119"/>
      <c r="B554" s="88"/>
      <c r="C554" s="52"/>
      <c r="D554" s="52"/>
      <c r="E554" s="52"/>
      <c r="F554" s="52"/>
      <c r="G554" s="52"/>
      <c r="H554" s="52"/>
    </row>
    <row r="555" spans="1:8" ht="15.75">
      <c r="A555" s="119"/>
      <c r="B555" s="88"/>
      <c r="C555" s="52"/>
      <c r="D555" s="52"/>
      <c r="E555" s="52"/>
      <c r="F555" s="52"/>
      <c r="G555" s="52"/>
      <c r="H555" s="52"/>
    </row>
    <row r="556" spans="1:8" ht="15.75">
      <c r="A556" s="119"/>
      <c r="B556" s="88"/>
      <c r="C556" s="52"/>
      <c r="D556" s="52"/>
      <c r="E556" s="52"/>
      <c r="F556" s="52"/>
      <c r="G556" s="52"/>
      <c r="H556" s="52"/>
    </row>
    <row r="557" spans="1:8" ht="15.75">
      <c r="A557" s="119"/>
      <c r="B557" s="88"/>
      <c r="C557" s="52"/>
      <c r="D557" s="52"/>
      <c r="E557" s="52"/>
      <c r="F557" s="52"/>
      <c r="G557" s="52"/>
      <c r="H557" s="52"/>
    </row>
    <row r="558" spans="1:8" ht="15.75">
      <c r="A558" s="119"/>
      <c r="B558" s="88"/>
      <c r="C558" s="52"/>
      <c r="D558" s="52"/>
      <c r="E558" s="52"/>
      <c r="F558" s="52"/>
      <c r="G558" s="52"/>
      <c r="H558" s="52"/>
    </row>
    <row r="559" spans="1:8" ht="15.75">
      <c r="A559" s="119"/>
      <c r="B559" s="88"/>
      <c r="C559" s="52"/>
      <c r="D559" s="52"/>
      <c r="E559" s="52"/>
      <c r="F559" s="52"/>
      <c r="G559" s="52"/>
      <c r="H559" s="52"/>
    </row>
    <row r="560" spans="1:8" ht="15.75">
      <c r="A560" s="119"/>
      <c r="B560" s="88"/>
      <c r="C560" s="52"/>
      <c r="D560" s="52"/>
      <c r="E560" s="52"/>
      <c r="F560" s="52"/>
      <c r="G560" s="52"/>
      <c r="H560" s="52"/>
    </row>
    <row r="561" spans="1:8" ht="15.75">
      <c r="A561" s="119"/>
      <c r="B561" s="88"/>
      <c r="C561" s="52"/>
      <c r="D561" s="52"/>
      <c r="E561" s="52"/>
      <c r="F561" s="52"/>
      <c r="G561" s="52"/>
      <c r="H561" s="52"/>
    </row>
    <row r="562" spans="1:8" ht="15.75">
      <c r="A562" s="119"/>
      <c r="B562" s="88"/>
      <c r="C562" s="52"/>
      <c r="D562" s="52"/>
      <c r="E562" s="52"/>
      <c r="F562" s="52"/>
      <c r="G562" s="52"/>
      <c r="H562" s="52"/>
    </row>
    <row r="563" spans="1:8" ht="15.75">
      <c r="A563" s="119"/>
      <c r="B563" s="88"/>
      <c r="C563" s="52"/>
      <c r="D563" s="52"/>
      <c r="E563" s="52"/>
      <c r="F563" s="52"/>
      <c r="G563" s="52"/>
      <c r="H563" s="52"/>
    </row>
    <row r="564" spans="1:8" ht="15.75">
      <c r="A564" s="119"/>
      <c r="B564" s="88"/>
      <c r="C564" s="52"/>
      <c r="D564" s="52"/>
      <c r="E564" s="52"/>
      <c r="F564" s="52"/>
      <c r="G564" s="52"/>
      <c r="H564" s="52"/>
    </row>
    <row r="565" spans="1:8" ht="15.75">
      <c r="A565" s="119"/>
      <c r="B565" s="88"/>
      <c r="C565" s="52"/>
      <c r="D565" s="52"/>
      <c r="E565" s="52"/>
      <c r="F565" s="52"/>
      <c r="G565" s="52"/>
      <c r="H565" s="52"/>
    </row>
    <row r="566" spans="1:8" ht="15.75">
      <c r="A566" s="119"/>
      <c r="B566" s="88"/>
      <c r="C566" s="52"/>
      <c r="D566" s="52"/>
      <c r="E566" s="52"/>
      <c r="F566" s="52"/>
      <c r="G566" s="52"/>
      <c r="H566" s="52"/>
    </row>
    <row r="567" spans="1:8" ht="15.75">
      <c r="A567" s="119"/>
      <c r="B567" s="88"/>
      <c r="C567" s="52"/>
      <c r="D567" s="52"/>
      <c r="E567" s="52"/>
      <c r="F567" s="52"/>
      <c r="G567" s="52"/>
      <c r="H567" s="52"/>
    </row>
    <row r="568" spans="1:8" ht="15.75">
      <c r="A568" s="119"/>
      <c r="B568" s="88"/>
      <c r="C568" s="52"/>
      <c r="D568" s="52"/>
      <c r="E568" s="52"/>
      <c r="F568" s="52"/>
      <c r="G568" s="52"/>
      <c r="H568" s="52"/>
    </row>
    <row r="569" spans="1:8" ht="15.75">
      <c r="A569" s="119"/>
      <c r="B569" s="88"/>
      <c r="C569" s="52"/>
      <c r="D569" s="52"/>
      <c r="E569" s="52"/>
      <c r="F569" s="52"/>
      <c r="G569" s="52"/>
      <c r="H569" s="52"/>
    </row>
    <row r="570" spans="1:8" ht="15.75">
      <c r="A570" s="119"/>
      <c r="B570" s="88"/>
      <c r="C570" s="52"/>
      <c r="D570" s="52"/>
      <c r="E570" s="52"/>
      <c r="F570" s="52"/>
      <c r="G570" s="52"/>
      <c r="H570" s="52"/>
    </row>
    <row r="571" spans="1:8" ht="15.75">
      <c r="A571" s="119"/>
      <c r="B571" s="88"/>
      <c r="C571" s="52"/>
      <c r="D571" s="52"/>
      <c r="E571" s="52"/>
      <c r="F571" s="52"/>
      <c r="G571" s="52"/>
      <c r="H571" s="52"/>
    </row>
    <row r="572" spans="1:8" ht="15.75">
      <c r="A572" s="119"/>
      <c r="B572" s="88"/>
      <c r="C572" s="52"/>
      <c r="D572" s="52"/>
      <c r="E572" s="52"/>
      <c r="F572" s="52"/>
      <c r="G572" s="52"/>
      <c r="H572" s="52"/>
    </row>
    <row r="573" spans="1:8" ht="15.75">
      <c r="A573" s="119"/>
      <c r="B573" s="88"/>
      <c r="C573" s="52"/>
      <c r="D573" s="52"/>
      <c r="E573" s="52"/>
      <c r="F573" s="52"/>
      <c r="G573" s="52"/>
      <c r="H573" s="52"/>
    </row>
    <row r="574" spans="1:8" ht="15.75">
      <c r="A574" s="119"/>
      <c r="B574" s="88"/>
      <c r="C574" s="52"/>
      <c r="D574" s="52"/>
      <c r="E574" s="52"/>
      <c r="F574" s="52"/>
      <c r="G574" s="52"/>
      <c r="H574" s="52"/>
    </row>
    <row r="575" spans="1:8" ht="15.75">
      <c r="A575" s="119"/>
      <c r="B575" s="88"/>
      <c r="C575" s="52"/>
      <c r="D575" s="52"/>
      <c r="E575" s="52"/>
      <c r="F575" s="52"/>
      <c r="G575" s="52"/>
      <c r="H575" s="52"/>
    </row>
    <row r="576" spans="1:8" ht="15.75">
      <c r="A576" s="119"/>
      <c r="B576" s="88"/>
      <c r="C576" s="52"/>
      <c r="D576" s="52"/>
      <c r="E576" s="52"/>
      <c r="F576" s="52"/>
      <c r="G576" s="52"/>
      <c r="H576" s="52"/>
    </row>
    <row r="577" spans="1:8" ht="15.75">
      <c r="A577" s="119"/>
      <c r="B577" s="88"/>
      <c r="C577" s="52"/>
      <c r="D577" s="52"/>
      <c r="E577" s="52"/>
      <c r="F577" s="52"/>
      <c r="G577" s="52"/>
      <c r="H577" s="52"/>
    </row>
    <row r="578" spans="1:8" ht="15.75">
      <c r="A578" s="119"/>
      <c r="B578" s="88"/>
      <c r="C578" s="52"/>
      <c r="D578" s="52"/>
      <c r="E578" s="52"/>
      <c r="F578" s="52"/>
      <c r="G578" s="52"/>
      <c r="H578" s="52"/>
    </row>
    <row r="579" spans="1:8" ht="15.75">
      <c r="A579" s="119"/>
      <c r="B579" s="88"/>
      <c r="C579" s="52"/>
      <c r="D579" s="52"/>
      <c r="E579" s="52"/>
      <c r="F579" s="52"/>
      <c r="G579" s="52"/>
      <c r="H579" s="52"/>
    </row>
    <row r="580" spans="1:8" ht="15.75">
      <c r="A580" s="119"/>
      <c r="B580" s="88"/>
      <c r="C580" s="52"/>
      <c r="D580" s="52"/>
      <c r="E580" s="52"/>
      <c r="F580" s="52"/>
      <c r="G580" s="52"/>
      <c r="H580" s="52"/>
    </row>
    <row r="581" spans="1:8" ht="15.75">
      <c r="A581" s="119"/>
      <c r="B581" s="88"/>
      <c r="C581" s="52"/>
      <c r="D581" s="52"/>
      <c r="E581" s="52"/>
      <c r="F581" s="52"/>
      <c r="G581" s="52"/>
      <c r="H581" s="52"/>
    </row>
    <row r="582" spans="1:8" ht="15.75">
      <c r="A582" s="119"/>
      <c r="B582" s="88"/>
      <c r="C582" s="52"/>
      <c r="D582" s="52"/>
      <c r="E582" s="52"/>
      <c r="F582" s="52"/>
      <c r="G582" s="52"/>
      <c r="H582" s="52"/>
    </row>
    <row r="583" spans="1:8" ht="15.75">
      <c r="A583" s="119"/>
      <c r="B583" s="88"/>
      <c r="C583" s="52"/>
      <c r="D583" s="52"/>
      <c r="E583" s="52"/>
      <c r="F583" s="52"/>
      <c r="G583" s="52"/>
      <c r="H583" s="52"/>
    </row>
    <row r="584" spans="1:8" ht="15.75">
      <c r="A584" s="119"/>
      <c r="B584" s="88"/>
      <c r="C584" s="52"/>
      <c r="D584" s="52"/>
      <c r="E584" s="52"/>
      <c r="F584" s="52"/>
      <c r="G584" s="52"/>
      <c r="H584" s="52"/>
    </row>
    <row r="585" spans="1:8" ht="15.75">
      <c r="A585" s="119"/>
      <c r="B585" s="88"/>
      <c r="C585" s="52"/>
      <c r="D585" s="52"/>
      <c r="E585" s="52"/>
      <c r="F585" s="52"/>
      <c r="G585" s="52"/>
      <c r="H585" s="52"/>
    </row>
    <row r="586" spans="1:8" ht="15.75">
      <c r="A586" s="119"/>
      <c r="B586" s="88"/>
      <c r="C586" s="52"/>
      <c r="D586" s="52"/>
      <c r="E586" s="52"/>
      <c r="F586" s="52"/>
      <c r="G586" s="52"/>
      <c r="H586" s="52"/>
    </row>
    <row r="587" spans="1:8" ht="15.75">
      <c r="A587" s="119"/>
      <c r="B587" s="88"/>
      <c r="C587" s="52"/>
      <c r="D587" s="52"/>
      <c r="E587" s="52"/>
      <c r="F587" s="52"/>
      <c r="G587" s="52"/>
      <c r="H587" s="52"/>
    </row>
    <row r="588" spans="1:8" ht="15.75">
      <c r="A588" s="119"/>
      <c r="B588" s="88"/>
      <c r="C588" s="52"/>
      <c r="D588" s="52"/>
      <c r="E588" s="52"/>
      <c r="F588" s="52"/>
      <c r="G588" s="52"/>
      <c r="H588" s="52"/>
    </row>
    <row r="589" spans="1:8" ht="15.75">
      <c r="A589" s="119"/>
      <c r="B589" s="88"/>
      <c r="C589" s="52"/>
      <c r="D589" s="52"/>
      <c r="E589" s="52"/>
      <c r="F589" s="52"/>
      <c r="G589" s="52"/>
      <c r="H589" s="52"/>
    </row>
    <row r="590" spans="1:8" ht="15.75">
      <c r="A590" s="119"/>
      <c r="B590" s="88"/>
      <c r="C590" s="52"/>
      <c r="D590" s="52"/>
      <c r="E590" s="52"/>
      <c r="F590" s="52"/>
      <c r="G590" s="52"/>
      <c r="H590" s="52"/>
    </row>
    <row r="591" spans="1:8" ht="15.75">
      <c r="A591" s="119"/>
      <c r="B591" s="88"/>
      <c r="C591" s="52"/>
      <c r="D591" s="52"/>
      <c r="E591" s="52"/>
      <c r="F591" s="52"/>
      <c r="G591" s="52"/>
      <c r="H591" s="52"/>
    </row>
    <row r="592" spans="1:8" ht="15.75">
      <c r="A592" s="119"/>
      <c r="B592" s="88"/>
      <c r="C592" s="52"/>
      <c r="D592" s="52"/>
      <c r="E592" s="52"/>
      <c r="F592" s="52"/>
      <c r="G592" s="52"/>
      <c r="H592" s="52"/>
    </row>
    <row r="593" spans="1:8" ht="15.75">
      <c r="A593" s="119"/>
      <c r="B593" s="88"/>
      <c r="C593" s="52"/>
      <c r="D593" s="52"/>
      <c r="E593" s="52"/>
      <c r="F593" s="52"/>
      <c r="G593" s="52"/>
      <c r="H593" s="52"/>
    </row>
    <row r="594" spans="1:8" ht="15.75">
      <c r="A594" s="119"/>
      <c r="B594" s="88"/>
      <c r="C594" s="52"/>
      <c r="D594" s="52"/>
      <c r="E594" s="52"/>
      <c r="F594" s="52"/>
      <c r="G594" s="52"/>
      <c r="H594" s="52"/>
    </row>
    <row r="595" spans="1:8" ht="15.75">
      <c r="A595" s="119"/>
      <c r="B595" s="88"/>
      <c r="C595" s="52"/>
      <c r="D595" s="52"/>
      <c r="E595" s="52"/>
      <c r="F595" s="52"/>
      <c r="G595" s="52"/>
      <c r="H595" s="52"/>
    </row>
    <row r="596" spans="1:8" ht="15.75">
      <c r="A596" s="119"/>
      <c r="B596" s="88"/>
      <c r="C596" s="52"/>
      <c r="D596" s="52"/>
      <c r="E596" s="52"/>
      <c r="F596" s="52"/>
      <c r="G596" s="52"/>
      <c r="H596" s="52"/>
    </row>
    <row r="597" spans="1:8" ht="15.75">
      <c r="A597" s="119"/>
      <c r="B597" s="88"/>
      <c r="C597" s="52"/>
      <c r="D597" s="52"/>
      <c r="E597" s="52"/>
      <c r="F597" s="52"/>
      <c r="G597" s="52"/>
      <c r="H597" s="52"/>
    </row>
    <row r="598" spans="1:8" ht="15.75">
      <c r="A598" s="119"/>
      <c r="B598" s="88"/>
      <c r="C598" s="52"/>
      <c r="D598" s="52"/>
      <c r="E598" s="52"/>
      <c r="F598" s="52"/>
      <c r="G598" s="52"/>
      <c r="H598" s="52"/>
    </row>
    <row r="599" spans="1:8" ht="15.75">
      <c r="A599" s="119"/>
      <c r="B599" s="88"/>
      <c r="C599" s="52"/>
      <c r="D599" s="52"/>
      <c r="E599" s="52"/>
      <c r="F599" s="52"/>
      <c r="G599" s="52"/>
      <c r="H599" s="52"/>
    </row>
    <row r="600" spans="1:8" ht="15.75">
      <c r="A600" s="119"/>
      <c r="B600" s="88"/>
      <c r="C600" s="52"/>
      <c r="D600" s="52"/>
      <c r="E600" s="52"/>
      <c r="F600" s="52"/>
      <c r="G600" s="52"/>
      <c r="H600" s="52"/>
    </row>
    <row r="601" spans="1:8" ht="15.75">
      <c r="A601" s="119"/>
      <c r="B601" s="88"/>
      <c r="C601" s="52"/>
      <c r="D601" s="52"/>
      <c r="E601" s="52"/>
      <c r="F601" s="52"/>
      <c r="G601" s="52"/>
      <c r="H601" s="52"/>
    </row>
    <row r="602" spans="1:8" ht="15.75">
      <c r="A602" s="119"/>
      <c r="B602" s="88"/>
      <c r="C602" s="52"/>
      <c r="D602" s="52"/>
      <c r="E602" s="52"/>
      <c r="F602" s="52"/>
      <c r="G602" s="52"/>
      <c r="H602" s="52"/>
    </row>
    <row r="603" spans="1:8" ht="15.75">
      <c r="A603" s="119"/>
      <c r="B603" s="88"/>
      <c r="C603" s="52"/>
      <c r="D603" s="52"/>
      <c r="E603" s="52"/>
      <c r="F603" s="52"/>
      <c r="G603" s="52"/>
      <c r="H603" s="52"/>
    </row>
    <row r="604" spans="1:8" ht="15.75">
      <c r="A604" s="119"/>
      <c r="B604" s="88"/>
      <c r="C604" s="52"/>
      <c r="D604" s="52"/>
      <c r="E604" s="52"/>
      <c r="F604" s="52"/>
      <c r="G604" s="52"/>
      <c r="H604" s="52"/>
    </row>
    <row r="605" spans="1:8" ht="15.75">
      <c r="A605" s="119"/>
      <c r="B605" s="88"/>
      <c r="C605" s="52"/>
      <c r="D605" s="52"/>
      <c r="E605" s="52"/>
      <c r="F605" s="52"/>
      <c r="G605" s="52"/>
      <c r="H605" s="52"/>
    </row>
    <row r="606" spans="1:8" ht="15.75">
      <c r="A606" s="119"/>
      <c r="B606" s="88"/>
      <c r="C606" s="52"/>
      <c r="D606" s="52"/>
      <c r="E606" s="52"/>
      <c r="F606" s="52"/>
      <c r="G606" s="52"/>
      <c r="H606" s="52"/>
    </row>
    <row r="607" spans="1:8" ht="15.75">
      <c r="A607" s="119"/>
      <c r="B607" s="88"/>
      <c r="C607" s="52"/>
      <c r="D607" s="52"/>
      <c r="E607" s="52"/>
      <c r="F607" s="52"/>
      <c r="G607" s="52"/>
      <c r="H607" s="52"/>
    </row>
    <row r="608" spans="1:8" ht="15.75">
      <c r="A608" s="119"/>
      <c r="B608" s="88"/>
      <c r="C608" s="52"/>
      <c r="D608" s="52"/>
      <c r="E608" s="52"/>
      <c r="F608" s="52"/>
      <c r="G608" s="52"/>
      <c r="H608" s="52"/>
    </row>
    <row r="609" spans="1:8" ht="15.75">
      <c r="A609" s="119"/>
      <c r="B609" s="88"/>
      <c r="C609" s="52"/>
      <c r="D609" s="52"/>
      <c r="E609" s="52"/>
      <c r="F609" s="52"/>
      <c r="G609" s="52"/>
      <c r="H609" s="52"/>
    </row>
    <row r="610" spans="1:8" ht="15.75">
      <c r="A610" s="119"/>
      <c r="B610" s="88"/>
      <c r="C610" s="52"/>
      <c r="D610" s="52"/>
      <c r="E610" s="52"/>
      <c r="F610" s="52"/>
      <c r="G610" s="52"/>
      <c r="H610" s="52"/>
    </row>
    <row r="611" spans="1:8" ht="15.75">
      <c r="A611" s="119"/>
      <c r="B611" s="88"/>
      <c r="C611" s="52"/>
      <c r="D611" s="52"/>
      <c r="E611" s="52"/>
      <c r="F611" s="52"/>
      <c r="G611" s="52"/>
      <c r="H611" s="52"/>
    </row>
    <row r="612" spans="1:8" ht="15.75">
      <c r="A612" s="119"/>
      <c r="B612" s="88"/>
      <c r="C612" s="52"/>
      <c r="D612" s="52"/>
      <c r="E612" s="52"/>
      <c r="F612" s="52"/>
      <c r="G612" s="52"/>
      <c r="H612" s="52"/>
    </row>
    <row r="613" spans="1:8" ht="15.75">
      <c r="A613" s="119"/>
      <c r="B613" s="88"/>
      <c r="C613" s="52"/>
      <c r="D613" s="52"/>
      <c r="E613" s="52"/>
      <c r="F613" s="52"/>
      <c r="G613" s="52"/>
      <c r="H613" s="52"/>
    </row>
    <row r="614" spans="1:8" ht="15.75">
      <c r="A614" s="119"/>
      <c r="B614" s="88"/>
      <c r="C614" s="52"/>
      <c r="D614" s="52"/>
      <c r="E614" s="52"/>
      <c r="F614" s="52"/>
      <c r="G614" s="52"/>
      <c r="H614" s="52"/>
    </row>
    <row r="615" spans="1:8" ht="15.75">
      <c r="A615" s="119"/>
      <c r="B615" s="88"/>
      <c r="C615" s="52"/>
      <c r="D615" s="52"/>
      <c r="E615" s="52"/>
      <c r="F615" s="52"/>
      <c r="G615" s="52"/>
      <c r="H615" s="52"/>
    </row>
    <row r="616" spans="1:8" ht="15.75">
      <c r="A616" s="119"/>
      <c r="B616" s="88"/>
      <c r="C616" s="52"/>
      <c r="D616" s="52"/>
      <c r="E616" s="52"/>
      <c r="F616" s="52"/>
      <c r="G616" s="52"/>
      <c r="H616" s="52"/>
    </row>
    <row r="617" spans="1:8" ht="15.75">
      <c r="A617" s="119"/>
      <c r="B617" s="88"/>
      <c r="C617" s="52"/>
      <c r="D617" s="52"/>
      <c r="E617" s="52"/>
      <c r="F617" s="52"/>
      <c r="G617" s="52"/>
      <c r="H617" s="52"/>
    </row>
    <row r="618" spans="1:8" ht="15.75">
      <c r="A618" s="119"/>
      <c r="B618" s="88"/>
      <c r="C618" s="52"/>
      <c r="D618" s="52"/>
      <c r="E618" s="52"/>
      <c r="F618" s="52"/>
      <c r="G618" s="52"/>
      <c r="H618" s="52"/>
    </row>
    <row r="619" spans="1:8" ht="15.75">
      <c r="A619" s="119"/>
      <c r="B619" s="88"/>
      <c r="C619" s="52"/>
      <c r="D619" s="52"/>
      <c r="E619" s="52"/>
      <c r="F619" s="52"/>
      <c r="G619" s="52"/>
      <c r="H619" s="52"/>
    </row>
    <row r="620" spans="1:8" ht="15.75">
      <c r="A620" s="119"/>
      <c r="B620" s="88"/>
      <c r="C620" s="52"/>
      <c r="D620" s="52"/>
      <c r="E620" s="52"/>
      <c r="F620" s="52"/>
      <c r="G620" s="52"/>
      <c r="H620" s="52"/>
    </row>
    <row r="621" spans="1:8" ht="15.75">
      <c r="A621" s="119"/>
      <c r="B621" s="88"/>
      <c r="C621" s="52"/>
      <c r="D621" s="52"/>
      <c r="E621" s="52"/>
      <c r="F621" s="52"/>
      <c r="G621" s="52"/>
      <c r="H621" s="52"/>
    </row>
    <row r="622" spans="1:8" ht="15.75">
      <c r="A622" s="119"/>
      <c r="B622" s="88"/>
      <c r="C622" s="52"/>
      <c r="D622" s="52"/>
      <c r="E622" s="52"/>
      <c r="F622" s="52"/>
      <c r="G622" s="52"/>
      <c r="H622" s="52"/>
    </row>
    <row r="623" spans="1:8" ht="15.75">
      <c r="A623" s="119"/>
      <c r="B623" s="88"/>
      <c r="C623" s="52"/>
      <c r="D623" s="52"/>
      <c r="E623" s="52"/>
      <c r="F623" s="52"/>
      <c r="G623" s="52"/>
      <c r="H623" s="52"/>
    </row>
    <row r="624" spans="1:8" ht="15.75">
      <c r="A624" s="119"/>
      <c r="B624" s="88"/>
      <c r="C624" s="52"/>
      <c r="D624" s="52"/>
      <c r="E624" s="52"/>
      <c r="F624" s="52"/>
      <c r="G624" s="52"/>
      <c r="H624" s="52"/>
    </row>
    <row r="625" spans="1:8" ht="15.75">
      <c r="A625" s="119"/>
      <c r="B625" s="88"/>
      <c r="C625" s="52"/>
      <c r="D625" s="52"/>
      <c r="E625" s="52"/>
      <c r="F625" s="52"/>
      <c r="G625" s="52"/>
      <c r="H625" s="52"/>
    </row>
    <row r="626" spans="1:8" ht="15.75">
      <c r="A626" s="119"/>
      <c r="B626" s="88"/>
      <c r="C626" s="52"/>
      <c r="D626" s="52"/>
      <c r="E626" s="52"/>
      <c r="F626" s="52"/>
      <c r="G626" s="52"/>
      <c r="H626" s="52"/>
    </row>
    <row r="627" spans="1:8" ht="15.75">
      <c r="A627" s="119"/>
      <c r="B627" s="88"/>
      <c r="C627" s="52"/>
      <c r="D627" s="52"/>
      <c r="E627" s="52"/>
      <c r="F627" s="52"/>
      <c r="G627" s="52"/>
      <c r="H627" s="52"/>
    </row>
    <row r="628" spans="1:8" ht="15.75">
      <c r="A628" s="119"/>
      <c r="B628" s="88"/>
      <c r="C628" s="52"/>
      <c r="D628" s="52"/>
      <c r="E628" s="52"/>
      <c r="F628" s="52"/>
      <c r="G628" s="52"/>
      <c r="H628" s="52"/>
    </row>
    <row r="629" spans="1:8" ht="15.75">
      <c r="A629" s="119"/>
      <c r="B629" s="88"/>
      <c r="C629" s="52"/>
      <c r="D629" s="52"/>
      <c r="E629" s="52"/>
      <c r="F629" s="52"/>
      <c r="G629" s="52"/>
      <c r="H629" s="52"/>
    </row>
    <row r="630" spans="1:8" ht="15.75">
      <c r="A630" s="119"/>
      <c r="B630" s="88"/>
      <c r="C630" s="52"/>
      <c r="D630" s="52"/>
      <c r="E630" s="52"/>
      <c r="F630" s="52"/>
      <c r="G630" s="52"/>
      <c r="H630" s="52"/>
    </row>
    <row r="631" spans="1:8" ht="15.75">
      <c r="A631" s="119"/>
      <c r="B631" s="88"/>
      <c r="C631" s="52"/>
      <c r="D631" s="52"/>
      <c r="E631" s="52"/>
      <c r="F631" s="52"/>
      <c r="G631" s="52"/>
      <c r="H631" s="52"/>
    </row>
    <row r="632" spans="1:8" ht="15.75">
      <c r="A632" s="119"/>
      <c r="B632" s="88"/>
      <c r="C632" s="52"/>
      <c r="D632" s="52"/>
      <c r="E632" s="52"/>
      <c r="F632" s="52"/>
      <c r="G632" s="52"/>
      <c r="H632" s="52"/>
    </row>
    <row r="633" spans="1:8" ht="15.75">
      <c r="A633" s="119"/>
      <c r="B633" s="88"/>
      <c r="C633" s="52"/>
      <c r="D633" s="52"/>
      <c r="E633" s="52"/>
      <c r="F633" s="52"/>
      <c r="G633" s="52"/>
      <c r="H633" s="52"/>
    </row>
    <row r="634" spans="1:8" ht="15.75">
      <c r="A634" s="119"/>
      <c r="B634" s="88"/>
      <c r="C634" s="52"/>
      <c r="D634" s="52"/>
      <c r="E634" s="52"/>
      <c r="F634" s="52"/>
      <c r="G634" s="52"/>
      <c r="H634" s="52"/>
    </row>
    <row r="635" spans="1:8" ht="15.75">
      <c r="A635" s="119"/>
      <c r="B635" s="88"/>
      <c r="C635" s="52"/>
      <c r="D635" s="52"/>
      <c r="E635" s="52"/>
      <c r="F635" s="52"/>
      <c r="G635" s="52"/>
      <c r="H635" s="52"/>
    </row>
    <row r="636" spans="1:8" ht="15.75">
      <c r="A636" s="119"/>
      <c r="B636" s="88"/>
      <c r="C636" s="52"/>
      <c r="D636" s="52"/>
      <c r="E636" s="52"/>
      <c r="F636" s="52"/>
      <c r="G636" s="52"/>
      <c r="H636" s="52"/>
    </row>
    <row r="637" spans="1:8" ht="15.75">
      <c r="A637" s="119"/>
      <c r="B637" s="88"/>
      <c r="C637" s="52"/>
      <c r="D637" s="52"/>
      <c r="E637" s="52"/>
      <c r="F637" s="52"/>
      <c r="G637" s="52"/>
      <c r="H637" s="52"/>
    </row>
    <row r="638" spans="1:8" ht="15.75">
      <c r="A638" s="119"/>
      <c r="B638" s="88"/>
      <c r="C638" s="52"/>
      <c r="D638" s="52"/>
      <c r="E638" s="52"/>
      <c r="F638" s="52"/>
      <c r="G638" s="52"/>
      <c r="H638" s="52"/>
    </row>
    <row r="639" spans="1:8" ht="15.75">
      <c r="A639" s="119"/>
      <c r="B639" s="88"/>
      <c r="C639" s="52"/>
      <c r="D639" s="52"/>
      <c r="E639" s="52"/>
      <c r="F639" s="52"/>
      <c r="G639" s="52"/>
      <c r="H639" s="52"/>
    </row>
    <row r="640" spans="1:8" ht="15.75">
      <c r="A640" s="119"/>
      <c r="B640" s="88"/>
      <c r="C640" s="52"/>
      <c r="D640" s="52"/>
      <c r="E640" s="52"/>
      <c r="F640" s="52"/>
      <c r="G640" s="52"/>
      <c r="H640" s="52"/>
    </row>
    <row r="641" spans="1:8" ht="15.75">
      <c r="A641" s="119"/>
      <c r="B641" s="88"/>
      <c r="C641" s="52"/>
      <c r="D641" s="52"/>
      <c r="E641" s="52"/>
      <c r="F641" s="52"/>
      <c r="G641" s="52"/>
      <c r="H641" s="52"/>
    </row>
    <row r="642" spans="1:8" ht="15.75">
      <c r="A642" s="119"/>
      <c r="B642" s="88"/>
      <c r="C642" s="52"/>
      <c r="D642" s="52"/>
      <c r="E642" s="52"/>
      <c r="F642" s="52"/>
      <c r="G642" s="52"/>
      <c r="H642" s="52"/>
    </row>
    <row r="643" spans="1:8" ht="15.75">
      <c r="A643" s="119"/>
      <c r="B643" s="88"/>
      <c r="C643" s="52"/>
      <c r="D643" s="52"/>
      <c r="E643" s="52"/>
      <c r="F643" s="52"/>
      <c r="G643" s="52"/>
      <c r="H643" s="52"/>
    </row>
    <row r="644" spans="1:8" ht="15.75">
      <c r="A644" s="119"/>
      <c r="B644" s="88"/>
      <c r="C644" s="52"/>
      <c r="D644" s="52"/>
      <c r="E644" s="52"/>
      <c r="F644" s="52"/>
      <c r="G644" s="52"/>
      <c r="H644" s="52"/>
    </row>
    <row r="645" spans="1:8" ht="15.75">
      <c r="A645" s="119"/>
      <c r="B645" s="88"/>
      <c r="C645" s="52"/>
      <c r="D645" s="52"/>
      <c r="E645" s="52"/>
      <c r="F645" s="52"/>
      <c r="G645" s="52"/>
      <c r="H645" s="52"/>
    </row>
    <row r="646" spans="1:8" ht="15.75">
      <c r="A646" s="119"/>
      <c r="B646" s="88"/>
      <c r="C646" s="52"/>
      <c r="D646" s="52"/>
      <c r="E646" s="52"/>
      <c r="F646" s="52"/>
      <c r="G646" s="52"/>
      <c r="H646" s="52"/>
    </row>
    <row r="647" spans="1:8" ht="15.75">
      <c r="A647" s="119"/>
      <c r="B647" s="88"/>
      <c r="C647" s="52"/>
      <c r="D647" s="52"/>
      <c r="E647" s="52"/>
      <c r="F647" s="52"/>
      <c r="G647" s="52"/>
      <c r="H647" s="52"/>
    </row>
    <row r="648" spans="1:8" ht="15.75">
      <c r="A648" s="119"/>
      <c r="B648" s="88"/>
      <c r="C648" s="52"/>
      <c r="D648" s="52"/>
      <c r="E648" s="52"/>
      <c r="F648" s="52"/>
      <c r="G648" s="52"/>
      <c r="H648" s="52"/>
    </row>
    <row r="649" spans="1:8" ht="15.75">
      <c r="A649" s="119"/>
      <c r="B649" s="88"/>
      <c r="C649" s="52"/>
      <c r="D649" s="52"/>
      <c r="E649" s="52"/>
      <c r="F649" s="52"/>
      <c r="G649" s="52"/>
      <c r="H649" s="52"/>
    </row>
    <row r="650" spans="1:8" ht="15.75">
      <c r="A650" s="119"/>
      <c r="B650" s="88"/>
      <c r="C650" s="52"/>
      <c r="D650" s="52"/>
      <c r="E650" s="52"/>
      <c r="F650" s="52"/>
      <c r="G650" s="52"/>
      <c r="H650" s="52"/>
    </row>
    <row r="651" spans="1:8" ht="15.75">
      <c r="A651" s="119"/>
      <c r="B651" s="88"/>
      <c r="C651" s="52"/>
      <c r="D651" s="52"/>
      <c r="E651" s="52"/>
      <c r="F651" s="52"/>
      <c r="G651" s="52"/>
      <c r="H651" s="52"/>
    </row>
    <row r="652" spans="1:8" ht="15.75">
      <c r="A652" s="119"/>
      <c r="B652" s="88"/>
      <c r="C652" s="52"/>
      <c r="D652" s="52"/>
      <c r="E652" s="52"/>
      <c r="F652" s="52"/>
      <c r="G652" s="52"/>
      <c r="H652" s="52"/>
    </row>
    <row r="653" spans="1:8" ht="15.75">
      <c r="A653" s="119"/>
      <c r="B653" s="88"/>
      <c r="C653" s="52"/>
      <c r="D653" s="52"/>
      <c r="E653" s="52"/>
      <c r="F653" s="52"/>
      <c r="G653" s="52"/>
      <c r="H653" s="52"/>
    </row>
    <row r="654" spans="1:8" ht="15.75">
      <c r="A654" s="119"/>
      <c r="B654" s="88"/>
      <c r="C654" s="52"/>
      <c r="D654" s="52"/>
      <c r="E654" s="52"/>
      <c r="F654" s="52"/>
      <c r="G654" s="52"/>
      <c r="H654" s="52"/>
    </row>
    <row r="655" spans="1:8" ht="15.75">
      <c r="A655" s="119"/>
      <c r="B655" s="88"/>
      <c r="C655" s="52"/>
      <c r="D655" s="52"/>
      <c r="E655" s="52"/>
      <c r="F655" s="52"/>
      <c r="G655" s="52"/>
      <c r="H655" s="52"/>
    </row>
    <row r="656" spans="1:8" ht="15.75">
      <c r="A656" s="119"/>
      <c r="B656" s="88"/>
      <c r="C656" s="52"/>
      <c r="D656" s="52"/>
      <c r="E656" s="52"/>
      <c r="F656" s="52"/>
      <c r="G656" s="52"/>
      <c r="H656" s="52"/>
    </row>
    <row r="657" spans="1:8" ht="15.75">
      <c r="A657" s="119"/>
      <c r="B657" s="88"/>
      <c r="C657" s="52"/>
      <c r="D657" s="52"/>
      <c r="E657" s="52"/>
      <c r="F657" s="52"/>
      <c r="G657" s="52"/>
      <c r="H657" s="52"/>
    </row>
    <row r="658" spans="1:8" ht="15.75">
      <c r="A658" s="119"/>
      <c r="B658" s="88"/>
      <c r="C658" s="52"/>
      <c r="D658" s="52"/>
      <c r="E658" s="52"/>
      <c r="F658" s="52"/>
      <c r="G658" s="52"/>
      <c r="H658" s="52"/>
    </row>
    <row r="659" spans="1:8" ht="15.75">
      <c r="A659" s="119"/>
      <c r="B659" s="88"/>
      <c r="C659" s="52"/>
      <c r="D659" s="52"/>
      <c r="E659" s="52"/>
      <c r="F659" s="52"/>
      <c r="G659" s="52"/>
      <c r="H659" s="52"/>
    </row>
    <row r="660" spans="1:8" ht="15.75">
      <c r="A660" s="119"/>
      <c r="B660" s="88"/>
      <c r="C660" s="52"/>
      <c r="D660" s="52"/>
      <c r="E660" s="52"/>
      <c r="F660" s="52"/>
      <c r="G660" s="52"/>
      <c r="H660" s="52"/>
    </row>
    <row r="661" spans="1:8" ht="15.75">
      <c r="A661" s="119"/>
      <c r="B661" s="88"/>
      <c r="C661" s="52"/>
      <c r="D661" s="52"/>
      <c r="E661" s="52"/>
      <c r="F661" s="52"/>
      <c r="G661" s="52"/>
      <c r="H661" s="52"/>
    </row>
    <row r="662" spans="1:8" ht="15.75">
      <c r="A662" s="119"/>
      <c r="B662" s="88"/>
      <c r="C662" s="52"/>
      <c r="D662" s="52"/>
      <c r="E662" s="52"/>
      <c r="F662" s="52"/>
      <c r="G662" s="52"/>
      <c r="H662" s="52"/>
    </row>
    <row r="663" spans="1:8" ht="15.75">
      <c r="A663" s="119"/>
      <c r="B663" s="88"/>
      <c r="C663" s="52"/>
      <c r="D663" s="52"/>
      <c r="E663" s="52"/>
      <c r="F663" s="52"/>
      <c r="G663" s="52"/>
      <c r="H663" s="52"/>
    </row>
    <row r="664" spans="1:8" ht="15.75">
      <c r="A664" s="119"/>
      <c r="B664" s="88"/>
      <c r="C664" s="52"/>
      <c r="D664" s="52"/>
      <c r="E664" s="52"/>
      <c r="F664" s="52"/>
      <c r="G664" s="52"/>
      <c r="H664" s="52"/>
    </row>
    <row r="665" spans="1:8" ht="15.75">
      <c r="A665" s="119"/>
      <c r="B665" s="88"/>
      <c r="C665" s="52"/>
      <c r="D665" s="52"/>
      <c r="E665" s="52"/>
      <c r="F665" s="52"/>
      <c r="G665" s="52"/>
      <c r="H665" s="52"/>
    </row>
    <row r="666" spans="1:8" ht="15.75">
      <c r="A666" s="119"/>
      <c r="B666" s="88"/>
      <c r="C666" s="52"/>
      <c r="D666" s="52"/>
      <c r="E666" s="52"/>
      <c r="F666" s="52"/>
      <c r="G666" s="52"/>
      <c r="H666" s="52"/>
    </row>
    <row r="667" spans="1:8" ht="15.75">
      <c r="A667" s="119"/>
      <c r="B667" s="88"/>
      <c r="C667" s="52"/>
      <c r="D667" s="52"/>
      <c r="E667" s="52"/>
      <c r="F667" s="52"/>
      <c r="G667" s="52"/>
      <c r="H667" s="52"/>
    </row>
    <row r="668" spans="1:8" ht="15.75">
      <c r="A668" s="119"/>
      <c r="B668" s="88"/>
      <c r="C668" s="52"/>
      <c r="D668" s="52"/>
      <c r="E668" s="52"/>
      <c r="F668" s="52"/>
      <c r="G668" s="52"/>
      <c r="H668" s="52"/>
    </row>
    <row r="669" spans="1:8" ht="15.75">
      <c r="A669" s="119"/>
      <c r="B669" s="88"/>
      <c r="C669" s="52"/>
      <c r="D669" s="52"/>
      <c r="E669" s="52"/>
      <c r="F669" s="52"/>
      <c r="G669" s="52"/>
      <c r="H669" s="52"/>
    </row>
    <row r="670" spans="1:8" ht="15.75">
      <c r="A670" s="119"/>
      <c r="B670" s="88"/>
      <c r="C670" s="52"/>
      <c r="D670" s="52"/>
      <c r="E670" s="52"/>
      <c r="F670" s="52"/>
      <c r="G670" s="52"/>
      <c r="H670" s="52"/>
    </row>
    <row r="671" spans="1:8" ht="15.75">
      <c r="A671" s="119"/>
      <c r="B671" s="88"/>
      <c r="C671" s="52"/>
      <c r="D671" s="52"/>
      <c r="E671" s="52"/>
      <c r="F671" s="52"/>
      <c r="G671" s="52"/>
      <c r="H671" s="52"/>
    </row>
    <row r="672" spans="1:8" ht="15.75">
      <c r="A672" s="119"/>
      <c r="B672" s="88"/>
      <c r="C672" s="52"/>
      <c r="D672" s="52"/>
      <c r="E672" s="52"/>
      <c r="F672" s="52"/>
      <c r="G672" s="52"/>
      <c r="H672" s="52"/>
    </row>
    <row r="673" spans="1:8" ht="15.75">
      <c r="A673" s="119"/>
      <c r="B673" s="88"/>
      <c r="C673" s="52"/>
      <c r="D673" s="52"/>
      <c r="E673" s="52"/>
      <c r="F673" s="52"/>
      <c r="G673" s="52"/>
      <c r="H673" s="52"/>
    </row>
    <row r="674" spans="1:8" ht="15.75">
      <c r="A674" s="119"/>
      <c r="B674" s="88"/>
      <c r="C674" s="52"/>
      <c r="D674" s="52"/>
      <c r="E674" s="52"/>
      <c r="F674" s="52"/>
      <c r="G674" s="52"/>
      <c r="H674" s="52"/>
    </row>
    <row r="675" spans="1:8" ht="15.75">
      <c r="A675" s="119"/>
      <c r="B675" s="88"/>
      <c r="C675" s="52"/>
      <c r="D675" s="52"/>
      <c r="E675" s="52"/>
      <c r="F675" s="52"/>
      <c r="G675" s="52"/>
      <c r="H675" s="52"/>
    </row>
    <row r="676" spans="1:8" ht="15.75">
      <c r="A676" s="119"/>
      <c r="B676" s="88"/>
      <c r="C676" s="52"/>
      <c r="D676" s="52"/>
      <c r="E676" s="52"/>
      <c r="F676" s="52"/>
      <c r="G676" s="52"/>
      <c r="H676" s="52"/>
    </row>
    <row r="677" spans="1:8" ht="15.75">
      <c r="A677" s="119"/>
      <c r="B677" s="88"/>
      <c r="C677" s="52"/>
      <c r="D677" s="52"/>
      <c r="E677" s="52"/>
      <c r="F677" s="52"/>
      <c r="G677" s="52"/>
      <c r="H677" s="52"/>
    </row>
    <row r="678" spans="1:8" ht="15.75">
      <c r="A678" s="119"/>
      <c r="B678" s="88"/>
      <c r="C678" s="52"/>
      <c r="D678" s="52"/>
      <c r="E678" s="52"/>
      <c r="F678" s="52"/>
      <c r="G678" s="52"/>
      <c r="H678" s="52"/>
    </row>
    <row r="679" spans="1:8" ht="15.75">
      <c r="A679" s="119"/>
      <c r="B679" s="88"/>
      <c r="C679" s="52"/>
      <c r="D679" s="52"/>
      <c r="E679" s="52"/>
      <c r="F679" s="52"/>
      <c r="G679" s="52"/>
      <c r="H679" s="52"/>
    </row>
    <row r="680" spans="1:8" ht="15.75">
      <c r="A680" s="119"/>
      <c r="B680" s="88"/>
      <c r="C680" s="52"/>
      <c r="D680" s="52"/>
      <c r="E680" s="52"/>
      <c r="F680" s="52"/>
      <c r="G680" s="52"/>
      <c r="H680" s="52"/>
    </row>
    <row r="681" spans="1:8" ht="15.75">
      <c r="A681" s="119"/>
      <c r="B681" s="88"/>
      <c r="C681" s="52"/>
      <c r="D681" s="52"/>
      <c r="E681" s="52"/>
      <c r="F681" s="52"/>
      <c r="G681" s="52"/>
      <c r="H681" s="52"/>
    </row>
    <row r="682" spans="1:8" ht="15.75">
      <c r="A682" s="119"/>
      <c r="B682" s="88"/>
      <c r="C682" s="52"/>
      <c r="D682" s="52"/>
      <c r="E682" s="52"/>
      <c r="F682" s="52"/>
      <c r="G682" s="52"/>
      <c r="H682" s="52"/>
    </row>
    <row r="683" spans="1:8" ht="15.75">
      <c r="A683" s="119"/>
      <c r="B683" s="88"/>
      <c r="C683" s="52"/>
      <c r="D683" s="52"/>
      <c r="E683" s="52"/>
      <c r="F683" s="52"/>
      <c r="G683" s="52"/>
      <c r="H683" s="52"/>
    </row>
    <row r="684" spans="1:8" ht="15.75">
      <c r="A684" s="119"/>
      <c r="B684" s="88"/>
      <c r="C684" s="52"/>
      <c r="D684" s="52"/>
      <c r="E684" s="52"/>
      <c r="F684" s="52"/>
      <c r="G684" s="52"/>
      <c r="H684" s="52"/>
    </row>
    <row r="685" spans="1:8" ht="15.75">
      <c r="A685" s="119"/>
      <c r="B685" s="88"/>
      <c r="C685" s="52"/>
      <c r="D685" s="52"/>
      <c r="E685" s="52"/>
      <c r="F685" s="52"/>
      <c r="G685" s="52"/>
      <c r="H685" s="52"/>
    </row>
    <row r="686" spans="1:8" ht="15.75">
      <c r="A686" s="119"/>
      <c r="B686" s="88"/>
      <c r="C686" s="52"/>
      <c r="D686" s="52"/>
      <c r="E686" s="52"/>
      <c r="F686" s="52"/>
      <c r="G686" s="52"/>
      <c r="H686" s="52"/>
    </row>
    <row r="687" spans="1:8" ht="15.75">
      <c r="A687" s="119"/>
      <c r="B687" s="88"/>
      <c r="C687" s="52"/>
      <c r="D687" s="52"/>
      <c r="E687" s="52"/>
      <c r="F687" s="52"/>
      <c r="G687" s="52"/>
      <c r="H687" s="52"/>
    </row>
    <row r="688" spans="1:8" ht="15.75">
      <c r="A688" s="119"/>
      <c r="B688" s="88"/>
      <c r="C688" s="52"/>
      <c r="D688" s="52"/>
      <c r="E688" s="52"/>
      <c r="F688" s="52"/>
      <c r="G688" s="52"/>
      <c r="H688" s="52"/>
    </row>
    <row r="689" spans="1:8" ht="15.75">
      <c r="A689" s="119"/>
      <c r="B689" s="88"/>
      <c r="C689" s="52"/>
      <c r="D689" s="52"/>
      <c r="E689" s="52"/>
      <c r="F689" s="52"/>
      <c r="G689" s="52"/>
      <c r="H689" s="52"/>
    </row>
    <row r="690" spans="1:8" ht="15.75">
      <c r="A690" s="119"/>
      <c r="B690" s="88"/>
      <c r="C690" s="52"/>
      <c r="D690" s="52"/>
      <c r="E690" s="52"/>
      <c r="F690" s="52"/>
      <c r="G690" s="52"/>
      <c r="H690" s="52"/>
    </row>
    <row r="691" spans="1:8" ht="15.75">
      <c r="A691" s="119"/>
      <c r="B691" s="88"/>
      <c r="C691" s="52"/>
      <c r="D691" s="52"/>
      <c r="E691" s="52"/>
      <c r="F691" s="52"/>
      <c r="G691" s="52"/>
      <c r="H691" s="52"/>
    </row>
    <row r="692" spans="1:8" ht="15.75">
      <c r="A692" s="119"/>
      <c r="B692" s="88"/>
      <c r="C692" s="52"/>
      <c r="D692" s="52"/>
      <c r="E692" s="52"/>
      <c r="F692" s="52"/>
      <c r="G692" s="52"/>
      <c r="H692" s="52"/>
    </row>
    <row r="693" spans="1:8" ht="15.75">
      <c r="A693" s="119"/>
      <c r="B693" s="88"/>
      <c r="C693" s="52"/>
      <c r="D693" s="52"/>
      <c r="E693" s="52"/>
      <c r="F693" s="52"/>
      <c r="G693" s="52"/>
      <c r="H693" s="52"/>
    </row>
    <row r="694" spans="1:8" ht="15.75">
      <c r="A694" s="119"/>
      <c r="B694" s="88"/>
      <c r="C694" s="52"/>
      <c r="D694" s="52"/>
      <c r="E694" s="52"/>
      <c r="F694" s="52"/>
      <c r="G694" s="52"/>
      <c r="H694" s="52"/>
    </row>
    <row r="695" spans="1:8" ht="15.75">
      <c r="A695" s="119"/>
      <c r="B695" s="88"/>
      <c r="C695" s="52"/>
      <c r="D695" s="52"/>
      <c r="E695" s="52"/>
      <c r="F695" s="52"/>
      <c r="G695" s="52"/>
      <c r="H695" s="52"/>
    </row>
    <row r="696" spans="1:8" ht="15.75">
      <c r="A696" s="119"/>
      <c r="B696" s="88"/>
      <c r="C696" s="52"/>
      <c r="D696" s="52"/>
      <c r="E696" s="52"/>
      <c r="F696" s="52"/>
      <c r="G696" s="52"/>
      <c r="H696" s="52"/>
    </row>
    <row r="697" spans="1:8" ht="15.75">
      <c r="A697" s="119"/>
      <c r="B697" s="88"/>
      <c r="C697" s="52"/>
      <c r="D697" s="52"/>
      <c r="E697" s="52"/>
      <c r="F697" s="52"/>
      <c r="G697" s="52"/>
      <c r="H697" s="52"/>
    </row>
    <row r="698" spans="1:8" ht="15.75">
      <c r="A698" s="119"/>
      <c r="B698" s="88"/>
      <c r="C698" s="52"/>
      <c r="D698" s="52"/>
      <c r="E698" s="52"/>
      <c r="F698" s="52"/>
      <c r="G698" s="52"/>
      <c r="H698" s="52"/>
    </row>
    <row r="699" spans="1:8" ht="15.75">
      <c r="A699" s="119"/>
      <c r="B699" s="88"/>
      <c r="C699" s="52"/>
      <c r="D699" s="52"/>
      <c r="E699" s="52"/>
      <c r="F699" s="52"/>
      <c r="G699" s="52"/>
      <c r="H699" s="52"/>
    </row>
    <row r="700" spans="1:8" ht="15.75">
      <c r="A700" s="119"/>
      <c r="B700" s="88"/>
      <c r="C700" s="52"/>
      <c r="D700" s="52"/>
      <c r="E700" s="52"/>
      <c r="F700" s="52"/>
      <c r="G700" s="52"/>
      <c r="H700" s="52"/>
    </row>
    <row r="701" spans="1:8" ht="15.75">
      <c r="A701" s="119"/>
      <c r="B701" s="88"/>
      <c r="C701" s="52"/>
      <c r="D701" s="52"/>
      <c r="E701" s="52"/>
      <c r="F701" s="52"/>
      <c r="G701" s="52"/>
      <c r="H701" s="52"/>
    </row>
    <row r="702" spans="1:8" ht="15.75">
      <c r="A702" s="119"/>
      <c r="B702" s="88"/>
      <c r="C702" s="52"/>
      <c r="D702" s="52"/>
      <c r="E702" s="52"/>
      <c r="F702" s="52"/>
      <c r="G702" s="52"/>
      <c r="H702" s="52"/>
    </row>
    <row r="703" spans="1:8" ht="15.75">
      <c r="A703" s="119"/>
      <c r="B703" s="88"/>
      <c r="C703" s="52"/>
      <c r="D703" s="52"/>
      <c r="E703" s="52"/>
      <c r="F703" s="52"/>
      <c r="G703" s="52"/>
      <c r="H703" s="52"/>
    </row>
    <row r="704" spans="1:8" ht="15.75">
      <c r="A704" s="119"/>
      <c r="B704" s="88"/>
      <c r="C704" s="52"/>
      <c r="D704" s="52"/>
      <c r="E704" s="52"/>
      <c r="F704" s="52"/>
      <c r="G704" s="52"/>
      <c r="H704" s="52"/>
    </row>
    <row r="705" spans="1:8" ht="15.75">
      <c r="A705" s="119"/>
      <c r="B705" s="88"/>
      <c r="C705" s="52"/>
      <c r="D705" s="52"/>
      <c r="E705" s="52"/>
      <c r="F705" s="52"/>
      <c r="G705" s="52"/>
      <c r="H705" s="52"/>
    </row>
    <row r="706" spans="1:8" ht="15.75">
      <c r="A706" s="119"/>
      <c r="B706" s="88"/>
      <c r="C706" s="52"/>
      <c r="D706" s="52"/>
      <c r="E706" s="52"/>
      <c r="F706" s="52"/>
      <c r="G706" s="52"/>
      <c r="H706" s="52"/>
    </row>
    <row r="707" spans="1:8" ht="15.75">
      <c r="A707" s="119"/>
      <c r="B707" s="88"/>
      <c r="C707" s="52"/>
      <c r="D707" s="52"/>
      <c r="E707" s="52"/>
      <c r="F707" s="52"/>
      <c r="G707" s="52"/>
      <c r="H707" s="52"/>
    </row>
    <row r="708" spans="1:8" ht="15.75">
      <c r="A708" s="119"/>
      <c r="B708" s="88"/>
      <c r="C708" s="52"/>
      <c r="D708" s="52"/>
      <c r="E708" s="52"/>
      <c r="F708" s="52"/>
      <c r="G708" s="52"/>
      <c r="H708" s="52"/>
    </row>
    <row r="709" spans="1:8" ht="15.75">
      <c r="A709" s="119"/>
      <c r="B709" s="88"/>
      <c r="C709" s="52"/>
      <c r="D709" s="52"/>
      <c r="E709" s="52"/>
      <c r="F709" s="52"/>
      <c r="G709" s="52"/>
      <c r="H709" s="52"/>
    </row>
    <row r="710" spans="1:8" ht="15.75">
      <c r="A710" s="119"/>
      <c r="B710" s="88"/>
      <c r="C710" s="52"/>
      <c r="D710" s="52"/>
      <c r="E710" s="52"/>
      <c r="F710" s="52"/>
      <c r="G710" s="52"/>
      <c r="H710" s="52"/>
    </row>
    <row r="711" spans="1:8" ht="15.75">
      <c r="A711" s="119"/>
      <c r="B711" s="88"/>
      <c r="C711" s="52"/>
      <c r="D711" s="52"/>
      <c r="E711" s="52"/>
      <c r="F711" s="52"/>
      <c r="G711" s="52"/>
      <c r="H711" s="52"/>
    </row>
    <row r="712" spans="1:8" ht="15.75">
      <c r="A712" s="119"/>
      <c r="B712" s="88"/>
      <c r="C712" s="52"/>
      <c r="D712" s="52"/>
      <c r="E712" s="52"/>
      <c r="F712" s="52"/>
      <c r="G712" s="52"/>
      <c r="H712" s="52"/>
    </row>
    <row r="713" spans="1:8" ht="15.75">
      <c r="A713" s="119"/>
      <c r="B713" s="88"/>
      <c r="C713" s="52"/>
      <c r="D713" s="52"/>
      <c r="E713" s="52"/>
      <c r="F713" s="52"/>
      <c r="G713" s="52"/>
      <c r="H713" s="52"/>
    </row>
    <row r="714" spans="1:8" ht="15.75">
      <c r="A714" s="119"/>
      <c r="B714" s="88"/>
      <c r="C714" s="52"/>
      <c r="D714" s="52"/>
      <c r="E714" s="52"/>
      <c r="F714" s="52"/>
      <c r="G714" s="52"/>
      <c r="H714" s="52"/>
    </row>
    <row r="715" spans="1:8" ht="15.75">
      <c r="A715" s="119"/>
      <c r="B715" s="88"/>
      <c r="C715" s="52"/>
      <c r="D715" s="52"/>
      <c r="E715" s="52"/>
      <c r="F715" s="52"/>
      <c r="G715" s="52"/>
      <c r="H715" s="52"/>
    </row>
    <row r="716" spans="1:8" ht="15.75">
      <c r="A716" s="119"/>
      <c r="B716" s="88"/>
      <c r="C716" s="52"/>
      <c r="D716" s="52"/>
      <c r="E716" s="52"/>
      <c r="F716" s="52"/>
      <c r="G716" s="52"/>
      <c r="H716" s="52"/>
    </row>
    <row r="717" spans="1:8" ht="15.75">
      <c r="A717" s="119"/>
      <c r="B717" s="88"/>
      <c r="C717" s="52"/>
      <c r="D717" s="52"/>
      <c r="E717" s="52"/>
      <c r="F717" s="52"/>
      <c r="G717" s="52"/>
      <c r="H717" s="52"/>
    </row>
    <row r="718" spans="1:8" ht="15.75">
      <c r="A718" s="119"/>
      <c r="B718" s="88"/>
      <c r="C718" s="52"/>
      <c r="D718" s="52"/>
      <c r="E718" s="52"/>
      <c r="F718" s="52"/>
      <c r="G718" s="52"/>
      <c r="H718" s="52"/>
    </row>
    <row r="719" spans="1:8" ht="15.75">
      <c r="A719" s="119"/>
      <c r="B719" s="88"/>
      <c r="C719" s="52"/>
      <c r="D719" s="52"/>
      <c r="E719" s="52"/>
      <c r="F719" s="52"/>
      <c r="G719" s="52"/>
      <c r="H719" s="52"/>
    </row>
    <row r="720" spans="1:8" ht="15.75">
      <c r="A720" s="119"/>
      <c r="B720" s="88"/>
      <c r="C720" s="52"/>
      <c r="D720" s="52"/>
      <c r="E720" s="52"/>
      <c r="F720" s="52"/>
      <c r="G720" s="52"/>
      <c r="H720" s="52"/>
    </row>
    <row r="721" spans="1:8" ht="15.75">
      <c r="A721" s="119"/>
      <c r="B721" s="88"/>
      <c r="C721" s="52"/>
      <c r="D721" s="52"/>
      <c r="E721" s="52"/>
      <c r="F721" s="52"/>
      <c r="G721" s="52"/>
      <c r="H721" s="52"/>
    </row>
    <row r="722" spans="1:8" ht="15.75">
      <c r="A722" s="119"/>
      <c r="B722" s="88"/>
      <c r="C722" s="52"/>
      <c r="D722" s="52"/>
      <c r="E722" s="52"/>
      <c r="F722" s="52"/>
      <c r="G722" s="52"/>
      <c r="H722" s="52"/>
    </row>
    <row r="723" spans="1:8" ht="15.75">
      <c r="A723" s="119"/>
      <c r="B723" s="88"/>
      <c r="C723" s="52"/>
      <c r="D723" s="52"/>
      <c r="E723" s="52"/>
      <c r="F723" s="52"/>
      <c r="G723" s="52"/>
      <c r="H723" s="52"/>
    </row>
    <row r="724" spans="1:8" ht="15.75">
      <c r="A724" s="119"/>
      <c r="B724" s="88"/>
      <c r="C724" s="52"/>
      <c r="D724" s="52"/>
      <c r="E724" s="52"/>
      <c r="F724" s="52"/>
      <c r="G724" s="52"/>
      <c r="H724" s="52"/>
    </row>
    <row r="725" spans="1:8" ht="15.75">
      <c r="A725" s="119"/>
      <c r="B725" s="88"/>
      <c r="C725" s="52"/>
      <c r="D725" s="52"/>
      <c r="E725" s="52"/>
      <c r="F725" s="52"/>
      <c r="G725" s="52"/>
      <c r="H725" s="52"/>
    </row>
    <row r="726" spans="1:8" ht="15.75">
      <c r="A726" s="119"/>
      <c r="B726" s="88"/>
      <c r="C726" s="52"/>
      <c r="D726" s="52"/>
      <c r="E726" s="52"/>
      <c r="F726" s="52"/>
      <c r="G726" s="52"/>
      <c r="H726" s="52"/>
    </row>
    <row r="727" spans="1:8" ht="15.75">
      <c r="A727" s="119"/>
      <c r="B727" s="88"/>
      <c r="C727" s="52"/>
      <c r="D727" s="52"/>
      <c r="E727" s="52"/>
      <c r="F727" s="52"/>
      <c r="G727" s="52"/>
      <c r="H727" s="52"/>
    </row>
    <row r="728" spans="1:8" ht="15.75">
      <c r="A728" s="119"/>
      <c r="B728" s="88"/>
      <c r="C728" s="52"/>
      <c r="D728" s="52"/>
      <c r="E728" s="52"/>
      <c r="F728" s="52"/>
      <c r="G728" s="52"/>
      <c r="H728" s="52"/>
    </row>
    <row r="729" spans="1:8" ht="15.75">
      <c r="A729" s="119"/>
      <c r="B729" s="88"/>
      <c r="C729" s="52"/>
      <c r="D729" s="52"/>
      <c r="E729" s="52"/>
      <c r="F729" s="52"/>
      <c r="G729" s="52"/>
      <c r="H729" s="52"/>
    </row>
    <row r="730" spans="1:8" ht="15.75">
      <c r="A730" s="119"/>
      <c r="B730" s="88"/>
      <c r="C730" s="52"/>
      <c r="D730" s="52"/>
      <c r="E730" s="52"/>
      <c r="F730" s="52"/>
      <c r="G730" s="52"/>
      <c r="H730" s="52"/>
    </row>
    <row r="731" spans="1:8" ht="15.75">
      <c r="A731" s="119"/>
      <c r="B731" s="88"/>
      <c r="C731" s="52"/>
      <c r="D731" s="52"/>
      <c r="E731" s="52"/>
      <c r="F731" s="52"/>
      <c r="G731" s="52"/>
      <c r="H731" s="52"/>
    </row>
    <row r="732" spans="1:8" ht="15.75">
      <c r="A732" s="119"/>
      <c r="B732" s="88"/>
      <c r="C732" s="52"/>
      <c r="D732" s="52"/>
      <c r="E732" s="52"/>
      <c r="F732" s="52"/>
      <c r="G732" s="52"/>
      <c r="H732" s="52"/>
    </row>
    <row r="733" spans="1:8" ht="15.75">
      <c r="A733" s="119"/>
      <c r="B733" s="88"/>
      <c r="C733" s="52"/>
      <c r="D733" s="52"/>
      <c r="E733" s="52"/>
      <c r="F733" s="52"/>
      <c r="G733" s="52"/>
      <c r="H733" s="52"/>
    </row>
    <row r="734" spans="1:8" ht="15.75">
      <c r="A734" s="119"/>
      <c r="B734" s="88"/>
      <c r="C734" s="52"/>
      <c r="D734" s="52"/>
      <c r="E734" s="52"/>
      <c r="F734" s="52"/>
      <c r="G734" s="52"/>
      <c r="H734" s="52"/>
    </row>
    <row r="735" spans="1:8" ht="15.75">
      <c r="A735" s="119"/>
      <c r="B735" s="88"/>
      <c r="C735" s="52"/>
      <c r="D735" s="52"/>
      <c r="E735" s="52"/>
      <c r="F735" s="52"/>
      <c r="G735" s="52"/>
      <c r="H735" s="52"/>
    </row>
    <row r="736" spans="1:8" ht="15.75">
      <c r="A736" s="119"/>
      <c r="B736" s="88"/>
      <c r="C736" s="52"/>
      <c r="D736" s="52"/>
      <c r="E736" s="52"/>
      <c r="F736" s="52"/>
      <c r="G736" s="52"/>
      <c r="H736" s="52"/>
    </row>
    <row r="737" spans="1:8" ht="15.75">
      <c r="A737" s="119"/>
      <c r="B737" s="88"/>
      <c r="C737" s="52"/>
      <c r="D737" s="52"/>
      <c r="E737" s="52"/>
      <c r="F737" s="52"/>
      <c r="G737" s="52"/>
      <c r="H737" s="52"/>
    </row>
    <row r="738" spans="1:8" ht="15.75">
      <c r="A738" s="119"/>
      <c r="B738" s="88"/>
      <c r="C738" s="52"/>
      <c r="D738" s="52"/>
      <c r="E738" s="52"/>
      <c r="F738" s="52"/>
      <c r="G738" s="52"/>
      <c r="H738" s="52"/>
    </row>
    <row r="739" spans="1:8" ht="15.75">
      <c r="A739" s="119"/>
      <c r="B739" s="88"/>
      <c r="C739" s="52"/>
      <c r="D739" s="52"/>
      <c r="E739" s="52"/>
      <c r="F739" s="52"/>
      <c r="G739" s="52"/>
      <c r="H739" s="52"/>
    </row>
    <row r="740" spans="1:8" ht="15.75">
      <c r="A740" s="119"/>
      <c r="B740" s="88"/>
      <c r="C740" s="52"/>
      <c r="D740" s="52"/>
      <c r="E740" s="52"/>
      <c r="F740" s="52"/>
      <c r="G740" s="52"/>
      <c r="H740" s="52"/>
    </row>
    <row r="741" spans="1:8" ht="15.75">
      <c r="A741" s="119"/>
      <c r="B741" s="88"/>
      <c r="C741" s="52"/>
      <c r="D741" s="52"/>
      <c r="E741" s="52"/>
      <c r="F741" s="52"/>
      <c r="G741" s="52"/>
      <c r="H741" s="52"/>
    </row>
    <row r="742" spans="1:8" ht="15.75">
      <c r="A742" s="119"/>
      <c r="B742" s="88"/>
      <c r="C742" s="52"/>
      <c r="D742" s="52"/>
      <c r="E742" s="52"/>
      <c r="F742" s="52"/>
      <c r="G742" s="52"/>
      <c r="H742" s="52"/>
    </row>
    <row r="743" spans="1:8" ht="15.75">
      <c r="A743" s="119"/>
      <c r="B743" s="88"/>
      <c r="C743" s="52"/>
      <c r="D743" s="52"/>
      <c r="E743" s="52"/>
      <c r="F743" s="52"/>
      <c r="G743" s="52"/>
      <c r="H743" s="52"/>
    </row>
    <row r="744" spans="1:8" ht="15.75">
      <c r="A744" s="119"/>
      <c r="B744" s="88"/>
      <c r="C744" s="52"/>
      <c r="D744" s="52"/>
      <c r="E744" s="52"/>
      <c r="F744" s="52"/>
      <c r="G744" s="52"/>
      <c r="H744" s="52"/>
    </row>
    <row r="745" spans="1:8" ht="15.75">
      <c r="A745" s="119"/>
      <c r="B745" s="88"/>
      <c r="C745" s="52"/>
      <c r="D745" s="52"/>
      <c r="E745" s="52"/>
      <c r="F745" s="52"/>
      <c r="G745" s="52"/>
      <c r="H745" s="52"/>
    </row>
    <row r="746" spans="1:8" ht="15.75">
      <c r="A746" s="119"/>
      <c r="B746" s="88"/>
      <c r="C746" s="52"/>
      <c r="D746" s="52"/>
      <c r="E746" s="52"/>
      <c r="F746" s="52"/>
      <c r="G746" s="52"/>
      <c r="H746" s="52"/>
    </row>
    <row r="747" spans="1:8" ht="15.75">
      <c r="A747" s="119"/>
      <c r="B747" s="88"/>
      <c r="C747" s="52"/>
      <c r="D747" s="52"/>
      <c r="E747" s="52"/>
      <c r="F747" s="52"/>
      <c r="G747" s="52"/>
      <c r="H747" s="52"/>
    </row>
    <row r="748" spans="1:8" ht="15.75">
      <c r="A748" s="119"/>
      <c r="B748" s="88"/>
      <c r="C748" s="52"/>
      <c r="D748" s="52"/>
      <c r="E748" s="52"/>
      <c r="F748" s="52"/>
      <c r="G748" s="52"/>
      <c r="H748" s="52"/>
    </row>
    <row r="749" spans="1:8" ht="15.75">
      <c r="A749" s="119"/>
      <c r="B749" s="88"/>
      <c r="C749" s="52"/>
      <c r="D749" s="52"/>
      <c r="E749" s="52"/>
      <c r="F749" s="52"/>
      <c r="G749" s="52"/>
      <c r="H749" s="52"/>
    </row>
    <row r="750" spans="1:8" ht="15.75">
      <c r="A750" s="119"/>
      <c r="B750" s="88"/>
      <c r="C750" s="52"/>
      <c r="D750" s="52"/>
      <c r="E750" s="52"/>
      <c r="F750" s="52"/>
      <c r="G750" s="52"/>
      <c r="H750" s="52"/>
    </row>
    <row r="751" spans="1:8" ht="15.75">
      <c r="A751" s="119"/>
      <c r="B751" s="88"/>
      <c r="C751" s="52"/>
      <c r="D751" s="52"/>
      <c r="E751" s="52"/>
      <c r="F751" s="52"/>
      <c r="G751" s="52"/>
      <c r="H751" s="52"/>
    </row>
    <row r="752" spans="1:8" ht="15.75">
      <c r="A752" s="119"/>
      <c r="B752" s="88"/>
      <c r="C752" s="52"/>
      <c r="D752" s="52"/>
      <c r="E752" s="52"/>
      <c r="F752" s="52"/>
      <c r="G752" s="52"/>
      <c r="H752" s="52"/>
    </row>
    <row r="753" spans="1:8" ht="15.75">
      <c r="A753" s="119"/>
      <c r="B753" s="88"/>
      <c r="C753" s="52"/>
      <c r="D753" s="52"/>
      <c r="E753" s="52"/>
      <c r="F753" s="52"/>
      <c r="G753" s="52"/>
      <c r="H753" s="52"/>
    </row>
    <row r="754" spans="1:8" ht="15.75">
      <c r="A754" s="119"/>
      <c r="B754" s="88"/>
      <c r="C754" s="52"/>
      <c r="D754" s="52"/>
      <c r="E754" s="52"/>
      <c r="F754" s="52"/>
      <c r="G754" s="52"/>
      <c r="H754" s="52"/>
    </row>
    <row r="755" spans="1:8" ht="15.75">
      <c r="A755" s="119"/>
      <c r="B755" s="88"/>
      <c r="C755" s="52"/>
      <c r="D755" s="52"/>
      <c r="E755" s="52"/>
      <c r="F755" s="52"/>
      <c r="G755" s="52"/>
      <c r="H755" s="52"/>
    </row>
    <row r="756" spans="1:8" ht="15.75">
      <c r="A756" s="119"/>
      <c r="B756" s="88"/>
      <c r="C756" s="52"/>
      <c r="D756" s="52"/>
      <c r="E756" s="52"/>
      <c r="F756" s="52"/>
      <c r="G756" s="52"/>
      <c r="H756" s="52"/>
    </row>
    <row r="757" spans="1:8" ht="15.75">
      <c r="A757" s="119"/>
      <c r="B757" s="88"/>
      <c r="C757" s="52"/>
      <c r="D757" s="52"/>
      <c r="E757" s="52"/>
      <c r="F757" s="52"/>
      <c r="G757" s="52"/>
      <c r="H757" s="52"/>
    </row>
    <row r="758" spans="1:8" ht="15.75">
      <c r="A758" s="119"/>
      <c r="B758" s="88"/>
      <c r="C758" s="52"/>
      <c r="D758" s="52"/>
      <c r="E758" s="52"/>
      <c r="F758" s="52"/>
      <c r="G758" s="52"/>
      <c r="H758" s="52"/>
    </row>
    <row r="759" spans="1:8" ht="15.75">
      <c r="A759" s="119"/>
      <c r="B759" s="88"/>
      <c r="C759" s="52"/>
      <c r="D759" s="52"/>
      <c r="E759" s="52"/>
      <c r="F759" s="52"/>
      <c r="G759" s="52"/>
      <c r="H759" s="52"/>
    </row>
    <row r="760" spans="1:8" ht="15.75">
      <c r="A760" s="119"/>
      <c r="B760" s="88"/>
      <c r="C760" s="52"/>
      <c r="D760" s="52"/>
      <c r="E760" s="52"/>
      <c r="F760" s="52"/>
      <c r="G760" s="52"/>
      <c r="H760" s="52"/>
    </row>
    <row r="761" spans="1:8" ht="15.75">
      <c r="A761" s="119"/>
      <c r="B761" s="88"/>
      <c r="C761" s="52"/>
      <c r="D761" s="52"/>
      <c r="E761" s="52"/>
      <c r="F761" s="52"/>
      <c r="G761" s="52"/>
      <c r="H761" s="52"/>
    </row>
    <row r="762" spans="1:8" ht="15.75">
      <c r="A762" s="119"/>
      <c r="B762" s="88"/>
      <c r="C762" s="52"/>
      <c r="D762" s="52"/>
      <c r="E762" s="52"/>
      <c r="F762" s="52"/>
      <c r="G762" s="52"/>
      <c r="H762" s="52"/>
    </row>
    <row r="763" spans="1:8" ht="15.75">
      <c r="A763" s="119"/>
      <c r="B763" s="88"/>
      <c r="C763" s="52"/>
      <c r="D763" s="52"/>
      <c r="E763" s="52"/>
      <c r="F763" s="52"/>
      <c r="G763" s="52"/>
      <c r="H763" s="52"/>
    </row>
    <row r="764" spans="1:8" ht="15.75">
      <c r="A764" s="119"/>
      <c r="B764" s="88"/>
      <c r="C764" s="52"/>
      <c r="D764" s="52"/>
      <c r="E764" s="52"/>
      <c r="F764" s="52"/>
      <c r="G764" s="52"/>
      <c r="H764" s="52"/>
    </row>
    <row r="765" spans="1:8" ht="15.75">
      <c r="A765" s="119"/>
      <c r="B765" s="88"/>
      <c r="C765" s="52"/>
      <c r="D765" s="52"/>
      <c r="E765" s="52"/>
      <c r="F765" s="52"/>
      <c r="G765" s="52"/>
      <c r="H765" s="52"/>
    </row>
    <row r="766" spans="1:8" ht="15.75">
      <c r="A766" s="119"/>
      <c r="B766" s="88"/>
      <c r="C766" s="52"/>
      <c r="D766" s="52"/>
      <c r="E766" s="52"/>
      <c r="F766" s="52"/>
      <c r="G766" s="52"/>
      <c r="H766" s="52"/>
    </row>
    <row r="767" spans="1:8" ht="15.75">
      <c r="A767" s="119"/>
      <c r="B767" s="88"/>
      <c r="C767" s="52"/>
      <c r="D767" s="52"/>
      <c r="E767" s="52"/>
      <c r="F767" s="52"/>
      <c r="G767" s="52"/>
      <c r="H767" s="52"/>
    </row>
    <row r="768" spans="1:8" ht="15.75">
      <c r="A768" s="119"/>
      <c r="B768" s="88"/>
      <c r="C768" s="52"/>
      <c r="D768" s="52"/>
      <c r="E768" s="52"/>
      <c r="F768" s="52"/>
      <c r="G768" s="52"/>
      <c r="H768" s="52"/>
    </row>
    <row r="769" spans="1:8" ht="15.75">
      <c r="A769" s="119"/>
      <c r="B769" s="88"/>
      <c r="C769" s="52"/>
      <c r="D769" s="52"/>
      <c r="E769" s="52"/>
      <c r="F769" s="52"/>
      <c r="G769" s="52"/>
      <c r="H769" s="52"/>
    </row>
    <row r="770" spans="1:8" ht="15.75">
      <c r="A770" s="119"/>
      <c r="B770" s="88"/>
      <c r="C770" s="52"/>
      <c r="D770" s="52"/>
      <c r="E770" s="52"/>
      <c r="F770" s="52"/>
      <c r="G770" s="52"/>
      <c r="H770" s="52"/>
    </row>
    <row r="771" spans="1:8" ht="15.75">
      <c r="A771" s="119"/>
      <c r="B771" s="88"/>
      <c r="C771" s="52"/>
      <c r="D771" s="52"/>
      <c r="E771" s="52"/>
      <c r="F771" s="52"/>
      <c r="G771" s="52"/>
      <c r="H771" s="52"/>
    </row>
    <row r="772" spans="1:8" ht="15.75">
      <c r="A772" s="119"/>
      <c r="B772" s="88"/>
      <c r="C772" s="52"/>
      <c r="D772" s="52"/>
      <c r="E772" s="52"/>
      <c r="F772" s="52"/>
      <c r="G772" s="52"/>
      <c r="H772" s="52"/>
    </row>
    <row r="773" spans="1:8" ht="15.75">
      <c r="A773" s="119"/>
      <c r="B773" s="88"/>
      <c r="C773" s="52"/>
      <c r="D773" s="52"/>
      <c r="E773" s="52"/>
      <c r="F773" s="52"/>
      <c r="G773" s="52"/>
      <c r="H773" s="52"/>
    </row>
    <row r="774" spans="1:8" ht="15.75">
      <c r="A774" s="119"/>
      <c r="B774" s="88"/>
      <c r="C774" s="52"/>
      <c r="D774" s="52"/>
      <c r="E774" s="52"/>
      <c r="F774" s="52"/>
      <c r="G774" s="52"/>
      <c r="H774" s="52"/>
    </row>
    <row r="775" spans="1:8" ht="15.75">
      <c r="A775" s="119"/>
      <c r="B775" s="88"/>
      <c r="C775" s="52"/>
      <c r="D775" s="52"/>
      <c r="E775" s="52"/>
      <c r="F775" s="52"/>
      <c r="G775" s="52"/>
      <c r="H775" s="52"/>
    </row>
    <row r="776" spans="1:8" ht="15.75">
      <c r="A776" s="119"/>
      <c r="B776" s="88"/>
      <c r="C776" s="52"/>
      <c r="D776" s="52"/>
      <c r="E776" s="52"/>
      <c r="F776" s="52"/>
      <c r="G776" s="52"/>
      <c r="H776" s="52"/>
    </row>
    <row r="777" spans="1:8" ht="15.75">
      <c r="A777" s="119"/>
      <c r="B777" s="88"/>
      <c r="C777" s="52"/>
      <c r="D777" s="52"/>
      <c r="E777" s="52"/>
      <c r="F777" s="52"/>
      <c r="G777" s="52"/>
      <c r="H777" s="52"/>
    </row>
    <row r="778" spans="1:8" ht="15.75">
      <c r="A778" s="119"/>
      <c r="B778" s="88"/>
      <c r="C778" s="52"/>
      <c r="D778" s="52"/>
      <c r="E778" s="52"/>
      <c r="F778" s="52"/>
      <c r="G778" s="52"/>
      <c r="H778" s="52"/>
    </row>
    <row r="779" spans="1:8" ht="15.75">
      <c r="A779" s="119"/>
      <c r="B779" s="88"/>
      <c r="C779" s="52"/>
      <c r="D779" s="52"/>
      <c r="E779" s="52"/>
      <c r="F779" s="52"/>
      <c r="G779" s="52"/>
      <c r="H779" s="52"/>
    </row>
    <row r="780" spans="1:8" ht="15.75">
      <c r="A780" s="119"/>
      <c r="B780" s="88"/>
      <c r="C780" s="52"/>
      <c r="D780" s="52"/>
      <c r="E780" s="52"/>
      <c r="F780" s="52"/>
      <c r="G780" s="52"/>
      <c r="H780" s="52"/>
    </row>
    <row r="781" spans="1:8" ht="15.75">
      <c r="A781" s="119"/>
      <c r="B781" s="88"/>
      <c r="C781" s="52"/>
      <c r="D781" s="52"/>
      <c r="E781" s="52"/>
      <c r="F781" s="52"/>
      <c r="G781" s="52"/>
      <c r="H781" s="52"/>
    </row>
    <row r="782" spans="1:8" ht="15.75">
      <c r="A782" s="119"/>
      <c r="B782" s="88"/>
      <c r="C782" s="52"/>
      <c r="D782" s="52"/>
      <c r="E782" s="52"/>
      <c r="F782" s="52"/>
      <c r="G782" s="52"/>
      <c r="H782" s="52"/>
    </row>
    <row r="783" spans="1:8" ht="15.75">
      <c r="A783" s="119"/>
      <c r="B783" s="88"/>
      <c r="C783" s="52"/>
      <c r="D783" s="52"/>
      <c r="E783" s="52"/>
      <c r="F783" s="52"/>
      <c r="G783" s="52"/>
      <c r="H783" s="52"/>
    </row>
    <row r="784" spans="1:8" ht="15.75">
      <c r="A784" s="119"/>
      <c r="B784" s="88"/>
      <c r="C784" s="52"/>
      <c r="D784" s="52"/>
      <c r="E784" s="52"/>
      <c r="F784" s="52"/>
      <c r="G784" s="52"/>
      <c r="H784" s="52"/>
    </row>
    <row r="785" spans="1:8" ht="15.75">
      <c r="A785" s="119"/>
      <c r="B785" s="88"/>
      <c r="C785" s="52"/>
      <c r="D785" s="52"/>
      <c r="E785" s="52"/>
      <c r="F785" s="52"/>
      <c r="G785" s="52"/>
      <c r="H785" s="52"/>
    </row>
    <row r="786" spans="1:8" ht="15.75">
      <c r="A786" s="119"/>
      <c r="B786" s="88"/>
      <c r="C786" s="52"/>
      <c r="D786" s="52"/>
      <c r="E786" s="52"/>
      <c r="F786" s="52"/>
      <c r="G786" s="52"/>
      <c r="H786" s="52"/>
    </row>
    <row r="787" spans="1:8" ht="15.75">
      <c r="A787" s="119"/>
      <c r="B787" s="88"/>
      <c r="C787" s="52"/>
      <c r="D787" s="52"/>
      <c r="E787" s="52"/>
      <c r="F787" s="52"/>
      <c r="G787" s="52"/>
      <c r="H787" s="52"/>
    </row>
    <row r="788" spans="1:8" ht="15.75">
      <c r="A788" s="119"/>
      <c r="B788" s="88"/>
      <c r="C788" s="52"/>
      <c r="D788" s="52"/>
      <c r="E788" s="52"/>
      <c r="F788" s="52"/>
      <c r="G788" s="52"/>
      <c r="H788" s="52"/>
    </row>
    <row r="789" spans="1:8" ht="15.75">
      <c r="A789" s="119"/>
      <c r="B789" s="88"/>
      <c r="C789" s="52"/>
      <c r="D789" s="52"/>
      <c r="E789" s="52"/>
      <c r="F789" s="52"/>
      <c r="G789" s="52"/>
      <c r="H789" s="52"/>
    </row>
    <row r="790" spans="1:8" ht="15.75">
      <c r="A790" s="119"/>
      <c r="B790" s="88"/>
      <c r="C790" s="52"/>
      <c r="D790" s="52"/>
      <c r="E790" s="52"/>
      <c r="F790" s="52"/>
      <c r="G790" s="52"/>
      <c r="H790" s="52"/>
    </row>
    <row r="791" spans="1:8" ht="15.75">
      <c r="A791" s="119"/>
      <c r="B791" s="88"/>
      <c r="C791" s="52"/>
      <c r="D791" s="52"/>
      <c r="E791" s="52"/>
      <c r="F791" s="52"/>
      <c r="G791" s="52"/>
      <c r="H791" s="52"/>
    </row>
    <row r="792" spans="1:8" ht="15.75">
      <c r="A792" s="119"/>
      <c r="B792" s="88"/>
      <c r="C792" s="52"/>
      <c r="D792" s="52"/>
      <c r="E792" s="52"/>
      <c r="F792" s="52"/>
      <c r="G792" s="52"/>
      <c r="H792" s="52"/>
    </row>
    <row r="793" spans="1:8" ht="15.75">
      <c r="A793" s="119"/>
      <c r="B793" s="88"/>
      <c r="C793" s="52"/>
      <c r="D793" s="52"/>
      <c r="E793" s="52"/>
      <c r="F793" s="52"/>
      <c r="G793" s="52"/>
      <c r="H793" s="52"/>
    </row>
    <row r="794" spans="1:8" ht="15.75">
      <c r="A794" s="119"/>
      <c r="B794" s="88"/>
      <c r="C794" s="52"/>
      <c r="D794" s="52"/>
      <c r="E794" s="52"/>
      <c r="F794" s="52"/>
      <c r="G794" s="52"/>
      <c r="H794" s="52"/>
    </row>
    <row r="795" spans="1:8" ht="15.75">
      <c r="A795" s="119"/>
      <c r="B795" s="88"/>
      <c r="C795" s="52"/>
      <c r="D795" s="52"/>
      <c r="E795" s="52"/>
      <c r="F795" s="52"/>
      <c r="G795" s="52"/>
      <c r="H795" s="52"/>
    </row>
    <row r="796" spans="1:8" ht="15.75">
      <c r="A796" s="119"/>
      <c r="B796" s="88"/>
      <c r="C796" s="52"/>
      <c r="D796" s="52"/>
      <c r="E796" s="52"/>
      <c r="F796" s="52"/>
      <c r="G796" s="52"/>
      <c r="H796" s="52"/>
    </row>
    <row r="797" spans="1:8" ht="15.75">
      <c r="A797" s="119"/>
      <c r="B797" s="88"/>
      <c r="C797" s="52"/>
      <c r="D797" s="52"/>
      <c r="E797" s="52"/>
      <c r="F797" s="52"/>
      <c r="G797" s="52"/>
      <c r="H797" s="52"/>
    </row>
    <row r="798" spans="1:8" ht="15.75">
      <c r="A798" s="119"/>
      <c r="B798" s="88"/>
      <c r="C798" s="52"/>
      <c r="D798" s="52"/>
      <c r="E798" s="52"/>
      <c r="F798" s="52"/>
      <c r="G798" s="52"/>
      <c r="H798" s="52"/>
    </row>
    <row r="799" spans="1:8" ht="15.75">
      <c r="A799" s="119"/>
      <c r="B799" s="88"/>
      <c r="C799" s="52"/>
      <c r="D799" s="52"/>
      <c r="E799" s="52"/>
      <c r="F799" s="52"/>
      <c r="G799" s="52"/>
      <c r="H799" s="52"/>
    </row>
    <row r="800" spans="1:8" ht="15.75">
      <c r="A800" s="119"/>
      <c r="B800" s="88"/>
      <c r="C800" s="52"/>
      <c r="D800" s="52"/>
      <c r="E800" s="52"/>
      <c r="F800" s="52"/>
      <c r="G800" s="52"/>
      <c r="H800" s="52"/>
    </row>
    <row r="801" spans="1:8" ht="15.75">
      <c r="A801" s="119"/>
      <c r="B801" s="88"/>
      <c r="C801" s="52"/>
      <c r="D801" s="52"/>
      <c r="E801" s="52"/>
      <c r="F801" s="52"/>
      <c r="G801" s="52"/>
      <c r="H801" s="52"/>
    </row>
    <row r="802" spans="1:8" ht="15.75">
      <c r="A802" s="119"/>
      <c r="B802" s="88"/>
      <c r="C802" s="52"/>
      <c r="D802" s="52"/>
      <c r="E802" s="52"/>
      <c r="F802" s="52"/>
      <c r="G802" s="52"/>
      <c r="H802" s="52"/>
    </row>
    <row r="803" spans="1:8" ht="15.75">
      <c r="A803" s="119"/>
      <c r="B803" s="88"/>
      <c r="C803" s="52"/>
      <c r="D803" s="52"/>
      <c r="E803" s="52"/>
      <c r="F803" s="52"/>
      <c r="G803" s="52"/>
      <c r="H803" s="52"/>
    </row>
    <row r="804" spans="1:8" ht="15.75">
      <c r="A804" s="119"/>
      <c r="B804" s="88"/>
      <c r="C804" s="52"/>
      <c r="D804" s="52"/>
      <c r="E804" s="52"/>
      <c r="F804" s="52"/>
      <c r="G804" s="52"/>
      <c r="H804" s="52"/>
    </row>
    <row r="805" spans="1:8" ht="15.75">
      <c r="A805" s="119"/>
      <c r="B805" s="88"/>
      <c r="C805" s="52"/>
      <c r="D805" s="52"/>
      <c r="E805" s="52"/>
      <c r="F805" s="52"/>
      <c r="G805" s="52"/>
      <c r="H805" s="52"/>
    </row>
    <row r="806" spans="1:8" ht="15.75">
      <c r="A806" s="119"/>
      <c r="B806" s="88"/>
      <c r="C806" s="52"/>
      <c r="D806" s="52"/>
      <c r="E806" s="52"/>
      <c r="F806" s="52"/>
      <c r="G806" s="52"/>
      <c r="H806" s="52"/>
    </row>
    <row r="807" spans="1:8" ht="15.75">
      <c r="A807" s="119"/>
      <c r="B807" s="88"/>
      <c r="C807" s="52"/>
      <c r="D807" s="52"/>
      <c r="E807" s="52"/>
      <c r="F807" s="52"/>
      <c r="G807" s="52"/>
      <c r="H807" s="52"/>
    </row>
    <row r="808" spans="1:8" ht="15.75">
      <c r="A808" s="119"/>
      <c r="B808" s="88"/>
      <c r="C808" s="52"/>
      <c r="D808" s="52"/>
      <c r="E808" s="52"/>
      <c r="F808" s="52"/>
      <c r="G808" s="52"/>
      <c r="H808" s="52"/>
    </row>
    <row r="809" spans="1:8" ht="15.75">
      <c r="A809" s="119"/>
      <c r="B809" s="88"/>
      <c r="C809" s="52"/>
      <c r="D809" s="52"/>
      <c r="E809" s="52"/>
      <c r="F809" s="52"/>
      <c r="G809" s="52"/>
      <c r="H809" s="52"/>
    </row>
    <row r="810" spans="1:8" ht="15.75">
      <c r="A810" s="119"/>
      <c r="B810" s="88"/>
      <c r="C810" s="52"/>
      <c r="D810" s="52"/>
      <c r="E810" s="52"/>
      <c r="F810" s="52"/>
      <c r="G810" s="52"/>
      <c r="H810" s="52"/>
    </row>
    <row r="811" spans="1:8" ht="15.75">
      <c r="A811" s="119"/>
      <c r="B811" s="88"/>
      <c r="C811" s="52"/>
      <c r="D811" s="52"/>
      <c r="E811" s="52"/>
      <c r="F811" s="52"/>
      <c r="G811" s="52"/>
      <c r="H811" s="52"/>
    </row>
    <row r="812" spans="1:8" ht="15.75">
      <c r="A812" s="119"/>
      <c r="B812" s="88"/>
      <c r="C812" s="52"/>
      <c r="D812" s="52"/>
      <c r="E812" s="52"/>
      <c r="F812" s="52"/>
      <c r="G812" s="52"/>
      <c r="H812" s="52"/>
    </row>
    <row r="813" spans="1:8" ht="15.75">
      <c r="A813" s="119"/>
      <c r="B813" s="88"/>
      <c r="C813" s="52"/>
      <c r="D813" s="52"/>
      <c r="E813" s="52"/>
      <c r="F813" s="52"/>
      <c r="G813" s="52"/>
      <c r="H813" s="52"/>
    </row>
    <row r="814" spans="1:8" ht="15.75">
      <c r="A814" s="119"/>
      <c r="B814" s="88"/>
      <c r="C814" s="52"/>
      <c r="D814" s="52"/>
      <c r="E814" s="52"/>
      <c r="F814" s="52"/>
      <c r="G814" s="52"/>
      <c r="H814" s="52"/>
    </row>
    <row r="815" spans="1:8" ht="15.75">
      <c r="A815" s="119"/>
      <c r="B815" s="88"/>
      <c r="C815" s="52"/>
      <c r="D815" s="52"/>
      <c r="E815" s="52"/>
      <c r="F815" s="52"/>
      <c r="G815" s="52"/>
      <c r="H815" s="52"/>
    </row>
    <row r="816" spans="1:8" ht="15.75">
      <c r="A816" s="119"/>
      <c r="B816" s="88"/>
      <c r="C816" s="52"/>
      <c r="D816" s="52"/>
      <c r="E816" s="52"/>
      <c r="F816" s="52"/>
      <c r="G816" s="52"/>
      <c r="H816" s="52"/>
    </row>
    <row r="817" spans="1:8" ht="15.75">
      <c r="A817" s="119"/>
      <c r="B817" s="88"/>
      <c r="C817" s="52"/>
      <c r="D817" s="52"/>
      <c r="E817" s="52"/>
      <c r="F817" s="52"/>
      <c r="G817" s="52"/>
      <c r="H817" s="52"/>
    </row>
    <row r="818" spans="1:8" ht="15.75">
      <c r="A818" s="119"/>
      <c r="B818" s="88"/>
      <c r="C818" s="52"/>
      <c r="D818" s="52"/>
      <c r="E818" s="52"/>
      <c r="F818" s="52"/>
      <c r="G818" s="52"/>
      <c r="H818" s="52"/>
    </row>
    <row r="819" spans="1:8" ht="15.75">
      <c r="A819" s="119"/>
      <c r="B819" s="88"/>
      <c r="C819" s="52"/>
      <c r="D819" s="52"/>
      <c r="E819" s="52"/>
      <c r="F819" s="52"/>
      <c r="G819" s="52"/>
      <c r="H819" s="52"/>
    </row>
    <row r="820" spans="1:8" ht="15.75">
      <c r="A820" s="119"/>
      <c r="B820" s="88"/>
      <c r="C820" s="52"/>
      <c r="D820" s="52"/>
      <c r="E820" s="52"/>
      <c r="F820" s="52"/>
      <c r="G820" s="52"/>
      <c r="H820" s="52"/>
    </row>
    <row r="821" spans="1:8" ht="15.75">
      <c r="A821" s="119"/>
      <c r="B821" s="88"/>
      <c r="C821" s="52"/>
      <c r="D821" s="52"/>
      <c r="E821" s="52"/>
      <c r="F821" s="52"/>
      <c r="G821" s="52"/>
      <c r="H821" s="52"/>
    </row>
    <row r="822" spans="1:8" ht="15.75">
      <c r="A822" s="119"/>
      <c r="B822" s="88"/>
      <c r="C822" s="52"/>
      <c r="D822" s="52"/>
      <c r="E822" s="52"/>
      <c r="F822" s="52"/>
      <c r="G822" s="52"/>
      <c r="H822" s="52"/>
    </row>
    <row r="823" spans="1:8" ht="15.75">
      <c r="A823" s="119"/>
      <c r="B823" s="88"/>
      <c r="C823" s="52"/>
      <c r="D823" s="52"/>
      <c r="E823" s="52"/>
      <c r="F823" s="52"/>
      <c r="G823" s="52"/>
      <c r="H823" s="52"/>
    </row>
    <row r="824" spans="1:8" ht="15.75">
      <c r="A824" s="119"/>
      <c r="B824" s="88"/>
      <c r="C824" s="52"/>
      <c r="D824" s="52"/>
      <c r="E824" s="52"/>
      <c r="F824" s="52"/>
      <c r="G824" s="52"/>
      <c r="H824" s="52"/>
    </row>
    <row r="825" spans="1:8" ht="15.75">
      <c r="A825" s="119"/>
      <c r="B825" s="88"/>
      <c r="C825" s="52"/>
      <c r="D825" s="52"/>
      <c r="E825" s="52"/>
      <c r="F825" s="52"/>
      <c r="G825" s="52"/>
      <c r="H825" s="52"/>
    </row>
    <row r="826" spans="1:8" ht="15.75">
      <c r="A826" s="119"/>
      <c r="B826" s="88"/>
      <c r="C826" s="52"/>
      <c r="D826" s="52"/>
      <c r="E826" s="52"/>
      <c r="F826" s="52"/>
      <c r="G826" s="52"/>
      <c r="H826" s="52"/>
    </row>
    <row r="827" spans="1:8" ht="15.75">
      <c r="A827" s="119"/>
      <c r="B827" s="88"/>
      <c r="C827" s="52"/>
      <c r="D827" s="52"/>
      <c r="E827" s="52"/>
      <c r="F827" s="52"/>
      <c r="G827" s="52"/>
      <c r="H827" s="52"/>
    </row>
    <row r="828" spans="1:8" ht="15.75">
      <c r="A828" s="119"/>
      <c r="B828" s="88"/>
      <c r="C828" s="52"/>
      <c r="D828" s="52"/>
      <c r="E828" s="52"/>
      <c r="F828" s="52"/>
      <c r="G828" s="52"/>
      <c r="H828" s="52"/>
    </row>
    <row r="829" spans="1:8" ht="15.75">
      <c r="A829" s="119"/>
      <c r="B829" s="88"/>
      <c r="C829" s="52"/>
      <c r="D829" s="52"/>
      <c r="E829" s="52"/>
      <c r="F829" s="52"/>
      <c r="G829" s="52"/>
      <c r="H829" s="52"/>
    </row>
    <row r="830" spans="1:8" ht="15.75">
      <c r="A830" s="119"/>
      <c r="B830" s="88"/>
      <c r="C830" s="52"/>
      <c r="D830" s="52"/>
      <c r="E830" s="52"/>
      <c r="F830" s="52"/>
      <c r="G830" s="52"/>
      <c r="H830" s="52"/>
    </row>
    <row r="831" spans="1:8" ht="15.75">
      <c r="A831" s="119"/>
      <c r="B831" s="88"/>
      <c r="C831" s="52"/>
      <c r="D831" s="52"/>
      <c r="E831" s="52"/>
      <c r="F831" s="52"/>
      <c r="G831" s="52"/>
      <c r="H831" s="52"/>
    </row>
    <row r="832" spans="1:8" ht="15.75">
      <c r="A832" s="119"/>
      <c r="B832" s="88"/>
      <c r="C832" s="52"/>
      <c r="D832" s="52"/>
      <c r="E832" s="52"/>
      <c r="F832" s="52"/>
      <c r="G832" s="52"/>
      <c r="H832" s="52"/>
    </row>
    <row r="833" spans="1:8" ht="15.75">
      <c r="A833" s="119"/>
      <c r="B833" s="88"/>
      <c r="C833" s="52"/>
      <c r="D833" s="52"/>
      <c r="E833" s="52"/>
      <c r="F833" s="52"/>
      <c r="G833" s="52"/>
      <c r="H833" s="52"/>
    </row>
    <row r="834" spans="1:8" ht="15.75">
      <c r="A834" s="119"/>
      <c r="B834" s="88"/>
      <c r="C834" s="52"/>
      <c r="D834" s="52"/>
      <c r="E834" s="52"/>
      <c r="F834" s="52"/>
      <c r="G834" s="52"/>
      <c r="H834" s="52"/>
    </row>
    <row r="835" spans="1:8" ht="15.75">
      <c r="A835" s="119"/>
      <c r="B835" s="88"/>
      <c r="C835" s="52"/>
      <c r="D835" s="52"/>
      <c r="E835" s="52"/>
      <c r="F835" s="52"/>
      <c r="G835" s="52"/>
      <c r="H835" s="52"/>
    </row>
    <row r="836" spans="1:8" ht="15.75">
      <c r="A836" s="119"/>
      <c r="B836" s="88"/>
      <c r="C836" s="52"/>
      <c r="D836" s="52"/>
      <c r="E836" s="52"/>
      <c r="F836" s="52"/>
      <c r="G836" s="52"/>
      <c r="H836" s="52"/>
    </row>
    <row r="837" spans="1:8" ht="15.75">
      <c r="A837" s="119"/>
      <c r="B837" s="88"/>
      <c r="C837" s="52"/>
      <c r="D837" s="52"/>
      <c r="E837" s="52"/>
      <c r="F837" s="52"/>
      <c r="G837" s="52"/>
      <c r="H837" s="52"/>
    </row>
    <row r="838" spans="1:8" ht="15.75">
      <c r="A838" s="119"/>
      <c r="B838" s="88"/>
      <c r="C838" s="52"/>
      <c r="D838" s="52"/>
      <c r="E838" s="52"/>
      <c r="F838" s="52"/>
      <c r="G838" s="52"/>
      <c r="H838" s="52"/>
    </row>
    <row r="839" spans="1:8" ht="15.75">
      <c r="A839" s="119"/>
      <c r="B839" s="88"/>
      <c r="C839" s="52"/>
      <c r="D839" s="52"/>
      <c r="E839" s="52"/>
      <c r="F839" s="52"/>
      <c r="G839" s="52"/>
      <c r="H839" s="52"/>
    </row>
    <row r="840" spans="1:8" ht="15.75">
      <c r="A840" s="119"/>
      <c r="B840" s="88"/>
      <c r="C840" s="52"/>
      <c r="D840" s="52"/>
      <c r="E840" s="52"/>
      <c r="F840" s="52"/>
      <c r="G840" s="52"/>
      <c r="H840" s="52"/>
    </row>
    <row r="841" spans="1:8" ht="15.75">
      <c r="A841" s="119"/>
      <c r="B841" s="88"/>
      <c r="C841" s="52"/>
      <c r="D841" s="52"/>
      <c r="E841" s="52"/>
      <c r="F841" s="52"/>
      <c r="G841" s="52"/>
      <c r="H841" s="52"/>
    </row>
    <row r="842" spans="1:8" ht="15.75">
      <c r="A842" s="119"/>
      <c r="B842" s="88"/>
      <c r="C842" s="52"/>
      <c r="D842" s="52"/>
      <c r="E842" s="52"/>
      <c r="F842" s="52"/>
      <c r="G842" s="52"/>
      <c r="H842" s="52"/>
    </row>
    <row r="843" spans="1:8" ht="15.75">
      <c r="A843" s="119"/>
      <c r="B843" s="88"/>
      <c r="C843" s="52"/>
      <c r="D843" s="52"/>
      <c r="E843" s="52"/>
      <c r="F843" s="52"/>
      <c r="G843" s="52"/>
      <c r="H843" s="52"/>
    </row>
    <row r="844" spans="1:8" ht="15.75">
      <c r="A844" s="119"/>
      <c r="B844" s="88"/>
      <c r="C844" s="52"/>
      <c r="D844" s="52"/>
      <c r="E844" s="52"/>
      <c r="F844" s="52"/>
      <c r="G844" s="52"/>
      <c r="H844" s="52"/>
    </row>
    <row r="845" spans="1:8" ht="15.75">
      <c r="A845" s="119"/>
      <c r="B845" s="88"/>
      <c r="C845" s="52"/>
      <c r="D845" s="52"/>
      <c r="E845" s="52"/>
      <c r="F845" s="52"/>
      <c r="G845" s="52"/>
      <c r="H845" s="52"/>
    </row>
    <row r="846" spans="1:8" ht="15.75">
      <c r="A846" s="119"/>
      <c r="B846" s="88"/>
      <c r="C846" s="52"/>
      <c r="D846" s="52"/>
      <c r="E846" s="52"/>
      <c r="F846" s="52"/>
      <c r="G846" s="52"/>
      <c r="H846" s="52"/>
    </row>
    <row r="847" spans="1:8" ht="15.75">
      <c r="A847" s="119"/>
      <c r="B847" s="88"/>
      <c r="C847" s="52"/>
      <c r="D847" s="52"/>
      <c r="E847" s="52"/>
      <c r="F847" s="52"/>
      <c r="G847" s="52"/>
      <c r="H847" s="52"/>
    </row>
    <row r="848" spans="1:8" ht="15.75">
      <c r="A848" s="119"/>
      <c r="B848" s="88"/>
      <c r="C848" s="52"/>
      <c r="D848" s="52"/>
      <c r="E848" s="52"/>
      <c r="F848" s="52"/>
      <c r="G848" s="52"/>
      <c r="H848" s="52"/>
    </row>
    <row r="849" spans="1:8" ht="15.75">
      <c r="A849" s="119"/>
      <c r="B849" s="88"/>
      <c r="C849" s="52"/>
      <c r="D849" s="52"/>
      <c r="E849" s="52"/>
      <c r="F849" s="52"/>
      <c r="G849" s="52"/>
      <c r="H849" s="52"/>
    </row>
    <row r="850" spans="1:8" ht="15.75">
      <c r="A850" s="119"/>
      <c r="B850" s="88"/>
      <c r="C850" s="52"/>
      <c r="D850" s="52"/>
      <c r="E850" s="52"/>
      <c r="F850" s="52"/>
      <c r="G850" s="52"/>
      <c r="H850" s="52"/>
    </row>
    <row r="851" spans="1:8" ht="15.75">
      <c r="A851" s="119"/>
      <c r="B851" s="88"/>
      <c r="C851" s="52"/>
      <c r="D851" s="52"/>
      <c r="E851" s="52"/>
      <c r="F851" s="52"/>
      <c r="G851" s="52"/>
      <c r="H851" s="52"/>
    </row>
    <row r="852" spans="1:8" ht="15.75">
      <c r="A852" s="119"/>
      <c r="B852" s="88"/>
      <c r="C852" s="52"/>
      <c r="D852" s="52"/>
      <c r="E852" s="52"/>
      <c r="F852" s="52"/>
      <c r="G852" s="52"/>
      <c r="H852" s="52"/>
    </row>
    <row r="853" spans="1:8" ht="15.75">
      <c r="A853" s="119"/>
      <c r="B853" s="88"/>
      <c r="C853" s="52"/>
      <c r="D853" s="52"/>
      <c r="E853" s="52"/>
      <c r="F853" s="52"/>
      <c r="G853" s="52"/>
      <c r="H853" s="52"/>
    </row>
    <row r="854" spans="1:8" ht="15.75">
      <c r="A854" s="119"/>
      <c r="B854" s="88"/>
      <c r="C854" s="52"/>
      <c r="D854" s="52"/>
      <c r="E854" s="52"/>
      <c r="F854" s="52"/>
      <c r="G854" s="52"/>
      <c r="H854" s="52"/>
    </row>
    <row r="855" spans="1:8" ht="15.75">
      <c r="A855" s="119"/>
      <c r="B855" s="88"/>
      <c r="C855" s="52"/>
      <c r="D855" s="52"/>
      <c r="E855" s="52"/>
      <c r="F855" s="52"/>
      <c r="G855" s="52"/>
      <c r="H855" s="52"/>
    </row>
    <row r="856" spans="1:8" ht="15.75">
      <c r="A856" s="119"/>
      <c r="B856" s="88"/>
      <c r="C856" s="52"/>
      <c r="D856" s="52"/>
      <c r="E856" s="52"/>
      <c r="F856" s="52"/>
      <c r="G856" s="52"/>
      <c r="H856" s="52"/>
    </row>
    <row r="857" spans="1:8" ht="15.75">
      <c r="A857" s="119"/>
      <c r="B857" s="88"/>
      <c r="C857" s="52"/>
      <c r="D857" s="52"/>
      <c r="E857" s="52"/>
      <c r="F857" s="52"/>
      <c r="G857" s="52"/>
      <c r="H857" s="52"/>
    </row>
    <row r="858" spans="1:8" ht="15.75">
      <c r="A858" s="119"/>
      <c r="B858" s="88"/>
      <c r="C858" s="52"/>
      <c r="D858" s="52"/>
      <c r="E858" s="52"/>
      <c r="F858" s="52"/>
      <c r="G858" s="52"/>
      <c r="H858" s="52"/>
    </row>
    <row r="859" spans="1:8" ht="15.75">
      <c r="A859" s="119"/>
      <c r="B859" s="88"/>
      <c r="C859" s="52"/>
      <c r="D859" s="52"/>
      <c r="E859" s="52"/>
      <c r="F859" s="52"/>
      <c r="G859" s="52"/>
      <c r="H859" s="52"/>
    </row>
    <row r="860" spans="1:8" ht="15.75">
      <c r="A860" s="119"/>
      <c r="B860" s="88"/>
      <c r="C860" s="52"/>
      <c r="D860" s="52"/>
      <c r="E860" s="52"/>
      <c r="F860" s="52"/>
      <c r="G860" s="52"/>
      <c r="H860" s="52"/>
    </row>
    <row r="861" spans="1:8" ht="15.75">
      <c r="A861" s="119"/>
      <c r="B861" s="88"/>
      <c r="C861" s="52"/>
      <c r="D861" s="52"/>
      <c r="E861" s="52"/>
      <c r="F861" s="52"/>
      <c r="G861" s="52"/>
      <c r="H861" s="52"/>
    </row>
    <row r="862" spans="1:8" ht="15.75">
      <c r="A862" s="119"/>
      <c r="B862" s="88"/>
      <c r="C862" s="52"/>
      <c r="D862" s="52"/>
      <c r="E862" s="52"/>
      <c r="F862" s="52"/>
      <c r="G862" s="52"/>
      <c r="H862" s="52"/>
    </row>
    <row r="863" spans="1:8" ht="15.75">
      <c r="A863" s="119"/>
      <c r="B863" s="88"/>
      <c r="C863" s="52"/>
      <c r="D863" s="52"/>
      <c r="E863" s="52"/>
      <c r="F863" s="52"/>
      <c r="G863" s="52"/>
      <c r="H863" s="52"/>
    </row>
    <row r="864" spans="1:8" ht="15.75">
      <c r="A864" s="119"/>
      <c r="B864" s="88"/>
      <c r="C864" s="52"/>
      <c r="D864" s="52"/>
      <c r="E864" s="52"/>
      <c r="F864" s="52"/>
      <c r="G864" s="52"/>
      <c r="H864" s="52"/>
    </row>
    <row r="865" spans="1:8" ht="15.75">
      <c r="A865" s="119"/>
      <c r="B865" s="88"/>
      <c r="C865" s="52"/>
      <c r="D865" s="52"/>
      <c r="E865" s="52"/>
      <c r="F865" s="52"/>
      <c r="G865" s="52"/>
      <c r="H865" s="52"/>
    </row>
    <row r="866" spans="1:8" ht="15.75">
      <c r="A866" s="119"/>
      <c r="B866" s="88"/>
      <c r="C866" s="52"/>
      <c r="D866" s="52"/>
      <c r="E866" s="52"/>
      <c r="F866" s="52"/>
      <c r="G866" s="52"/>
      <c r="H866" s="52"/>
    </row>
    <row r="867" spans="1:8" ht="15.75">
      <c r="A867" s="119"/>
      <c r="B867" s="88"/>
      <c r="C867" s="52"/>
      <c r="D867" s="52"/>
      <c r="E867" s="52"/>
      <c r="F867" s="52"/>
      <c r="G867" s="52"/>
      <c r="H867" s="52"/>
    </row>
    <row r="868" spans="1:8" ht="15.75">
      <c r="A868" s="119"/>
      <c r="B868" s="88"/>
      <c r="C868" s="52"/>
      <c r="D868" s="52"/>
      <c r="E868" s="52"/>
      <c r="F868" s="52"/>
      <c r="G868" s="52"/>
      <c r="H868" s="52"/>
    </row>
    <row r="869" spans="1:8" ht="15.75">
      <c r="A869" s="119"/>
      <c r="B869" s="88"/>
      <c r="C869" s="52"/>
      <c r="D869" s="52"/>
      <c r="E869" s="52"/>
      <c r="F869" s="52"/>
      <c r="G869" s="52"/>
      <c r="H869" s="52"/>
    </row>
    <row r="870" spans="1:8" ht="15.75">
      <c r="A870" s="119"/>
      <c r="B870" s="88"/>
      <c r="C870" s="52"/>
      <c r="D870" s="52"/>
      <c r="E870" s="52"/>
      <c r="F870" s="52"/>
      <c r="G870" s="52"/>
      <c r="H870" s="52"/>
    </row>
    <row r="871" spans="1:8" ht="15.75">
      <c r="A871" s="119"/>
      <c r="B871" s="88"/>
      <c r="C871" s="52"/>
      <c r="D871" s="52"/>
      <c r="E871" s="52"/>
      <c r="F871" s="52"/>
      <c r="G871" s="52"/>
      <c r="H871" s="52"/>
    </row>
    <row r="872" spans="1:8" ht="15.75">
      <c r="A872" s="119"/>
      <c r="B872" s="88"/>
      <c r="C872" s="52"/>
      <c r="D872" s="52"/>
      <c r="E872" s="52"/>
      <c r="F872" s="52"/>
      <c r="G872" s="52"/>
      <c r="H872" s="52"/>
    </row>
    <row r="873" spans="1:8" ht="15.75">
      <c r="A873" s="119"/>
      <c r="B873" s="88"/>
      <c r="C873" s="52"/>
      <c r="D873" s="52"/>
      <c r="E873" s="52"/>
      <c r="F873" s="52"/>
      <c r="G873" s="52"/>
      <c r="H873" s="52"/>
    </row>
    <row r="874" spans="1:8" ht="15.75">
      <c r="A874" s="119"/>
      <c r="B874" s="88"/>
      <c r="C874" s="52"/>
      <c r="D874" s="52"/>
      <c r="E874" s="52"/>
      <c r="F874" s="52"/>
      <c r="G874" s="52"/>
      <c r="H874" s="52"/>
    </row>
    <row r="875" spans="1:8" ht="15.75">
      <c r="A875" s="119"/>
      <c r="B875" s="88"/>
      <c r="C875" s="52"/>
      <c r="D875" s="52"/>
      <c r="E875" s="52"/>
      <c r="F875" s="52"/>
      <c r="G875" s="52"/>
      <c r="H875" s="52"/>
    </row>
    <row r="876" spans="1:8" ht="15.75">
      <c r="A876" s="119"/>
      <c r="B876" s="88"/>
      <c r="C876" s="52"/>
      <c r="D876" s="52"/>
      <c r="E876" s="52"/>
      <c r="F876" s="52"/>
      <c r="G876" s="52"/>
      <c r="H876" s="52"/>
    </row>
    <row r="877" spans="1:8" ht="15.75">
      <c r="A877" s="119"/>
      <c r="B877" s="88"/>
      <c r="C877" s="52"/>
      <c r="D877" s="52"/>
      <c r="E877" s="52"/>
      <c r="F877" s="52"/>
      <c r="G877" s="52"/>
      <c r="H877" s="52"/>
    </row>
    <row r="878" spans="1:8" ht="15.75">
      <c r="A878" s="119"/>
      <c r="B878" s="88"/>
      <c r="C878" s="52"/>
      <c r="D878" s="52"/>
      <c r="E878" s="52"/>
      <c r="F878" s="52"/>
      <c r="G878" s="52"/>
      <c r="H878" s="52"/>
    </row>
    <row r="879" spans="1:8" ht="15.75">
      <c r="A879" s="119"/>
      <c r="B879" s="88"/>
      <c r="C879" s="52"/>
      <c r="D879" s="52"/>
      <c r="E879" s="52"/>
      <c r="F879" s="52"/>
      <c r="G879" s="52"/>
      <c r="H879" s="52"/>
    </row>
    <row r="880" spans="1:8" ht="15.75">
      <c r="A880" s="119"/>
      <c r="B880" s="88"/>
      <c r="C880" s="52"/>
      <c r="D880" s="52"/>
      <c r="E880" s="52"/>
      <c r="F880" s="52"/>
      <c r="G880" s="52"/>
      <c r="H880" s="52"/>
    </row>
    <row r="881" spans="1:8" ht="15.75">
      <c r="A881" s="119"/>
      <c r="B881" s="88"/>
      <c r="C881" s="52"/>
      <c r="D881" s="52"/>
      <c r="E881" s="52"/>
      <c r="F881" s="52"/>
      <c r="G881" s="52"/>
      <c r="H881" s="52"/>
    </row>
    <row r="882" spans="1:8" ht="15.75">
      <c r="A882" s="119"/>
      <c r="B882" s="88"/>
      <c r="C882" s="52"/>
      <c r="D882" s="52"/>
      <c r="E882" s="52"/>
      <c r="F882" s="52"/>
      <c r="G882" s="52"/>
      <c r="H882" s="52"/>
    </row>
    <row r="883" spans="1:8" ht="15.75">
      <c r="A883" s="119"/>
      <c r="B883" s="88"/>
      <c r="C883" s="52"/>
      <c r="D883" s="52"/>
      <c r="E883" s="52"/>
      <c r="F883" s="52"/>
      <c r="G883" s="52"/>
      <c r="H883" s="52"/>
    </row>
    <row r="884" spans="1:8" ht="15.75">
      <c r="A884" s="119"/>
      <c r="B884" s="88"/>
      <c r="C884" s="52"/>
      <c r="D884" s="52"/>
      <c r="E884" s="52"/>
      <c r="F884" s="52"/>
      <c r="G884" s="52"/>
      <c r="H884" s="52"/>
    </row>
    <row r="885" spans="1:8" ht="15.75">
      <c r="A885" s="119"/>
      <c r="B885" s="88"/>
      <c r="C885" s="52"/>
      <c r="D885" s="52"/>
      <c r="E885" s="52"/>
      <c r="F885" s="52"/>
      <c r="G885" s="52"/>
      <c r="H885" s="52"/>
    </row>
    <row r="886" spans="1:8" ht="15.75">
      <c r="A886" s="119"/>
      <c r="B886" s="88"/>
      <c r="C886" s="52"/>
      <c r="D886" s="52"/>
      <c r="E886" s="52"/>
      <c r="F886" s="52"/>
      <c r="G886" s="52"/>
      <c r="H886" s="52"/>
    </row>
    <row r="887" spans="1:8" ht="15.75">
      <c r="A887" s="119"/>
      <c r="B887" s="88"/>
      <c r="C887" s="52"/>
      <c r="D887" s="52"/>
      <c r="E887" s="52"/>
      <c r="F887" s="52"/>
      <c r="G887" s="52"/>
      <c r="H887" s="52"/>
    </row>
    <row r="888" spans="1:8" ht="15.75">
      <c r="A888" s="119"/>
      <c r="B888" s="88"/>
      <c r="C888" s="52"/>
      <c r="D888" s="52"/>
      <c r="E888" s="52"/>
      <c r="F888" s="52"/>
      <c r="G888" s="52"/>
      <c r="H888" s="52"/>
    </row>
    <row r="889" spans="1:8" ht="15.75">
      <c r="A889" s="119"/>
      <c r="B889" s="88"/>
      <c r="C889" s="52"/>
      <c r="D889" s="52"/>
      <c r="E889" s="52"/>
      <c r="F889" s="52"/>
      <c r="G889" s="52"/>
      <c r="H889" s="52"/>
    </row>
    <row r="890" spans="1:8" ht="15.75">
      <c r="A890" s="119"/>
      <c r="B890" s="88"/>
      <c r="C890" s="52"/>
      <c r="D890" s="52"/>
      <c r="E890" s="52"/>
      <c r="F890" s="52"/>
      <c r="G890" s="52"/>
      <c r="H890" s="52"/>
    </row>
    <row r="891" spans="1:8" ht="15.75">
      <c r="A891" s="119"/>
      <c r="B891" s="88"/>
      <c r="C891" s="52"/>
      <c r="D891" s="52"/>
      <c r="E891" s="52"/>
      <c r="F891" s="52"/>
      <c r="G891" s="52"/>
      <c r="H891" s="52"/>
    </row>
    <row r="892" spans="1:8" ht="15.75">
      <c r="A892" s="119"/>
      <c r="B892" s="88"/>
      <c r="C892" s="52"/>
      <c r="D892" s="52"/>
      <c r="E892" s="52"/>
      <c r="F892" s="52"/>
      <c r="G892" s="52"/>
      <c r="H892" s="52"/>
    </row>
    <row r="893" spans="1:8" ht="15.75">
      <c r="A893" s="119"/>
      <c r="B893" s="88"/>
      <c r="C893" s="52"/>
      <c r="D893" s="52"/>
      <c r="E893" s="52"/>
      <c r="F893" s="52"/>
      <c r="G893" s="52"/>
      <c r="H893" s="52"/>
    </row>
    <row r="894" spans="1:8" ht="15.75">
      <c r="A894" s="119"/>
      <c r="B894" s="88"/>
      <c r="C894" s="52"/>
      <c r="D894" s="52"/>
      <c r="E894" s="52"/>
      <c r="F894" s="52"/>
      <c r="G894" s="52"/>
      <c r="H894" s="52"/>
    </row>
    <row r="895" spans="1:8" ht="15.75">
      <c r="A895" s="119"/>
      <c r="B895" s="88"/>
      <c r="C895" s="52"/>
      <c r="D895" s="52"/>
      <c r="E895" s="52"/>
      <c r="F895" s="52"/>
      <c r="G895" s="52"/>
      <c r="H895" s="52"/>
    </row>
    <row r="896" spans="1:8" ht="15.75">
      <c r="A896" s="119"/>
      <c r="B896" s="88"/>
      <c r="C896" s="52"/>
      <c r="D896" s="52"/>
      <c r="E896" s="52"/>
      <c r="F896" s="52"/>
      <c r="G896" s="52"/>
      <c r="H896" s="52"/>
    </row>
    <row r="897" spans="1:8" ht="15.75">
      <c r="A897" s="119"/>
      <c r="B897" s="88"/>
      <c r="C897" s="52"/>
      <c r="D897" s="52"/>
      <c r="E897" s="52"/>
      <c r="F897" s="52"/>
      <c r="G897" s="52"/>
      <c r="H897" s="52"/>
    </row>
    <row r="898" spans="1:8" ht="15.75">
      <c r="A898" s="119"/>
      <c r="B898" s="88"/>
      <c r="C898" s="52"/>
      <c r="D898" s="52"/>
      <c r="E898" s="52"/>
      <c r="F898" s="52"/>
      <c r="G898" s="52"/>
      <c r="H898" s="52"/>
    </row>
    <row r="899" spans="1:8" ht="15.75">
      <c r="A899" s="119"/>
      <c r="B899" s="88"/>
      <c r="C899" s="52"/>
      <c r="D899" s="52"/>
      <c r="E899" s="52"/>
      <c r="F899" s="52"/>
      <c r="G899" s="52"/>
      <c r="H899" s="52"/>
    </row>
    <row r="900" spans="1:8" ht="15.75">
      <c r="A900" s="119"/>
      <c r="B900" s="88"/>
      <c r="C900" s="52"/>
      <c r="D900" s="52"/>
      <c r="E900" s="52"/>
      <c r="F900" s="52"/>
      <c r="G900" s="52"/>
      <c r="H900" s="52"/>
    </row>
    <row r="901" spans="1:8" ht="15.75">
      <c r="A901" s="119"/>
      <c r="B901" s="88"/>
      <c r="C901" s="52"/>
      <c r="D901" s="52"/>
      <c r="E901" s="52"/>
      <c r="F901" s="52"/>
      <c r="G901" s="52"/>
      <c r="H901" s="52"/>
    </row>
    <row r="902" spans="1:8" ht="15.75">
      <c r="A902" s="119"/>
      <c r="B902" s="88"/>
      <c r="C902" s="52"/>
      <c r="D902" s="52"/>
      <c r="E902" s="52"/>
      <c r="F902" s="52"/>
      <c r="G902" s="52"/>
      <c r="H902" s="52"/>
    </row>
    <row r="903" spans="1:8" ht="15.75">
      <c r="A903" s="119"/>
      <c r="B903" s="88"/>
      <c r="C903" s="52"/>
      <c r="D903" s="52"/>
      <c r="E903" s="52"/>
      <c r="F903" s="52"/>
      <c r="G903" s="52"/>
      <c r="H903" s="52"/>
    </row>
    <row r="904" spans="1:8" ht="15.75">
      <c r="A904" s="119"/>
      <c r="B904" s="88"/>
      <c r="C904" s="52"/>
      <c r="D904" s="52"/>
      <c r="E904" s="52"/>
      <c r="F904" s="52"/>
      <c r="G904" s="52"/>
      <c r="H904" s="52"/>
    </row>
    <row r="905" spans="1:8" ht="15.75">
      <c r="A905" s="119"/>
      <c r="B905" s="88"/>
      <c r="C905" s="52"/>
      <c r="D905" s="52"/>
      <c r="E905" s="52"/>
      <c r="F905" s="52"/>
      <c r="G905" s="52"/>
      <c r="H905" s="52"/>
    </row>
    <row r="906" spans="1:8" ht="15.75">
      <c r="A906" s="119"/>
      <c r="B906" s="88"/>
      <c r="C906" s="52"/>
      <c r="D906" s="52"/>
      <c r="E906" s="52"/>
      <c r="F906" s="52"/>
      <c r="G906" s="52"/>
      <c r="H906" s="52"/>
    </row>
    <row r="907" spans="1:8" ht="15.75">
      <c r="A907" s="119"/>
      <c r="B907" s="88"/>
      <c r="C907" s="52"/>
      <c r="D907" s="52"/>
      <c r="E907" s="52"/>
      <c r="F907" s="52"/>
      <c r="G907" s="52"/>
      <c r="H907" s="52"/>
    </row>
    <row r="908" spans="1:8" ht="15.75">
      <c r="A908" s="119"/>
      <c r="B908" s="88"/>
      <c r="C908" s="52"/>
      <c r="D908" s="52"/>
      <c r="E908" s="52"/>
      <c r="F908" s="52"/>
      <c r="G908" s="52"/>
      <c r="H908" s="52"/>
    </row>
    <row r="909" spans="1:8" ht="15.75">
      <c r="A909" s="119"/>
      <c r="B909" s="88"/>
      <c r="C909" s="52"/>
      <c r="D909" s="52"/>
      <c r="E909" s="52"/>
      <c r="F909" s="52"/>
      <c r="G909" s="52"/>
      <c r="H909" s="52"/>
    </row>
    <row r="910" spans="1:8" ht="15.75">
      <c r="A910" s="119"/>
      <c r="B910" s="88"/>
      <c r="C910" s="52"/>
      <c r="D910" s="52"/>
      <c r="E910" s="52"/>
      <c r="F910" s="52"/>
      <c r="G910" s="52"/>
      <c r="H910" s="52"/>
    </row>
    <row r="911" spans="1:8" ht="15.75">
      <c r="A911" s="119"/>
      <c r="B911" s="88"/>
      <c r="C911" s="52"/>
      <c r="D911" s="52"/>
      <c r="E911" s="52"/>
      <c r="F911" s="52"/>
      <c r="G911" s="52"/>
      <c r="H911" s="52"/>
    </row>
    <row r="912" spans="1:8" ht="15.75">
      <c r="A912" s="119"/>
      <c r="B912" s="88"/>
      <c r="C912" s="52"/>
      <c r="D912" s="52"/>
      <c r="E912" s="52"/>
      <c r="F912" s="52"/>
      <c r="G912" s="52"/>
      <c r="H912" s="52"/>
    </row>
    <row r="913" spans="1:8" ht="15.75">
      <c r="A913" s="119"/>
      <c r="B913" s="88"/>
      <c r="C913" s="52"/>
      <c r="D913" s="52"/>
      <c r="E913" s="52"/>
      <c r="F913" s="52"/>
      <c r="G913" s="52"/>
      <c r="H913" s="52"/>
    </row>
    <row r="914" spans="1:8" ht="15.75">
      <c r="A914" s="119"/>
      <c r="B914" s="88"/>
      <c r="C914" s="52"/>
      <c r="D914" s="52"/>
      <c r="E914" s="52"/>
      <c r="F914" s="52"/>
      <c r="G914" s="52"/>
      <c r="H914" s="52"/>
    </row>
    <row r="915" spans="1:8" ht="15.75">
      <c r="A915" s="119"/>
      <c r="B915" s="88"/>
      <c r="C915" s="52"/>
      <c r="D915" s="52"/>
      <c r="E915" s="52"/>
      <c r="F915" s="52"/>
      <c r="G915" s="52"/>
      <c r="H915" s="52"/>
    </row>
    <row r="916" spans="1:8" ht="15.75">
      <c r="A916" s="119"/>
      <c r="B916" s="88"/>
      <c r="C916" s="52"/>
      <c r="D916" s="52"/>
      <c r="E916" s="52"/>
      <c r="F916" s="52"/>
      <c r="G916" s="52"/>
      <c r="H916" s="52"/>
    </row>
    <row r="917" spans="1:8" ht="15.75">
      <c r="A917" s="119"/>
      <c r="B917" s="88"/>
      <c r="C917" s="52"/>
      <c r="D917" s="52"/>
      <c r="E917" s="52"/>
      <c r="F917" s="52"/>
      <c r="G917" s="52"/>
      <c r="H917" s="52"/>
    </row>
    <row r="918" spans="1:8" ht="15.75">
      <c r="A918" s="119"/>
      <c r="B918" s="88"/>
      <c r="C918" s="52"/>
      <c r="D918" s="52"/>
      <c r="E918" s="52"/>
      <c r="F918" s="52"/>
      <c r="G918" s="52"/>
      <c r="H918" s="52"/>
    </row>
    <row r="919" spans="1:8" ht="15.75">
      <c r="A919" s="119"/>
      <c r="B919" s="88"/>
      <c r="C919" s="52"/>
      <c r="D919" s="52"/>
      <c r="E919" s="52"/>
      <c r="F919" s="52"/>
      <c r="G919" s="52"/>
      <c r="H919" s="52"/>
    </row>
    <row r="920" spans="1:8" ht="15.75">
      <c r="A920" s="119"/>
      <c r="B920" s="88"/>
      <c r="C920" s="52"/>
      <c r="D920" s="52"/>
      <c r="E920" s="52"/>
      <c r="F920" s="52"/>
      <c r="G920" s="52"/>
      <c r="H920" s="52"/>
    </row>
    <row r="921" spans="1:8" ht="15.75">
      <c r="A921" s="119"/>
      <c r="B921" s="88"/>
      <c r="C921" s="52"/>
      <c r="D921" s="52"/>
      <c r="E921" s="52"/>
      <c r="F921" s="52"/>
      <c r="G921" s="52"/>
      <c r="H921" s="52"/>
    </row>
    <row r="922" spans="1:8" ht="15.75">
      <c r="A922" s="119"/>
      <c r="B922" s="88"/>
      <c r="C922" s="52"/>
      <c r="D922" s="52"/>
      <c r="E922" s="52"/>
      <c r="F922" s="52"/>
      <c r="G922" s="52"/>
      <c r="H922" s="52"/>
    </row>
    <row r="923" spans="1:8" ht="15.75">
      <c r="A923" s="119"/>
      <c r="B923" s="88"/>
      <c r="C923" s="52"/>
      <c r="D923" s="52"/>
      <c r="E923" s="52"/>
      <c r="F923" s="52"/>
      <c r="G923" s="52"/>
      <c r="H923" s="52"/>
    </row>
    <row r="924" spans="1:8" ht="15.75">
      <c r="A924" s="119"/>
      <c r="B924" s="88"/>
      <c r="C924" s="52"/>
      <c r="D924" s="52"/>
      <c r="E924" s="52"/>
      <c r="F924" s="52"/>
      <c r="G924" s="52"/>
      <c r="H924" s="52"/>
    </row>
    <row r="925" spans="1:8" ht="15.75">
      <c r="A925" s="119"/>
      <c r="B925" s="88"/>
      <c r="C925" s="52"/>
      <c r="D925" s="52"/>
      <c r="E925" s="52"/>
      <c r="F925" s="52"/>
      <c r="G925" s="52"/>
      <c r="H925" s="52"/>
    </row>
    <row r="926" spans="1:8" ht="15.75">
      <c r="A926" s="119"/>
      <c r="B926" s="88"/>
      <c r="C926" s="52"/>
      <c r="D926" s="52"/>
      <c r="E926" s="52"/>
      <c r="F926" s="52"/>
      <c r="G926" s="52"/>
      <c r="H926" s="52"/>
    </row>
    <row r="927" spans="1:8" ht="15.75">
      <c r="A927" s="119"/>
      <c r="B927" s="88"/>
      <c r="C927" s="52"/>
      <c r="D927" s="52"/>
      <c r="E927" s="52"/>
      <c r="F927" s="52"/>
      <c r="G927" s="52"/>
      <c r="H927" s="52"/>
    </row>
    <row r="928" spans="1:8" ht="15.75">
      <c r="A928" s="119"/>
      <c r="B928" s="88"/>
      <c r="C928" s="52"/>
      <c r="D928" s="52"/>
      <c r="E928" s="52"/>
      <c r="F928" s="52"/>
      <c r="G928" s="52"/>
      <c r="H928" s="52"/>
    </row>
    <row r="929" spans="1:8" ht="15.75">
      <c r="A929" s="119"/>
      <c r="B929" s="88"/>
      <c r="C929" s="52"/>
      <c r="D929" s="52"/>
      <c r="E929" s="52"/>
      <c r="F929" s="52"/>
      <c r="G929" s="52"/>
      <c r="H929" s="52"/>
    </row>
    <row r="930" spans="1:8" ht="15.75">
      <c r="A930" s="119"/>
      <c r="B930" s="88"/>
      <c r="C930" s="52"/>
      <c r="D930" s="52"/>
      <c r="E930" s="52"/>
      <c r="F930" s="52"/>
      <c r="G930" s="52"/>
      <c r="H930" s="52"/>
    </row>
    <row r="931" spans="1:8" ht="15.75">
      <c r="A931" s="119"/>
      <c r="B931" s="88"/>
      <c r="C931" s="52"/>
      <c r="D931" s="52"/>
      <c r="E931" s="52"/>
      <c r="F931" s="52"/>
      <c r="G931" s="52"/>
      <c r="H931" s="52"/>
    </row>
    <row r="932" spans="1:8" ht="15.75">
      <c r="A932" s="119"/>
      <c r="B932" s="88"/>
      <c r="C932" s="52"/>
      <c r="D932" s="52"/>
      <c r="E932" s="52"/>
      <c r="F932" s="52"/>
      <c r="G932" s="52"/>
      <c r="H932" s="52"/>
    </row>
    <row r="933" spans="1:8" ht="15.75">
      <c r="A933" s="119"/>
      <c r="B933" s="88"/>
      <c r="C933" s="52"/>
      <c r="D933" s="52"/>
      <c r="E933" s="52"/>
      <c r="F933" s="52"/>
      <c r="G933" s="52"/>
      <c r="H933" s="52"/>
    </row>
    <row r="934" spans="1:8" ht="15.75">
      <c r="A934" s="119"/>
      <c r="B934" s="88"/>
      <c r="C934" s="52"/>
      <c r="D934" s="52"/>
      <c r="E934" s="52"/>
      <c r="F934" s="52"/>
      <c r="G934" s="52"/>
      <c r="H934" s="52"/>
    </row>
    <row r="935" spans="1:8" ht="15.75">
      <c r="A935" s="119"/>
      <c r="B935" s="88"/>
      <c r="C935" s="52"/>
      <c r="D935" s="52"/>
      <c r="E935" s="52"/>
      <c r="F935" s="52"/>
      <c r="G935" s="52"/>
      <c r="H935" s="52"/>
    </row>
    <row r="936" spans="1:8" ht="15.75">
      <c r="A936" s="119"/>
      <c r="B936" s="88"/>
      <c r="C936" s="52"/>
      <c r="D936" s="52"/>
      <c r="E936" s="52"/>
      <c r="F936" s="52"/>
      <c r="G936" s="52"/>
      <c r="H936" s="52"/>
    </row>
    <row r="937" spans="1:8" ht="15.75">
      <c r="A937" s="119"/>
      <c r="B937" s="88"/>
      <c r="C937" s="52"/>
      <c r="D937" s="52"/>
      <c r="E937" s="52"/>
      <c r="F937" s="52"/>
      <c r="G937" s="52"/>
      <c r="H937" s="52"/>
    </row>
    <row r="938" spans="1:8" ht="15.75">
      <c r="A938" s="119"/>
      <c r="B938" s="88"/>
      <c r="C938" s="52"/>
      <c r="D938" s="52"/>
      <c r="E938" s="52"/>
      <c r="F938" s="52"/>
      <c r="G938" s="52"/>
      <c r="H938" s="52"/>
    </row>
    <row r="939" spans="1:8" ht="15.75">
      <c r="A939" s="119"/>
      <c r="B939" s="88"/>
      <c r="C939" s="52"/>
      <c r="D939" s="52"/>
      <c r="E939" s="52"/>
      <c r="F939" s="52"/>
      <c r="G939" s="52"/>
      <c r="H939" s="52"/>
    </row>
    <row r="940" spans="1:8" ht="15.75">
      <c r="A940" s="119"/>
      <c r="B940" s="88"/>
      <c r="C940" s="52"/>
      <c r="D940" s="52"/>
      <c r="E940" s="52"/>
      <c r="F940" s="52"/>
      <c r="G940" s="52"/>
      <c r="H940" s="52"/>
    </row>
    <row r="941" spans="1:8" ht="15.75">
      <c r="A941" s="119"/>
      <c r="B941" s="88"/>
      <c r="C941" s="52"/>
      <c r="D941" s="52"/>
      <c r="E941" s="52"/>
      <c r="F941" s="52"/>
      <c r="G941" s="52"/>
      <c r="H941" s="52"/>
    </row>
    <row r="942" spans="1:8" ht="15.75">
      <c r="A942" s="119"/>
      <c r="B942" s="88"/>
      <c r="C942" s="52"/>
      <c r="D942" s="52"/>
      <c r="E942" s="52"/>
      <c r="F942" s="52"/>
      <c r="G942" s="52"/>
      <c r="H942" s="52"/>
    </row>
    <row r="943" spans="1:8" ht="15.75">
      <c r="A943" s="119"/>
      <c r="B943" s="88"/>
      <c r="C943" s="52"/>
      <c r="D943" s="52"/>
      <c r="E943" s="52"/>
      <c r="F943" s="52"/>
      <c r="G943" s="52"/>
      <c r="H943" s="52"/>
    </row>
    <row r="944" spans="1:8" ht="15.75">
      <c r="A944" s="119"/>
      <c r="B944" s="88"/>
      <c r="C944" s="52"/>
      <c r="D944" s="52"/>
      <c r="E944" s="52"/>
      <c r="F944" s="52"/>
      <c r="G944" s="52"/>
      <c r="H944" s="52"/>
    </row>
    <row r="945" spans="1:8" ht="15.75">
      <c r="A945" s="119"/>
      <c r="B945" s="88"/>
      <c r="C945" s="52"/>
      <c r="D945" s="52"/>
      <c r="E945" s="52"/>
      <c r="F945" s="52"/>
      <c r="G945" s="52"/>
      <c r="H945" s="52"/>
    </row>
    <row r="946" spans="1:8" ht="15.75">
      <c r="A946" s="119"/>
      <c r="B946" s="88"/>
      <c r="C946" s="52"/>
      <c r="D946" s="52"/>
      <c r="E946" s="52"/>
      <c r="F946" s="52"/>
      <c r="G946" s="52"/>
      <c r="H946" s="52"/>
    </row>
    <row r="947" spans="1:8" ht="15.75">
      <c r="A947" s="119"/>
      <c r="B947" s="88"/>
      <c r="C947" s="52"/>
      <c r="D947" s="52"/>
      <c r="E947" s="52"/>
      <c r="F947" s="52"/>
      <c r="G947" s="52"/>
      <c r="H947" s="52"/>
    </row>
    <row r="948" spans="1:8" ht="15.75">
      <c r="A948" s="119"/>
      <c r="B948" s="88"/>
      <c r="C948" s="52"/>
      <c r="D948" s="52"/>
      <c r="E948" s="52"/>
      <c r="F948" s="52"/>
      <c r="G948" s="52"/>
      <c r="H948" s="52"/>
    </row>
    <row r="949" spans="1:8" ht="15.75">
      <c r="A949" s="119"/>
      <c r="B949" s="88"/>
      <c r="C949" s="52"/>
      <c r="D949" s="52"/>
      <c r="E949" s="52"/>
      <c r="F949" s="52"/>
      <c r="G949" s="52"/>
      <c r="H949" s="52"/>
    </row>
    <row r="950" spans="1:8" ht="15.75">
      <c r="A950" s="119"/>
      <c r="B950" s="88"/>
      <c r="C950" s="52"/>
      <c r="D950" s="52"/>
      <c r="E950" s="52"/>
      <c r="F950" s="52"/>
      <c r="G950" s="52"/>
      <c r="H950" s="52"/>
    </row>
    <row r="951" spans="1:8" ht="15.75">
      <c r="A951" s="119"/>
      <c r="B951" s="88"/>
      <c r="C951" s="52"/>
      <c r="D951" s="52"/>
      <c r="E951" s="52"/>
      <c r="F951" s="52"/>
      <c r="G951" s="52"/>
      <c r="H951" s="52"/>
    </row>
    <row r="952" spans="1:8" ht="15.75">
      <c r="A952" s="119"/>
      <c r="B952" s="88"/>
      <c r="C952" s="52"/>
      <c r="D952" s="52"/>
      <c r="E952" s="52"/>
      <c r="F952" s="52"/>
      <c r="G952" s="52"/>
      <c r="H952" s="52"/>
    </row>
    <row r="953" spans="1:8" ht="15.75">
      <c r="A953" s="119"/>
      <c r="B953" s="88"/>
      <c r="C953" s="52"/>
      <c r="D953" s="52"/>
      <c r="E953" s="52"/>
      <c r="F953" s="52"/>
      <c r="G953" s="52"/>
      <c r="H953" s="52"/>
    </row>
    <row r="954" spans="1:8" ht="15.75">
      <c r="A954" s="119"/>
      <c r="B954" s="88"/>
      <c r="C954" s="52"/>
      <c r="D954" s="52"/>
      <c r="E954" s="52"/>
      <c r="F954" s="52"/>
      <c r="G954" s="52"/>
      <c r="H954" s="52"/>
    </row>
    <row r="955" spans="1:8" ht="15.75">
      <c r="A955" s="119"/>
      <c r="B955" s="88"/>
      <c r="C955" s="52"/>
      <c r="D955" s="52"/>
      <c r="E955" s="52"/>
      <c r="F955" s="52"/>
      <c r="G955" s="52"/>
      <c r="H955" s="52"/>
    </row>
    <row r="956" spans="1:8" ht="15.75">
      <c r="A956" s="119"/>
      <c r="B956" s="88"/>
      <c r="C956" s="52"/>
      <c r="D956" s="52"/>
      <c r="E956" s="52"/>
      <c r="F956" s="52"/>
      <c r="G956" s="52"/>
      <c r="H956" s="52"/>
    </row>
    <row r="957" spans="1:8" ht="15.75">
      <c r="A957" s="119"/>
      <c r="B957" s="88"/>
      <c r="C957" s="52"/>
      <c r="D957" s="52"/>
      <c r="E957" s="52"/>
      <c r="F957" s="52"/>
      <c r="G957" s="52"/>
      <c r="H957" s="52"/>
    </row>
    <row r="958" spans="1:8" ht="15.75">
      <c r="A958" s="119"/>
      <c r="B958" s="88"/>
      <c r="C958" s="52"/>
      <c r="D958" s="52"/>
      <c r="E958" s="52"/>
      <c r="F958" s="52"/>
      <c r="G958" s="52"/>
      <c r="H958" s="52"/>
    </row>
    <row r="959" spans="1:8" ht="15.75">
      <c r="A959" s="119"/>
      <c r="B959" s="88"/>
      <c r="C959" s="52"/>
      <c r="D959" s="52"/>
      <c r="E959" s="52"/>
      <c r="F959" s="52"/>
      <c r="G959" s="52"/>
      <c r="H959" s="52"/>
    </row>
    <row r="960" spans="1:8" ht="15.75">
      <c r="A960" s="119"/>
      <c r="B960" s="88"/>
      <c r="C960" s="52"/>
      <c r="D960" s="52"/>
      <c r="E960" s="52"/>
      <c r="F960" s="52"/>
      <c r="G960" s="52"/>
      <c r="H960" s="52"/>
    </row>
    <row r="961" spans="1:8" ht="15.75">
      <c r="A961" s="119"/>
      <c r="B961" s="88"/>
      <c r="C961" s="52"/>
      <c r="D961" s="52"/>
      <c r="E961" s="52"/>
      <c r="F961" s="52"/>
      <c r="G961" s="52"/>
      <c r="H961" s="52"/>
    </row>
    <row r="962" spans="1:8" ht="15.75">
      <c r="A962" s="119"/>
      <c r="B962" s="88"/>
      <c r="C962" s="52"/>
      <c r="D962" s="52"/>
      <c r="E962" s="52"/>
      <c r="F962" s="52"/>
      <c r="G962" s="52"/>
      <c r="H962" s="52"/>
    </row>
    <row r="963" spans="1:8" ht="15.75">
      <c r="A963" s="119"/>
      <c r="B963" s="88"/>
      <c r="C963" s="52"/>
      <c r="D963" s="52"/>
      <c r="E963" s="52"/>
      <c r="F963" s="52"/>
      <c r="G963" s="52"/>
      <c r="H963" s="52"/>
    </row>
    <row r="964" spans="1:8" ht="15.75">
      <c r="A964" s="119"/>
      <c r="B964" s="88"/>
      <c r="C964" s="52"/>
      <c r="D964" s="52"/>
      <c r="E964" s="52"/>
      <c r="F964" s="52"/>
      <c r="G964" s="52"/>
      <c r="H964" s="52"/>
    </row>
    <row r="965" spans="1:8" ht="15.75">
      <c r="A965" s="119"/>
      <c r="B965" s="88"/>
      <c r="C965" s="52"/>
      <c r="D965" s="52"/>
      <c r="E965" s="52"/>
      <c r="F965" s="52"/>
      <c r="G965" s="52"/>
      <c r="H965" s="52"/>
    </row>
    <row r="966" spans="1:8" ht="15.75">
      <c r="A966" s="119"/>
      <c r="B966" s="88"/>
      <c r="C966" s="52"/>
      <c r="D966" s="52"/>
      <c r="E966" s="52"/>
      <c r="F966" s="52"/>
      <c r="G966" s="52"/>
      <c r="H966" s="52"/>
    </row>
    <row r="967" spans="1:8" ht="15.75">
      <c r="A967" s="119"/>
      <c r="B967" s="88"/>
      <c r="C967" s="52"/>
      <c r="D967" s="52"/>
      <c r="E967" s="52"/>
      <c r="F967" s="52"/>
      <c r="G967" s="52"/>
      <c r="H967" s="52"/>
    </row>
    <row r="968" spans="1:8" ht="15.75">
      <c r="A968" s="119"/>
      <c r="B968" s="88"/>
      <c r="C968" s="52"/>
      <c r="D968" s="52"/>
      <c r="E968" s="52"/>
      <c r="F968" s="52"/>
      <c r="G968" s="52"/>
      <c r="H968" s="52"/>
    </row>
    <row r="969" spans="1:8" ht="15.75">
      <c r="A969" s="119"/>
      <c r="B969" s="88"/>
      <c r="C969" s="52"/>
      <c r="D969" s="52"/>
      <c r="E969" s="52"/>
      <c r="F969" s="52"/>
      <c r="G969" s="52"/>
      <c r="H969" s="52"/>
    </row>
    <row r="970" spans="1:8" ht="15.75">
      <c r="A970" s="119"/>
      <c r="B970" s="88"/>
      <c r="C970" s="52"/>
      <c r="D970" s="52"/>
      <c r="E970" s="52"/>
      <c r="F970" s="52"/>
      <c r="G970" s="52"/>
      <c r="H970" s="52"/>
    </row>
    <row r="971" spans="1:8" ht="15.75">
      <c r="A971" s="119"/>
      <c r="B971" s="88"/>
      <c r="C971" s="52"/>
      <c r="D971" s="52"/>
      <c r="E971" s="52"/>
      <c r="F971" s="52"/>
      <c r="G971" s="52"/>
      <c r="H971" s="52"/>
    </row>
    <row r="972" spans="1:8" ht="15.75">
      <c r="A972" s="119"/>
      <c r="B972" s="88"/>
      <c r="C972" s="52"/>
      <c r="D972" s="52"/>
      <c r="E972" s="52"/>
      <c r="F972" s="52"/>
      <c r="G972" s="52"/>
      <c r="H972" s="52"/>
    </row>
    <row r="973" spans="1:8" ht="15.75">
      <c r="A973" s="119"/>
      <c r="B973" s="88"/>
      <c r="C973" s="52"/>
      <c r="D973" s="52"/>
      <c r="E973" s="52"/>
      <c r="F973" s="52"/>
      <c r="G973" s="52"/>
      <c r="H973" s="52"/>
    </row>
    <row r="974" spans="1:8" ht="15.75">
      <c r="A974" s="119"/>
      <c r="B974" s="88"/>
      <c r="C974" s="52"/>
      <c r="D974" s="52"/>
      <c r="E974" s="52"/>
      <c r="F974" s="52"/>
      <c r="G974" s="52"/>
      <c r="H974" s="52"/>
    </row>
    <row r="975" spans="1:8" ht="15.75">
      <c r="A975" s="119"/>
      <c r="B975" s="88"/>
      <c r="C975" s="52"/>
      <c r="D975" s="52"/>
      <c r="E975" s="52"/>
      <c r="F975" s="52"/>
      <c r="G975" s="52"/>
      <c r="H975" s="52"/>
    </row>
    <row r="976" spans="1:8" ht="15.75">
      <c r="A976" s="119"/>
      <c r="B976" s="88"/>
      <c r="C976" s="52"/>
      <c r="D976" s="52"/>
      <c r="E976" s="52"/>
      <c r="F976" s="52"/>
      <c r="G976" s="52"/>
      <c r="H976" s="52"/>
    </row>
    <row r="977" spans="1:8" ht="15.75">
      <c r="A977" s="119"/>
      <c r="B977" s="88"/>
      <c r="C977" s="52"/>
      <c r="D977" s="52"/>
      <c r="E977" s="52"/>
      <c r="F977" s="52"/>
      <c r="G977" s="52"/>
      <c r="H977" s="52"/>
    </row>
    <row r="978" spans="1:8" ht="15.75">
      <c r="A978" s="119"/>
      <c r="B978" s="88"/>
      <c r="C978" s="52"/>
      <c r="D978" s="52"/>
      <c r="E978" s="52"/>
      <c r="F978" s="52"/>
      <c r="G978" s="52"/>
      <c r="H978" s="52"/>
    </row>
    <row r="979" spans="1:8" ht="15.75">
      <c r="A979" s="119"/>
      <c r="B979" s="88"/>
      <c r="C979" s="52"/>
      <c r="D979" s="52"/>
      <c r="E979" s="52"/>
      <c r="F979" s="52"/>
      <c r="G979" s="52"/>
      <c r="H979" s="52"/>
    </row>
    <row r="980" spans="1:8" ht="15.75">
      <c r="A980" s="119"/>
      <c r="B980" s="88"/>
      <c r="C980" s="52"/>
      <c r="D980" s="52"/>
      <c r="E980" s="52"/>
      <c r="F980" s="52"/>
      <c r="G980" s="52"/>
      <c r="H980" s="52"/>
    </row>
    <row r="981" spans="1:8" ht="15.75">
      <c r="A981" s="119"/>
      <c r="B981" s="88"/>
      <c r="C981" s="52"/>
      <c r="D981" s="52"/>
      <c r="E981" s="52"/>
      <c r="F981" s="52"/>
      <c r="G981" s="52"/>
      <c r="H981" s="52"/>
    </row>
    <row r="982" spans="1:8" ht="15.75">
      <c r="A982" s="119"/>
      <c r="B982" s="88"/>
      <c r="C982" s="52"/>
      <c r="D982" s="52"/>
      <c r="E982" s="52"/>
      <c r="F982" s="52"/>
      <c r="G982" s="52"/>
      <c r="H982" s="52"/>
    </row>
    <row r="983" spans="1:8" ht="15.75">
      <c r="A983" s="119"/>
      <c r="B983" s="88"/>
      <c r="C983" s="52"/>
      <c r="D983" s="52"/>
      <c r="E983" s="52"/>
      <c r="F983" s="52"/>
      <c r="G983" s="52"/>
      <c r="H983" s="52"/>
    </row>
    <row r="984" spans="1:8" ht="15.75">
      <c r="A984" s="119"/>
      <c r="B984" s="88"/>
      <c r="C984" s="52"/>
      <c r="D984" s="52"/>
      <c r="E984" s="52"/>
      <c r="F984" s="52"/>
      <c r="G984" s="52"/>
      <c r="H984" s="52"/>
    </row>
    <row r="985" spans="1:8" ht="15.75">
      <c r="A985" s="119"/>
      <c r="B985" s="88"/>
      <c r="C985" s="52"/>
      <c r="D985" s="52"/>
      <c r="E985" s="52"/>
      <c r="F985" s="52"/>
      <c r="G985" s="52"/>
      <c r="H985" s="52"/>
    </row>
    <row r="986" spans="1:8" ht="15.75">
      <c r="A986" s="119"/>
      <c r="B986" s="88"/>
      <c r="C986" s="52"/>
      <c r="D986" s="52"/>
      <c r="E986" s="52"/>
      <c r="F986" s="52"/>
      <c r="G986" s="52"/>
      <c r="H986" s="52"/>
    </row>
    <row r="987" spans="1:8" ht="15.75">
      <c r="A987" s="119"/>
      <c r="B987" s="88"/>
      <c r="C987" s="52"/>
      <c r="D987" s="52"/>
      <c r="E987" s="52"/>
      <c r="F987" s="52"/>
      <c r="G987" s="52"/>
      <c r="H987" s="52"/>
    </row>
    <row r="988" spans="1:8" ht="15.75">
      <c r="A988" s="119"/>
      <c r="B988" s="88"/>
      <c r="C988" s="52"/>
      <c r="D988" s="52"/>
      <c r="E988" s="52"/>
      <c r="F988" s="52"/>
      <c r="G988" s="52"/>
      <c r="H988" s="52"/>
    </row>
    <row r="989" spans="1:8" ht="15.75">
      <c r="A989" s="119"/>
      <c r="B989" s="88"/>
      <c r="C989" s="52"/>
      <c r="D989" s="52"/>
      <c r="E989" s="52"/>
      <c r="F989" s="52"/>
      <c r="G989" s="52"/>
      <c r="H989" s="52"/>
    </row>
    <row r="990" spans="1:8" ht="15.75">
      <c r="A990" s="119"/>
      <c r="B990" s="88"/>
      <c r="C990" s="52"/>
      <c r="D990" s="52"/>
      <c r="E990" s="52"/>
      <c r="F990" s="52"/>
      <c r="G990" s="52"/>
      <c r="H990" s="52"/>
    </row>
    <row r="991" spans="1:8" ht="15.75">
      <c r="A991" s="119"/>
      <c r="B991" s="88"/>
      <c r="C991" s="52"/>
      <c r="D991" s="52"/>
      <c r="E991" s="52"/>
      <c r="F991" s="52"/>
      <c r="G991" s="52"/>
      <c r="H991" s="52"/>
    </row>
    <row r="992" spans="1:8" ht="15.75">
      <c r="A992" s="119"/>
      <c r="B992" s="88"/>
      <c r="C992" s="52"/>
      <c r="D992" s="52"/>
      <c r="E992" s="52"/>
      <c r="F992" s="52"/>
      <c r="G992" s="52"/>
      <c r="H992" s="52"/>
    </row>
    <row r="993" spans="1:8" ht="15.75">
      <c r="A993" s="119"/>
      <c r="B993" s="88"/>
      <c r="C993" s="52"/>
      <c r="D993" s="52"/>
      <c r="E993" s="52"/>
      <c r="F993" s="52"/>
      <c r="G993" s="52"/>
      <c r="H993" s="52"/>
    </row>
    <row r="994" spans="1:8" ht="15.75">
      <c r="A994" s="119"/>
      <c r="B994" s="88"/>
      <c r="C994" s="52"/>
      <c r="D994" s="52"/>
      <c r="E994" s="52"/>
      <c r="F994" s="52"/>
      <c r="G994" s="52"/>
      <c r="H994" s="52"/>
    </row>
    <row r="995" spans="1:8" ht="15.75">
      <c r="A995" s="119"/>
      <c r="B995" s="88"/>
      <c r="C995" s="52"/>
      <c r="D995" s="52"/>
      <c r="E995" s="52"/>
      <c r="F995" s="52"/>
      <c r="G995" s="52"/>
      <c r="H995" s="52"/>
    </row>
    <row r="996" spans="1:8" ht="15.75">
      <c r="A996" s="119"/>
      <c r="B996" s="88"/>
      <c r="C996" s="52"/>
      <c r="D996" s="52"/>
      <c r="E996" s="52"/>
      <c r="F996" s="52"/>
      <c r="G996" s="52"/>
      <c r="H996" s="52"/>
    </row>
    <row r="997" spans="1:8" ht="15.75">
      <c r="A997" s="119"/>
      <c r="B997" s="88"/>
      <c r="C997" s="52"/>
      <c r="D997" s="52"/>
      <c r="E997" s="52"/>
      <c r="F997" s="52"/>
      <c r="G997" s="52"/>
      <c r="H997" s="52"/>
    </row>
    <row r="998" spans="1:8" ht="15.75">
      <c r="A998" s="119"/>
      <c r="B998" s="88"/>
      <c r="C998" s="52"/>
      <c r="D998" s="52"/>
      <c r="E998" s="52"/>
      <c r="F998" s="52"/>
      <c r="G998" s="52"/>
      <c r="H998" s="52"/>
    </row>
    <row r="999" spans="1:8" ht="15.75">
      <c r="A999" s="119"/>
      <c r="B999" s="88"/>
      <c r="C999" s="52"/>
      <c r="D999" s="52"/>
      <c r="E999" s="52"/>
      <c r="F999" s="52"/>
      <c r="G999" s="52"/>
      <c r="H999" s="52"/>
    </row>
    <row r="1000" spans="1:8" ht="15.75">
      <c r="A1000" s="119"/>
      <c r="B1000" s="88"/>
      <c r="C1000" s="52"/>
      <c r="D1000" s="52"/>
      <c r="E1000" s="52"/>
      <c r="F1000" s="52"/>
      <c r="G1000" s="52"/>
      <c r="H1000" s="52"/>
    </row>
    <row r="1001" spans="1:8" ht="15.75">
      <c r="A1001" s="119"/>
      <c r="B1001" s="88"/>
      <c r="C1001" s="52"/>
      <c r="D1001" s="52"/>
      <c r="E1001" s="52"/>
      <c r="F1001" s="52"/>
      <c r="G1001" s="52"/>
      <c r="H1001" s="52"/>
    </row>
    <row r="1002" spans="1:8" ht="15.75">
      <c r="A1002" s="119"/>
      <c r="B1002" s="88"/>
      <c r="C1002" s="52"/>
      <c r="D1002" s="52"/>
      <c r="E1002" s="52"/>
      <c r="F1002" s="52"/>
      <c r="G1002" s="52"/>
      <c r="H1002" s="52"/>
    </row>
    <row r="1003" spans="1:8" ht="15.75">
      <c r="A1003" s="119"/>
      <c r="B1003" s="88"/>
      <c r="C1003" s="52"/>
      <c r="D1003" s="52"/>
      <c r="E1003" s="52"/>
      <c r="F1003" s="52"/>
      <c r="G1003" s="52"/>
      <c r="H1003" s="52"/>
    </row>
    <row r="1004" spans="1:8" ht="15.75">
      <c r="A1004" s="119"/>
      <c r="B1004" s="88"/>
      <c r="C1004" s="52"/>
      <c r="D1004" s="52"/>
      <c r="E1004" s="52"/>
      <c r="F1004" s="52"/>
      <c r="G1004" s="52"/>
      <c r="H1004" s="52"/>
    </row>
    <row r="1005" spans="1:8" ht="15.75">
      <c r="A1005" s="119"/>
      <c r="B1005" s="88"/>
      <c r="C1005" s="52"/>
      <c r="D1005" s="52"/>
      <c r="E1005" s="52"/>
      <c r="F1005" s="52"/>
      <c r="G1005" s="52"/>
      <c r="H1005" s="52"/>
    </row>
    <row r="1006" spans="1:8" ht="15.75">
      <c r="A1006" s="119"/>
      <c r="B1006" s="88"/>
      <c r="C1006" s="52"/>
      <c r="D1006" s="52"/>
      <c r="E1006" s="52"/>
      <c r="F1006" s="52"/>
      <c r="G1006" s="52"/>
      <c r="H1006" s="52"/>
    </row>
    <row r="1007" spans="1:8" ht="15.75">
      <c r="A1007" s="119"/>
      <c r="B1007" s="88"/>
      <c r="C1007" s="52"/>
      <c r="D1007" s="52"/>
      <c r="E1007" s="52"/>
      <c r="F1007" s="52"/>
      <c r="G1007" s="52"/>
      <c r="H1007" s="52"/>
    </row>
    <row r="1008" spans="1:8" ht="15.75">
      <c r="A1008" s="119"/>
      <c r="B1008" s="88"/>
      <c r="C1008" s="52"/>
      <c r="D1008" s="52"/>
      <c r="E1008" s="52"/>
      <c r="F1008" s="52"/>
      <c r="G1008" s="52"/>
      <c r="H1008" s="52"/>
    </row>
    <row r="1009" spans="1:8" ht="15.75">
      <c r="A1009" s="119"/>
      <c r="B1009" s="88"/>
      <c r="C1009" s="52"/>
      <c r="D1009" s="52"/>
      <c r="E1009" s="52"/>
      <c r="F1009" s="52"/>
      <c r="G1009" s="52"/>
      <c r="H1009" s="52"/>
    </row>
    <row r="1010" spans="1:8" ht="15.75">
      <c r="A1010" s="119"/>
      <c r="B1010" s="88"/>
      <c r="C1010" s="52"/>
      <c r="D1010" s="52"/>
      <c r="E1010" s="52"/>
      <c r="F1010" s="52"/>
      <c r="G1010" s="52"/>
      <c r="H1010" s="52"/>
    </row>
    <row r="1011" spans="1:8" ht="15.75">
      <c r="A1011" s="119"/>
      <c r="B1011" s="88"/>
      <c r="C1011" s="52"/>
      <c r="D1011" s="52"/>
      <c r="E1011" s="52"/>
      <c r="F1011" s="52"/>
      <c r="G1011" s="52"/>
      <c r="H1011" s="52"/>
    </row>
    <row r="1012" spans="1:8" ht="15.75">
      <c r="A1012" s="119"/>
      <c r="B1012" s="88"/>
      <c r="C1012" s="52"/>
      <c r="D1012" s="52"/>
      <c r="E1012" s="52"/>
      <c r="F1012" s="52"/>
      <c r="G1012" s="52"/>
      <c r="H1012" s="52"/>
    </row>
    <row r="1013" spans="1:8" ht="15.75">
      <c r="A1013" s="119"/>
      <c r="B1013" s="88"/>
      <c r="C1013" s="52"/>
      <c r="D1013" s="52"/>
      <c r="E1013" s="52"/>
      <c r="F1013" s="52"/>
      <c r="G1013" s="52"/>
      <c r="H1013" s="52"/>
    </row>
    <row r="1014" spans="1:8" ht="15.75">
      <c r="A1014" s="119"/>
      <c r="B1014" s="88"/>
      <c r="C1014" s="52"/>
      <c r="D1014" s="52"/>
      <c r="E1014" s="52"/>
      <c r="F1014" s="52"/>
      <c r="G1014" s="52"/>
      <c r="H1014" s="52"/>
    </row>
    <row r="1015" spans="1:8" ht="15.75">
      <c r="A1015" s="119"/>
      <c r="B1015" s="88"/>
      <c r="C1015" s="52"/>
      <c r="D1015" s="52"/>
      <c r="E1015" s="52"/>
      <c r="F1015" s="52"/>
      <c r="G1015" s="52"/>
      <c r="H1015" s="52"/>
    </row>
    <row r="1016" spans="1:8" ht="15.75">
      <c r="A1016" s="119"/>
      <c r="B1016" s="88"/>
      <c r="C1016" s="52"/>
      <c r="D1016" s="52"/>
      <c r="E1016" s="52"/>
      <c r="F1016" s="52"/>
      <c r="G1016" s="52"/>
      <c r="H1016" s="52"/>
    </row>
    <row r="1017" spans="1:8" ht="15.75">
      <c r="A1017" s="119"/>
      <c r="B1017" s="88"/>
      <c r="C1017" s="52"/>
      <c r="D1017" s="52"/>
      <c r="E1017" s="52"/>
      <c r="F1017" s="52"/>
      <c r="G1017" s="52"/>
      <c r="H1017" s="52"/>
    </row>
    <row r="1018" spans="1:8" ht="15.75">
      <c r="A1018" s="119"/>
      <c r="B1018" s="88"/>
      <c r="C1018" s="52"/>
      <c r="D1018" s="52"/>
      <c r="E1018" s="52"/>
      <c r="F1018" s="52"/>
      <c r="G1018" s="52"/>
      <c r="H1018" s="52"/>
    </row>
    <row r="1019" spans="1:8" ht="15.75">
      <c r="A1019" s="119"/>
      <c r="B1019" s="88"/>
      <c r="C1019" s="52"/>
      <c r="D1019" s="52"/>
      <c r="E1019" s="52"/>
      <c r="F1019" s="52"/>
      <c r="G1019" s="52"/>
      <c r="H1019" s="52"/>
    </row>
    <row r="1020" spans="1:8" ht="15.75">
      <c r="A1020" s="119"/>
      <c r="B1020" s="88"/>
      <c r="C1020" s="52"/>
      <c r="D1020" s="52"/>
      <c r="E1020" s="52"/>
      <c r="F1020" s="52"/>
      <c r="G1020" s="52"/>
      <c r="H1020" s="52"/>
    </row>
    <row r="1021" spans="1:8" ht="15.75">
      <c r="A1021" s="119"/>
      <c r="B1021" s="88"/>
      <c r="C1021" s="52"/>
      <c r="D1021" s="52"/>
      <c r="E1021" s="52"/>
      <c r="F1021" s="52"/>
      <c r="G1021" s="52"/>
      <c r="H1021" s="52"/>
    </row>
    <row r="1022" spans="1:8" ht="15.75">
      <c r="A1022" s="119"/>
      <c r="B1022" s="88"/>
      <c r="C1022" s="52"/>
      <c r="D1022" s="52"/>
      <c r="E1022" s="52"/>
      <c r="F1022" s="52"/>
      <c r="G1022" s="52"/>
      <c r="H1022" s="52"/>
    </row>
    <row r="1023" spans="1:8" ht="15.75">
      <c r="A1023" s="119"/>
      <c r="B1023" s="88"/>
      <c r="C1023" s="52"/>
      <c r="D1023" s="52"/>
      <c r="E1023" s="52"/>
      <c r="F1023" s="52"/>
      <c r="G1023" s="52"/>
      <c r="H1023" s="52"/>
    </row>
    <row r="1024" spans="1:8" ht="15.75">
      <c r="A1024" s="119"/>
      <c r="B1024" s="88"/>
      <c r="C1024" s="52"/>
      <c r="D1024" s="52"/>
      <c r="E1024" s="52"/>
      <c r="F1024" s="52"/>
      <c r="G1024" s="52"/>
      <c r="H1024" s="52"/>
    </row>
    <row r="1025" spans="1:8" ht="15.75">
      <c r="A1025" s="119"/>
      <c r="B1025" s="88"/>
      <c r="C1025" s="52"/>
      <c r="D1025" s="52"/>
      <c r="E1025" s="52"/>
      <c r="F1025" s="52"/>
      <c r="G1025" s="52"/>
      <c r="H1025" s="52"/>
    </row>
    <row r="1026" spans="1:8" ht="15.75">
      <c r="A1026" s="119"/>
      <c r="B1026" s="88"/>
      <c r="C1026" s="52"/>
      <c r="D1026" s="52"/>
      <c r="E1026" s="52"/>
      <c r="F1026" s="52"/>
      <c r="G1026" s="52"/>
      <c r="H1026" s="52"/>
    </row>
    <row r="1027" spans="1:8" ht="15.75">
      <c r="A1027" s="119"/>
      <c r="B1027" s="88"/>
      <c r="C1027" s="52"/>
      <c r="D1027" s="52"/>
      <c r="E1027" s="52"/>
      <c r="F1027" s="52"/>
      <c r="G1027" s="52"/>
      <c r="H1027" s="52"/>
    </row>
    <row r="1028" spans="1:8" ht="15.75">
      <c r="A1028" s="119"/>
      <c r="B1028" s="88"/>
      <c r="C1028" s="52"/>
      <c r="D1028" s="52"/>
      <c r="E1028" s="52"/>
      <c r="F1028" s="52"/>
      <c r="G1028" s="52"/>
      <c r="H1028" s="52"/>
    </row>
    <row r="1029" spans="1:8" ht="15.75">
      <c r="A1029" s="119"/>
      <c r="B1029" s="88"/>
      <c r="C1029" s="52"/>
      <c r="D1029" s="52"/>
      <c r="E1029" s="52"/>
      <c r="F1029" s="52"/>
      <c r="G1029" s="52"/>
      <c r="H1029" s="52"/>
    </row>
    <row r="1030" spans="1:8" ht="15.75">
      <c r="A1030" s="119"/>
      <c r="B1030" s="88"/>
      <c r="C1030" s="52"/>
      <c r="D1030" s="52"/>
      <c r="E1030" s="52"/>
      <c r="F1030" s="52"/>
      <c r="G1030" s="52"/>
      <c r="H1030" s="52"/>
    </row>
    <row r="1031" spans="1:8" ht="15.75">
      <c r="A1031" s="119"/>
      <c r="B1031" s="88"/>
      <c r="C1031" s="52"/>
      <c r="D1031" s="52"/>
      <c r="E1031" s="52"/>
      <c r="F1031" s="52"/>
      <c r="G1031" s="52"/>
      <c r="H1031" s="52"/>
    </row>
    <row r="1032" spans="1:8" ht="15.75">
      <c r="A1032" s="119"/>
      <c r="B1032" s="88"/>
      <c r="C1032" s="52"/>
      <c r="D1032" s="52"/>
      <c r="E1032" s="52"/>
      <c r="F1032" s="52"/>
      <c r="G1032" s="52"/>
      <c r="H1032" s="52"/>
    </row>
    <row r="1033" spans="1:8" ht="15.75">
      <c r="A1033" s="119"/>
      <c r="B1033" s="88"/>
      <c r="C1033" s="52"/>
      <c r="D1033" s="52"/>
      <c r="E1033" s="52"/>
      <c r="F1033" s="52"/>
      <c r="G1033" s="52"/>
      <c r="H1033" s="52"/>
    </row>
    <row r="1034" spans="1:8" ht="15.75">
      <c r="A1034" s="119"/>
      <c r="B1034" s="88"/>
      <c r="C1034" s="52"/>
      <c r="D1034" s="52"/>
      <c r="E1034" s="52"/>
      <c r="F1034" s="52"/>
      <c r="G1034" s="52"/>
      <c r="H1034" s="52"/>
    </row>
    <row r="1035" spans="1:8" ht="15.75">
      <c r="A1035" s="119"/>
      <c r="B1035" s="88"/>
      <c r="C1035" s="52"/>
      <c r="D1035" s="52"/>
      <c r="E1035" s="52"/>
      <c r="F1035" s="52"/>
      <c r="G1035" s="52"/>
      <c r="H1035" s="52"/>
    </row>
    <row r="1036" spans="1:8" ht="15.75">
      <c r="A1036" s="119"/>
      <c r="B1036" s="88"/>
      <c r="C1036" s="52"/>
      <c r="D1036" s="52"/>
      <c r="E1036" s="52"/>
      <c r="F1036" s="52"/>
      <c r="G1036" s="52"/>
      <c r="H1036" s="52"/>
    </row>
    <row r="1037" spans="1:8" ht="15.75">
      <c r="A1037" s="119"/>
      <c r="B1037" s="88"/>
      <c r="C1037" s="52"/>
      <c r="D1037" s="52"/>
      <c r="E1037" s="52"/>
      <c r="F1037" s="52"/>
      <c r="G1037" s="52"/>
      <c r="H1037" s="52"/>
    </row>
    <row r="1038" spans="1:8" ht="15.75">
      <c r="A1038" s="119"/>
      <c r="B1038" s="88"/>
      <c r="C1038" s="52"/>
      <c r="D1038" s="52"/>
      <c r="E1038" s="52"/>
      <c r="F1038" s="52"/>
      <c r="G1038" s="52"/>
      <c r="H1038" s="52"/>
    </row>
    <row r="1039" spans="1:8" ht="15.75">
      <c r="A1039" s="119"/>
      <c r="B1039" s="88"/>
      <c r="C1039" s="52"/>
      <c r="D1039" s="52"/>
      <c r="E1039" s="52"/>
      <c r="F1039" s="52"/>
      <c r="G1039" s="52"/>
      <c r="H1039" s="52"/>
    </row>
    <row r="1040" spans="1:8" ht="15.75">
      <c r="A1040" s="119"/>
      <c r="B1040" s="88"/>
      <c r="C1040" s="52"/>
      <c r="D1040" s="52"/>
      <c r="E1040" s="52"/>
      <c r="F1040" s="52"/>
      <c r="G1040" s="52"/>
      <c r="H1040" s="52"/>
    </row>
    <row r="1041" spans="1:8" ht="15.75">
      <c r="A1041" s="119"/>
      <c r="B1041" s="88"/>
      <c r="C1041" s="52"/>
      <c r="D1041" s="52"/>
      <c r="E1041" s="52"/>
      <c r="F1041" s="52"/>
      <c r="G1041" s="52"/>
      <c r="H1041" s="52"/>
    </row>
    <row r="1042" spans="1:8" ht="15.75">
      <c r="A1042" s="119"/>
      <c r="B1042" s="88"/>
      <c r="C1042" s="52"/>
      <c r="D1042" s="52"/>
      <c r="E1042" s="52"/>
      <c r="F1042" s="52"/>
      <c r="G1042" s="52"/>
      <c r="H1042" s="52"/>
    </row>
    <row r="1043" spans="1:8" ht="15.75">
      <c r="A1043" s="119"/>
      <c r="B1043" s="88"/>
      <c r="C1043" s="52"/>
      <c r="D1043" s="52"/>
      <c r="E1043" s="52"/>
      <c r="F1043" s="52"/>
      <c r="G1043" s="52"/>
      <c r="H1043" s="52"/>
    </row>
    <row r="1044" spans="1:8" ht="15.75">
      <c r="A1044" s="119"/>
      <c r="B1044" s="88"/>
      <c r="C1044" s="52"/>
      <c r="D1044" s="52"/>
      <c r="E1044" s="52"/>
      <c r="F1044" s="52"/>
      <c r="G1044" s="52"/>
      <c r="H1044" s="52"/>
    </row>
    <row r="1045" spans="1:8" ht="15.75">
      <c r="A1045" s="119"/>
      <c r="B1045" s="88"/>
      <c r="C1045" s="52"/>
      <c r="D1045" s="52"/>
      <c r="E1045" s="52"/>
      <c r="F1045" s="52"/>
      <c r="G1045" s="52"/>
      <c r="H1045" s="52"/>
    </row>
    <row r="1046" spans="1:8" ht="15.75">
      <c r="A1046" s="119"/>
      <c r="B1046" s="88"/>
      <c r="C1046" s="52"/>
      <c r="D1046" s="52"/>
      <c r="E1046" s="52"/>
      <c r="F1046" s="52"/>
      <c r="G1046" s="52"/>
      <c r="H1046" s="52"/>
    </row>
    <row r="1047" spans="1:8" ht="15.75">
      <c r="A1047" s="119"/>
      <c r="B1047" s="88"/>
      <c r="C1047" s="52"/>
      <c r="D1047" s="52"/>
      <c r="E1047" s="52"/>
      <c r="F1047" s="52"/>
      <c r="G1047" s="52"/>
      <c r="H1047" s="52"/>
    </row>
    <row r="1048" spans="1:8" ht="15.75">
      <c r="A1048" s="119"/>
      <c r="B1048" s="88"/>
      <c r="C1048" s="52"/>
      <c r="D1048" s="52"/>
      <c r="E1048" s="52"/>
      <c r="F1048" s="52"/>
      <c r="G1048" s="52"/>
      <c r="H1048" s="52"/>
    </row>
    <row r="1049" spans="1:8" ht="15.75">
      <c r="A1049" s="119"/>
      <c r="B1049" s="88"/>
      <c r="C1049" s="52"/>
      <c r="D1049" s="52"/>
      <c r="E1049" s="52"/>
      <c r="F1049" s="52"/>
      <c r="G1049" s="52"/>
      <c r="H1049" s="52"/>
    </row>
    <row r="1050" spans="1:8" ht="15.75">
      <c r="A1050" s="119"/>
      <c r="B1050" s="88"/>
      <c r="C1050" s="52"/>
      <c r="D1050" s="52"/>
      <c r="E1050" s="52"/>
      <c r="F1050" s="52"/>
      <c r="G1050" s="52"/>
      <c r="H1050" s="52"/>
    </row>
    <row r="1051" spans="1:8" ht="15.75">
      <c r="A1051" s="119"/>
      <c r="B1051" s="88"/>
      <c r="C1051" s="52"/>
      <c r="D1051" s="52"/>
      <c r="E1051" s="52"/>
      <c r="F1051" s="52"/>
      <c r="G1051" s="52"/>
      <c r="H1051" s="52"/>
    </row>
    <row r="1052" spans="1:8" ht="15.75">
      <c r="A1052" s="119"/>
      <c r="B1052" s="88"/>
      <c r="C1052" s="52"/>
      <c r="D1052" s="52"/>
      <c r="E1052" s="52"/>
      <c r="F1052" s="52"/>
      <c r="G1052" s="52"/>
      <c r="H1052" s="52"/>
    </row>
    <row r="1053" spans="1:8" ht="15.75">
      <c r="A1053" s="119"/>
      <c r="B1053" s="88"/>
      <c r="C1053" s="52"/>
      <c r="D1053" s="52"/>
      <c r="E1053" s="52"/>
      <c r="F1053" s="52"/>
      <c r="G1053" s="52"/>
      <c r="H1053" s="52"/>
    </row>
    <row r="1054" spans="1:8" ht="15.75">
      <c r="A1054" s="119"/>
      <c r="B1054" s="88"/>
      <c r="C1054" s="52"/>
      <c r="D1054" s="52"/>
      <c r="E1054" s="52"/>
      <c r="F1054" s="52"/>
      <c r="G1054" s="52"/>
      <c r="H1054" s="52"/>
    </row>
    <row r="1055" spans="1:8" ht="15.75">
      <c r="A1055" s="119"/>
      <c r="B1055" s="88"/>
      <c r="C1055" s="52"/>
      <c r="D1055" s="52"/>
      <c r="E1055" s="52"/>
      <c r="F1055" s="52"/>
      <c r="G1055" s="52"/>
      <c r="H1055" s="52"/>
    </row>
    <row r="1056" spans="1:8" ht="15.75">
      <c r="A1056" s="119"/>
      <c r="B1056" s="88"/>
      <c r="C1056" s="52"/>
      <c r="D1056" s="52"/>
      <c r="E1056" s="52"/>
      <c r="F1056" s="52"/>
      <c r="G1056" s="52"/>
      <c r="H1056" s="52"/>
    </row>
    <row r="1057" spans="1:8" ht="15.75">
      <c r="A1057" s="119"/>
      <c r="B1057" s="88"/>
      <c r="C1057" s="52"/>
      <c r="D1057" s="52"/>
      <c r="E1057" s="52"/>
      <c r="F1057" s="52"/>
      <c r="G1057" s="52"/>
      <c r="H1057" s="52"/>
    </row>
    <row r="1058" spans="1:8" ht="15.75">
      <c r="A1058" s="119"/>
      <c r="B1058" s="88"/>
      <c r="C1058" s="52"/>
      <c r="D1058" s="52"/>
      <c r="E1058" s="52"/>
      <c r="F1058" s="52"/>
      <c r="G1058" s="52"/>
      <c r="H1058" s="52"/>
    </row>
    <row r="1059" spans="1:8" ht="15.75">
      <c r="A1059" s="119"/>
      <c r="B1059" s="88"/>
      <c r="C1059" s="52"/>
      <c r="D1059" s="52"/>
      <c r="E1059" s="52"/>
      <c r="F1059" s="52"/>
      <c r="G1059" s="52"/>
      <c r="H1059" s="52"/>
    </row>
    <row r="1060" spans="1:8" ht="15.75">
      <c r="A1060" s="119"/>
      <c r="B1060" s="88"/>
      <c r="C1060" s="52"/>
      <c r="D1060" s="52"/>
      <c r="E1060" s="52"/>
      <c r="F1060" s="52"/>
      <c r="G1060" s="52"/>
      <c r="H1060" s="52"/>
    </row>
    <row r="1061" spans="1:8" ht="15.75">
      <c r="A1061" s="119"/>
      <c r="B1061" s="88"/>
      <c r="C1061" s="52"/>
      <c r="D1061" s="52"/>
      <c r="E1061" s="52"/>
      <c r="F1061" s="52"/>
      <c r="G1061" s="52"/>
      <c r="H1061" s="52"/>
    </row>
    <row r="1062" spans="1:8" ht="15.75">
      <c r="A1062" s="119"/>
      <c r="B1062" s="88"/>
      <c r="C1062" s="52"/>
      <c r="D1062" s="52"/>
      <c r="E1062" s="52"/>
      <c r="F1062" s="52"/>
      <c r="G1062" s="52"/>
      <c r="H1062" s="52"/>
    </row>
    <row r="1063" spans="1:8" ht="15.75">
      <c r="A1063" s="119"/>
      <c r="B1063" s="88"/>
      <c r="C1063" s="52"/>
      <c r="D1063" s="52"/>
      <c r="E1063" s="52"/>
      <c r="F1063" s="52"/>
      <c r="G1063" s="52"/>
      <c r="H1063" s="52"/>
    </row>
    <row r="1064" spans="1:8" ht="15.75">
      <c r="A1064" s="119"/>
      <c r="B1064" s="88"/>
      <c r="C1064" s="52"/>
      <c r="D1064" s="52"/>
      <c r="E1064" s="52"/>
      <c r="F1064" s="52"/>
      <c r="G1064" s="52"/>
      <c r="H1064" s="52"/>
    </row>
    <row r="1065" spans="1:8" ht="15.75">
      <c r="A1065" s="119"/>
      <c r="B1065" s="88"/>
      <c r="C1065" s="52"/>
      <c r="D1065" s="52"/>
      <c r="E1065" s="52"/>
      <c r="F1065" s="52"/>
      <c r="G1065" s="52"/>
      <c r="H1065" s="52"/>
    </row>
    <row r="1066" spans="1:8" ht="15.75">
      <c r="A1066" s="119"/>
      <c r="B1066" s="88"/>
      <c r="C1066" s="52"/>
      <c r="D1066" s="52"/>
      <c r="E1066" s="52"/>
      <c r="F1066" s="52"/>
      <c r="G1066" s="52"/>
      <c r="H1066" s="52"/>
    </row>
    <row r="1067" spans="1:8" ht="15.75">
      <c r="A1067" s="119"/>
      <c r="B1067" s="88"/>
      <c r="C1067" s="52"/>
      <c r="D1067" s="52"/>
      <c r="E1067" s="52"/>
      <c r="F1067" s="52"/>
      <c r="G1067" s="52"/>
      <c r="H1067" s="52"/>
    </row>
    <row r="1068" spans="1:8" ht="15.75">
      <c r="A1068" s="119"/>
      <c r="B1068" s="88"/>
      <c r="C1068" s="52"/>
      <c r="D1068" s="52"/>
      <c r="E1068" s="52"/>
      <c r="F1068" s="52"/>
      <c r="G1068" s="52"/>
      <c r="H1068" s="52"/>
    </row>
    <row r="1069" spans="1:8" ht="15.75">
      <c r="A1069" s="119"/>
      <c r="B1069" s="88"/>
      <c r="C1069" s="52"/>
      <c r="D1069" s="52"/>
      <c r="E1069" s="52"/>
      <c r="F1069" s="52"/>
      <c r="G1069" s="52"/>
      <c r="H1069" s="52"/>
    </row>
    <row r="1070" spans="1:8" ht="15.75">
      <c r="A1070" s="119"/>
      <c r="B1070" s="88"/>
      <c r="C1070" s="52"/>
      <c r="D1070" s="52"/>
      <c r="E1070" s="52"/>
      <c r="F1070" s="52"/>
      <c r="G1070" s="52"/>
      <c r="H1070" s="52"/>
    </row>
    <row r="1071" spans="1:8" ht="15.75">
      <c r="A1071" s="119"/>
      <c r="B1071" s="88"/>
      <c r="C1071" s="52"/>
      <c r="D1071" s="52"/>
      <c r="E1071" s="52"/>
      <c r="F1071" s="52"/>
      <c r="G1071" s="52"/>
      <c r="H1071" s="52"/>
    </row>
    <row r="1072" spans="1:8" ht="15.75">
      <c r="A1072" s="119"/>
      <c r="B1072" s="88"/>
      <c r="C1072" s="52"/>
      <c r="D1072" s="52"/>
      <c r="E1072" s="52"/>
      <c r="F1072" s="52"/>
      <c r="G1072" s="52"/>
      <c r="H1072" s="52"/>
    </row>
    <row r="1073" spans="1:8" ht="15.75">
      <c r="A1073" s="119"/>
      <c r="B1073" s="88"/>
      <c r="C1073" s="52"/>
      <c r="D1073" s="52"/>
      <c r="E1073" s="52"/>
      <c r="F1073" s="52"/>
      <c r="G1073" s="52"/>
      <c r="H1073" s="52"/>
    </row>
    <row r="1074" spans="1:8" ht="15.75">
      <c r="A1074" s="119"/>
      <c r="B1074" s="88"/>
      <c r="C1074" s="52"/>
      <c r="D1074" s="52"/>
      <c r="E1074" s="52"/>
      <c r="F1074" s="52"/>
      <c r="G1074" s="52"/>
      <c r="H1074" s="52"/>
    </row>
    <row r="1075" spans="1:8" ht="15.75">
      <c r="A1075" s="119"/>
      <c r="B1075" s="88"/>
      <c r="C1075" s="52"/>
      <c r="D1075" s="52"/>
      <c r="E1075" s="52"/>
      <c r="F1075" s="52"/>
      <c r="G1075" s="52"/>
      <c r="H1075" s="52"/>
    </row>
    <row r="1076" spans="1:8" ht="15.75">
      <c r="A1076" s="119"/>
      <c r="B1076" s="88"/>
      <c r="C1076" s="52"/>
      <c r="D1076" s="52"/>
      <c r="E1076" s="52"/>
      <c r="F1076" s="52"/>
      <c r="G1076" s="52"/>
      <c r="H1076" s="52"/>
    </row>
    <row r="1077" spans="1:8" ht="15.75">
      <c r="A1077" s="119"/>
      <c r="B1077" s="88"/>
      <c r="C1077" s="52"/>
      <c r="D1077" s="52"/>
      <c r="E1077" s="52"/>
      <c r="F1077" s="52"/>
      <c r="G1077" s="52"/>
      <c r="H1077" s="52"/>
    </row>
    <row r="1078" spans="1:8" ht="15.75">
      <c r="A1078" s="119"/>
      <c r="B1078" s="88"/>
      <c r="C1078" s="52"/>
      <c r="D1078" s="52"/>
      <c r="E1078" s="52"/>
      <c r="F1078" s="52"/>
      <c r="G1078" s="52"/>
      <c r="H1078" s="52"/>
    </row>
    <row r="1079" spans="1:8" ht="15.75">
      <c r="A1079" s="119"/>
      <c r="B1079" s="88"/>
      <c r="C1079" s="52"/>
      <c r="D1079" s="52"/>
      <c r="E1079" s="52"/>
      <c r="F1079" s="52"/>
      <c r="G1079" s="52"/>
      <c r="H1079" s="52"/>
    </row>
    <row r="1080" spans="1:8" ht="15.75">
      <c r="A1080" s="119"/>
      <c r="B1080" s="88"/>
      <c r="C1080" s="52"/>
      <c r="D1080" s="52"/>
      <c r="E1080" s="52"/>
      <c r="F1080" s="52"/>
      <c r="G1080" s="52"/>
      <c r="H1080" s="52"/>
    </row>
    <row r="1081" spans="1:8" ht="15.75">
      <c r="A1081" s="119"/>
      <c r="B1081" s="88"/>
      <c r="C1081" s="52"/>
      <c r="D1081" s="52"/>
      <c r="E1081" s="52"/>
      <c r="F1081" s="52"/>
      <c r="G1081" s="52"/>
      <c r="H1081" s="52"/>
    </row>
    <row r="1082" spans="1:8" ht="15.75">
      <c r="A1082" s="119"/>
      <c r="B1082" s="88"/>
      <c r="C1082" s="52"/>
      <c r="D1082" s="52"/>
      <c r="E1082" s="52"/>
      <c r="F1082" s="52"/>
      <c r="G1082" s="52"/>
      <c r="H1082" s="52"/>
    </row>
    <row r="1083" spans="1:8" ht="15.75">
      <c r="A1083" s="119"/>
      <c r="B1083" s="88"/>
      <c r="C1083" s="52"/>
      <c r="D1083" s="52"/>
      <c r="E1083" s="52"/>
      <c r="F1083" s="52"/>
      <c r="G1083" s="52"/>
      <c r="H1083" s="52"/>
    </row>
    <row r="1084" spans="1:8" ht="15.75">
      <c r="A1084" s="119"/>
      <c r="B1084" s="88"/>
      <c r="C1084" s="52"/>
      <c r="D1084" s="52"/>
      <c r="E1084" s="52"/>
      <c r="F1084" s="52"/>
      <c r="G1084" s="52"/>
      <c r="H1084" s="52"/>
    </row>
    <row r="1085" spans="1:8" ht="15.75">
      <c r="A1085" s="119"/>
      <c r="B1085" s="88"/>
      <c r="C1085" s="52"/>
      <c r="D1085" s="52"/>
      <c r="E1085" s="52"/>
      <c r="F1085" s="52"/>
      <c r="G1085" s="52"/>
      <c r="H1085" s="52"/>
    </row>
    <row r="1086" spans="1:8" ht="15.75">
      <c r="A1086" s="119"/>
      <c r="B1086" s="88"/>
      <c r="C1086" s="52"/>
      <c r="D1086" s="52"/>
      <c r="E1086" s="52"/>
      <c r="F1086" s="52"/>
      <c r="G1086" s="52"/>
      <c r="H1086" s="52"/>
    </row>
    <row r="1087" spans="1:8" ht="15.75">
      <c r="A1087" s="119"/>
      <c r="B1087" s="88"/>
      <c r="C1087" s="52"/>
      <c r="D1087" s="52"/>
      <c r="E1087" s="52"/>
      <c r="F1087" s="52"/>
      <c r="G1087" s="52"/>
      <c r="H1087" s="52"/>
    </row>
    <row r="1088" spans="1:8" ht="15.75">
      <c r="A1088" s="119"/>
      <c r="B1088" s="88"/>
      <c r="C1088" s="52"/>
      <c r="D1088" s="52"/>
      <c r="E1088" s="52"/>
      <c r="F1088" s="52"/>
      <c r="G1088" s="52"/>
      <c r="H1088" s="52"/>
    </row>
    <row r="1089" spans="1:8" ht="15.75">
      <c r="A1089" s="119"/>
      <c r="B1089" s="88"/>
      <c r="C1089" s="52"/>
      <c r="D1089" s="52"/>
      <c r="E1089" s="52"/>
      <c r="F1089" s="52"/>
      <c r="G1089" s="52"/>
      <c r="H1089" s="52"/>
    </row>
    <row r="1090" spans="1:8" ht="15.75">
      <c r="A1090" s="119"/>
      <c r="B1090" s="88"/>
      <c r="C1090" s="52"/>
      <c r="D1090" s="52"/>
      <c r="E1090" s="52"/>
      <c r="F1090" s="52"/>
      <c r="G1090" s="52"/>
      <c r="H1090" s="52"/>
    </row>
    <row r="1091" spans="1:8" ht="15.75">
      <c r="A1091" s="119"/>
      <c r="B1091" s="88"/>
      <c r="C1091" s="52"/>
      <c r="D1091" s="52"/>
      <c r="E1091" s="52"/>
      <c r="F1091" s="52"/>
      <c r="G1091" s="52"/>
      <c r="H1091" s="52"/>
    </row>
    <row r="1092" spans="1:8" ht="15.75">
      <c r="A1092" s="119"/>
      <c r="B1092" s="88"/>
      <c r="C1092" s="52"/>
      <c r="D1092" s="52"/>
      <c r="E1092" s="52"/>
      <c r="F1092" s="52"/>
      <c r="G1092" s="52"/>
      <c r="H1092" s="52"/>
    </row>
    <row r="1093" spans="1:8" ht="15.75">
      <c r="A1093" s="119"/>
      <c r="B1093" s="88"/>
      <c r="C1093" s="52"/>
      <c r="D1093" s="52"/>
      <c r="E1093" s="52"/>
      <c r="F1093" s="52"/>
      <c r="G1093" s="52"/>
      <c r="H1093" s="52"/>
    </row>
    <row r="1094" spans="1:8" ht="15.75">
      <c r="A1094" s="119"/>
      <c r="B1094" s="88"/>
      <c r="C1094" s="52"/>
      <c r="D1094" s="52"/>
      <c r="E1094" s="52"/>
      <c r="F1094" s="52"/>
      <c r="G1094" s="52"/>
      <c r="H1094" s="52"/>
    </row>
    <row r="1095" spans="1:8" ht="15.75">
      <c r="A1095" s="119"/>
      <c r="B1095" s="88"/>
      <c r="C1095" s="52"/>
      <c r="D1095" s="52"/>
      <c r="E1095" s="52"/>
      <c r="F1095" s="52"/>
      <c r="G1095" s="52"/>
      <c r="H1095" s="52"/>
    </row>
    <row r="1096" spans="1:8" ht="15.75">
      <c r="A1096" s="119"/>
      <c r="B1096" s="88"/>
      <c r="C1096" s="52"/>
      <c r="D1096" s="52"/>
      <c r="E1096" s="52"/>
      <c r="F1096" s="52"/>
      <c r="G1096" s="52"/>
      <c r="H1096" s="52"/>
    </row>
    <row r="1097" spans="1:8" ht="15.75">
      <c r="A1097" s="119"/>
      <c r="B1097" s="88"/>
      <c r="C1097" s="52"/>
      <c r="D1097" s="52"/>
      <c r="E1097" s="52"/>
      <c r="F1097" s="52"/>
      <c r="G1097" s="52"/>
      <c r="H1097" s="52"/>
    </row>
    <row r="1098" spans="1:8" ht="15.75">
      <c r="A1098" s="119"/>
      <c r="B1098" s="88"/>
      <c r="C1098" s="52"/>
      <c r="D1098" s="52"/>
      <c r="E1098" s="52"/>
      <c r="F1098" s="52"/>
      <c r="G1098" s="52"/>
      <c r="H1098" s="52"/>
    </row>
    <row r="1099" spans="1:8" ht="15.75">
      <c r="A1099" s="119"/>
      <c r="B1099" s="88"/>
      <c r="C1099" s="52"/>
      <c r="D1099" s="52"/>
      <c r="E1099" s="52"/>
      <c r="F1099" s="52"/>
      <c r="G1099" s="52"/>
      <c r="H1099" s="52"/>
    </row>
    <row r="1100" spans="1:8" ht="15.75">
      <c r="A1100" s="119"/>
      <c r="B1100" s="88"/>
      <c r="C1100" s="52"/>
      <c r="D1100" s="52"/>
      <c r="E1100" s="52"/>
      <c r="F1100" s="52"/>
      <c r="G1100" s="52"/>
      <c r="H1100" s="52"/>
    </row>
    <row r="1101" spans="1:8" ht="15.75">
      <c r="A1101" s="119"/>
      <c r="B1101" s="88"/>
      <c r="C1101" s="52"/>
      <c r="D1101" s="52"/>
      <c r="E1101" s="52"/>
      <c r="F1101" s="52"/>
      <c r="G1101" s="52"/>
      <c r="H1101" s="52"/>
    </row>
    <row r="1102" spans="1:8" ht="15.75">
      <c r="A1102" s="119"/>
      <c r="B1102" s="88"/>
      <c r="C1102" s="52"/>
      <c r="D1102" s="52"/>
      <c r="E1102" s="52"/>
      <c r="F1102" s="52"/>
      <c r="G1102" s="52"/>
      <c r="H1102" s="52"/>
    </row>
    <row r="1103" spans="1:8" ht="15.75">
      <c r="A1103" s="119"/>
      <c r="B1103" s="88"/>
      <c r="C1103" s="52"/>
      <c r="D1103" s="52"/>
      <c r="E1103" s="52"/>
      <c r="F1103" s="52"/>
      <c r="G1103" s="52"/>
      <c r="H1103" s="52"/>
    </row>
    <row r="1104" spans="1:8" ht="15.75">
      <c r="A1104" s="119"/>
      <c r="B1104" s="88"/>
      <c r="C1104" s="52"/>
      <c r="D1104" s="52"/>
      <c r="E1104" s="52"/>
      <c r="F1104" s="52"/>
      <c r="G1104" s="52"/>
      <c r="H1104" s="52"/>
    </row>
    <row r="1105" spans="1:8" ht="15.75">
      <c r="A1105" s="119"/>
      <c r="B1105" s="88"/>
      <c r="C1105" s="52"/>
      <c r="D1105" s="52"/>
      <c r="E1105" s="52"/>
      <c r="F1105" s="52"/>
      <c r="G1105" s="52"/>
      <c r="H1105" s="52"/>
    </row>
    <row r="1106" spans="1:8" ht="15.75">
      <c r="A1106" s="119"/>
      <c r="B1106" s="88"/>
      <c r="C1106" s="52"/>
      <c r="D1106" s="52"/>
      <c r="E1106" s="52"/>
      <c r="F1106" s="52"/>
      <c r="G1106" s="52"/>
      <c r="H1106" s="52"/>
    </row>
    <row r="1107" spans="1:8" ht="15.75">
      <c r="A1107" s="119"/>
      <c r="B1107" s="88"/>
      <c r="C1107" s="52"/>
      <c r="D1107" s="52"/>
      <c r="E1107" s="52"/>
      <c r="F1107" s="52"/>
      <c r="G1107" s="52"/>
      <c r="H1107" s="52"/>
    </row>
    <row r="1108" spans="1:8" ht="15.75">
      <c r="A1108" s="119"/>
      <c r="B1108" s="88"/>
      <c r="C1108" s="52"/>
      <c r="D1108" s="52"/>
      <c r="E1108" s="52"/>
      <c r="F1108" s="52"/>
      <c r="G1108" s="52"/>
      <c r="H1108" s="52"/>
    </row>
    <row r="1109" spans="1:8" ht="15.75">
      <c r="A1109" s="119"/>
      <c r="B1109" s="88"/>
      <c r="C1109" s="52"/>
      <c r="D1109" s="52"/>
      <c r="E1109" s="52"/>
      <c r="F1109" s="52"/>
      <c r="G1109" s="52"/>
      <c r="H1109" s="52"/>
    </row>
    <row r="1110" spans="1:8" ht="15.75">
      <c r="A1110" s="119"/>
      <c r="B1110" s="88"/>
      <c r="C1110" s="52"/>
      <c r="D1110" s="52"/>
      <c r="E1110" s="52"/>
      <c r="F1110" s="52"/>
      <c r="G1110" s="52"/>
      <c r="H1110" s="52"/>
    </row>
    <row r="1111" spans="1:8" ht="15.75">
      <c r="A1111" s="119"/>
      <c r="B1111" s="88"/>
      <c r="C1111" s="52"/>
      <c r="D1111" s="52"/>
      <c r="E1111" s="52"/>
      <c r="F1111" s="52"/>
      <c r="G1111" s="52"/>
      <c r="H1111" s="52"/>
    </row>
    <row r="1112" spans="1:8" ht="15.75">
      <c r="A1112" s="119"/>
      <c r="B1112" s="88"/>
      <c r="C1112" s="52"/>
      <c r="D1112" s="52"/>
      <c r="E1112" s="52"/>
      <c r="F1112" s="52"/>
      <c r="G1112" s="52"/>
      <c r="H1112" s="52"/>
    </row>
    <row r="1113" spans="1:8" ht="15.75">
      <c r="A1113" s="119"/>
      <c r="B1113" s="88"/>
      <c r="C1113" s="52"/>
      <c r="D1113" s="52"/>
      <c r="E1113" s="52"/>
      <c r="F1113" s="52"/>
      <c r="G1113" s="52"/>
      <c r="H1113" s="52"/>
    </row>
    <row r="1114" spans="1:8" ht="15.75">
      <c r="A1114" s="119"/>
      <c r="B1114" s="88"/>
      <c r="C1114" s="52"/>
      <c r="D1114" s="52"/>
      <c r="E1114" s="52"/>
      <c r="F1114" s="52"/>
      <c r="G1114" s="52"/>
      <c r="H1114" s="52"/>
    </row>
    <row r="1115" spans="1:8" ht="15.75">
      <c r="A1115" s="119"/>
      <c r="B1115" s="88"/>
      <c r="C1115" s="52"/>
      <c r="D1115" s="52"/>
      <c r="E1115" s="52"/>
      <c r="F1115" s="52"/>
      <c r="G1115" s="52"/>
      <c r="H1115" s="52"/>
    </row>
    <row r="1116" spans="1:8" ht="15.75">
      <c r="A1116" s="119"/>
      <c r="B1116" s="88"/>
      <c r="C1116" s="52"/>
      <c r="D1116" s="52"/>
      <c r="E1116" s="52"/>
      <c r="F1116" s="52"/>
      <c r="G1116" s="52"/>
      <c r="H1116" s="52"/>
    </row>
    <row r="1117" spans="1:8" ht="15.75">
      <c r="A1117" s="119"/>
      <c r="B1117" s="88"/>
      <c r="C1117" s="52"/>
      <c r="D1117" s="52"/>
      <c r="E1117" s="52"/>
      <c r="F1117" s="52"/>
      <c r="G1117" s="52"/>
      <c r="H1117" s="52"/>
    </row>
    <row r="1118" spans="1:8" ht="15.75">
      <c r="A1118" s="119"/>
      <c r="B1118" s="88"/>
      <c r="C1118" s="52"/>
      <c r="D1118" s="52"/>
      <c r="E1118" s="52"/>
      <c r="F1118" s="52"/>
      <c r="G1118" s="52"/>
      <c r="H1118" s="52"/>
    </row>
    <row r="1119" spans="1:8" ht="15.75">
      <c r="A1119" s="119"/>
      <c r="B1119" s="88"/>
      <c r="C1119" s="52"/>
      <c r="D1119" s="52"/>
      <c r="E1119" s="52"/>
      <c r="F1119" s="52"/>
      <c r="G1119" s="52"/>
      <c r="H1119" s="52"/>
    </row>
    <row r="1120" spans="1:8" ht="15.75">
      <c r="A1120" s="119"/>
      <c r="B1120" s="88"/>
      <c r="C1120" s="52"/>
      <c r="D1120" s="52"/>
      <c r="E1120" s="52"/>
      <c r="F1120" s="52"/>
      <c r="G1120" s="52"/>
      <c r="H1120" s="52"/>
    </row>
    <row r="1121" spans="1:8" ht="15.75">
      <c r="A1121" s="119"/>
      <c r="B1121" s="88"/>
      <c r="C1121" s="52"/>
      <c r="D1121" s="52"/>
      <c r="E1121" s="52"/>
      <c r="F1121" s="52"/>
      <c r="G1121" s="52"/>
      <c r="H1121" s="52"/>
    </row>
    <row r="1122" spans="1:8" ht="15.75">
      <c r="A1122" s="119"/>
      <c r="B1122" s="88"/>
      <c r="C1122" s="52"/>
      <c r="D1122" s="52"/>
      <c r="E1122" s="52"/>
      <c r="F1122" s="52"/>
      <c r="G1122" s="52"/>
      <c r="H1122" s="52"/>
    </row>
    <row r="1123" spans="1:8" ht="15.75">
      <c r="A1123" s="119"/>
      <c r="B1123" s="88"/>
      <c r="C1123" s="52"/>
      <c r="D1123" s="52"/>
      <c r="E1123" s="52"/>
      <c r="F1123" s="52"/>
      <c r="G1123" s="52"/>
      <c r="H1123" s="52"/>
    </row>
    <row r="1124" spans="1:8" ht="15.75">
      <c r="A1124" s="119"/>
      <c r="B1124" s="88"/>
      <c r="C1124" s="52"/>
      <c r="D1124" s="52"/>
      <c r="E1124" s="52"/>
      <c r="F1124" s="52"/>
      <c r="G1124" s="52"/>
      <c r="H1124" s="52"/>
    </row>
    <row r="1125" spans="1:8" ht="15.75">
      <c r="A1125" s="119"/>
      <c r="B1125" s="88"/>
      <c r="C1125" s="52"/>
      <c r="D1125" s="52"/>
      <c r="E1125" s="52"/>
      <c r="F1125" s="52"/>
      <c r="G1125" s="52"/>
      <c r="H1125" s="52"/>
    </row>
    <row r="1126" spans="1:8" ht="15.75">
      <c r="A1126" s="119"/>
      <c r="B1126" s="88"/>
      <c r="C1126" s="52"/>
      <c r="D1126" s="52"/>
      <c r="E1126" s="52"/>
      <c r="F1126" s="52"/>
      <c r="G1126" s="52"/>
      <c r="H1126" s="52"/>
    </row>
    <row r="1127" spans="1:8" ht="15.75">
      <c r="A1127" s="119"/>
      <c r="B1127" s="88"/>
      <c r="C1127" s="52"/>
      <c r="D1127" s="52"/>
      <c r="E1127" s="52"/>
      <c r="F1127" s="52"/>
      <c r="G1127" s="52"/>
      <c r="H1127" s="52"/>
    </row>
    <row r="1128" spans="1:8" ht="15.75">
      <c r="A1128" s="119"/>
      <c r="B1128" s="88"/>
      <c r="C1128" s="52"/>
      <c r="D1128" s="52"/>
      <c r="E1128" s="52"/>
      <c r="F1128" s="52"/>
      <c r="G1128" s="52"/>
      <c r="H1128" s="52"/>
    </row>
    <row r="1129" spans="1:8" ht="15.75">
      <c r="A1129" s="119"/>
      <c r="B1129" s="88"/>
      <c r="C1129" s="52"/>
      <c r="D1129" s="52"/>
      <c r="E1129" s="52"/>
      <c r="F1129" s="52"/>
      <c r="G1129" s="52"/>
      <c r="H1129" s="52"/>
    </row>
    <row r="1130" spans="1:8" ht="15.75">
      <c r="A1130" s="119"/>
      <c r="B1130" s="88"/>
      <c r="C1130" s="52"/>
      <c r="D1130" s="52"/>
      <c r="E1130" s="52"/>
      <c r="F1130" s="52"/>
      <c r="G1130" s="52"/>
      <c r="H1130" s="52"/>
    </row>
    <row r="1131" spans="1:8" ht="15.75">
      <c r="A1131" s="119"/>
      <c r="B1131" s="88"/>
      <c r="C1131" s="52"/>
      <c r="D1131" s="52"/>
      <c r="E1131" s="52"/>
      <c r="F1131" s="52"/>
      <c r="G1131" s="52"/>
      <c r="H1131" s="52"/>
    </row>
    <row r="1132" spans="1:8" ht="15.75">
      <c r="A1132" s="119"/>
      <c r="B1132" s="88"/>
      <c r="C1132" s="52"/>
      <c r="D1132" s="52"/>
      <c r="E1132" s="52"/>
      <c r="F1132" s="52"/>
      <c r="G1132" s="52"/>
      <c r="H1132" s="52"/>
    </row>
    <row r="1133" spans="1:8" ht="15.75">
      <c r="A1133" s="119"/>
      <c r="B1133" s="88"/>
      <c r="C1133" s="52"/>
      <c r="D1133" s="52"/>
      <c r="E1133" s="52"/>
      <c r="F1133" s="52"/>
      <c r="G1133" s="52"/>
      <c r="H1133" s="52"/>
    </row>
    <row r="1134" spans="1:8" ht="15.75">
      <c r="A1134" s="119"/>
      <c r="B1134" s="88"/>
      <c r="C1134" s="52"/>
      <c r="D1134" s="52"/>
      <c r="E1134" s="52"/>
      <c r="F1134" s="52"/>
      <c r="G1134" s="52"/>
      <c r="H1134" s="52"/>
    </row>
    <row r="1135" spans="1:8" ht="15.75">
      <c r="A1135" s="119"/>
      <c r="B1135" s="88"/>
      <c r="C1135" s="52"/>
      <c r="D1135" s="52"/>
      <c r="E1135" s="52"/>
      <c r="F1135" s="52"/>
      <c r="G1135" s="52"/>
      <c r="H1135" s="52"/>
    </row>
    <row r="1136" spans="1:8" ht="15.75">
      <c r="A1136" s="119"/>
      <c r="B1136" s="88"/>
      <c r="C1136" s="52"/>
      <c r="D1136" s="52"/>
      <c r="E1136" s="52"/>
      <c r="F1136" s="52"/>
      <c r="G1136" s="52"/>
      <c r="H1136" s="52"/>
    </row>
    <row r="1137" spans="1:8" ht="15.75">
      <c r="A1137" s="119"/>
      <c r="B1137" s="88"/>
      <c r="C1137" s="52"/>
      <c r="D1137" s="52"/>
      <c r="E1137" s="52"/>
      <c r="F1137" s="52"/>
      <c r="G1137" s="52"/>
      <c r="H1137" s="52"/>
    </row>
    <row r="1138" spans="1:8" ht="15.75">
      <c r="A1138" s="119"/>
      <c r="B1138" s="88"/>
      <c r="C1138" s="52"/>
      <c r="D1138" s="52"/>
      <c r="E1138" s="52"/>
      <c r="F1138" s="52"/>
      <c r="G1138" s="52"/>
      <c r="H1138" s="52"/>
    </row>
    <row r="1139" spans="1:8" ht="15.75">
      <c r="A1139" s="119"/>
      <c r="B1139" s="88"/>
      <c r="C1139" s="52"/>
      <c r="D1139" s="52"/>
      <c r="E1139" s="52"/>
      <c r="F1139" s="52"/>
      <c r="G1139" s="52"/>
      <c r="H1139" s="52"/>
    </row>
    <row r="1140" spans="1:8" ht="15.75">
      <c r="A1140" s="119"/>
      <c r="B1140" s="88"/>
      <c r="C1140" s="52"/>
      <c r="D1140" s="52"/>
      <c r="E1140" s="52"/>
      <c r="F1140" s="52"/>
      <c r="G1140" s="52"/>
      <c r="H1140" s="52"/>
    </row>
    <row r="1141" spans="1:8" ht="15.75">
      <c r="A1141" s="119"/>
      <c r="B1141" s="88"/>
      <c r="C1141" s="52"/>
      <c r="D1141" s="52"/>
      <c r="E1141" s="52"/>
      <c r="F1141" s="52"/>
      <c r="G1141" s="52"/>
      <c r="H1141" s="52"/>
    </row>
    <row r="1142" spans="1:8" ht="15.75">
      <c r="A1142" s="119"/>
      <c r="B1142" s="88"/>
      <c r="C1142" s="52"/>
      <c r="D1142" s="52"/>
      <c r="E1142" s="52"/>
      <c r="F1142" s="52"/>
      <c r="G1142" s="52"/>
      <c r="H1142" s="52"/>
    </row>
    <row r="1143" spans="1:8" ht="15.75">
      <c r="A1143" s="119"/>
      <c r="B1143" s="88"/>
      <c r="C1143" s="52"/>
      <c r="D1143" s="52"/>
      <c r="E1143" s="52"/>
      <c r="F1143" s="52"/>
      <c r="G1143" s="52"/>
      <c r="H1143" s="52"/>
    </row>
    <row r="1144" spans="1:8" ht="15.75">
      <c r="A1144" s="119"/>
      <c r="B1144" s="88"/>
      <c r="C1144" s="52"/>
      <c r="D1144" s="52"/>
      <c r="E1144" s="52"/>
      <c r="F1144" s="52"/>
      <c r="G1144" s="52"/>
      <c r="H1144" s="52"/>
    </row>
    <row r="1145" spans="1:8" ht="15.75">
      <c r="A1145" s="119"/>
      <c r="B1145" s="88"/>
      <c r="C1145" s="52"/>
      <c r="D1145" s="52"/>
      <c r="E1145" s="52"/>
      <c r="F1145" s="52"/>
      <c r="G1145" s="52"/>
      <c r="H1145" s="52"/>
    </row>
    <row r="1146" spans="1:8" ht="15.75">
      <c r="A1146" s="119"/>
      <c r="B1146" s="88"/>
      <c r="C1146" s="52"/>
      <c r="D1146" s="52"/>
      <c r="E1146" s="52"/>
      <c r="F1146" s="52"/>
      <c r="G1146" s="52"/>
      <c r="H1146" s="52"/>
    </row>
    <row r="1147" spans="1:8" ht="15.75">
      <c r="A1147" s="119"/>
      <c r="B1147" s="88"/>
      <c r="C1147" s="52"/>
      <c r="D1147" s="52"/>
      <c r="E1147" s="52"/>
      <c r="F1147" s="52"/>
      <c r="G1147" s="52"/>
      <c r="H1147" s="52"/>
    </row>
    <row r="1148" spans="1:8" ht="15.75">
      <c r="A1148" s="119"/>
      <c r="B1148" s="88"/>
      <c r="C1148" s="52"/>
      <c r="D1148" s="52"/>
      <c r="E1148" s="52"/>
      <c r="F1148" s="52"/>
      <c r="G1148" s="52"/>
      <c r="H1148" s="52"/>
    </row>
    <row r="1149" spans="1:8" ht="15.75">
      <c r="A1149" s="119"/>
      <c r="B1149" s="88"/>
      <c r="C1149" s="52"/>
      <c r="D1149" s="52"/>
      <c r="E1149" s="52"/>
      <c r="F1149" s="52"/>
      <c r="G1149" s="52"/>
      <c r="H1149" s="52"/>
    </row>
    <row r="1150" spans="1:8" ht="15.75">
      <c r="A1150" s="119"/>
      <c r="B1150" s="88"/>
      <c r="C1150" s="52"/>
      <c r="D1150" s="52"/>
      <c r="E1150" s="52"/>
      <c r="F1150" s="52"/>
      <c r="G1150" s="52"/>
      <c r="H1150" s="52"/>
    </row>
    <row r="1151" spans="1:8" ht="15.75">
      <c r="A1151" s="119"/>
      <c r="B1151" s="88"/>
      <c r="C1151" s="52"/>
      <c r="D1151" s="52"/>
      <c r="E1151" s="52"/>
      <c r="F1151" s="52"/>
      <c r="G1151" s="52"/>
      <c r="H1151" s="52"/>
    </row>
    <row r="1152" spans="1:8" ht="15.75">
      <c r="A1152" s="119"/>
      <c r="B1152" s="88"/>
      <c r="C1152" s="52"/>
      <c r="D1152" s="52"/>
      <c r="E1152" s="52"/>
      <c r="F1152" s="52"/>
      <c r="G1152" s="52"/>
      <c r="H1152" s="52"/>
    </row>
    <row r="1153" spans="1:8" ht="15.75">
      <c r="A1153" s="119"/>
      <c r="B1153" s="88"/>
      <c r="C1153" s="52"/>
      <c r="D1153" s="52"/>
      <c r="E1153" s="52"/>
      <c r="F1153" s="52"/>
      <c r="G1153" s="52"/>
      <c r="H1153" s="52"/>
    </row>
    <row r="1154" spans="1:8" ht="15.75">
      <c r="A1154" s="119"/>
      <c r="B1154" s="88"/>
      <c r="C1154" s="52"/>
      <c r="D1154" s="52"/>
      <c r="E1154" s="52"/>
      <c r="F1154" s="52"/>
      <c r="G1154" s="52"/>
      <c r="H1154" s="52"/>
    </row>
    <row r="1155" spans="1:8" ht="15.75">
      <c r="A1155" s="119"/>
      <c r="B1155" s="88"/>
      <c r="C1155" s="52"/>
      <c r="D1155" s="52"/>
      <c r="E1155" s="52"/>
      <c r="F1155" s="52"/>
      <c r="G1155" s="52"/>
      <c r="H1155" s="52"/>
    </row>
    <row r="1156" spans="1:8" ht="15.75">
      <c r="A1156" s="119"/>
      <c r="B1156" s="88"/>
      <c r="C1156" s="52"/>
      <c r="D1156" s="52"/>
      <c r="E1156" s="52"/>
      <c r="F1156" s="52"/>
      <c r="G1156" s="52"/>
      <c r="H1156" s="52"/>
    </row>
    <row r="1157" spans="1:8" ht="15.75">
      <c r="A1157" s="119"/>
      <c r="B1157" s="88"/>
      <c r="C1157" s="52"/>
      <c r="D1157" s="52"/>
      <c r="E1157" s="52"/>
      <c r="F1157" s="52"/>
      <c r="G1157" s="52"/>
      <c r="H1157" s="52"/>
    </row>
    <row r="1158" spans="1:8" ht="15.75">
      <c r="A1158" s="119"/>
      <c r="B1158" s="88"/>
      <c r="C1158" s="52"/>
      <c r="D1158" s="52"/>
      <c r="E1158" s="52"/>
      <c r="F1158" s="52"/>
      <c r="G1158" s="52"/>
      <c r="H1158" s="52"/>
    </row>
    <row r="1159" spans="1:8" ht="15.75">
      <c r="A1159" s="119"/>
      <c r="B1159" s="88"/>
      <c r="C1159" s="52"/>
      <c r="D1159" s="52"/>
      <c r="E1159" s="52"/>
      <c r="F1159" s="52"/>
      <c r="G1159" s="52"/>
      <c r="H1159" s="52"/>
    </row>
    <row r="1160" spans="1:8" ht="15.75">
      <c r="A1160" s="119"/>
      <c r="B1160" s="88"/>
      <c r="C1160" s="52"/>
      <c r="D1160" s="52"/>
      <c r="E1160" s="52"/>
      <c r="F1160" s="52"/>
      <c r="G1160" s="52"/>
      <c r="H1160" s="52"/>
    </row>
    <row r="1161" spans="1:8" ht="15.75">
      <c r="A1161" s="119"/>
      <c r="B1161" s="88"/>
      <c r="C1161" s="52"/>
      <c r="D1161" s="52"/>
      <c r="E1161" s="52"/>
      <c r="F1161" s="52"/>
      <c r="G1161" s="52"/>
      <c r="H1161" s="52"/>
    </row>
    <row r="1162" spans="1:8" ht="15.75">
      <c r="A1162" s="119"/>
      <c r="B1162" s="88"/>
      <c r="C1162" s="52"/>
      <c r="D1162" s="52"/>
      <c r="E1162" s="52"/>
      <c r="F1162" s="52"/>
      <c r="G1162" s="52"/>
      <c r="H1162" s="52"/>
    </row>
    <row r="1163" spans="1:8" ht="15.75">
      <c r="A1163" s="119"/>
      <c r="B1163" s="88"/>
      <c r="C1163" s="52"/>
      <c r="D1163" s="52"/>
      <c r="E1163" s="52"/>
      <c r="F1163" s="52"/>
      <c r="G1163" s="52"/>
      <c r="H1163" s="52"/>
    </row>
    <row r="1164" spans="1:8" ht="15.75">
      <c r="A1164" s="119"/>
      <c r="B1164" s="88"/>
      <c r="C1164" s="52"/>
      <c r="D1164" s="52"/>
      <c r="E1164" s="52"/>
      <c r="F1164" s="52"/>
      <c r="G1164" s="52"/>
      <c r="H1164" s="52"/>
    </row>
    <row r="1165" spans="1:8" ht="15.75">
      <c r="A1165" s="119"/>
      <c r="B1165" s="88"/>
      <c r="C1165" s="52"/>
      <c r="D1165" s="52"/>
      <c r="E1165" s="52"/>
      <c r="F1165" s="52"/>
      <c r="G1165" s="52"/>
      <c r="H1165" s="52"/>
    </row>
    <row r="1166" spans="1:8" ht="15.75">
      <c r="A1166" s="119"/>
      <c r="B1166" s="88"/>
      <c r="C1166" s="52"/>
      <c r="D1166" s="52"/>
      <c r="E1166" s="52"/>
      <c r="F1166" s="52"/>
      <c r="G1166" s="52"/>
      <c r="H1166" s="52"/>
    </row>
    <row r="1167" spans="1:8" ht="15.75">
      <c r="A1167" s="119"/>
      <c r="B1167" s="88"/>
      <c r="C1167" s="52"/>
      <c r="D1167" s="52"/>
      <c r="E1167" s="52"/>
      <c r="F1167" s="52"/>
      <c r="G1167" s="52"/>
      <c r="H1167" s="52"/>
    </row>
    <row r="1168" spans="1:8" ht="15.75">
      <c r="A1168" s="119"/>
      <c r="B1168" s="88"/>
      <c r="C1168" s="52"/>
      <c r="D1168" s="52"/>
      <c r="E1168" s="52"/>
      <c r="F1168" s="52"/>
      <c r="G1168" s="52"/>
      <c r="H1168" s="52"/>
    </row>
    <row r="1169" spans="1:8" ht="15.75">
      <c r="A1169" s="119"/>
      <c r="B1169" s="88"/>
      <c r="C1169" s="52"/>
      <c r="D1169" s="52"/>
      <c r="E1169" s="52"/>
      <c r="F1169" s="52"/>
      <c r="G1169" s="52"/>
      <c r="H1169" s="52"/>
    </row>
    <row r="1170" spans="1:8" ht="15.75">
      <c r="A1170" s="119"/>
      <c r="B1170" s="88"/>
      <c r="C1170" s="52"/>
      <c r="D1170" s="52"/>
      <c r="E1170" s="52"/>
      <c r="F1170" s="52"/>
      <c r="G1170" s="52"/>
      <c r="H1170" s="52"/>
    </row>
    <row r="1171" spans="1:8" ht="15.75">
      <c r="A1171" s="119"/>
      <c r="B1171" s="88"/>
      <c r="C1171" s="52"/>
      <c r="D1171" s="52"/>
      <c r="E1171" s="52"/>
      <c r="F1171" s="52"/>
      <c r="G1171" s="52"/>
      <c r="H1171" s="52"/>
    </row>
    <row r="1172" spans="1:8" ht="15.75">
      <c r="A1172" s="119"/>
      <c r="B1172" s="88"/>
      <c r="C1172" s="52"/>
      <c r="D1172" s="52"/>
      <c r="E1172" s="52"/>
      <c r="F1172" s="52"/>
      <c r="G1172" s="52"/>
      <c r="H1172" s="52"/>
    </row>
    <row r="1173" spans="1:8" ht="15.75">
      <c r="A1173" s="119"/>
      <c r="B1173" s="88"/>
      <c r="C1173" s="52"/>
      <c r="D1173" s="52"/>
      <c r="E1173" s="52"/>
      <c r="F1173" s="52"/>
      <c r="G1173" s="52"/>
      <c r="H1173" s="52"/>
    </row>
    <row r="1174" spans="1:8" ht="15.75">
      <c r="A1174" s="119"/>
      <c r="B1174" s="88"/>
      <c r="C1174" s="52"/>
      <c r="D1174" s="52"/>
      <c r="E1174" s="52"/>
      <c r="F1174" s="52"/>
      <c r="G1174" s="52"/>
      <c r="H1174" s="52"/>
    </row>
    <row r="1175" spans="1:8" ht="15.75">
      <c r="A1175" s="119"/>
      <c r="B1175" s="88"/>
      <c r="C1175" s="52"/>
      <c r="D1175" s="52"/>
      <c r="E1175" s="52"/>
      <c r="F1175" s="52"/>
      <c r="G1175" s="52"/>
      <c r="H1175" s="52"/>
    </row>
    <row r="1176" spans="1:8" ht="15.75">
      <c r="A1176" s="119"/>
      <c r="B1176" s="88"/>
      <c r="C1176" s="52"/>
      <c r="D1176" s="52"/>
      <c r="E1176" s="52"/>
      <c r="F1176" s="52"/>
      <c r="G1176" s="52"/>
      <c r="H1176" s="52"/>
    </row>
    <row r="1177" spans="1:8" ht="15.75">
      <c r="A1177" s="119"/>
      <c r="B1177" s="88"/>
      <c r="C1177" s="52"/>
      <c r="D1177" s="52"/>
      <c r="E1177" s="52"/>
      <c r="F1177" s="52"/>
      <c r="G1177" s="52"/>
      <c r="H1177" s="52"/>
    </row>
    <row r="1178" spans="1:8" ht="15.75">
      <c r="A1178" s="119"/>
      <c r="B1178" s="88"/>
      <c r="C1178" s="52"/>
      <c r="D1178" s="52"/>
      <c r="E1178" s="52"/>
      <c r="F1178" s="52"/>
      <c r="G1178" s="52"/>
      <c r="H1178" s="52"/>
    </row>
    <row r="1179" spans="1:8" ht="15.75">
      <c r="A1179" s="119"/>
      <c r="B1179" s="88"/>
      <c r="C1179" s="52"/>
      <c r="D1179" s="52"/>
      <c r="E1179" s="52"/>
      <c r="F1179" s="52"/>
      <c r="G1179" s="52"/>
      <c r="H1179" s="52"/>
    </row>
    <row r="1180" spans="1:8" ht="15.75">
      <c r="A1180" s="119"/>
      <c r="B1180" s="88"/>
      <c r="C1180" s="52"/>
      <c r="D1180" s="52"/>
      <c r="E1180" s="52"/>
      <c r="F1180" s="52"/>
      <c r="G1180" s="52"/>
      <c r="H1180" s="52"/>
    </row>
    <row r="1181" spans="1:8" ht="15.75">
      <c r="A1181" s="119"/>
      <c r="B1181" s="88"/>
      <c r="C1181" s="52"/>
      <c r="D1181" s="52"/>
      <c r="E1181" s="52"/>
      <c r="F1181" s="52"/>
      <c r="G1181" s="52"/>
      <c r="H1181" s="52"/>
    </row>
    <row r="1182" spans="1:8" ht="15.75">
      <c r="A1182" s="119"/>
      <c r="B1182" s="88"/>
      <c r="C1182" s="52"/>
      <c r="D1182" s="52"/>
      <c r="E1182" s="52"/>
      <c r="F1182" s="52"/>
      <c r="G1182" s="52"/>
      <c r="H1182" s="52"/>
    </row>
    <row r="1183" spans="1:8" ht="15.75">
      <c r="A1183" s="119"/>
      <c r="B1183" s="88"/>
      <c r="C1183" s="52"/>
      <c r="D1183" s="52"/>
      <c r="E1183" s="52"/>
      <c r="F1183" s="52"/>
      <c r="G1183" s="52"/>
      <c r="H1183" s="52"/>
    </row>
    <row r="1184" spans="1:8" ht="15.75">
      <c r="A1184" s="119"/>
      <c r="B1184" s="88"/>
      <c r="C1184" s="52"/>
      <c r="D1184" s="52"/>
      <c r="E1184" s="52"/>
      <c r="F1184" s="52"/>
      <c r="G1184" s="52"/>
      <c r="H1184" s="52"/>
    </row>
    <row r="1185" spans="1:8" ht="15.75">
      <c r="A1185" s="119"/>
      <c r="B1185" s="88"/>
      <c r="C1185" s="52"/>
      <c r="D1185" s="52"/>
      <c r="E1185" s="52"/>
      <c r="F1185" s="52"/>
      <c r="G1185" s="52"/>
      <c r="H1185" s="52"/>
    </row>
    <row r="1186" spans="1:8" ht="15.75">
      <c r="A1186" s="119"/>
      <c r="B1186" s="88"/>
      <c r="C1186" s="52"/>
      <c r="D1186" s="52"/>
      <c r="E1186" s="52"/>
      <c r="F1186" s="52"/>
      <c r="G1186" s="52"/>
      <c r="H1186" s="52"/>
    </row>
    <row r="1187" spans="1:8" ht="15.75">
      <c r="A1187" s="119"/>
      <c r="B1187" s="88"/>
      <c r="C1187" s="52"/>
      <c r="D1187" s="52"/>
      <c r="E1187" s="52"/>
      <c r="F1187" s="52"/>
      <c r="G1187" s="52"/>
      <c r="H1187" s="52"/>
    </row>
    <row r="1188" spans="1:8" ht="15.75">
      <c r="A1188" s="119"/>
      <c r="B1188" s="88"/>
      <c r="C1188" s="52"/>
      <c r="D1188" s="52"/>
      <c r="E1188" s="52"/>
      <c r="F1188" s="52"/>
      <c r="G1188" s="52"/>
      <c r="H1188" s="52"/>
    </row>
    <row r="1189" spans="1:8" ht="15.75">
      <c r="A1189" s="119"/>
      <c r="B1189" s="88"/>
      <c r="C1189" s="52"/>
      <c r="D1189" s="52"/>
      <c r="E1189" s="52"/>
      <c r="F1189" s="52"/>
      <c r="G1189" s="52"/>
      <c r="H1189" s="52"/>
    </row>
    <row r="1190" spans="1:8" ht="15.75">
      <c r="A1190" s="119"/>
      <c r="B1190" s="88"/>
      <c r="C1190" s="52"/>
      <c r="D1190" s="52"/>
      <c r="E1190" s="52"/>
      <c r="F1190" s="52"/>
      <c r="G1190" s="52"/>
      <c r="H1190" s="52"/>
    </row>
    <row r="1191" spans="1:8" ht="15.75">
      <c r="A1191" s="119"/>
      <c r="B1191" s="88"/>
      <c r="C1191" s="52"/>
      <c r="D1191" s="52"/>
      <c r="E1191" s="52"/>
      <c r="F1191" s="52"/>
      <c r="G1191" s="52"/>
      <c r="H1191" s="52"/>
    </row>
    <row r="1192" spans="1:8" ht="15.75">
      <c r="A1192" s="119"/>
      <c r="B1192" s="88"/>
      <c r="C1192" s="52"/>
      <c r="D1192" s="52"/>
      <c r="E1192" s="52"/>
      <c r="F1192" s="52"/>
      <c r="G1192" s="52"/>
      <c r="H1192" s="52"/>
    </row>
    <row r="1193" spans="1:8" ht="15.75">
      <c r="A1193" s="119"/>
      <c r="B1193" s="88"/>
      <c r="C1193" s="52"/>
      <c r="D1193" s="52"/>
      <c r="E1193" s="52"/>
      <c r="F1193" s="52"/>
      <c r="G1193" s="52"/>
      <c r="H1193" s="52"/>
    </row>
    <row r="1194" spans="1:8" ht="15.75">
      <c r="A1194" s="119"/>
      <c r="B1194" s="88"/>
      <c r="C1194" s="52"/>
      <c r="D1194" s="52"/>
      <c r="E1194" s="52"/>
      <c r="F1194" s="52"/>
      <c r="G1194" s="52"/>
      <c r="H1194" s="52"/>
    </row>
    <row r="1195" spans="1:8" ht="15.75">
      <c r="A1195" s="119"/>
      <c r="B1195" s="88"/>
      <c r="C1195" s="52"/>
      <c r="D1195" s="52"/>
      <c r="E1195" s="52"/>
      <c r="F1195" s="52"/>
      <c r="G1195" s="52"/>
      <c r="H1195" s="52"/>
    </row>
    <row r="1196" spans="1:8" ht="15.75">
      <c r="A1196" s="119"/>
      <c r="B1196" s="88"/>
      <c r="C1196" s="52"/>
      <c r="D1196" s="52"/>
      <c r="E1196" s="52"/>
      <c r="F1196" s="52"/>
      <c r="G1196" s="52"/>
      <c r="H1196" s="52"/>
    </row>
    <row r="1197" spans="1:8" ht="15.75">
      <c r="A1197" s="119"/>
      <c r="B1197" s="88"/>
      <c r="C1197" s="52"/>
      <c r="D1197" s="52"/>
      <c r="E1197" s="52"/>
      <c r="F1197" s="52"/>
      <c r="G1197" s="52"/>
      <c r="H1197" s="52"/>
    </row>
    <row r="1198" spans="1:8" ht="15.75">
      <c r="A1198" s="119"/>
      <c r="B1198" s="88"/>
      <c r="C1198" s="52"/>
      <c r="D1198" s="52"/>
      <c r="E1198" s="52"/>
      <c r="F1198" s="52"/>
      <c r="G1198" s="52"/>
      <c r="H1198" s="52"/>
    </row>
    <row r="1199" spans="1:8" ht="15.75">
      <c r="A1199" s="119"/>
      <c r="B1199" s="88"/>
      <c r="C1199" s="52"/>
      <c r="D1199" s="52"/>
      <c r="E1199" s="52"/>
      <c r="F1199" s="52"/>
      <c r="G1199" s="52"/>
      <c r="H1199" s="52"/>
    </row>
    <row r="1200" spans="1:8" ht="15.75">
      <c r="A1200" s="119"/>
      <c r="B1200" s="88"/>
      <c r="C1200" s="52"/>
      <c r="D1200" s="52"/>
      <c r="E1200" s="52"/>
      <c r="F1200" s="52"/>
      <c r="G1200" s="52"/>
      <c r="H1200" s="52"/>
    </row>
    <row r="1201" spans="1:8" ht="15.75">
      <c r="A1201" s="119"/>
      <c r="B1201" s="88"/>
      <c r="C1201" s="52"/>
      <c r="D1201" s="52"/>
      <c r="E1201" s="52"/>
      <c r="F1201" s="52"/>
      <c r="G1201" s="52"/>
      <c r="H1201" s="52"/>
    </row>
    <row r="1202" spans="1:8" ht="15.75">
      <c r="A1202" s="119"/>
      <c r="B1202" s="88"/>
      <c r="C1202" s="52"/>
      <c r="D1202" s="52"/>
      <c r="E1202" s="52"/>
      <c r="F1202" s="52"/>
      <c r="G1202" s="52"/>
      <c r="H1202" s="52"/>
    </row>
    <row r="1203" spans="1:8" ht="15.75">
      <c r="A1203" s="119"/>
      <c r="B1203" s="88"/>
      <c r="C1203" s="52"/>
      <c r="D1203" s="52"/>
      <c r="E1203" s="52"/>
      <c r="F1203" s="52"/>
      <c r="G1203" s="52"/>
      <c r="H1203" s="52"/>
    </row>
    <row r="1204" spans="1:8" ht="15.75">
      <c r="A1204" s="119"/>
      <c r="B1204" s="88"/>
      <c r="C1204" s="52"/>
      <c r="D1204" s="52"/>
      <c r="E1204" s="52"/>
      <c r="F1204" s="52"/>
      <c r="G1204" s="52"/>
      <c r="H1204" s="52"/>
    </row>
    <row r="1205" spans="1:8" ht="15.75">
      <c r="A1205" s="119"/>
      <c r="B1205" s="88"/>
      <c r="C1205" s="52"/>
      <c r="D1205" s="52"/>
      <c r="E1205" s="52"/>
      <c r="F1205" s="52"/>
      <c r="G1205" s="52"/>
      <c r="H1205" s="52"/>
    </row>
    <row r="1206" spans="1:8" ht="15.75">
      <c r="A1206" s="119"/>
      <c r="B1206" s="88"/>
      <c r="C1206" s="52"/>
      <c r="D1206" s="52"/>
      <c r="E1206" s="52"/>
      <c r="F1206" s="52"/>
      <c r="G1206" s="52"/>
      <c r="H1206" s="52"/>
    </row>
    <row r="1207" spans="1:8" ht="15.75">
      <c r="A1207" s="119"/>
      <c r="B1207" s="88"/>
      <c r="C1207" s="52"/>
      <c r="D1207" s="52"/>
      <c r="E1207" s="52"/>
      <c r="F1207" s="52"/>
      <c r="G1207" s="52"/>
      <c r="H1207" s="52"/>
    </row>
    <row r="1208" spans="1:8" ht="15.75">
      <c r="A1208" s="119"/>
      <c r="B1208" s="88"/>
      <c r="C1208" s="52"/>
      <c r="D1208" s="52"/>
      <c r="E1208" s="52"/>
      <c r="F1208" s="52"/>
      <c r="G1208" s="52"/>
      <c r="H1208" s="52"/>
    </row>
    <row r="1209" spans="1:8" ht="15.75">
      <c r="A1209" s="119"/>
      <c r="B1209" s="88"/>
      <c r="C1209" s="52"/>
      <c r="D1209" s="52"/>
      <c r="E1209" s="52"/>
      <c r="F1209" s="52"/>
      <c r="G1209" s="52"/>
      <c r="H1209" s="52"/>
    </row>
    <row r="1210" spans="1:8" ht="15.75">
      <c r="A1210" s="119"/>
      <c r="B1210" s="88"/>
      <c r="C1210" s="52"/>
      <c r="D1210" s="52"/>
      <c r="E1210" s="52"/>
      <c r="F1210" s="52"/>
      <c r="G1210" s="52"/>
      <c r="H1210" s="52"/>
    </row>
    <row r="1211" spans="1:8" ht="15.75">
      <c r="A1211" s="119"/>
      <c r="B1211" s="88"/>
      <c r="C1211" s="52"/>
      <c r="D1211" s="52"/>
      <c r="E1211" s="52"/>
      <c r="F1211" s="52"/>
      <c r="G1211" s="52"/>
      <c r="H1211" s="52"/>
    </row>
    <row r="1212" spans="1:8" ht="15.75">
      <c r="A1212" s="119"/>
      <c r="B1212" s="88"/>
      <c r="C1212" s="52"/>
      <c r="D1212" s="52"/>
      <c r="E1212" s="52"/>
      <c r="F1212" s="52"/>
      <c r="G1212" s="52"/>
      <c r="H1212" s="52"/>
    </row>
    <row r="1213" spans="1:8" ht="15.75">
      <c r="A1213" s="119"/>
      <c r="B1213" s="88"/>
      <c r="C1213" s="52"/>
      <c r="D1213" s="52"/>
      <c r="E1213" s="52"/>
      <c r="F1213" s="52"/>
      <c r="G1213" s="52"/>
      <c r="H1213" s="52"/>
    </row>
    <row r="1214" spans="1:8" ht="15.75">
      <c r="A1214" s="119"/>
      <c r="B1214" s="88"/>
      <c r="C1214" s="52"/>
      <c r="D1214" s="52"/>
      <c r="E1214" s="52"/>
      <c r="F1214" s="52"/>
      <c r="G1214" s="52"/>
      <c r="H1214" s="52"/>
    </row>
    <row r="1215" spans="1:8" ht="15.75">
      <c r="A1215" s="119"/>
      <c r="B1215" s="88"/>
      <c r="C1215" s="52"/>
      <c r="D1215" s="52"/>
      <c r="E1215" s="52"/>
      <c r="F1215" s="52"/>
      <c r="G1215" s="52"/>
      <c r="H1215" s="52"/>
    </row>
    <row r="1216" spans="1:8" ht="15.75">
      <c r="A1216" s="119"/>
      <c r="B1216" s="88"/>
      <c r="C1216" s="52"/>
      <c r="D1216" s="52"/>
      <c r="E1216" s="52"/>
      <c r="F1216" s="52"/>
      <c r="G1216" s="52"/>
      <c r="H1216" s="52"/>
    </row>
    <row r="1217" spans="1:8" ht="15.75">
      <c r="A1217" s="119"/>
      <c r="B1217" s="88"/>
      <c r="C1217" s="52"/>
      <c r="D1217" s="52"/>
      <c r="E1217" s="52"/>
      <c r="F1217" s="52"/>
      <c r="G1217" s="52"/>
      <c r="H1217" s="52"/>
    </row>
    <row r="1218" spans="1:8" ht="15.75">
      <c r="A1218" s="119"/>
      <c r="B1218" s="88"/>
      <c r="C1218" s="52"/>
      <c r="D1218" s="52"/>
      <c r="E1218" s="52"/>
      <c r="F1218" s="52"/>
      <c r="G1218" s="52"/>
      <c r="H1218" s="52"/>
    </row>
    <row r="1219" spans="1:8" ht="15.75">
      <c r="A1219" s="119"/>
      <c r="B1219" s="88"/>
      <c r="C1219" s="52"/>
      <c r="D1219" s="52"/>
      <c r="E1219" s="52"/>
      <c r="F1219" s="52"/>
      <c r="G1219" s="52"/>
      <c r="H1219" s="52"/>
    </row>
    <row r="1220" spans="1:8" ht="15.75">
      <c r="A1220" s="119"/>
      <c r="B1220" s="88"/>
      <c r="C1220" s="52"/>
      <c r="D1220" s="52"/>
      <c r="E1220" s="52"/>
      <c r="F1220" s="52"/>
      <c r="G1220" s="52"/>
      <c r="H1220" s="52"/>
    </row>
    <row r="1221" spans="1:8" ht="15.75">
      <c r="A1221" s="119"/>
      <c r="B1221" s="88"/>
      <c r="C1221" s="52"/>
      <c r="D1221" s="52"/>
      <c r="E1221" s="52"/>
      <c r="F1221" s="52"/>
      <c r="G1221" s="52"/>
      <c r="H1221" s="52"/>
    </row>
    <row r="1222" spans="1:8" ht="15.75">
      <c r="A1222" s="119"/>
      <c r="B1222" s="88"/>
      <c r="C1222" s="52"/>
      <c r="D1222" s="52"/>
      <c r="E1222" s="52"/>
      <c r="F1222" s="52"/>
      <c r="G1222" s="52"/>
      <c r="H1222" s="52"/>
    </row>
    <row r="1223" spans="1:8" ht="15.75">
      <c r="A1223" s="119"/>
      <c r="B1223" s="88"/>
      <c r="C1223" s="52"/>
      <c r="D1223" s="52"/>
      <c r="E1223" s="52"/>
      <c r="F1223" s="52"/>
      <c r="G1223" s="52"/>
      <c r="H1223" s="52"/>
    </row>
    <row r="1224" spans="1:8" ht="15.75">
      <c r="A1224" s="119"/>
      <c r="B1224" s="88"/>
      <c r="C1224" s="52"/>
      <c r="D1224" s="52"/>
      <c r="E1224" s="52"/>
      <c r="F1224" s="52"/>
      <c r="G1224" s="52"/>
      <c r="H1224" s="52"/>
    </row>
    <row r="1225" spans="1:8" ht="15.75">
      <c r="A1225" s="119"/>
      <c r="B1225" s="88"/>
      <c r="C1225" s="52"/>
      <c r="D1225" s="52"/>
      <c r="E1225" s="52"/>
      <c r="F1225" s="52"/>
      <c r="G1225" s="52"/>
      <c r="H1225" s="52"/>
    </row>
    <row r="1226" spans="1:8" ht="15.75">
      <c r="A1226" s="119"/>
      <c r="B1226" s="88"/>
      <c r="C1226" s="52"/>
      <c r="D1226" s="52"/>
      <c r="E1226" s="52"/>
      <c r="F1226" s="52"/>
      <c r="G1226" s="52"/>
      <c r="H1226" s="52"/>
    </row>
    <row r="1227" spans="1:8" ht="15.75">
      <c r="A1227" s="119"/>
      <c r="B1227" s="88"/>
      <c r="C1227" s="52"/>
      <c r="D1227" s="52"/>
      <c r="E1227" s="52"/>
      <c r="F1227" s="52"/>
      <c r="G1227" s="52"/>
      <c r="H1227" s="52"/>
    </row>
    <row r="1228" spans="1:8" ht="15.75">
      <c r="A1228" s="119"/>
      <c r="B1228" s="88"/>
      <c r="C1228" s="52"/>
      <c r="D1228" s="52"/>
      <c r="E1228" s="52"/>
      <c r="F1228" s="52"/>
      <c r="G1228" s="52"/>
      <c r="H1228" s="52"/>
    </row>
    <row r="1229" spans="1:8" ht="15.75">
      <c r="A1229" s="119"/>
      <c r="B1229" s="88"/>
      <c r="C1229" s="52"/>
      <c r="D1229" s="52"/>
      <c r="E1229" s="52"/>
      <c r="F1229" s="52"/>
      <c r="G1229" s="52"/>
      <c r="H1229" s="52"/>
    </row>
    <row r="1230" spans="1:8" ht="15.75">
      <c r="A1230" s="119"/>
      <c r="B1230" s="88"/>
      <c r="C1230" s="52"/>
      <c r="D1230" s="52"/>
      <c r="E1230" s="52"/>
      <c r="F1230" s="52"/>
      <c r="G1230" s="52"/>
      <c r="H1230" s="52"/>
    </row>
    <row r="1231" spans="1:8" ht="15.75">
      <c r="A1231" s="119"/>
      <c r="B1231" s="88"/>
      <c r="C1231" s="52"/>
      <c r="D1231" s="52"/>
      <c r="E1231" s="52"/>
      <c r="F1231" s="52"/>
      <c r="G1231" s="52"/>
      <c r="H1231" s="52"/>
    </row>
    <row r="1232" spans="1:8" ht="15.75">
      <c r="A1232" s="119"/>
      <c r="B1232" s="88"/>
      <c r="C1232" s="52"/>
      <c r="D1232" s="52"/>
      <c r="E1232" s="52"/>
      <c r="F1232" s="52"/>
      <c r="G1232" s="52"/>
      <c r="H1232" s="52"/>
    </row>
    <row r="1233" spans="1:8" ht="15.75">
      <c r="A1233" s="119"/>
      <c r="B1233" s="88"/>
      <c r="C1233" s="52"/>
      <c r="D1233" s="52"/>
      <c r="E1233" s="52"/>
      <c r="F1233" s="52"/>
      <c r="G1233" s="52"/>
      <c r="H1233" s="52"/>
    </row>
    <row r="1234" spans="1:8" ht="15.75">
      <c r="A1234" s="119"/>
      <c r="B1234" s="88"/>
      <c r="C1234" s="52"/>
      <c r="D1234" s="52"/>
      <c r="E1234" s="52"/>
      <c r="F1234" s="52"/>
      <c r="G1234" s="52"/>
      <c r="H1234" s="52"/>
    </row>
    <row r="1235" spans="1:8" ht="15.75">
      <c r="A1235" s="119"/>
      <c r="B1235" s="88"/>
      <c r="C1235" s="52"/>
      <c r="D1235" s="52"/>
      <c r="E1235" s="52"/>
      <c r="F1235" s="52"/>
      <c r="G1235" s="52"/>
      <c r="H1235" s="52"/>
    </row>
    <row r="1236" spans="1:8" ht="15.75">
      <c r="A1236" s="119"/>
      <c r="B1236" s="88"/>
      <c r="C1236" s="52"/>
      <c r="D1236" s="52"/>
      <c r="E1236" s="52"/>
      <c r="F1236" s="52"/>
      <c r="G1236" s="52"/>
      <c r="H1236" s="52"/>
    </row>
    <row r="1237" spans="1:8" ht="15.75">
      <c r="A1237" s="119"/>
      <c r="B1237" s="88"/>
      <c r="C1237" s="52"/>
      <c r="D1237" s="52"/>
      <c r="E1237" s="52"/>
      <c r="F1237" s="52"/>
      <c r="G1237" s="52"/>
      <c r="H1237" s="52"/>
    </row>
    <row r="1238" spans="1:8" ht="15.75">
      <c r="A1238" s="119"/>
      <c r="B1238" s="88"/>
      <c r="C1238" s="52"/>
      <c r="D1238" s="52"/>
      <c r="E1238" s="52"/>
      <c r="F1238" s="52"/>
      <c r="G1238" s="52"/>
      <c r="H1238" s="52"/>
    </row>
    <row r="1239" spans="1:8" ht="15.75">
      <c r="A1239" s="119"/>
      <c r="B1239" s="88"/>
      <c r="C1239" s="52"/>
      <c r="D1239" s="52"/>
      <c r="E1239" s="52"/>
      <c r="F1239" s="52"/>
      <c r="G1239" s="52"/>
      <c r="H1239" s="52"/>
    </row>
    <row r="1240" spans="1:8" ht="15.75">
      <c r="A1240" s="119"/>
      <c r="B1240" s="88"/>
      <c r="C1240" s="52"/>
      <c r="D1240" s="52"/>
      <c r="E1240" s="52"/>
      <c r="F1240" s="52"/>
      <c r="G1240" s="52"/>
      <c r="H1240" s="52"/>
    </row>
    <row r="1241" spans="1:8" ht="15.75">
      <c r="A1241" s="119"/>
      <c r="B1241" s="88"/>
      <c r="C1241" s="52"/>
      <c r="D1241" s="52"/>
      <c r="E1241" s="52"/>
      <c r="F1241" s="52"/>
      <c r="G1241" s="52"/>
      <c r="H1241" s="52"/>
    </row>
    <row r="1242" spans="1:8" ht="15.75">
      <c r="A1242" s="119"/>
      <c r="B1242" s="88"/>
      <c r="C1242" s="52"/>
      <c r="D1242" s="52"/>
      <c r="E1242" s="52"/>
      <c r="F1242" s="52"/>
      <c r="G1242" s="52"/>
      <c r="H1242" s="52"/>
    </row>
    <row r="1243" spans="1:8" ht="15.75">
      <c r="A1243" s="119"/>
      <c r="B1243" s="88"/>
      <c r="C1243" s="52"/>
      <c r="D1243" s="52"/>
      <c r="E1243" s="52"/>
      <c r="F1243" s="52"/>
      <c r="G1243" s="52"/>
      <c r="H1243" s="52"/>
    </row>
    <row r="1244" spans="1:8" ht="15.75">
      <c r="A1244" s="119"/>
      <c r="B1244" s="88"/>
      <c r="C1244" s="52"/>
      <c r="D1244" s="52"/>
      <c r="E1244" s="52"/>
      <c r="F1244" s="52"/>
      <c r="G1244" s="52"/>
      <c r="H1244" s="52"/>
    </row>
    <row r="1245" spans="1:8" ht="15.75">
      <c r="A1245" s="119"/>
      <c r="B1245" s="88"/>
      <c r="C1245" s="52"/>
      <c r="D1245" s="52"/>
      <c r="E1245" s="52"/>
      <c r="F1245" s="52"/>
      <c r="G1245" s="52"/>
      <c r="H1245" s="52"/>
    </row>
    <row r="1246" spans="1:8" ht="15.75">
      <c r="A1246" s="119"/>
      <c r="B1246" s="88"/>
      <c r="C1246" s="52"/>
      <c r="D1246" s="52"/>
      <c r="E1246" s="52"/>
      <c r="F1246" s="52"/>
      <c r="G1246" s="52"/>
      <c r="H1246" s="52"/>
    </row>
    <row r="1247" spans="1:8" ht="15.75">
      <c r="A1247" s="119"/>
      <c r="B1247" s="88"/>
      <c r="C1247" s="52"/>
      <c r="D1247" s="52"/>
      <c r="E1247" s="52"/>
      <c r="F1247" s="52"/>
      <c r="G1247" s="52"/>
      <c r="H1247" s="52"/>
    </row>
    <row r="1248" spans="1:8" ht="15.75">
      <c r="A1248" s="119"/>
      <c r="B1248" s="88"/>
      <c r="C1248" s="52"/>
      <c r="D1248" s="52"/>
      <c r="E1248" s="52"/>
      <c r="F1248" s="52"/>
      <c r="G1248" s="52"/>
      <c r="H1248" s="52"/>
    </row>
    <row r="1249" spans="1:8" ht="15.75">
      <c r="A1249" s="119"/>
      <c r="B1249" s="88"/>
      <c r="C1249" s="52"/>
      <c r="D1249" s="52"/>
      <c r="E1249" s="52"/>
      <c r="F1249" s="52"/>
      <c r="G1249" s="52"/>
      <c r="H1249" s="52"/>
    </row>
    <row r="1250" spans="1:8" ht="15.75">
      <c r="A1250" s="119"/>
      <c r="B1250" s="88"/>
      <c r="C1250" s="52"/>
      <c r="D1250" s="52"/>
      <c r="E1250" s="52"/>
      <c r="F1250" s="52"/>
      <c r="G1250" s="52"/>
      <c r="H1250" s="52"/>
    </row>
    <row r="1251" spans="1:8" ht="15.75">
      <c r="A1251" s="119"/>
      <c r="B1251" s="88"/>
      <c r="C1251" s="52"/>
      <c r="D1251" s="52"/>
      <c r="E1251" s="52"/>
      <c r="F1251" s="52"/>
      <c r="G1251" s="52"/>
      <c r="H1251" s="52"/>
    </row>
    <row r="1252" spans="1:8" ht="15.75">
      <c r="A1252" s="119"/>
      <c r="B1252" s="88"/>
      <c r="C1252" s="52"/>
      <c r="D1252" s="52"/>
      <c r="E1252" s="52"/>
      <c r="F1252" s="52"/>
      <c r="G1252" s="52"/>
      <c r="H1252" s="52"/>
    </row>
    <row r="1253" spans="1:8" ht="15.75">
      <c r="A1253" s="119"/>
      <c r="B1253" s="88"/>
      <c r="C1253" s="52"/>
      <c r="D1253" s="52"/>
      <c r="E1253" s="52"/>
      <c r="F1253" s="52"/>
      <c r="G1253" s="52"/>
      <c r="H1253" s="52"/>
    </row>
    <row r="1254" spans="1:8" ht="15.75">
      <c r="A1254" s="119"/>
      <c r="B1254" s="88"/>
      <c r="C1254" s="52"/>
      <c r="D1254" s="52"/>
      <c r="E1254" s="52"/>
      <c r="F1254" s="52"/>
      <c r="G1254" s="52"/>
      <c r="H1254" s="52"/>
    </row>
    <row r="1255" spans="1:8" ht="15.75">
      <c r="A1255" s="119"/>
      <c r="B1255" s="88"/>
      <c r="C1255" s="52"/>
      <c r="D1255" s="52"/>
      <c r="E1255" s="52"/>
      <c r="F1255" s="52"/>
      <c r="G1255" s="52"/>
      <c r="H1255" s="52"/>
    </row>
    <row r="1256" spans="1:8" ht="15.75">
      <c r="A1256" s="119"/>
      <c r="B1256" s="88"/>
      <c r="C1256" s="52"/>
      <c r="D1256" s="52"/>
      <c r="E1256" s="52"/>
      <c r="F1256" s="52"/>
      <c r="G1256" s="52"/>
      <c r="H1256" s="52"/>
    </row>
    <row r="1257" spans="1:8" ht="15.75">
      <c r="A1257" s="119"/>
      <c r="B1257" s="88"/>
      <c r="C1257" s="52"/>
      <c r="D1257" s="52"/>
      <c r="E1257" s="52"/>
      <c r="F1257" s="52"/>
      <c r="G1257" s="52"/>
      <c r="H1257" s="52"/>
    </row>
    <row r="1258" spans="1:8" ht="15.75">
      <c r="A1258" s="119"/>
      <c r="B1258" s="88"/>
      <c r="C1258" s="52"/>
      <c r="D1258" s="52"/>
      <c r="E1258" s="52"/>
      <c r="F1258" s="52"/>
      <c r="G1258" s="52"/>
      <c r="H1258" s="52"/>
    </row>
    <row r="1259" spans="1:8" ht="15.75">
      <c r="A1259" s="119"/>
      <c r="B1259" s="88"/>
      <c r="C1259" s="52"/>
      <c r="D1259" s="52"/>
      <c r="E1259" s="52"/>
      <c r="F1259" s="52"/>
      <c r="G1259" s="52"/>
      <c r="H1259" s="52"/>
    </row>
    <row r="1260" spans="1:8" ht="15.75">
      <c r="A1260" s="119"/>
      <c r="B1260" s="88"/>
      <c r="C1260" s="52"/>
      <c r="D1260" s="52"/>
      <c r="E1260" s="52"/>
      <c r="F1260" s="52"/>
      <c r="G1260" s="52"/>
      <c r="H1260" s="52"/>
    </row>
    <row r="1261" spans="1:8" ht="15.75">
      <c r="A1261" s="119"/>
      <c r="B1261" s="88"/>
      <c r="C1261" s="52"/>
      <c r="D1261" s="52"/>
      <c r="E1261" s="52"/>
      <c r="F1261" s="52"/>
      <c r="G1261" s="52"/>
      <c r="H1261" s="52"/>
    </row>
    <row r="1262" spans="1:8" ht="15.75">
      <c r="A1262" s="119"/>
      <c r="B1262" s="88"/>
      <c r="C1262" s="52"/>
      <c r="D1262" s="52"/>
      <c r="E1262" s="52"/>
      <c r="F1262" s="52"/>
      <c r="G1262" s="52"/>
      <c r="H1262" s="52"/>
    </row>
    <row r="1263" spans="1:8" ht="15.75">
      <c r="A1263" s="119"/>
      <c r="B1263" s="88"/>
      <c r="C1263" s="52"/>
      <c r="D1263" s="52"/>
      <c r="E1263" s="52"/>
      <c r="F1263" s="52"/>
      <c r="G1263" s="52"/>
      <c r="H1263" s="52"/>
    </row>
    <row r="1264" spans="1:8" ht="15.75">
      <c r="A1264" s="119"/>
      <c r="B1264" s="88"/>
      <c r="C1264" s="52"/>
      <c r="D1264" s="52"/>
      <c r="E1264" s="52"/>
      <c r="F1264" s="52"/>
      <c r="G1264" s="52"/>
      <c r="H1264" s="52"/>
    </row>
    <row r="1265" spans="1:8" ht="15.75">
      <c r="A1265" s="119"/>
      <c r="B1265" s="88"/>
      <c r="C1265" s="52"/>
      <c r="D1265" s="52"/>
      <c r="E1265" s="52"/>
      <c r="F1265" s="52"/>
      <c r="G1265" s="52"/>
      <c r="H1265" s="52"/>
    </row>
    <row r="1266" spans="1:8" ht="15.75">
      <c r="A1266" s="119"/>
      <c r="B1266" s="88"/>
      <c r="C1266" s="52"/>
      <c r="D1266" s="52"/>
      <c r="E1266" s="52"/>
      <c r="F1266" s="52"/>
      <c r="G1266" s="52"/>
      <c r="H1266" s="52"/>
    </row>
    <row r="1267" spans="1:8" ht="15.75">
      <c r="A1267" s="119"/>
      <c r="B1267" s="88"/>
      <c r="C1267" s="52"/>
      <c r="D1267" s="52"/>
      <c r="E1267" s="52"/>
      <c r="F1267" s="52"/>
      <c r="G1267" s="52"/>
      <c r="H1267" s="52"/>
    </row>
    <row r="1268" spans="1:8" ht="15.75">
      <c r="A1268" s="119"/>
      <c r="B1268" s="88"/>
      <c r="C1268" s="52"/>
      <c r="D1268" s="52"/>
      <c r="E1268" s="52"/>
      <c r="F1268" s="52"/>
      <c r="G1268" s="52"/>
      <c r="H1268" s="52"/>
    </row>
    <row r="1269" spans="1:8" ht="15.75">
      <c r="A1269" s="119"/>
      <c r="B1269" s="88"/>
      <c r="C1269" s="52"/>
      <c r="D1269" s="52"/>
      <c r="E1269" s="52"/>
      <c r="F1269" s="52"/>
      <c r="G1269" s="52"/>
      <c r="H1269" s="52"/>
    </row>
    <row r="1270" spans="1:8" ht="15.75">
      <c r="A1270" s="119"/>
      <c r="B1270" s="88"/>
      <c r="C1270" s="52"/>
      <c r="D1270" s="52"/>
      <c r="E1270" s="52"/>
      <c r="F1270" s="52"/>
      <c r="G1270" s="52"/>
      <c r="H1270" s="52"/>
    </row>
    <row r="1271" spans="1:8" ht="15.75">
      <c r="A1271" s="119"/>
      <c r="B1271" s="88"/>
      <c r="C1271" s="52"/>
      <c r="D1271" s="52"/>
      <c r="E1271" s="52"/>
      <c r="F1271" s="52"/>
      <c r="G1271" s="52"/>
      <c r="H1271" s="52"/>
    </row>
    <row r="1272" spans="1:8" ht="15.75">
      <c r="A1272" s="119"/>
      <c r="B1272" s="88"/>
      <c r="C1272" s="52"/>
      <c r="D1272" s="52"/>
      <c r="E1272" s="52"/>
      <c r="F1272" s="52"/>
      <c r="G1272" s="52"/>
      <c r="H1272" s="52"/>
    </row>
    <row r="1273" spans="1:8" ht="15.75">
      <c r="A1273" s="119"/>
      <c r="B1273" s="88"/>
      <c r="C1273" s="52"/>
      <c r="D1273" s="52"/>
      <c r="E1273" s="52"/>
      <c r="F1273" s="52"/>
      <c r="G1273" s="52"/>
      <c r="H1273" s="52"/>
    </row>
    <row r="1274" spans="1:8" ht="15.75">
      <c r="A1274" s="119"/>
      <c r="B1274" s="88"/>
      <c r="C1274" s="52"/>
      <c r="D1274" s="52"/>
      <c r="E1274" s="52"/>
      <c r="F1274" s="52"/>
      <c r="G1274" s="52"/>
      <c r="H1274" s="52"/>
    </row>
    <row r="1275" spans="1:8" ht="15.75">
      <c r="A1275" s="119"/>
      <c r="B1275" s="88"/>
      <c r="C1275" s="52"/>
      <c r="D1275" s="52"/>
      <c r="E1275" s="52"/>
      <c r="F1275" s="52"/>
      <c r="G1275" s="52"/>
      <c r="H1275" s="52"/>
    </row>
    <row r="1276" spans="1:8" ht="15.75">
      <c r="A1276" s="119"/>
      <c r="B1276" s="88"/>
      <c r="C1276" s="52"/>
      <c r="D1276" s="52"/>
      <c r="E1276" s="52"/>
      <c r="F1276" s="52"/>
      <c r="G1276" s="52"/>
      <c r="H1276" s="52"/>
    </row>
    <row r="1277" spans="1:8" ht="15.75">
      <c r="A1277" s="119"/>
      <c r="B1277" s="88"/>
      <c r="C1277" s="52"/>
      <c r="D1277" s="52"/>
      <c r="E1277" s="52"/>
      <c r="F1277" s="52"/>
      <c r="G1277" s="52"/>
      <c r="H1277" s="52"/>
    </row>
    <row r="1278" spans="1:8" ht="15.75">
      <c r="A1278" s="119"/>
      <c r="B1278" s="88"/>
      <c r="C1278" s="52"/>
      <c r="D1278" s="52"/>
      <c r="E1278" s="52"/>
      <c r="F1278" s="52"/>
      <c r="G1278" s="52"/>
      <c r="H1278" s="52"/>
    </row>
    <row r="1279" spans="1:8" ht="15.75">
      <c r="A1279" s="119"/>
      <c r="B1279" s="88"/>
      <c r="C1279" s="52"/>
      <c r="D1279" s="52"/>
      <c r="E1279" s="52"/>
      <c r="F1279" s="52"/>
      <c r="G1279" s="52"/>
      <c r="H1279" s="52"/>
    </row>
    <row r="1280" spans="1:8" ht="15.75">
      <c r="A1280" s="119"/>
      <c r="B1280" s="88"/>
      <c r="C1280" s="52"/>
      <c r="D1280" s="52"/>
      <c r="E1280" s="52"/>
      <c r="F1280" s="52"/>
      <c r="G1280" s="52"/>
      <c r="H1280" s="52"/>
    </row>
    <row r="1281" spans="1:8" ht="15.75">
      <c r="A1281" s="119"/>
      <c r="B1281" s="88"/>
      <c r="C1281" s="52"/>
      <c r="D1281" s="52"/>
      <c r="E1281" s="52"/>
      <c r="F1281" s="52"/>
      <c r="G1281" s="52"/>
      <c r="H1281" s="52"/>
    </row>
    <row r="1282" spans="1:8" ht="15.75">
      <c r="A1282" s="119"/>
      <c r="B1282" s="88"/>
      <c r="C1282" s="52"/>
      <c r="D1282" s="52"/>
      <c r="E1282" s="52"/>
      <c r="F1282" s="52"/>
      <c r="G1282" s="52"/>
      <c r="H1282" s="52"/>
    </row>
    <row r="1283" spans="1:8" ht="15.75">
      <c r="A1283" s="119"/>
      <c r="B1283" s="88"/>
      <c r="C1283" s="52"/>
      <c r="D1283" s="52"/>
      <c r="E1283" s="52"/>
      <c r="F1283" s="52"/>
      <c r="G1283" s="52"/>
      <c r="H1283" s="52"/>
    </row>
    <row r="1284" spans="1:8" ht="15.75">
      <c r="A1284" s="119"/>
      <c r="B1284" s="88"/>
      <c r="C1284" s="52"/>
      <c r="D1284" s="52"/>
      <c r="E1284" s="52"/>
      <c r="F1284" s="52"/>
      <c r="G1284" s="52"/>
      <c r="H1284" s="52"/>
    </row>
    <row r="1285" spans="1:8" ht="15.75">
      <c r="A1285" s="119"/>
      <c r="B1285" s="88"/>
      <c r="C1285" s="52"/>
      <c r="D1285" s="52"/>
      <c r="E1285" s="52"/>
      <c r="F1285" s="52"/>
      <c r="G1285" s="52"/>
      <c r="H1285" s="52"/>
    </row>
    <row r="1286" spans="1:8" ht="15.75">
      <c r="A1286" s="119"/>
      <c r="B1286" s="88"/>
      <c r="C1286" s="52"/>
      <c r="D1286" s="52"/>
      <c r="E1286" s="52"/>
      <c r="F1286" s="52"/>
      <c r="G1286" s="52"/>
      <c r="H1286" s="52"/>
    </row>
    <row r="1287" spans="1:8" ht="15.75">
      <c r="A1287" s="119"/>
      <c r="B1287" s="88"/>
      <c r="C1287" s="52"/>
      <c r="D1287" s="52"/>
      <c r="E1287" s="52"/>
      <c r="F1287" s="52"/>
      <c r="G1287" s="52"/>
      <c r="H1287" s="52"/>
    </row>
    <row r="1288" spans="1:8" ht="15.75">
      <c r="A1288" s="119"/>
      <c r="B1288" s="88"/>
      <c r="C1288" s="52"/>
      <c r="D1288" s="52"/>
      <c r="E1288" s="52"/>
      <c r="F1288" s="52"/>
      <c r="G1288" s="52"/>
      <c r="H1288" s="52"/>
    </row>
    <row r="1289" spans="1:8" ht="15.75">
      <c r="A1289" s="119"/>
      <c r="B1289" s="88"/>
      <c r="C1289" s="52"/>
      <c r="D1289" s="52"/>
      <c r="E1289" s="52"/>
      <c r="F1289" s="52"/>
      <c r="G1289" s="52"/>
      <c r="H1289" s="52"/>
    </row>
    <row r="1290" spans="1:8" ht="15.75">
      <c r="A1290" s="119"/>
      <c r="B1290" s="88"/>
      <c r="C1290" s="52"/>
      <c r="D1290" s="52"/>
      <c r="E1290" s="52"/>
      <c r="F1290" s="52"/>
      <c r="G1290" s="52"/>
      <c r="H1290" s="52"/>
    </row>
    <row r="1291" spans="1:8" ht="15.75">
      <c r="A1291" s="119"/>
      <c r="B1291" s="88"/>
      <c r="C1291" s="52"/>
      <c r="D1291" s="52"/>
      <c r="E1291" s="52"/>
      <c r="F1291" s="52"/>
      <c r="G1291" s="52"/>
      <c r="H1291" s="52"/>
    </row>
    <row r="1292" spans="1:8" ht="15.75">
      <c r="A1292" s="119"/>
      <c r="B1292" s="88"/>
      <c r="C1292" s="52"/>
      <c r="D1292" s="52"/>
      <c r="E1292" s="52"/>
      <c r="F1292" s="52"/>
      <c r="G1292" s="52"/>
      <c r="H1292" s="52"/>
    </row>
    <row r="1293" spans="1:8" ht="15.75">
      <c r="A1293" s="119"/>
      <c r="B1293" s="88"/>
      <c r="C1293" s="52"/>
      <c r="D1293" s="52"/>
      <c r="E1293" s="52"/>
      <c r="F1293" s="52"/>
      <c r="G1293" s="52"/>
      <c r="H1293" s="52"/>
    </row>
    <row r="1294" spans="1:8" ht="15.75">
      <c r="A1294" s="119"/>
      <c r="B1294" s="88"/>
      <c r="C1294" s="52"/>
      <c r="D1294" s="52"/>
      <c r="E1294" s="52"/>
      <c r="F1294" s="52"/>
      <c r="G1294" s="52"/>
      <c r="H1294" s="52"/>
    </row>
    <row r="1295" spans="1:8" ht="15.75">
      <c r="A1295" s="119"/>
      <c r="B1295" s="88"/>
      <c r="C1295" s="52"/>
      <c r="D1295" s="52"/>
      <c r="E1295" s="52"/>
      <c r="F1295" s="52"/>
      <c r="G1295" s="52"/>
      <c r="H1295" s="52"/>
    </row>
    <row r="1296" spans="1:8" ht="15.75">
      <c r="A1296" s="119"/>
      <c r="B1296" s="88"/>
      <c r="C1296" s="52"/>
      <c r="D1296" s="52"/>
      <c r="E1296" s="52"/>
      <c r="F1296" s="52"/>
      <c r="G1296" s="52"/>
      <c r="H1296" s="52"/>
    </row>
    <row r="1297" spans="1:8" ht="15.75">
      <c r="A1297" s="119"/>
      <c r="B1297" s="88"/>
      <c r="C1297" s="52"/>
      <c r="D1297" s="52"/>
      <c r="E1297" s="52"/>
      <c r="F1297" s="52"/>
      <c r="G1297" s="52"/>
      <c r="H1297" s="52"/>
    </row>
    <row r="1298" spans="1:8" ht="15.75">
      <c r="A1298" s="119"/>
      <c r="B1298" s="88"/>
      <c r="C1298" s="52"/>
      <c r="D1298" s="52"/>
      <c r="E1298" s="52"/>
      <c r="F1298" s="52"/>
      <c r="G1298" s="52"/>
      <c r="H1298" s="52"/>
    </row>
    <row r="1299" spans="1:8" ht="15.75">
      <c r="A1299" s="119"/>
      <c r="B1299" s="88"/>
      <c r="C1299" s="52"/>
      <c r="D1299" s="52"/>
      <c r="E1299" s="52"/>
      <c r="F1299" s="52"/>
      <c r="G1299" s="52"/>
      <c r="H1299" s="52"/>
    </row>
    <row r="1300" spans="1:8" ht="15.75">
      <c r="A1300" s="119"/>
      <c r="B1300" s="88"/>
      <c r="C1300" s="52"/>
      <c r="D1300" s="52"/>
      <c r="E1300" s="52"/>
      <c r="F1300" s="52"/>
      <c r="G1300" s="52"/>
      <c r="H1300" s="52"/>
    </row>
    <row r="1301" spans="1:8" ht="15.75">
      <c r="A1301" s="119"/>
      <c r="B1301" s="88"/>
      <c r="C1301" s="52"/>
      <c r="D1301" s="52"/>
      <c r="E1301" s="52"/>
      <c r="F1301" s="52"/>
      <c r="G1301" s="52"/>
      <c r="H1301" s="52"/>
    </row>
    <row r="1302" spans="1:8" ht="15.75">
      <c r="A1302" s="119"/>
      <c r="B1302" s="88"/>
      <c r="C1302" s="52"/>
      <c r="D1302" s="52"/>
      <c r="E1302" s="52"/>
      <c r="F1302" s="52"/>
      <c r="G1302" s="52"/>
      <c r="H1302" s="52"/>
    </row>
    <row r="1303" spans="1:8" ht="15.75">
      <c r="A1303" s="119"/>
      <c r="B1303" s="88"/>
      <c r="C1303" s="52"/>
      <c r="D1303" s="52"/>
      <c r="E1303" s="52"/>
      <c r="F1303" s="52"/>
      <c r="G1303" s="52"/>
      <c r="H1303" s="52"/>
    </row>
    <row r="1304" spans="1:8" ht="15.75">
      <c r="A1304" s="119"/>
      <c r="B1304" s="88"/>
      <c r="C1304" s="52"/>
      <c r="D1304" s="52"/>
      <c r="E1304" s="52"/>
      <c r="F1304" s="52"/>
      <c r="G1304" s="52"/>
      <c r="H1304" s="52"/>
    </row>
    <row r="1305" spans="1:8" ht="15.75">
      <c r="A1305" s="119"/>
      <c r="B1305" s="88"/>
      <c r="C1305" s="52"/>
      <c r="D1305" s="52"/>
      <c r="E1305" s="52"/>
      <c r="F1305" s="52"/>
      <c r="G1305" s="52"/>
      <c r="H1305" s="52"/>
    </row>
    <row r="1306" spans="1:8" ht="15.75">
      <c r="A1306" s="119"/>
      <c r="B1306" s="88"/>
      <c r="C1306" s="52"/>
      <c r="D1306" s="52"/>
      <c r="E1306" s="52"/>
      <c r="F1306" s="52"/>
      <c r="G1306" s="52"/>
      <c r="H1306" s="52"/>
    </row>
    <row r="1307" spans="1:8" ht="15.75">
      <c r="A1307" s="119"/>
      <c r="B1307" s="88"/>
      <c r="C1307" s="52"/>
      <c r="D1307" s="52"/>
      <c r="E1307" s="52"/>
      <c r="F1307" s="52"/>
      <c r="G1307" s="52"/>
      <c r="H1307" s="52"/>
    </row>
    <row r="1308" spans="1:8" ht="15.75">
      <c r="A1308" s="119"/>
      <c r="B1308" s="88"/>
      <c r="C1308" s="52"/>
      <c r="D1308" s="52"/>
      <c r="E1308" s="52"/>
      <c r="F1308" s="52"/>
      <c r="G1308" s="52"/>
      <c r="H1308" s="52"/>
    </row>
    <row r="1309" spans="1:8" ht="15.75">
      <c r="A1309" s="119"/>
      <c r="B1309" s="88"/>
      <c r="C1309" s="52"/>
      <c r="D1309" s="52"/>
      <c r="E1309" s="52"/>
      <c r="F1309" s="52"/>
      <c r="G1309" s="52"/>
      <c r="H1309" s="52"/>
    </row>
    <row r="1310" spans="1:8" ht="15.75">
      <c r="A1310" s="119"/>
      <c r="B1310" s="88"/>
      <c r="C1310" s="52"/>
      <c r="D1310" s="52"/>
      <c r="E1310" s="52"/>
      <c r="F1310" s="52"/>
      <c r="G1310" s="52"/>
      <c r="H1310" s="52"/>
    </row>
    <row r="1311" spans="1:8" ht="15.75">
      <c r="A1311" s="119"/>
      <c r="B1311" s="88"/>
      <c r="C1311" s="52"/>
      <c r="D1311" s="52"/>
      <c r="E1311" s="52"/>
      <c r="F1311" s="52"/>
      <c r="G1311" s="52"/>
      <c r="H1311" s="52"/>
    </row>
    <row r="1312" spans="1:8" ht="15.75">
      <c r="A1312" s="119"/>
      <c r="B1312" s="88"/>
      <c r="C1312" s="52"/>
      <c r="D1312" s="52"/>
      <c r="E1312" s="52"/>
      <c r="F1312" s="52"/>
      <c r="G1312" s="52"/>
      <c r="H1312" s="52"/>
    </row>
    <row r="1313" spans="1:8" ht="15.75">
      <c r="A1313" s="119"/>
      <c r="B1313" s="88"/>
      <c r="C1313" s="52"/>
      <c r="D1313" s="52"/>
      <c r="E1313" s="52"/>
      <c r="F1313" s="52"/>
      <c r="G1313" s="52"/>
      <c r="H1313" s="52"/>
    </row>
    <row r="1314" spans="1:8" ht="15.75">
      <c r="A1314" s="119"/>
      <c r="B1314" s="88"/>
      <c r="C1314" s="52"/>
      <c r="D1314" s="52"/>
      <c r="E1314" s="52"/>
      <c r="F1314" s="52"/>
      <c r="G1314" s="52"/>
      <c r="H1314" s="52"/>
    </row>
    <row r="1315" spans="1:8" ht="15.75">
      <c r="A1315" s="119"/>
      <c r="B1315" s="88"/>
      <c r="C1315" s="52"/>
      <c r="D1315" s="52"/>
      <c r="E1315" s="52"/>
      <c r="F1315" s="52"/>
      <c r="G1315" s="52"/>
      <c r="H1315" s="52"/>
    </row>
    <row r="1316" spans="1:8" ht="15.75">
      <c r="A1316" s="119"/>
      <c r="B1316" s="88"/>
      <c r="C1316" s="52"/>
      <c r="D1316" s="52"/>
      <c r="E1316" s="52"/>
      <c r="F1316" s="52"/>
      <c r="G1316" s="52"/>
      <c r="H1316" s="52"/>
    </row>
    <row r="1317" spans="1:8" ht="15.75">
      <c r="A1317" s="119"/>
      <c r="B1317" s="88"/>
      <c r="C1317" s="52"/>
      <c r="D1317" s="52"/>
      <c r="E1317" s="52"/>
      <c r="F1317" s="52"/>
      <c r="G1317" s="52"/>
      <c r="H1317" s="52"/>
    </row>
    <row r="1318" spans="1:8" ht="15.75">
      <c r="A1318" s="119"/>
      <c r="B1318" s="88"/>
      <c r="C1318" s="52"/>
      <c r="D1318" s="52"/>
      <c r="E1318" s="52"/>
      <c r="F1318" s="52"/>
      <c r="G1318" s="52"/>
      <c r="H1318" s="52"/>
    </row>
    <row r="1319" spans="1:8" ht="15.75">
      <c r="A1319" s="119"/>
      <c r="B1319" s="88"/>
      <c r="C1319" s="52"/>
      <c r="D1319" s="52"/>
      <c r="E1319" s="52"/>
      <c r="F1319" s="52"/>
      <c r="G1319" s="52"/>
      <c r="H1319" s="52"/>
    </row>
    <row r="1320" spans="1:8" ht="15.75">
      <c r="A1320" s="119"/>
      <c r="B1320" s="88"/>
      <c r="C1320" s="52"/>
      <c r="D1320" s="52"/>
      <c r="E1320" s="52"/>
      <c r="F1320" s="52"/>
      <c r="G1320" s="52"/>
      <c r="H1320" s="52"/>
    </row>
    <row r="1321" spans="1:8" ht="15.75">
      <c r="A1321" s="119"/>
      <c r="B1321" s="88"/>
      <c r="C1321" s="52"/>
      <c r="D1321" s="52"/>
      <c r="E1321" s="52"/>
      <c r="F1321" s="52"/>
      <c r="G1321" s="52"/>
      <c r="H1321" s="52"/>
    </row>
    <row r="1322" spans="1:8" ht="15.75">
      <c r="A1322" s="119"/>
      <c r="B1322" s="88"/>
      <c r="C1322" s="52"/>
      <c r="D1322" s="52"/>
      <c r="E1322" s="52"/>
      <c r="F1322" s="52"/>
      <c r="G1322" s="52"/>
      <c r="H1322" s="52"/>
    </row>
    <row r="1323" spans="1:8" ht="15.75">
      <c r="A1323" s="119"/>
      <c r="B1323" s="88"/>
      <c r="C1323" s="52"/>
      <c r="D1323" s="52"/>
      <c r="E1323" s="52"/>
      <c r="F1323" s="52"/>
      <c r="G1323" s="52"/>
      <c r="H1323" s="52"/>
    </row>
    <row r="1324" spans="1:8" ht="15.75">
      <c r="A1324" s="119"/>
      <c r="B1324" s="88"/>
      <c r="C1324" s="52"/>
      <c r="D1324" s="52"/>
      <c r="E1324" s="52"/>
      <c r="F1324" s="52"/>
      <c r="G1324" s="52"/>
      <c r="H1324" s="52"/>
    </row>
    <row r="1325" spans="1:8" ht="15.75">
      <c r="A1325" s="119"/>
      <c r="B1325" s="88"/>
      <c r="C1325" s="52"/>
      <c r="D1325" s="52"/>
      <c r="E1325" s="52"/>
      <c r="F1325" s="52"/>
      <c r="G1325" s="52"/>
      <c r="H1325" s="52"/>
    </row>
    <row r="1326" spans="1:8" ht="15.75">
      <c r="A1326" s="119"/>
      <c r="B1326" s="88"/>
      <c r="C1326" s="52"/>
      <c r="D1326" s="52"/>
      <c r="E1326" s="52"/>
      <c r="F1326" s="52"/>
      <c r="G1326" s="52"/>
      <c r="H1326" s="52"/>
    </row>
    <row r="1327" spans="1:8" ht="15.75">
      <c r="A1327" s="119"/>
      <c r="B1327" s="88"/>
      <c r="C1327" s="52"/>
      <c r="D1327" s="52"/>
      <c r="E1327" s="52"/>
      <c r="F1327" s="52"/>
      <c r="G1327" s="52"/>
      <c r="H1327" s="52"/>
    </row>
    <row r="1328" spans="1:8" ht="15.75">
      <c r="A1328" s="119"/>
      <c r="B1328" s="88"/>
      <c r="C1328" s="52"/>
      <c r="D1328" s="52"/>
      <c r="E1328" s="52"/>
      <c r="F1328" s="52"/>
      <c r="G1328" s="52"/>
      <c r="H1328" s="52"/>
    </row>
    <row r="1329" spans="1:8" ht="15.75">
      <c r="A1329" s="119"/>
      <c r="B1329" s="88"/>
      <c r="C1329" s="52"/>
      <c r="D1329" s="52"/>
      <c r="E1329" s="52"/>
      <c r="F1329" s="52"/>
      <c r="G1329" s="52"/>
      <c r="H1329" s="52"/>
    </row>
    <row r="1330" spans="1:8" ht="15.75">
      <c r="A1330" s="119"/>
      <c r="B1330" s="88"/>
      <c r="C1330" s="52"/>
      <c r="D1330" s="52"/>
      <c r="E1330" s="52"/>
      <c r="F1330" s="52"/>
      <c r="G1330" s="52"/>
      <c r="H1330" s="52"/>
    </row>
    <row r="1331" spans="1:8" ht="15.75">
      <c r="A1331" s="119"/>
      <c r="B1331" s="88"/>
      <c r="C1331" s="52"/>
      <c r="D1331" s="52"/>
      <c r="E1331" s="52"/>
      <c r="F1331" s="52"/>
      <c r="G1331" s="52"/>
      <c r="H1331" s="52"/>
    </row>
    <row r="1332" spans="1:8" ht="15.75">
      <c r="A1332" s="119"/>
      <c r="B1332" s="88"/>
      <c r="C1332" s="52"/>
      <c r="D1332" s="52"/>
      <c r="E1332" s="52"/>
      <c r="F1332" s="52"/>
      <c r="G1332" s="52"/>
      <c r="H1332" s="52"/>
    </row>
    <row r="1333" spans="1:8" ht="15.75">
      <c r="A1333" s="119"/>
      <c r="B1333" s="88"/>
      <c r="C1333" s="52"/>
      <c r="D1333" s="52"/>
      <c r="E1333" s="52"/>
      <c r="F1333" s="52"/>
      <c r="G1333" s="52"/>
      <c r="H1333" s="52"/>
    </row>
    <row r="1334" spans="1:8" ht="15.75">
      <c r="A1334" s="119"/>
      <c r="B1334" s="88"/>
      <c r="C1334" s="52"/>
      <c r="D1334" s="52"/>
      <c r="E1334" s="52"/>
      <c r="F1334" s="52"/>
      <c r="G1334" s="52"/>
      <c r="H1334" s="52"/>
    </row>
    <row r="1335" spans="1:8" ht="15.75">
      <c r="A1335" s="119"/>
      <c r="B1335" s="88"/>
      <c r="C1335" s="52"/>
      <c r="D1335" s="52"/>
      <c r="E1335" s="52"/>
      <c r="F1335" s="52"/>
      <c r="G1335" s="52"/>
      <c r="H1335" s="52"/>
    </row>
    <row r="1336" spans="1:8" ht="15.75">
      <c r="A1336" s="119"/>
      <c r="B1336" s="88"/>
      <c r="C1336" s="52"/>
      <c r="D1336" s="52"/>
      <c r="E1336" s="52"/>
      <c r="F1336" s="52"/>
      <c r="G1336" s="52"/>
      <c r="H1336" s="52"/>
    </row>
    <row r="1337" spans="1:8" ht="15.75">
      <c r="A1337" s="119"/>
      <c r="B1337" s="88"/>
      <c r="C1337" s="52"/>
      <c r="D1337" s="52"/>
      <c r="E1337" s="52"/>
      <c r="F1337" s="52"/>
      <c r="G1337" s="52"/>
      <c r="H1337" s="52"/>
    </row>
    <row r="1338" spans="1:8" ht="15.75">
      <c r="A1338" s="119"/>
      <c r="B1338" s="88"/>
      <c r="C1338" s="52"/>
      <c r="D1338" s="52"/>
      <c r="E1338" s="52"/>
      <c r="F1338" s="52"/>
      <c r="G1338" s="52"/>
      <c r="H1338" s="52"/>
    </row>
    <row r="1339" spans="1:8" ht="15.75">
      <c r="A1339" s="119"/>
      <c r="B1339" s="88"/>
      <c r="C1339" s="52"/>
      <c r="D1339" s="52"/>
      <c r="E1339" s="52"/>
      <c r="F1339" s="52"/>
      <c r="G1339" s="52"/>
      <c r="H1339" s="52"/>
    </row>
    <row r="1340" spans="1:8" ht="15.75">
      <c r="A1340" s="119"/>
      <c r="B1340" s="88"/>
      <c r="C1340" s="52"/>
      <c r="D1340" s="52"/>
      <c r="E1340" s="52"/>
      <c r="F1340" s="52"/>
      <c r="G1340" s="52"/>
      <c r="H1340" s="52"/>
    </row>
    <row r="1341" spans="1:8" ht="15.75">
      <c r="A1341" s="119"/>
      <c r="B1341" s="88"/>
      <c r="C1341" s="52"/>
      <c r="D1341" s="52"/>
      <c r="E1341" s="52"/>
      <c r="F1341" s="52"/>
      <c r="G1341" s="52"/>
      <c r="H1341" s="52"/>
    </row>
    <row r="1342" spans="1:8" ht="15.75">
      <c r="A1342" s="119"/>
      <c r="B1342" s="88"/>
      <c r="C1342" s="52"/>
      <c r="D1342" s="52"/>
      <c r="E1342" s="52"/>
      <c r="F1342" s="52"/>
      <c r="G1342" s="52"/>
      <c r="H1342" s="52"/>
    </row>
    <row r="1343" spans="1:8" ht="15.75">
      <c r="A1343" s="119"/>
      <c r="B1343" s="88"/>
      <c r="C1343" s="52"/>
      <c r="D1343" s="52"/>
      <c r="E1343" s="52"/>
      <c r="F1343" s="52"/>
      <c r="G1343" s="52"/>
      <c r="H1343" s="52"/>
    </row>
    <row r="1344" spans="1:8" ht="15.75">
      <c r="A1344" s="119"/>
      <c r="B1344" s="88"/>
      <c r="C1344" s="52"/>
      <c r="D1344" s="52"/>
      <c r="E1344" s="52"/>
      <c r="F1344" s="52"/>
      <c r="G1344" s="52"/>
      <c r="H1344" s="52"/>
    </row>
    <row r="1345" spans="1:8" ht="15.75">
      <c r="A1345" s="119"/>
      <c r="B1345" s="88"/>
      <c r="C1345" s="52"/>
      <c r="D1345" s="52"/>
      <c r="E1345" s="52"/>
      <c r="F1345" s="52"/>
      <c r="G1345" s="52"/>
      <c r="H1345" s="52"/>
    </row>
    <row r="1346" spans="1:8" ht="15.75">
      <c r="A1346" s="119"/>
      <c r="B1346" s="88"/>
      <c r="C1346" s="52"/>
      <c r="D1346" s="52"/>
      <c r="E1346" s="52"/>
      <c r="F1346" s="52"/>
      <c r="G1346" s="52"/>
      <c r="H1346" s="52"/>
    </row>
    <row r="1347" spans="1:8" ht="15.75">
      <c r="A1347" s="119"/>
      <c r="B1347" s="88"/>
      <c r="C1347" s="52"/>
      <c r="D1347" s="52"/>
      <c r="E1347" s="52"/>
      <c r="F1347" s="52"/>
      <c r="G1347" s="52"/>
      <c r="H1347" s="52"/>
    </row>
    <row r="1348" spans="1:8" ht="15.75">
      <c r="A1348" s="119"/>
      <c r="B1348" s="88"/>
      <c r="C1348" s="52"/>
      <c r="D1348" s="52"/>
      <c r="E1348" s="52"/>
      <c r="F1348" s="52"/>
      <c r="G1348" s="52"/>
      <c r="H1348" s="52"/>
    </row>
    <row r="1349" spans="1:8" ht="15.75">
      <c r="A1349" s="119"/>
      <c r="B1349" s="88"/>
      <c r="C1349" s="52"/>
      <c r="D1349" s="52"/>
      <c r="E1349" s="52"/>
      <c r="F1349" s="52"/>
      <c r="G1349" s="52"/>
      <c r="H1349" s="52"/>
    </row>
    <row r="1350" spans="1:8" ht="15.75">
      <c r="A1350" s="119"/>
      <c r="B1350" s="88"/>
      <c r="C1350" s="52"/>
      <c r="D1350" s="52"/>
      <c r="E1350" s="52"/>
      <c r="F1350" s="52"/>
      <c r="G1350" s="52"/>
      <c r="H1350" s="52"/>
    </row>
    <row r="1351" spans="1:8" ht="15.75">
      <c r="A1351" s="119"/>
      <c r="B1351" s="88"/>
      <c r="C1351" s="52"/>
      <c r="D1351" s="52"/>
      <c r="E1351" s="52"/>
      <c r="F1351" s="52"/>
      <c r="G1351" s="52"/>
      <c r="H1351" s="52"/>
    </row>
    <row r="1352" spans="1:8" ht="15.75">
      <c r="A1352" s="119"/>
      <c r="B1352" s="88"/>
      <c r="C1352" s="52"/>
      <c r="D1352" s="52"/>
      <c r="E1352" s="52"/>
      <c r="F1352" s="52"/>
      <c r="G1352" s="52"/>
      <c r="H1352" s="52"/>
    </row>
    <row r="1353" spans="1:8" ht="15.75">
      <c r="A1353" s="119"/>
      <c r="B1353" s="88"/>
      <c r="C1353" s="52"/>
      <c r="D1353" s="52"/>
      <c r="E1353" s="52"/>
      <c r="F1353" s="52"/>
      <c r="G1353" s="52"/>
      <c r="H1353" s="52"/>
    </row>
    <row r="1354" spans="1:8" ht="15.75">
      <c r="A1354" s="119"/>
      <c r="B1354" s="88"/>
      <c r="C1354" s="52"/>
      <c r="D1354" s="52"/>
      <c r="E1354" s="52"/>
      <c r="F1354" s="52"/>
      <c r="G1354" s="52"/>
      <c r="H1354" s="52"/>
    </row>
    <row r="1355" spans="1:8" ht="15.75">
      <c r="A1355" s="119"/>
      <c r="B1355" s="88"/>
      <c r="C1355" s="52"/>
      <c r="D1355" s="52"/>
      <c r="E1355" s="52"/>
      <c r="F1355" s="52"/>
      <c r="G1355" s="52"/>
      <c r="H1355" s="52"/>
    </row>
    <row r="1356" spans="1:8" ht="15.75">
      <c r="A1356" s="119"/>
      <c r="B1356" s="88"/>
      <c r="C1356" s="52"/>
      <c r="D1356" s="52"/>
      <c r="E1356" s="52"/>
      <c r="F1356" s="52"/>
      <c r="G1356" s="52"/>
      <c r="H1356" s="52"/>
    </row>
    <row r="1357" spans="1:8" ht="15.75">
      <c r="A1357" s="119"/>
      <c r="B1357" s="88"/>
      <c r="C1357" s="52"/>
      <c r="D1357" s="52"/>
      <c r="E1357" s="52"/>
      <c r="F1357" s="52"/>
      <c r="G1357" s="52"/>
      <c r="H1357" s="52"/>
    </row>
    <row r="1358" spans="1:8" ht="15.75">
      <c r="A1358" s="119"/>
      <c r="B1358" s="88"/>
      <c r="C1358" s="52"/>
      <c r="D1358" s="52"/>
      <c r="E1358" s="52"/>
      <c r="F1358" s="52"/>
      <c r="G1358" s="52"/>
      <c r="H1358" s="52"/>
    </row>
    <row r="1359" spans="1:8" ht="15.75">
      <c r="A1359" s="119"/>
      <c r="B1359" s="88"/>
      <c r="C1359" s="52"/>
      <c r="D1359" s="52"/>
      <c r="E1359" s="52"/>
      <c r="F1359" s="52"/>
      <c r="G1359" s="52"/>
      <c r="H1359" s="52"/>
    </row>
    <row r="1360" spans="1:8" ht="15.75">
      <c r="A1360" s="119"/>
      <c r="B1360" s="88"/>
      <c r="C1360" s="52"/>
      <c r="D1360" s="52"/>
      <c r="E1360" s="52"/>
      <c r="F1360" s="52"/>
      <c r="G1360" s="52"/>
      <c r="H1360" s="52"/>
    </row>
    <row r="1361" spans="1:8" ht="15.75">
      <c r="A1361" s="119"/>
      <c r="B1361" s="88"/>
      <c r="C1361" s="52"/>
      <c r="D1361" s="52"/>
      <c r="E1361" s="52"/>
      <c r="F1361" s="52"/>
      <c r="G1361" s="52"/>
      <c r="H1361" s="52"/>
    </row>
    <row r="1362" spans="1:8" ht="15.75">
      <c r="A1362" s="119"/>
      <c r="B1362" s="88"/>
      <c r="C1362" s="52"/>
      <c r="D1362" s="52"/>
      <c r="E1362" s="52"/>
      <c r="F1362" s="52"/>
      <c r="G1362" s="52"/>
      <c r="H1362" s="52"/>
    </row>
    <row r="1363" spans="1:8" ht="15.75">
      <c r="A1363" s="119"/>
      <c r="B1363" s="88"/>
      <c r="C1363" s="52"/>
      <c r="D1363" s="52"/>
      <c r="E1363" s="52"/>
      <c r="F1363" s="52"/>
      <c r="G1363" s="52"/>
      <c r="H1363" s="52"/>
    </row>
    <row r="1364" spans="1:8" ht="15.75">
      <c r="A1364" s="119"/>
      <c r="B1364" s="88"/>
      <c r="C1364" s="52"/>
      <c r="D1364" s="52"/>
      <c r="E1364" s="52"/>
      <c r="F1364" s="52"/>
      <c r="G1364" s="52"/>
      <c r="H1364" s="52"/>
    </row>
    <row r="1365" spans="1:8" ht="15.75">
      <c r="A1365" s="119"/>
      <c r="B1365" s="88"/>
      <c r="C1365" s="52"/>
      <c r="D1365" s="52"/>
      <c r="E1365" s="52"/>
      <c r="F1365" s="52"/>
      <c r="G1365" s="52"/>
      <c r="H1365" s="52"/>
    </row>
    <row r="1366" spans="1:8" ht="15.75">
      <c r="A1366" s="119"/>
      <c r="B1366" s="88"/>
      <c r="C1366" s="52"/>
      <c r="D1366" s="52"/>
      <c r="E1366" s="52"/>
      <c r="F1366" s="52"/>
      <c r="G1366" s="52"/>
      <c r="H1366" s="52"/>
    </row>
    <row r="1367" spans="1:8" ht="15.75">
      <c r="A1367" s="119"/>
      <c r="B1367" s="88"/>
      <c r="C1367" s="52"/>
      <c r="D1367" s="52"/>
      <c r="E1367" s="52"/>
      <c r="F1367" s="52"/>
      <c r="G1367" s="52"/>
      <c r="H1367" s="52"/>
    </row>
    <row r="1368" spans="1:8" ht="15.75">
      <c r="A1368" s="119"/>
      <c r="B1368" s="88"/>
      <c r="C1368" s="52"/>
      <c r="D1368" s="52"/>
      <c r="E1368" s="52"/>
      <c r="F1368" s="52"/>
      <c r="G1368" s="52"/>
      <c r="H1368" s="52"/>
    </row>
    <row r="1369" spans="1:8" ht="15.75">
      <c r="A1369" s="119"/>
      <c r="B1369" s="88"/>
      <c r="C1369" s="52"/>
      <c r="D1369" s="52"/>
      <c r="E1369" s="52"/>
      <c r="F1369" s="52"/>
      <c r="G1369" s="52"/>
      <c r="H1369" s="52"/>
    </row>
    <row r="1370" spans="1:8" ht="15.75">
      <c r="A1370" s="119"/>
      <c r="B1370" s="88"/>
      <c r="C1370" s="52"/>
      <c r="D1370" s="52"/>
      <c r="E1370" s="52"/>
      <c r="F1370" s="52"/>
      <c r="G1370" s="52"/>
      <c r="H1370" s="52"/>
    </row>
    <row r="1371" spans="1:8" ht="15.75">
      <c r="A1371" s="119"/>
      <c r="B1371" s="88"/>
      <c r="C1371" s="52"/>
      <c r="D1371" s="52"/>
      <c r="E1371" s="52"/>
      <c r="F1371" s="52"/>
      <c r="G1371" s="52"/>
      <c r="H1371" s="52"/>
    </row>
    <row r="1372" spans="1:8" ht="15.75">
      <c r="A1372" s="119"/>
      <c r="B1372" s="88"/>
      <c r="C1372" s="52"/>
      <c r="D1372" s="52"/>
      <c r="E1372" s="52"/>
      <c r="F1372" s="52"/>
      <c r="G1372" s="52"/>
      <c r="H1372" s="52"/>
    </row>
    <row r="1373" spans="1:8" ht="15.75">
      <c r="A1373" s="119"/>
      <c r="B1373" s="88"/>
      <c r="C1373" s="52"/>
      <c r="D1373" s="52"/>
      <c r="E1373" s="52"/>
      <c r="F1373" s="52"/>
      <c r="G1373" s="52"/>
      <c r="H1373" s="52"/>
    </row>
    <row r="1374" spans="1:8" ht="15.75">
      <c r="A1374" s="119"/>
      <c r="B1374" s="88"/>
      <c r="C1374" s="52"/>
      <c r="D1374" s="52"/>
      <c r="E1374" s="52"/>
      <c r="F1374" s="52"/>
      <c r="G1374" s="52"/>
      <c r="H1374" s="52"/>
    </row>
    <row r="1375" spans="1:8" ht="15.75">
      <c r="A1375" s="119"/>
      <c r="B1375" s="88"/>
      <c r="C1375" s="52"/>
      <c r="D1375" s="52"/>
      <c r="E1375" s="52"/>
      <c r="F1375" s="52"/>
      <c r="G1375" s="52"/>
      <c r="H1375" s="52"/>
    </row>
    <row r="1376" spans="1:8" ht="15.75">
      <c r="A1376" s="119"/>
      <c r="B1376" s="88"/>
      <c r="C1376" s="52"/>
      <c r="D1376" s="52"/>
      <c r="E1376" s="52"/>
      <c r="F1376" s="52"/>
      <c r="G1376" s="52"/>
      <c r="H1376" s="52"/>
    </row>
    <row r="1377" spans="1:8" ht="15.75">
      <c r="A1377" s="119"/>
      <c r="B1377" s="88"/>
      <c r="C1377" s="52"/>
      <c r="D1377" s="52"/>
      <c r="E1377" s="52"/>
      <c r="F1377" s="52"/>
      <c r="G1377" s="52"/>
      <c r="H1377" s="52"/>
    </row>
    <row r="1378" spans="1:8" ht="15.75">
      <c r="A1378" s="119"/>
      <c r="B1378" s="88"/>
      <c r="C1378" s="52"/>
      <c r="D1378" s="52"/>
      <c r="E1378" s="52"/>
      <c r="F1378" s="52"/>
      <c r="G1378" s="52"/>
      <c r="H1378" s="52"/>
    </row>
    <row r="1379" spans="1:8" ht="15.75">
      <c r="A1379" s="119"/>
      <c r="B1379" s="88"/>
      <c r="C1379" s="52"/>
      <c r="D1379" s="52"/>
      <c r="E1379" s="52"/>
      <c r="F1379" s="52"/>
      <c r="G1379" s="52"/>
      <c r="H1379" s="52"/>
    </row>
    <row r="1380" spans="1:8" ht="15.75">
      <c r="A1380" s="119"/>
      <c r="B1380" s="88"/>
      <c r="C1380" s="52"/>
      <c r="D1380" s="52"/>
      <c r="E1380" s="52"/>
      <c r="F1380" s="52"/>
      <c r="G1380" s="52"/>
      <c r="H1380" s="52"/>
    </row>
    <row r="1381" spans="1:8" ht="15.75">
      <c r="A1381" s="119"/>
      <c r="B1381" s="88"/>
      <c r="C1381" s="52"/>
      <c r="D1381" s="52"/>
      <c r="E1381" s="52"/>
      <c r="F1381" s="52"/>
      <c r="G1381" s="52"/>
      <c r="H1381" s="52"/>
    </row>
    <row r="1382" spans="1:8" ht="15.75">
      <c r="A1382" s="119"/>
      <c r="B1382" s="88"/>
      <c r="C1382" s="52"/>
      <c r="D1382" s="52"/>
      <c r="E1382" s="52"/>
      <c r="F1382" s="52"/>
      <c r="G1382" s="52"/>
      <c r="H1382" s="52"/>
    </row>
    <row r="1383" spans="1:8" ht="15.75">
      <c r="A1383" s="119"/>
      <c r="B1383" s="88"/>
      <c r="C1383" s="52"/>
      <c r="D1383" s="52"/>
      <c r="E1383" s="52"/>
      <c r="F1383" s="52"/>
      <c r="G1383" s="52"/>
      <c r="H1383" s="52"/>
    </row>
    <row r="1384" spans="1:8" ht="15.75">
      <c r="A1384" s="119"/>
      <c r="B1384" s="88"/>
      <c r="C1384" s="52"/>
      <c r="D1384" s="52"/>
      <c r="E1384" s="52"/>
      <c r="F1384" s="52"/>
      <c r="G1384" s="52"/>
      <c r="H1384" s="52"/>
    </row>
    <row r="1385" spans="1:8" ht="15.75">
      <c r="A1385" s="119"/>
      <c r="B1385" s="88"/>
      <c r="C1385" s="52"/>
      <c r="D1385" s="52"/>
      <c r="E1385" s="52"/>
      <c r="F1385" s="52"/>
      <c r="G1385" s="52"/>
      <c r="H1385" s="52"/>
    </row>
    <row r="1386" spans="1:8" ht="15.75">
      <c r="A1386" s="119"/>
      <c r="B1386" s="88"/>
      <c r="C1386" s="52"/>
      <c r="D1386" s="52"/>
      <c r="E1386" s="52"/>
      <c r="F1386" s="52"/>
      <c r="G1386" s="52"/>
      <c r="H1386" s="52"/>
    </row>
    <row r="1387" spans="1:8" ht="15.75">
      <c r="A1387" s="119"/>
      <c r="B1387" s="88"/>
      <c r="C1387" s="52"/>
      <c r="D1387" s="52"/>
      <c r="E1387" s="52"/>
      <c r="F1387" s="52"/>
      <c r="G1387" s="52"/>
      <c r="H1387" s="52"/>
    </row>
    <row r="1388" spans="1:8" ht="15.75">
      <c r="A1388" s="119"/>
      <c r="B1388" s="88"/>
      <c r="C1388" s="52"/>
      <c r="D1388" s="52"/>
      <c r="E1388" s="52"/>
      <c r="F1388" s="52"/>
      <c r="G1388" s="52"/>
      <c r="H1388" s="52"/>
    </row>
    <row r="1389" spans="1:8" ht="15.75">
      <c r="A1389" s="119"/>
      <c r="B1389" s="88"/>
      <c r="C1389" s="52"/>
      <c r="D1389" s="52"/>
      <c r="E1389" s="52"/>
      <c r="F1389" s="52"/>
      <c r="G1389" s="52"/>
      <c r="H1389" s="52"/>
    </row>
    <row r="1390" spans="1:8" ht="15.75">
      <c r="A1390" s="119"/>
      <c r="B1390" s="88"/>
      <c r="C1390" s="52"/>
      <c r="D1390" s="52"/>
      <c r="E1390" s="52"/>
      <c r="F1390" s="52"/>
      <c r="G1390" s="52"/>
      <c r="H1390" s="52"/>
    </row>
    <row r="1391" spans="1:8" ht="15.75">
      <c r="A1391" s="119"/>
      <c r="B1391" s="88"/>
      <c r="C1391" s="52"/>
      <c r="D1391" s="52"/>
      <c r="E1391" s="52"/>
      <c r="F1391" s="52"/>
      <c r="G1391" s="52"/>
      <c r="H1391" s="52"/>
    </row>
    <row r="1392" spans="1:8" ht="15.75">
      <c r="A1392" s="119"/>
      <c r="B1392" s="88"/>
      <c r="C1392" s="52"/>
      <c r="D1392" s="52"/>
      <c r="E1392" s="52"/>
      <c r="F1392" s="52"/>
      <c r="G1392" s="52"/>
      <c r="H1392" s="52"/>
    </row>
    <row r="1393" spans="1:8" ht="15.75">
      <c r="A1393" s="119"/>
      <c r="B1393" s="88"/>
      <c r="C1393" s="52"/>
      <c r="D1393" s="52"/>
      <c r="E1393" s="52"/>
      <c r="F1393" s="52"/>
      <c r="G1393" s="52"/>
      <c r="H1393" s="52"/>
    </row>
    <row r="1394" spans="1:8" ht="15.75">
      <c r="A1394" s="119"/>
      <c r="B1394" s="88"/>
      <c r="C1394" s="52"/>
      <c r="D1394" s="52"/>
      <c r="E1394" s="52"/>
      <c r="F1394" s="52"/>
      <c r="G1394" s="52"/>
      <c r="H1394" s="52"/>
    </row>
    <row r="1395" spans="1:8" ht="15.75">
      <c r="A1395" s="119"/>
      <c r="B1395" s="88"/>
      <c r="C1395" s="52"/>
      <c r="D1395" s="52"/>
      <c r="E1395" s="52"/>
      <c r="F1395" s="52"/>
      <c r="G1395" s="52"/>
      <c r="H1395" s="52"/>
    </row>
    <row r="1396" spans="1:8" ht="15.75">
      <c r="A1396" s="119"/>
      <c r="B1396" s="88"/>
      <c r="C1396" s="52"/>
      <c r="D1396" s="52"/>
      <c r="E1396" s="52"/>
      <c r="F1396" s="52"/>
      <c r="G1396" s="52"/>
      <c r="H1396" s="52"/>
    </row>
    <row r="1397" spans="1:8" ht="15.75">
      <c r="A1397" s="119"/>
      <c r="B1397" s="88"/>
      <c r="C1397" s="52"/>
      <c r="D1397" s="52"/>
      <c r="E1397" s="52"/>
      <c r="F1397" s="52"/>
      <c r="G1397" s="52"/>
      <c r="H1397" s="52"/>
    </row>
    <row r="1398" spans="1:8" ht="15.75">
      <c r="A1398" s="119"/>
      <c r="B1398" s="88"/>
      <c r="C1398" s="52"/>
      <c r="D1398" s="52"/>
      <c r="E1398" s="52"/>
      <c r="F1398" s="52"/>
      <c r="G1398" s="52"/>
      <c r="H1398" s="52"/>
    </row>
    <row r="1399" spans="1:8" ht="15.75">
      <c r="A1399" s="119"/>
      <c r="B1399" s="88"/>
      <c r="C1399" s="52"/>
      <c r="D1399" s="52"/>
      <c r="E1399" s="52"/>
      <c r="F1399" s="52"/>
      <c r="G1399" s="52"/>
      <c r="H1399" s="52"/>
    </row>
    <row r="1400" spans="1:8" ht="15.75">
      <c r="A1400" s="119"/>
      <c r="B1400" s="88"/>
      <c r="C1400" s="52"/>
      <c r="D1400" s="52"/>
      <c r="E1400" s="52"/>
      <c r="F1400" s="52"/>
      <c r="G1400" s="52"/>
      <c r="H1400" s="52"/>
    </row>
    <row r="1401" spans="1:8" ht="15.75">
      <c r="A1401" s="119"/>
      <c r="B1401" s="88"/>
      <c r="C1401" s="52"/>
      <c r="D1401" s="52"/>
      <c r="E1401" s="52"/>
      <c r="F1401" s="52"/>
      <c r="G1401" s="52"/>
      <c r="H1401" s="52"/>
    </row>
    <row r="1402" spans="1:8" ht="15.75">
      <c r="A1402" s="119"/>
      <c r="B1402" s="88"/>
      <c r="C1402" s="52"/>
      <c r="D1402" s="52"/>
      <c r="E1402" s="52"/>
      <c r="F1402" s="52"/>
      <c r="G1402" s="52"/>
      <c r="H1402" s="52"/>
    </row>
    <row r="1403" spans="1:8" ht="15.75">
      <c r="A1403" s="119"/>
      <c r="B1403" s="88"/>
      <c r="C1403" s="52"/>
      <c r="D1403" s="52"/>
      <c r="E1403" s="52"/>
      <c r="F1403" s="52"/>
      <c r="G1403" s="52"/>
      <c r="H1403" s="52"/>
    </row>
    <row r="1404" spans="1:8" ht="15.75">
      <c r="A1404" s="119"/>
      <c r="B1404" s="88"/>
      <c r="C1404" s="52"/>
      <c r="D1404" s="52"/>
      <c r="E1404" s="52"/>
      <c r="F1404" s="52"/>
      <c r="G1404" s="52"/>
      <c r="H1404" s="52"/>
    </row>
    <row r="1405" spans="1:8" ht="15.75">
      <c r="A1405" s="119"/>
      <c r="B1405" s="88"/>
      <c r="C1405" s="52"/>
      <c r="D1405" s="52"/>
      <c r="E1405" s="52"/>
      <c r="F1405" s="52"/>
      <c r="G1405" s="52"/>
      <c r="H1405" s="52"/>
    </row>
    <row r="1406" spans="1:8" ht="15.75">
      <c r="A1406" s="119"/>
      <c r="B1406" s="88"/>
      <c r="C1406" s="52"/>
      <c r="D1406" s="52"/>
      <c r="E1406" s="52"/>
      <c r="F1406" s="52"/>
      <c r="G1406" s="52"/>
      <c r="H1406" s="52"/>
    </row>
    <row r="1407" spans="1:8" ht="15.75">
      <c r="A1407" s="119"/>
      <c r="B1407" s="88"/>
      <c r="C1407" s="52"/>
      <c r="D1407" s="52"/>
      <c r="E1407" s="52"/>
      <c r="F1407" s="52"/>
      <c r="G1407" s="52"/>
      <c r="H1407" s="52"/>
    </row>
    <row r="1408" spans="1:8" ht="15.75">
      <c r="A1408" s="119"/>
      <c r="B1408" s="88"/>
      <c r="C1408" s="52"/>
      <c r="D1408" s="52"/>
      <c r="E1408" s="52"/>
      <c r="F1408" s="52"/>
      <c r="G1408" s="52"/>
      <c r="H1408" s="52"/>
    </row>
    <row r="1409" spans="1:8" ht="15.75">
      <c r="A1409" s="119"/>
      <c r="B1409" s="88"/>
      <c r="C1409" s="52"/>
      <c r="D1409" s="52"/>
      <c r="E1409" s="52"/>
      <c r="F1409" s="52"/>
      <c r="G1409" s="52"/>
      <c r="H1409" s="52"/>
    </row>
    <row r="1410" spans="1:8" ht="15.75">
      <c r="A1410" s="119"/>
      <c r="B1410" s="88"/>
      <c r="C1410" s="52"/>
      <c r="D1410" s="52"/>
      <c r="E1410" s="52"/>
      <c r="F1410" s="52"/>
      <c r="G1410" s="52"/>
      <c r="H1410" s="52"/>
    </row>
    <row r="1411" spans="1:8" ht="15.75">
      <c r="A1411" s="119"/>
      <c r="B1411" s="88"/>
      <c r="C1411" s="52"/>
      <c r="D1411" s="52"/>
      <c r="E1411" s="52"/>
      <c r="F1411" s="52"/>
      <c r="G1411" s="52"/>
      <c r="H1411" s="52"/>
    </row>
    <row r="1412" spans="1:8" ht="15.75">
      <c r="A1412" s="119"/>
      <c r="B1412" s="88"/>
      <c r="C1412" s="52"/>
      <c r="D1412" s="52"/>
      <c r="E1412" s="52"/>
      <c r="F1412" s="52"/>
      <c r="G1412" s="52"/>
      <c r="H1412" s="52"/>
    </row>
    <row r="1413" spans="1:8" ht="15.75">
      <c r="A1413" s="119"/>
      <c r="B1413" s="88"/>
      <c r="C1413" s="52"/>
      <c r="D1413" s="52"/>
      <c r="E1413" s="52"/>
      <c r="F1413" s="52"/>
      <c r="G1413" s="52"/>
      <c r="H1413" s="52"/>
    </row>
    <row r="1414" spans="1:8" ht="15.75">
      <c r="A1414" s="119"/>
      <c r="B1414" s="88"/>
      <c r="C1414" s="52"/>
      <c r="D1414" s="52"/>
      <c r="E1414" s="52"/>
      <c r="F1414" s="52"/>
      <c r="G1414" s="52"/>
      <c r="H1414" s="52"/>
    </row>
    <row r="1415" spans="1:8" ht="15.75">
      <c r="A1415" s="119"/>
      <c r="B1415" s="88"/>
      <c r="C1415" s="52"/>
      <c r="D1415" s="52"/>
      <c r="E1415" s="52"/>
      <c r="F1415" s="52"/>
      <c r="G1415" s="52"/>
      <c r="H1415" s="52"/>
    </row>
    <row r="1416" spans="1:8" ht="15.75">
      <c r="A1416" s="119"/>
      <c r="B1416" s="88"/>
      <c r="C1416" s="52"/>
      <c r="D1416" s="52"/>
      <c r="E1416" s="52"/>
      <c r="F1416" s="52"/>
      <c r="G1416" s="52"/>
      <c r="H1416" s="52"/>
    </row>
    <row r="1417" spans="1:8" ht="15.75">
      <c r="A1417" s="119"/>
      <c r="B1417" s="88"/>
      <c r="C1417" s="52"/>
      <c r="D1417" s="52"/>
      <c r="E1417" s="52"/>
      <c r="F1417" s="52"/>
      <c r="G1417" s="52"/>
      <c r="H1417" s="52"/>
    </row>
    <row r="1418" spans="1:8" ht="15.75">
      <c r="A1418" s="119"/>
      <c r="B1418" s="88"/>
      <c r="C1418" s="52"/>
      <c r="D1418" s="52"/>
      <c r="E1418" s="52"/>
      <c r="F1418" s="52"/>
      <c r="G1418" s="52"/>
      <c r="H1418" s="52"/>
    </row>
    <row r="1419" spans="1:8" ht="15.75">
      <c r="A1419" s="119"/>
      <c r="B1419" s="88"/>
      <c r="C1419" s="52"/>
      <c r="D1419" s="52"/>
      <c r="E1419" s="52"/>
      <c r="F1419" s="52"/>
      <c r="G1419" s="52"/>
      <c r="H1419" s="52"/>
    </row>
    <row r="1420" spans="1:8" ht="15.75">
      <c r="A1420" s="119"/>
      <c r="B1420" s="88"/>
      <c r="C1420" s="52"/>
      <c r="D1420" s="52"/>
      <c r="E1420" s="52"/>
      <c r="F1420" s="52"/>
      <c r="G1420" s="52"/>
      <c r="H1420" s="52"/>
    </row>
    <row r="1421" spans="1:8" ht="15.75">
      <c r="A1421" s="119"/>
      <c r="B1421" s="88"/>
      <c r="C1421" s="52"/>
      <c r="D1421" s="52"/>
      <c r="E1421" s="52"/>
      <c r="F1421" s="52"/>
      <c r="G1421" s="52"/>
      <c r="H1421" s="52"/>
    </row>
    <row r="1422" spans="1:8" ht="15.75">
      <c r="A1422" s="119"/>
      <c r="B1422" s="88"/>
      <c r="C1422" s="52"/>
      <c r="D1422" s="52"/>
      <c r="E1422" s="52"/>
      <c r="F1422" s="52"/>
      <c r="G1422" s="52"/>
      <c r="H1422" s="52"/>
    </row>
    <row r="1423" spans="1:8" ht="15.75">
      <c r="A1423" s="119"/>
      <c r="B1423" s="88"/>
      <c r="C1423" s="52"/>
      <c r="D1423" s="52"/>
      <c r="E1423" s="52"/>
      <c r="F1423" s="52"/>
      <c r="G1423" s="52"/>
      <c r="H1423" s="52"/>
    </row>
    <row r="1424" spans="1:8" ht="15.75">
      <c r="A1424" s="119"/>
      <c r="B1424" s="88"/>
      <c r="C1424" s="52"/>
      <c r="D1424" s="52"/>
      <c r="E1424" s="52"/>
      <c r="F1424" s="52"/>
      <c r="G1424" s="52"/>
      <c r="H1424" s="52"/>
    </row>
    <row r="1425" spans="1:8" ht="15.75">
      <c r="A1425" s="119"/>
      <c r="B1425" s="88"/>
      <c r="C1425" s="52"/>
      <c r="D1425" s="52"/>
      <c r="E1425" s="52"/>
      <c r="F1425" s="52"/>
      <c r="G1425" s="52"/>
      <c r="H1425" s="52"/>
    </row>
    <row r="1426" spans="1:8" ht="15.75">
      <c r="A1426" s="119"/>
      <c r="B1426" s="88"/>
      <c r="C1426" s="52"/>
      <c r="D1426" s="52"/>
      <c r="E1426" s="52"/>
      <c r="F1426" s="52"/>
      <c r="G1426" s="52"/>
      <c r="H1426" s="52"/>
    </row>
    <row r="1427" spans="1:8" ht="15.75">
      <c r="A1427" s="119"/>
      <c r="B1427" s="88"/>
      <c r="C1427" s="52"/>
      <c r="D1427" s="52"/>
      <c r="E1427" s="52"/>
      <c r="F1427" s="52"/>
      <c r="G1427" s="52"/>
      <c r="H1427" s="52"/>
    </row>
    <row r="1428" spans="1:8" ht="15.75">
      <c r="A1428" s="119"/>
      <c r="B1428" s="88"/>
      <c r="C1428" s="52"/>
      <c r="D1428" s="52"/>
      <c r="E1428" s="52"/>
      <c r="F1428" s="52"/>
      <c r="G1428" s="52"/>
      <c r="H1428" s="52"/>
    </row>
    <row r="1429" spans="1:8" ht="15.75">
      <c r="A1429" s="119"/>
      <c r="B1429" s="88"/>
      <c r="C1429" s="52"/>
      <c r="D1429" s="52"/>
      <c r="E1429" s="52"/>
      <c r="F1429" s="52"/>
      <c r="G1429" s="52"/>
      <c r="H1429" s="52"/>
    </row>
    <row r="1430" spans="1:8" ht="15.75">
      <c r="A1430" s="119"/>
      <c r="B1430" s="88"/>
      <c r="C1430" s="52"/>
      <c r="D1430" s="52"/>
      <c r="E1430" s="52"/>
      <c r="F1430" s="52"/>
      <c r="G1430" s="52"/>
      <c r="H1430" s="52"/>
    </row>
    <row r="1431" spans="1:8" ht="15.75">
      <c r="A1431" s="119"/>
      <c r="B1431" s="88"/>
      <c r="C1431" s="52"/>
      <c r="D1431" s="52"/>
      <c r="E1431" s="52"/>
      <c r="F1431" s="52"/>
      <c r="G1431" s="52"/>
      <c r="H1431" s="52"/>
    </row>
    <row r="1432" spans="1:8" ht="15.75">
      <c r="A1432" s="119"/>
      <c r="B1432" s="88"/>
      <c r="C1432" s="52"/>
      <c r="D1432" s="52"/>
      <c r="E1432" s="52"/>
      <c r="F1432" s="52"/>
      <c r="G1432" s="52"/>
      <c r="H1432" s="52"/>
    </row>
    <row r="1433" spans="1:8" ht="15.75">
      <c r="A1433" s="119"/>
      <c r="B1433" s="88"/>
      <c r="C1433" s="52"/>
      <c r="D1433" s="52"/>
      <c r="E1433" s="52"/>
      <c r="F1433" s="52"/>
      <c r="G1433" s="52"/>
      <c r="H1433" s="52"/>
    </row>
    <row r="1434" spans="1:8" ht="15.75">
      <c r="A1434" s="119"/>
      <c r="B1434" s="88"/>
      <c r="C1434" s="52"/>
      <c r="D1434" s="52"/>
      <c r="E1434" s="52"/>
      <c r="F1434" s="52"/>
      <c r="G1434" s="52"/>
      <c r="H1434" s="52"/>
    </row>
    <row r="1435" spans="1:8" ht="15.75">
      <c r="A1435" s="119"/>
      <c r="B1435" s="88"/>
      <c r="C1435" s="52"/>
      <c r="D1435" s="52"/>
      <c r="E1435" s="52"/>
      <c r="F1435" s="52"/>
      <c r="G1435" s="52"/>
      <c r="H1435" s="52"/>
    </row>
    <row r="1436" spans="1:8" ht="15.75">
      <c r="A1436" s="119"/>
      <c r="B1436" s="88"/>
      <c r="C1436" s="52"/>
      <c r="D1436" s="52"/>
      <c r="E1436" s="52"/>
      <c r="F1436" s="52"/>
      <c r="G1436" s="52"/>
      <c r="H1436" s="52"/>
    </row>
    <row r="1437" spans="1:8" ht="15.75">
      <c r="A1437" s="119"/>
      <c r="B1437" s="88"/>
      <c r="C1437" s="52"/>
      <c r="D1437" s="52"/>
      <c r="E1437" s="52"/>
      <c r="F1437" s="52"/>
      <c r="G1437" s="52"/>
      <c r="H1437" s="52"/>
    </row>
    <row r="1438" spans="1:8" ht="15.75">
      <c r="A1438" s="119"/>
      <c r="B1438" s="88"/>
      <c r="C1438" s="52"/>
      <c r="D1438" s="52"/>
      <c r="E1438" s="52"/>
      <c r="F1438" s="52"/>
      <c r="G1438" s="52"/>
      <c r="H1438" s="52"/>
    </row>
    <row r="1439" spans="1:8" ht="15.75">
      <c r="A1439" s="119"/>
      <c r="B1439" s="88"/>
      <c r="C1439" s="52"/>
      <c r="D1439" s="52"/>
      <c r="E1439" s="52"/>
      <c r="F1439" s="52"/>
      <c r="G1439" s="52"/>
      <c r="H1439" s="52"/>
    </row>
    <row r="1440" spans="1:8" ht="15.75">
      <c r="A1440" s="119"/>
      <c r="B1440" s="88"/>
      <c r="C1440" s="52"/>
      <c r="D1440" s="52"/>
      <c r="E1440" s="52"/>
      <c r="F1440" s="52"/>
      <c r="G1440" s="52"/>
      <c r="H1440" s="52"/>
    </row>
    <row r="1441" spans="1:8" ht="15.75">
      <c r="A1441" s="119"/>
      <c r="B1441" s="88"/>
      <c r="C1441" s="52"/>
      <c r="D1441" s="52"/>
      <c r="E1441" s="52"/>
      <c r="F1441" s="52"/>
      <c r="G1441" s="52"/>
      <c r="H1441" s="52"/>
    </row>
    <row r="1442" spans="1:8" ht="15.75">
      <c r="A1442" s="119"/>
      <c r="B1442" s="88"/>
      <c r="C1442" s="52"/>
      <c r="D1442" s="52"/>
      <c r="E1442" s="52"/>
      <c r="F1442" s="52"/>
      <c r="G1442" s="52"/>
      <c r="H1442" s="52"/>
    </row>
    <row r="1443" spans="1:8" ht="15.75">
      <c r="A1443" s="119"/>
      <c r="B1443" s="88"/>
      <c r="C1443" s="52"/>
      <c r="D1443" s="52"/>
      <c r="E1443" s="52"/>
      <c r="F1443" s="52"/>
      <c r="G1443" s="52"/>
      <c r="H1443" s="52"/>
    </row>
    <row r="1444" spans="1:8" ht="15.75">
      <c r="A1444" s="119"/>
      <c r="B1444" s="88"/>
      <c r="C1444" s="52"/>
      <c r="D1444" s="52"/>
      <c r="E1444" s="52"/>
      <c r="F1444" s="52"/>
      <c r="G1444" s="52"/>
      <c r="H1444" s="52"/>
    </row>
    <row r="1445" spans="1:8" ht="15.75">
      <c r="A1445" s="119"/>
      <c r="B1445" s="88"/>
      <c r="C1445" s="52"/>
      <c r="D1445" s="52"/>
      <c r="E1445" s="52"/>
      <c r="F1445" s="52"/>
      <c r="G1445" s="52"/>
      <c r="H1445" s="52"/>
    </row>
    <row r="1446" spans="1:8" ht="15.75">
      <c r="A1446" s="119"/>
      <c r="B1446" s="88"/>
      <c r="C1446" s="52"/>
      <c r="D1446" s="52"/>
      <c r="E1446" s="52"/>
      <c r="F1446" s="52"/>
      <c r="G1446" s="52"/>
      <c r="H1446" s="52"/>
    </row>
    <row r="1447" spans="1:8" ht="15.75">
      <c r="A1447" s="119"/>
      <c r="B1447" s="88"/>
      <c r="C1447" s="52"/>
      <c r="D1447" s="52"/>
      <c r="E1447" s="52"/>
      <c r="F1447" s="52"/>
      <c r="G1447" s="52"/>
      <c r="H1447" s="52"/>
    </row>
    <row r="1448" spans="1:8" ht="15.75">
      <c r="A1448" s="119"/>
      <c r="B1448" s="88"/>
      <c r="C1448" s="52"/>
      <c r="D1448" s="52"/>
      <c r="E1448" s="52"/>
      <c r="F1448" s="52"/>
      <c r="G1448" s="52"/>
      <c r="H1448" s="52"/>
    </row>
    <row r="1449" spans="1:8" ht="15.75">
      <c r="A1449" s="119"/>
      <c r="B1449" s="88"/>
      <c r="C1449" s="52"/>
      <c r="D1449" s="52"/>
      <c r="E1449" s="52"/>
      <c r="F1449" s="52"/>
      <c r="G1449" s="52"/>
      <c r="H1449" s="52"/>
    </row>
    <row r="1450" spans="1:8" ht="15.75">
      <c r="A1450" s="119"/>
      <c r="B1450" s="88"/>
      <c r="C1450" s="52"/>
      <c r="D1450" s="52"/>
      <c r="E1450" s="52"/>
      <c r="F1450" s="52"/>
      <c r="G1450" s="52"/>
      <c r="H1450" s="52"/>
    </row>
    <row r="1451" spans="1:8" ht="15.75">
      <c r="A1451" s="119"/>
      <c r="B1451" s="88"/>
      <c r="C1451" s="52"/>
      <c r="D1451" s="52"/>
      <c r="E1451" s="52"/>
      <c r="F1451" s="52"/>
      <c r="G1451" s="52"/>
      <c r="H1451" s="52"/>
    </row>
    <row r="1452" spans="1:8" ht="15.75">
      <c r="A1452" s="119"/>
      <c r="B1452" s="88"/>
      <c r="C1452" s="52"/>
      <c r="D1452" s="52"/>
      <c r="E1452" s="52"/>
      <c r="F1452" s="52"/>
      <c r="G1452" s="52"/>
      <c r="H1452" s="52"/>
    </row>
    <row r="1453" spans="1:8" ht="15.75">
      <c r="A1453" s="119"/>
      <c r="B1453" s="88"/>
      <c r="C1453" s="52"/>
      <c r="D1453" s="52"/>
      <c r="E1453" s="52"/>
      <c r="F1453" s="52"/>
      <c r="G1453" s="52"/>
      <c r="H1453" s="52"/>
    </row>
    <row r="1454" spans="1:8" ht="15.75">
      <c r="A1454" s="119"/>
      <c r="B1454" s="88"/>
      <c r="C1454" s="52"/>
      <c r="D1454" s="52"/>
      <c r="E1454" s="52"/>
      <c r="F1454" s="52"/>
      <c r="G1454" s="52"/>
      <c r="H1454" s="52"/>
    </row>
    <row r="1455" spans="1:8" ht="15.75">
      <c r="A1455" s="119"/>
      <c r="B1455" s="88"/>
      <c r="C1455" s="52"/>
      <c r="D1455" s="52"/>
      <c r="E1455" s="52"/>
      <c r="F1455" s="52"/>
      <c r="G1455" s="52"/>
      <c r="H1455" s="52"/>
    </row>
    <row r="1456" spans="1:8" ht="15.75">
      <c r="A1456" s="119"/>
      <c r="B1456" s="88"/>
      <c r="C1456" s="52"/>
      <c r="D1456" s="52"/>
      <c r="E1456" s="52"/>
      <c r="F1456" s="52"/>
      <c r="G1456" s="52"/>
      <c r="H1456" s="52"/>
    </row>
    <row r="1457" spans="1:8" ht="15.75">
      <c r="A1457" s="119"/>
      <c r="B1457" s="88"/>
      <c r="C1457" s="52"/>
      <c r="D1457" s="52"/>
      <c r="E1457" s="52"/>
      <c r="F1457" s="52"/>
      <c r="G1457" s="52"/>
      <c r="H1457" s="52"/>
    </row>
    <row r="1458" spans="1:8" ht="15.75">
      <c r="A1458" s="119"/>
      <c r="B1458" s="88"/>
      <c r="C1458" s="52"/>
      <c r="D1458" s="52"/>
      <c r="E1458" s="52"/>
      <c r="F1458" s="52"/>
      <c r="G1458" s="52"/>
      <c r="H1458" s="52"/>
    </row>
    <row r="1459" spans="1:8" ht="15.75">
      <c r="A1459" s="119"/>
      <c r="B1459" s="88"/>
      <c r="C1459" s="52"/>
      <c r="D1459" s="52"/>
      <c r="E1459" s="52"/>
      <c r="F1459" s="52"/>
      <c r="G1459" s="52"/>
      <c r="H1459" s="52"/>
    </row>
    <row r="1460" spans="1:8" ht="15.75">
      <c r="A1460" s="119"/>
      <c r="B1460" s="88"/>
      <c r="C1460" s="52"/>
      <c r="D1460" s="52"/>
      <c r="E1460" s="52"/>
      <c r="F1460" s="52"/>
      <c r="G1460" s="52"/>
      <c r="H1460" s="52"/>
    </row>
    <row r="1461" spans="1:8" ht="15.75">
      <c r="A1461" s="119"/>
      <c r="B1461" s="88"/>
      <c r="C1461" s="52"/>
      <c r="D1461" s="52"/>
      <c r="E1461" s="52"/>
      <c r="F1461" s="52"/>
      <c r="G1461" s="52"/>
      <c r="H1461" s="52"/>
    </row>
    <row r="1462" spans="1:8" ht="15.75">
      <c r="A1462" s="119"/>
      <c r="B1462" s="88"/>
      <c r="C1462" s="52"/>
      <c r="D1462" s="52"/>
      <c r="E1462" s="52"/>
      <c r="F1462" s="52"/>
      <c r="G1462" s="52"/>
      <c r="H1462" s="52"/>
    </row>
    <row r="1463" spans="1:8" ht="15.75">
      <c r="A1463" s="119"/>
      <c r="B1463" s="88"/>
      <c r="C1463" s="52"/>
      <c r="D1463" s="52"/>
      <c r="E1463" s="52"/>
      <c r="F1463" s="52"/>
      <c r="G1463" s="52"/>
      <c r="H1463" s="52"/>
    </row>
    <row r="1464" spans="1:8" ht="15.75">
      <c r="A1464" s="119"/>
      <c r="B1464" s="88"/>
      <c r="C1464" s="52"/>
      <c r="D1464" s="52"/>
      <c r="E1464" s="52"/>
      <c r="F1464" s="52"/>
      <c r="G1464" s="52"/>
      <c r="H1464" s="52"/>
    </row>
    <row r="1465" spans="1:8" ht="15.75">
      <c r="A1465" s="119"/>
      <c r="B1465" s="88"/>
      <c r="C1465" s="52"/>
      <c r="D1465" s="52"/>
      <c r="E1465" s="52"/>
      <c r="F1465" s="52"/>
      <c r="G1465" s="52"/>
      <c r="H1465" s="52"/>
    </row>
    <row r="1466" spans="1:8" ht="15.75">
      <c r="A1466" s="119"/>
      <c r="B1466" s="88"/>
      <c r="C1466" s="52"/>
      <c r="D1466" s="52"/>
      <c r="E1466" s="52"/>
      <c r="F1466" s="52"/>
      <c r="G1466" s="52"/>
      <c r="H1466" s="52"/>
    </row>
    <row r="1467" spans="1:8" ht="15.75">
      <c r="A1467" s="119"/>
      <c r="B1467" s="88"/>
      <c r="C1467" s="52"/>
      <c r="D1467" s="52"/>
      <c r="E1467" s="52"/>
      <c r="F1467" s="52"/>
      <c r="G1467" s="52"/>
      <c r="H1467" s="52"/>
    </row>
    <row r="1468" spans="1:8" ht="15.75">
      <c r="A1468" s="119"/>
      <c r="B1468" s="88"/>
      <c r="C1468" s="52"/>
      <c r="D1468" s="52"/>
      <c r="E1468" s="52"/>
      <c r="F1468" s="52"/>
      <c r="G1468" s="52"/>
      <c r="H1468" s="52"/>
    </row>
    <row r="1469" spans="1:8" ht="15.75">
      <c r="A1469" s="119"/>
      <c r="B1469" s="88"/>
      <c r="C1469" s="52"/>
      <c r="D1469" s="52"/>
      <c r="E1469" s="52"/>
      <c r="F1469" s="52"/>
      <c r="G1469" s="52"/>
      <c r="H1469" s="52"/>
    </row>
    <row r="1470" spans="1:8" ht="15.75">
      <c r="A1470" s="119"/>
      <c r="B1470" s="88"/>
      <c r="C1470" s="52"/>
      <c r="D1470" s="52"/>
      <c r="E1470" s="52"/>
      <c r="F1470" s="52"/>
      <c r="G1470" s="52"/>
      <c r="H1470" s="52"/>
    </row>
    <row r="1471" spans="1:8" ht="15.75">
      <c r="A1471" s="119"/>
      <c r="B1471" s="88"/>
      <c r="C1471" s="52"/>
      <c r="D1471" s="52"/>
      <c r="E1471" s="52"/>
      <c r="F1471" s="52"/>
      <c r="G1471" s="52"/>
      <c r="H1471" s="52"/>
    </row>
    <row r="1472" spans="1:8" ht="15.75">
      <c r="A1472" s="119"/>
      <c r="B1472" s="88"/>
      <c r="C1472" s="52"/>
      <c r="D1472" s="52"/>
      <c r="E1472" s="52"/>
      <c r="F1472" s="52"/>
      <c r="G1472" s="52"/>
      <c r="H1472" s="52"/>
    </row>
    <row r="1473" spans="1:8" ht="15.75">
      <c r="A1473" s="119"/>
      <c r="B1473" s="88"/>
      <c r="C1473" s="52"/>
      <c r="D1473" s="52"/>
      <c r="E1473" s="52"/>
      <c r="F1473" s="52"/>
      <c r="G1473" s="52"/>
      <c r="H1473" s="52"/>
    </row>
    <row r="1474" spans="1:8" ht="15.75">
      <c r="A1474" s="119"/>
      <c r="B1474" s="88"/>
      <c r="C1474" s="52"/>
      <c r="D1474" s="52"/>
      <c r="E1474" s="52"/>
      <c r="F1474" s="52"/>
      <c r="G1474" s="52"/>
      <c r="H1474" s="52"/>
    </row>
    <row r="1475" spans="1:8" ht="15.75">
      <c r="A1475" s="119"/>
      <c r="B1475" s="88"/>
      <c r="C1475" s="52"/>
      <c r="D1475" s="52"/>
      <c r="E1475" s="52"/>
      <c r="F1475" s="52"/>
      <c r="G1475" s="52"/>
      <c r="H1475" s="52"/>
    </row>
    <row r="1476" spans="1:8" ht="15.75">
      <c r="A1476" s="119"/>
      <c r="B1476" s="88"/>
      <c r="C1476" s="52"/>
      <c r="D1476" s="52"/>
      <c r="E1476" s="52"/>
      <c r="F1476" s="52"/>
      <c r="G1476" s="52"/>
      <c r="H1476" s="52"/>
    </row>
    <row r="1477" spans="1:8" ht="15.75">
      <c r="A1477" s="119"/>
      <c r="B1477" s="88"/>
      <c r="C1477" s="52"/>
      <c r="D1477" s="52"/>
      <c r="E1477" s="52"/>
      <c r="F1477" s="52"/>
      <c r="G1477" s="52"/>
      <c r="H1477" s="52"/>
    </row>
    <row r="1478" spans="1:8" ht="15.75">
      <c r="A1478" s="119"/>
      <c r="B1478" s="88"/>
      <c r="C1478" s="52"/>
      <c r="D1478" s="52"/>
      <c r="E1478" s="52"/>
      <c r="F1478" s="52"/>
      <c r="G1478" s="52"/>
      <c r="H1478" s="52"/>
    </row>
    <row r="1479" spans="1:8" ht="15.75">
      <c r="A1479" s="119"/>
      <c r="B1479" s="88"/>
      <c r="C1479" s="52"/>
      <c r="D1479" s="52"/>
      <c r="E1479" s="52"/>
      <c r="F1479" s="52"/>
      <c r="G1479" s="52"/>
      <c r="H1479" s="52"/>
    </row>
    <row r="1480" spans="1:8" ht="15.75">
      <c r="A1480" s="119"/>
      <c r="B1480" s="88"/>
      <c r="C1480" s="52"/>
      <c r="D1480" s="52"/>
      <c r="E1480" s="52"/>
      <c r="F1480" s="52"/>
      <c r="G1480" s="52"/>
      <c r="H1480" s="52"/>
    </row>
    <row r="1481" spans="1:8" ht="15.75">
      <c r="A1481" s="119"/>
      <c r="B1481" s="88"/>
      <c r="C1481" s="52"/>
      <c r="D1481" s="52"/>
      <c r="E1481" s="52"/>
      <c r="F1481" s="52"/>
      <c r="G1481" s="52"/>
      <c r="H1481" s="52"/>
    </row>
    <row r="1482" spans="1:8" ht="15.75">
      <c r="A1482" s="119"/>
      <c r="B1482" s="88"/>
      <c r="C1482" s="52"/>
      <c r="D1482" s="52"/>
      <c r="E1482" s="52"/>
      <c r="F1482" s="52"/>
      <c r="G1482" s="52"/>
      <c r="H1482" s="52"/>
    </row>
    <row r="1483" spans="1:8" ht="15.75">
      <c r="A1483" s="119"/>
      <c r="B1483" s="88"/>
      <c r="C1483" s="52"/>
      <c r="D1483" s="52"/>
      <c r="E1483" s="52"/>
      <c r="F1483" s="52"/>
      <c r="G1483" s="52"/>
      <c r="H1483" s="52"/>
    </row>
    <row r="1484" spans="1:8" ht="15.75">
      <c r="A1484" s="119"/>
      <c r="B1484" s="88"/>
      <c r="C1484" s="52"/>
      <c r="D1484" s="52"/>
      <c r="E1484" s="52"/>
      <c r="F1484" s="52"/>
      <c r="G1484" s="52"/>
      <c r="H1484" s="52"/>
    </row>
    <row r="1485" spans="1:8" ht="15.75">
      <c r="A1485" s="119"/>
      <c r="B1485" s="88"/>
      <c r="C1485" s="52"/>
      <c r="D1485" s="52"/>
      <c r="E1485" s="52"/>
      <c r="F1485" s="52"/>
      <c r="G1485" s="52"/>
      <c r="H1485" s="52"/>
    </row>
    <row r="1486" spans="1:8" ht="15.75">
      <c r="A1486" s="119"/>
      <c r="B1486" s="88"/>
      <c r="C1486" s="52"/>
      <c r="D1486" s="52"/>
      <c r="E1486" s="52"/>
      <c r="F1486" s="52"/>
      <c r="G1486" s="52"/>
      <c r="H1486" s="52"/>
    </row>
    <row r="1487" spans="1:8" ht="15.75">
      <c r="A1487" s="119"/>
      <c r="B1487" s="88"/>
      <c r="C1487" s="52"/>
      <c r="D1487" s="52"/>
      <c r="E1487" s="52"/>
      <c r="F1487" s="52"/>
      <c r="G1487" s="52"/>
      <c r="H1487" s="52"/>
    </row>
    <row r="1488" spans="1:8" ht="15.75">
      <c r="A1488" s="119"/>
      <c r="B1488" s="88"/>
      <c r="C1488" s="52"/>
      <c r="D1488" s="52"/>
      <c r="E1488" s="52"/>
      <c r="F1488" s="52"/>
      <c r="G1488" s="52"/>
      <c r="H1488" s="52"/>
    </row>
    <row r="1489" spans="1:8" ht="15.75">
      <c r="A1489" s="119"/>
      <c r="B1489" s="88"/>
      <c r="C1489" s="52"/>
      <c r="D1489" s="52"/>
      <c r="E1489" s="52"/>
      <c r="F1489" s="52"/>
      <c r="G1489" s="52"/>
      <c r="H1489" s="52"/>
    </row>
    <row r="1490" spans="1:8" ht="15.75">
      <c r="A1490" s="119"/>
      <c r="B1490" s="88"/>
      <c r="C1490" s="52"/>
      <c r="D1490" s="52"/>
      <c r="E1490" s="52"/>
      <c r="F1490" s="52"/>
      <c r="G1490" s="52"/>
      <c r="H1490" s="52"/>
    </row>
    <row r="1491" spans="1:8" ht="15.75">
      <c r="A1491" s="119"/>
      <c r="B1491" s="88"/>
      <c r="C1491" s="52"/>
      <c r="D1491" s="52"/>
      <c r="E1491" s="52"/>
      <c r="F1491" s="52"/>
      <c r="G1491" s="52"/>
      <c r="H1491" s="52"/>
    </row>
    <row r="1492" spans="1:8" ht="15.75">
      <c r="A1492" s="119"/>
      <c r="B1492" s="88"/>
      <c r="C1492" s="52"/>
      <c r="D1492" s="52"/>
      <c r="E1492" s="52"/>
      <c r="F1492" s="52"/>
      <c r="G1492" s="52"/>
      <c r="H1492" s="52"/>
    </row>
    <row r="1493" spans="1:8" ht="15.75">
      <c r="A1493" s="119"/>
      <c r="B1493" s="88"/>
      <c r="C1493" s="52"/>
      <c r="D1493" s="52"/>
      <c r="E1493" s="52"/>
      <c r="F1493" s="52"/>
      <c r="G1493" s="52"/>
      <c r="H1493" s="52"/>
    </row>
    <row r="1494" spans="1:8" ht="15.75">
      <c r="A1494" s="119"/>
      <c r="B1494" s="88"/>
      <c r="C1494" s="52"/>
      <c r="D1494" s="52"/>
      <c r="E1494" s="52"/>
      <c r="F1494" s="52"/>
      <c r="G1494" s="52"/>
      <c r="H1494" s="52"/>
    </row>
    <row r="1495" spans="1:8" ht="15.75">
      <c r="A1495" s="119"/>
      <c r="B1495" s="88"/>
      <c r="C1495" s="52"/>
      <c r="D1495" s="52"/>
      <c r="E1495" s="52"/>
      <c r="F1495" s="52"/>
      <c r="G1495" s="52"/>
      <c r="H1495" s="52"/>
    </row>
    <row r="1496" spans="1:8" ht="15.75">
      <c r="A1496" s="119"/>
      <c r="B1496" s="88"/>
      <c r="C1496" s="52"/>
      <c r="D1496" s="52"/>
      <c r="E1496" s="52"/>
      <c r="F1496" s="52"/>
      <c r="G1496" s="52"/>
      <c r="H1496" s="52"/>
    </row>
    <row r="1497" spans="1:8" ht="15.75">
      <c r="A1497" s="119"/>
      <c r="B1497" s="88"/>
      <c r="C1497" s="52"/>
      <c r="D1497" s="52"/>
      <c r="E1497" s="52"/>
      <c r="F1497" s="52"/>
      <c r="G1497" s="52"/>
      <c r="H1497" s="52"/>
    </row>
    <row r="1498" spans="1:8" ht="15.75">
      <c r="A1498" s="119"/>
      <c r="B1498" s="88"/>
      <c r="C1498" s="52"/>
      <c r="D1498" s="52"/>
      <c r="E1498" s="52"/>
      <c r="F1498" s="52"/>
      <c r="G1498" s="52"/>
      <c r="H1498" s="52"/>
    </row>
    <row r="1499" spans="1:8" ht="15.75">
      <c r="A1499" s="119"/>
      <c r="B1499" s="88"/>
      <c r="C1499" s="52"/>
      <c r="D1499" s="52"/>
      <c r="E1499" s="52"/>
      <c r="F1499" s="52"/>
      <c r="G1499" s="52"/>
      <c r="H1499" s="52"/>
    </row>
    <row r="1500" spans="1:8" ht="15.75">
      <c r="A1500" s="119"/>
      <c r="B1500" s="88"/>
      <c r="C1500" s="52"/>
      <c r="D1500" s="52"/>
      <c r="E1500" s="52"/>
      <c r="F1500" s="52"/>
      <c r="G1500" s="52"/>
      <c r="H1500" s="52"/>
    </row>
    <row r="1501" spans="1:8" ht="15.75">
      <c r="A1501" s="119"/>
      <c r="B1501" s="88"/>
      <c r="C1501" s="52"/>
      <c r="D1501" s="52"/>
      <c r="E1501" s="52"/>
      <c r="F1501" s="52"/>
      <c r="G1501" s="52"/>
      <c r="H1501" s="52"/>
    </row>
    <row r="1502" spans="1:8" ht="15.75">
      <c r="A1502" s="119"/>
      <c r="B1502" s="88"/>
      <c r="C1502" s="52"/>
      <c r="D1502" s="52"/>
      <c r="E1502" s="52"/>
      <c r="F1502" s="52"/>
      <c r="G1502" s="52"/>
      <c r="H1502" s="52"/>
    </row>
    <row r="1503" spans="1:8" ht="15.75">
      <c r="A1503" s="119"/>
      <c r="B1503" s="88"/>
      <c r="C1503" s="52"/>
      <c r="D1503" s="52"/>
      <c r="E1503" s="52"/>
      <c r="F1503" s="52"/>
      <c r="G1503" s="52"/>
      <c r="H1503" s="52"/>
    </row>
    <row r="1504" spans="1:8" ht="15.75">
      <c r="A1504" s="119"/>
      <c r="B1504" s="88"/>
      <c r="C1504" s="52"/>
      <c r="D1504" s="52"/>
      <c r="E1504" s="52"/>
      <c r="F1504" s="52"/>
      <c r="G1504" s="52"/>
      <c r="H1504" s="52"/>
    </row>
    <row r="1505" spans="1:8" ht="15.75">
      <c r="A1505" s="119"/>
      <c r="B1505" s="88"/>
      <c r="C1505" s="52"/>
      <c r="D1505" s="52"/>
      <c r="E1505" s="52"/>
      <c r="F1505" s="52"/>
      <c r="G1505" s="52"/>
      <c r="H1505" s="52"/>
    </row>
    <row r="1506" spans="1:8" ht="15.75">
      <c r="A1506" s="119"/>
      <c r="B1506" s="88"/>
      <c r="C1506" s="52"/>
      <c r="D1506" s="52"/>
      <c r="E1506" s="52"/>
      <c r="F1506" s="52"/>
      <c r="G1506" s="52"/>
      <c r="H1506" s="52"/>
    </row>
    <row r="1507" spans="1:8" ht="15.75">
      <c r="A1507" s="119"/>
      <c r="B1507" s="88"/>
      <c r="C1507" s="52"/>
      <c r="D1507" s="52"/>
      <c r="E1507" s="52"/>
      <c r="F1507" s="52"/>
      <c r="G1507" s="52"/>
      <c r="H1507" s="52"/>
    </row>
    <row r="1508" spans="1:8" ht="15.75">
      <c r="A1508" s="119"/>
      <c r="B1508" s="88"/>
      <c r="C1508" s="52"/>
      <c r="D1508" s="52"/>
      <c r="E1508" s="52"/>
      <c r="F1508" s="52"/>
      <c r="G1508" s="52"/>
      <c r="H1508" s="52"/>
    </row>
    <row r="1509" spans="1:8" ht="15.75">
      <c r="A1509" s="119"/>
      <c r="B1509" s="88"/>
      <c r="C1509" s="52"/>
      <c r="D1509" s="52"/>
      <c r="E1509" s="52"/>
      <c r="F1509" s="52"/>
      <c r="G1509" s="52"/>
      <c r="H1509" s="52"/>
    </row>
    <row r="1510" spans="1:8" ht="15.75">
      <c r="A1510" s="119"/>
      <c r="B1510" s="88"/>
      <c r="C1510" s="52"/>
      <c r="D1510" s="52"/>
      <c r="E1510" s="52"/>
      <c r="F1510" s="52"/>
      <c r="G1510" s="52"/>
      <c r="H1510" s="52"/>
    </row>
    <row r="1511" spans="1:8" ht="15.75">
      <c r="A1511" s="119"/>
      <c r="B1511" s="88"/>
      <c r="C1511" s="52"/>
      <c r="D1511" s="52"/>
      <c r="E1511" s="52"/>
      <c r="F1511" s="52"/>
      <c r="G1511" s="52"/>
      <c r="H1511" s="52"/>
    </row>
    <row r="1512" spans="1:8" ht="15.75">
      <c r="A1512" s="119"/>
      <c r="B1512" s="88"/>
      <c r="C1512" s="52"/>
      <c r="D1512" s="52"/>
      <c r="E1512" s="52"/>
      <c r="F1512" s="52"/>
      <c r="G1512" s="52"/>
      <c r="H1512" s="52"/>
    </row>
    <row r="1513" spans="1:8" ht="15.75">
      <c r="A1513" s="119"/>
      <c r="B1513" s="88"/>
      <c r="C1513" s="52"/>
      <c r="D1513" s="52"/>
      <c r="E1513" s="52"/>
      <c r="F1513" s="52"/>
      <c r="G1513" s="52"/>
      <c r="H1513" s="52"/>
    </row>
    <row r="1514" spans="1:8" ht="15.75">
      <c r="A1514" s="119"/>
      <c r="B1514" s="88"/>
      <c r="C1514" s="52"/>
      <c r="D1514" s="52"/>
      <c r="E1514" s="52"/>
      <c r="F1514" s="52"/>
      <c r="G1514" s="52"/>
      <c r="H1514" s="52"/>
    </row>
    <row r="1515" spans="1:8" ht="15.75">
      <c r="A1515" s="119"/>
      <c r="B1515" s="88"/>
      <c r="C1515" s="52"/>
      <c r="D1515" s="52"/>
      <c r="E1515" s="52"/>
      <c r="F1515" s="52"/>
      <c r="G1515" s="52"/>
      <c r="H1515" s="52"/>
    </row>
    <row r="1516" spans="1:8" ht="15.75">
      <c r="A1516" s="119"/>
      <c r="B1516" s="88"/>
      <c r="C1516" s="52"/>
      <c r="D1516" s="52"/>
      <c r="E1516" s="52"/>
      <c r="F1516" s="52"/>
      <c r="G1516" s="52"/>
      <c r="H1516" s="52"/>
    </row>
    <row r="1517" spans="1:8" ht="15.75">
      <c r="A1517" s="119"/>
      <c r="B1517" s="88"/>
      <c r="C1517" s="52"/>
      <c r="D1517" s="52"/>
      <c r="E1517" s="52"/>
      <c r="F1517" s="52"/>
      <c r="G1517" s="52"/>
      <c r="H1517" s="52"/>
    </row>
    <row r="1518" spans="1:8" ht="15.75">
      <c r="A1518" s="119"/>
      <c r="B1518" s="88"/>
      <c r="C1518" s="52"/>
      <c r="D1518" s="52"/>
      <c r="E1518" s="52"/>
      <c r="F1518" s="52"/>
      <c r="G1518" s="52"/>
      <c r="H1518" s="52"/>
    </row>
    <row r="1519" spans="1:8" ht="15.75">
      <c r="A1519" s="119"/>
      <c r="B1519" s="88"/>
      <c r="C1519" s="52"/>
      <c r="D1519" s="52"/>
      <c r="E1519" s="52"/>
      <c r="F1519" s="52"/>
      <c r="G1519" s="52"/>
      <c r="H1519" s="52"/>
    </row>
    <row r="1520" spans="1:8" ht="15.75">
      <c r="A1520" s="119"/>
      <c r="B1520" s="88"/>
      <c r="C1520" s="52"/>
      <c r="D1520" s="52"/>
      <c r="E1520" s="52"/>
      <c r="F1520" s="52"/>
      <c r="G1520" s="52"/>
      <c r="H1520" s="52"/>
    </row>
    <row r="1521" spans="1:8" ht="15.75">
      <c r="A1521" s="119"/>
      <c r="B1521" s="88"/>
      <c r="C1521" s="52"/>
      <c r="D1521" s="52"/>
      <c r="E1521" s="52"/>
      <c r="F1521" s="52"/>
      <c r="G1521" s="52"/>
      <c r="H1521" s="52"/>
    </row>
    <row r="1522" spans="1:8" ht="15.75">
      <c r="A1522" s="119"/>
      <c r="B1522" s="88"/>
      <c r="C1522" s="52"/>
      <c r="D1522" s="52"/>
      <c r="E1522" s="52"/>
      <c r="F1522" s="52"/>
      <c r="G1522" s="52"/>
      <c r="H1522" s="52"/>
    </row>
    <row r="1523" spans="1:8" ht="15.75">
      <c r="A1523" s="119"/>
      <c r="B1523" s="88"/>
      <c r="C1523" s="52"/>
      <c r="D1523" s="52"/>
      <c r="E1523" s="52"/>
      <c r="F1523" s="52"/>
      <c r="G1523" s="52"/>
      <c r="H1523" s="52"/>
    </row>
    <row r="1524" spans="1:8" ht="15.75">
      <c r="A1524" s="119"/>
      <c r="B1524" s="88"/>
      <c r="C1524" s="52"/>
      <c r="D1524" s="52"/>
      <c r="E1524" s="52"/>
      <c r="F1524" s="52"/>
      <c r="G1524" s="52"/>
      <c r="H1524" s="52"/>
    </row>
    <row r="1525" spans="1:8" ht="15.75">
      <c r="A1525" s="119"/>
      <c r="B1525" s="88"/>
      <c r="C1525" s="52"/>
      <c r="D1525" s="52"/>
      <c r="E1525" s="52"/>
      <c r="F1525" s="52"/>
      <c r="G1525" s="52"/>
      <c r="H1525" s="52"/>
    </row>
    <row r="1526" spans="1:8" ht="15.75">
      <c r="A1526" s="119"/>
      <c r="B1526" s="88"/>
      <c r="C1526" s="52"/>
      <c r="D1526" s="52"/>
      <c r="E1526" s="52"/>
      <c r="F1526" s="52"/>
      <c r="G1526" s="52"/>
      <c r="H1526" s="52"/>
    </row>
    <row r="1527" spans="1:8" ht="15.75">
      <c r="A1527" s="119"/>
      <c r="B1527" s="88"/>
      <c r="C1527" s="52"/>
      <c r="D1527" s="52"/>
      <c r="E1527" s="52"/>
      <c r="F1527" s="52"/>
      <c r="G1527" s="52"/>
      <c r="H1527" s="52"/>
    </row>
    <row r="1528" spans="1:8" ht="15.75">
      <c r="A1528" s="119"/>
      <c r="B1528" s="88"/>
      <c r="C1528" s="52"/>
      <c r="D1528" s="52"/>
      <c r="E1528" s="52"/>
      <c r="F1528" s="52"/>
      <c r="G1528" s="52"/>
      <c r="H1528" s="52"/>
    </row>
    <row r="1529" spans="1:8" ht="15.75">
      <c r="A1529" s="119"/>
      <c r="B1529" s="88"/>
      <c r="C1529" s="52"/>
      <c r="D1529" s="52"/>
      <c r="E1529" s="52"/>
      <c r="F1529" s="52"/>
      <c r="G1529" s="52"/>
      <c r="H1529" s="52"/>
    </row>
    <row r="1530" spans="1:8" ht="15.75">
      <c r="A1530" s="119"/>
      <c r="B1530" s="88"/>
      <c r="C1530" s="52"/>
      <c r="D1530" s="52"/>
      <c r="E1530" s="52"/>
      <c r="F1530" s="52"/>
      <c r="G1530" s="52"/>
      <c r="H1530" s="52"/>
    </row>
    <row r="1531" spans="1:8" ht="15.75">
      <c r="A1531" s="119"/>
      <c r="B1531" s="88"/>
      <c r="C1531" s="52"/>
      <c r="D1531" s="52"/>
      <c r="E1531" s="52"/>
      <c r="F1531" s="52"/>
      <c r="G1531" s="52"/>
      <c r="H1531" s="52"/>
    </row>
    <row r="1532" spans="1:8" ht="15.75">
      <c r="A1532" s="119"/>
      <c r="B1532" s="88"/>
      <c r="C1532" s="52"/>
      <c r="D1532" s="52"/>
      <c r="E1532" s="52"/>
      <c r="F1532" s="52"/>
      <c r="G1532" s="52"/>
      <c r="H1532" s="52"/>
    </row>
    <row r="1533" spans="1:8" ht="15.75">
      <c r="A1533" s="119"/>
      <c r="B1533" s="88"/>
      <c r="C1533" s="52"/>
      <c r="D1533" s="52"/>
      <c r="E1533" s="52"/>
      <c r="F1533" s="52"/>
      <c r="G1533" s="52"/>
      <c r="H1533" s="52"/>
    </row>
    <row r="1534" spans="1:8" ht="15.75">
      <c r="A1534" s="119"/>
      <c r="B1534" s="88"/>
      <c r="C1534" s="52"/>
      <c r="D1534" s="52"/>
      <c r="E1534" s="52"/>
      <c r="F1534" s="52"/>
      <c r="G1534" s="52"/>
      <c r="H1534" s="52"/>
    </row>
    <row r="1535" spans="1:8" ht="15.75">
      <c r="A1535" s="119"/>
      <c r="B1535" s="88"/>
      <c r="C1535" s="52"/>
      <c r="D1535" s="52"/>
      <c r="E1535" s="52"/>
      <c r="F1535" s="52"/>
      <c r="G1535" s="52"/>
      <c r="H1535" s="52"/>
    </row>
    <row r="1536" spans="1:8" ht="15.75">
      <c r="A1536" s="119"/>
      <c r="B1536" s="88"/>
      <c r="C1536" s="52"/>
      <c r="D1536" s="52"/>
      <c r="E1536" s="52"/>
      <c r="F1536" s="52"/>
      <c r="G1536" s="52"/>
      <c r="H1536" s="52"/>
    </row>
    <row r="1537" spans="1:8" ht="15.75">
      <c r="A1537" s="119"/>
      <c r="B1537" s="88"/>
      <c r="C1537" s="52"/>
      <c r="D1537" s="52"/>
      <c r="E1537" s="52"/>
      <c r="F1537" s="52"/>
      <c r="G1537" s="52"/>
      <c r="H1537" s="52"/>
    </row>
    <row r="1538" spans="1:8" ht="15.75">
      <c r="A1538" s="119"/>
      <c r="B1538" s="88"/>
      <c r="C1538" s="52"/>
      <c r="D1538" s="52"/>
      <c r="E1538" s="52"/>
      <c r="F1538" s="52"/>
      <c r="G1538" s="52"/>
      <c r="H1538" s="52"/>
    </row>
    <row r="1539" spans="1:8" ht="15.75">
      <c r="A1539" s="119"/>
      <c r="B1539" s="88"/>
      <c r="C1539" s="52"/>
      <c r="D1539" s="52"/>
      <c r="E1539" s="52"/>
      <c r="F1539" s="52"/>
      <c r="G1539" s="52"/>
      <c r="H1539" s="52"/>
    </row>
    <row r="1540" spans="1:8" ht="15.75">
      <c r="A1540" s="119"/>
      <c r="B1540" s="88"/>
      <c r="C1540" s="52"/>
      <c r="D1540" s="52"/>
      <c r="E1540" s="52"/>
      <c r="F1540" s="52"/>
      <c r="G1540" s="52"/>
      <c r="H1540" s="52"/>
    </row>
    <row r="1541" spans="1:8" ht="15.75">
      <c r="A1541" s="119"/>
      <c r="B1541" s="88"/>
      <c r="C1541" s="52"/>
      <c r="D1541" s="52"/>
      <c r="E1541" s="52"/>
      <c r="F1541" s="52"/>
      <c r="G1541" s="52"/>
      <c r="H1541" s="52"/>
    </row>
    <row r="1542" spans="1:8" ht="15.75">
      <c r="A1542" s="119"/>
      <c r="B1542" s="88"/>
      <c r="C1542" s="52"/>
      <c r="D1542" s="52"/>
      <c r="E1542" s="52"/>
      <c r="F1542" s="52"/>
      <c r="G1542" s="52"/>
      <c r="H1542" s="52"/>
    </row>
    <row r="1543" spans="1:8" ht="15.75">
      <c r="A1543" s="119"/>
      <c r="B1543" s="88"/>
      <c r="C1543" s="52"/>
      <c r="D1543" s="52"/>
      <c r="E1543" s="52"/>
      <c r="F1543" s="52"/>
      <c r="G1543" s="52"/>
      <c r="H1543" s="52"/>
    </row>
    <row r="1544" spans="1:8" ht="15.75">
      <c r="A1544" s="119"/>
      <c r="B1544" s="88"/>
      <c r="C1544" s="52"/>
      <c r="D1544" s="52"/>
      <c r="E1544" s="52"/>
      <c r="F1544" s="52"/>
      <c r="G1544" s="52"/>
      <c r="H1544" s="52"/>
    </row>
    <row r="1545" spans="1:8" ht="15.75">
      <c r="A1545" s="119"/>
      <c r="B1545" s="88"/>
      <c r="C1545" s="52"/>
      <c r="D1545" s="52"/>
      <c r="E1545" s="52"/>
      <c r="F1545" s="52"/>
      <c r="G1545" s="52"/>
      <c r="H1545" s="52"/>
    </row>
    <row r="1546" spans="1:8" ht="15.75">
      <c r="A1546" s="119"/>
      <c r="B1546" s="88"/>
      <c r="C1546" s="52"/>
      <c r="D1546" s="52"/>
      <c r="E1546" s="52"/>
      <c r="F1546" s="52"/>
      <c r="G1546" s="52"/>
      <c r="H1546" s="52"/>
    </row>
    <row r="1547" spans="1:8" ht="15.75">
      <c r="A1547" s="119"/>
      <c r="B1547" s="88"/>
      <c r="C1547" s="52"/>
      <c r="D1547" s="52"/>
      <c r="E1547" s="52"/>
      <c r="F1547" s="52"/>
      <c r="G1547" s="52"/>
      <c r="H1547" s="52"/>
    </row>
    <row r="1548" spans="1:8" ht="15.75">
      <c r="A1548" s="119"/>
      <c r="B1548" s="88"/>
      <c r="C1548" s="52"/>
      <c r="D1548" s="52"/>
      <c r="E1548" s="52"/>
      <c r="F1548" s="52"/>
      <c r="G1548" s="52"/>
      <c r="H1548" s="52"/>
    </row>
    <row r="1549" spans="1:8" ht="15.75">
      <c r="A1549" s="119"/>
      <c r="B1549" s="88"/>
      <c r="C1549" s="52"/>
      <c r="D1549" s="52"/>
      <c r="E1549" s="52"/>
      <c r="F1549" s="52"/>
      <c r="G1549" s="52"/>
      <c r="H1549" s="52"/>
    </row>
    <row r="1550" spans="1:8" ht="15.75">
      <c r="A1550" s="119"/>
      <c r="B1550" s="88"/>
      <c r="C1550" s="52"/>
      <c r="D1550" s="52"/>
      <c r="E1550" s="52"/>
      <c r="F1550" s="52"/>
      <c r="G1550" s="52"/>
      <c r="H1550" s="52"/>
    </row>
    <row r="1551" spans="1:8" ht="15.75">
      <c r="A1551" s="119"/>
      <c r="B1551" s="88"/>
      <c r="C1551" s="52"/>
      <c r="D1551" s="52"/>
      <c r="E1551" s="52"/>
      <c r="F1551" s="52"/>
      <c r="G1551" s="52"/>
      <c r="H1551" s="52"/>
    </row>
    <row r="1552" spans="1:8" ht="15.75">
      <c r="A1552" s="119"/>
      <c r="B1552" s="88"/>
      <c r="C1552" s="52"/>
      <c r="D1552" s="52"/>
      <c r="E1552" s="52"/>
      <c r="F1552" s="52"/>
      <c r="G1552" s="52"/>
      <c r="H1552" s="52"/>
    </row>
    <row r="1553" spans="1:8" ht="15.75">
      <c r="A1553" s="119"/>
      <c r="B1553" s="88"/>
      <c r="C1553" s="52"/>
      <c r="D1553" s="52"/>
      <c r="E1553" s="52"/>
      <c r="F1553" s="52"/>
      <c r="G1553" s="52"/>
      <c r="H1553" s="52"/>
    </row>
    <row r="1554" spans="1:8" ht="15.75">
      <c r="A1554" s="119"/>
      <c r="B1554" s="88"/>
      <c r="C1554" s="52"/>
      <c r="D1554" s="52"/>
      <c r="E1554" s="52"/>
      <c r="F1554" s="52"/>
      <c r="G1554" s="52"/>
      <c r="H1554" s="52"/>
    </row>
    <row r="1555" spans="1:8" ht="15.75">
      <c r="A1555" s="119"/>
      <c r="B1555" s="88"/>
      <c r="C1555" s="52"/>
      <c r="D1555" s="52"/>
      <c r="E1555" s="52"/>
      <c r="F1555" s="52"/>
      <c r="G1555" s="52"/>
      <c r="H1555" s="52"/>
    </row>
    <row r="1556" spans="1:8" ht="15.75">
      <c r="A1556" s="119"/>
      <c r="B1556" s="88"/>
      <c r="C1556" s="52"/>
      <c r="D1556" s="52"/>
      <c r="E1556" s="52"/>
      <c r="F1556" s="52"/>
      <c r="G1556" s="52"/>
      <c r="H1556" s="52"/>
    </row>
    <row r="1557" spans="1:8" ht="15.75">
      <c r="A1557" s="119"/>
      <c r="B1557" s="88"/>
      <c r="C1557" s="52"/>
      <c r="D1557" s="52"/>
      <c r="E1557" s="52"/>
      <c r="F1557" s="52"/>
      <c r="G1557" s="52"/>
      <c r="H1557" s="52"/>
    </row>
    <row r="1558" spans="1:8" ht="15.75">
      <c r="A1558" s="119"/>
      <c r="B1558" s="88"/>
      <c r="C1558" s="52"/>
      <c r="D1558" s="52"/>
      <c r="E1558" s="52"/>
      <c r="F1558" s="52"/>
      <c r="G1558" s="52"/>
      <c r="H1558" s="52"/>
    </row>
    <row r="1559" spans="1:8" ht="15.75">
      <c r="A1559" s="119"/>
      <c r="B1559" s="88"/>
      <c r="C1559" s="52"/>
      <c r="D1559" s="52"/>
      <c r="E1559" s="52"/>
      <c r="F1559" s="52"/>
      <c r="G1559" s="52"/>
      <c r="H1559" s="52"/>
    </row>
    <row r="1560" spans="1:8" ht="15.75">
      <c r="A1560" s="119"/>
      <c r="B1560" s="88"/>
      <c r="C1560" s="52"/>
      <c r="D1560" s="52"/>
      <c r="E1560" s="52"/>
      <c r="F1560" s="52"/>
      <c r="G1560" s="52"/>
      <c r="H1560" s="52"/>
    </row>
    <row r="1561" spans="1:8" ht="15.75">
      <c r="A1561" s="119"/>
      <c r="B1561" s="88"/>
      <c r="C1561" s="52"/>
      <c r="D1561" s="52"/>
      <c r="E1561" s="52"/>
      <c r="F1561" s="52"/>
      <c r="G1561" s="52"/>
      <c r="H1561" s="52"/>
    </row>
    <row r="1562" spans="1:8" ht="15.75">
      <c r="A1562" s="119"/>
      <c r="B1562" s="88"/>
      <c r="C1562" s="52"/>
      <c r="D1562" s="52"/>
      <c r="E1562" s="52"/>
      <c r="F1562" s="52"/>
      <c r="G1562" s="52"/>
      <c r="H1562" s="52"/>
    </row>
    <row r="1563" spans="1:8" ht="15.75">
      <c r="A1563" s="119"/>
      <c r="B1563" s="88"/>
      <c r="C1563" s="52"/>
      <c r="D1563" s="52"/>
      <c r="E1563" s="52"/>
      <c r="F1563" s="52"/>
      <c r="G1563" s="52"/>
      <c r="H1563" s="52"/>
    </row>
    <row r="1564" spans="1:8" ht="15.75">
      <c r="A1564" s="119"/>
      <c r="B1564" s="88"/>
      <c r="C1564" s="52"/>
      <c r="D1564" s="52"/>
      <c r="E1564" s="52"/>
      <c r="F1564" s="52"/>
      <c r="G1564" s="52"/>
      <c r="H1564" s="52"/>
    </row>
    <row r="1565" spans="1:8" ht="15.75">
      <c r="A1565" s="119"/>
      <c r="B1565" s="88"/>
      <c r="C1565" s="52"/>
      <c r="D1565" s="52"/>
      <c r="E1565" s="52"/>
      <c r="F1565" s="52"/>
      <c r="G1565" s="52"/>
      <c r="H1565" s="52"/>
    </row>
    <row r="1566" spans="1:8" ht="15.75">
      <c r="A1566" s="119"/>
      <c r="B1566" s="88"/>
      <c r="C1566" s="52"/>
      <c r="D1566" s="52"/>
      <c r="E1566" s="52"/>
      <c r="F1566" s="52"/>
      <c r="G1566" s="52"/>
      <c r="H1566" s="52"/>
    </row>
    <row r="1567" spans="1:8" ht="15.75">
      <c r="A1567" s="119"/>
      <c r="B1567" s="88"/>
      <c r="C1567" s="52"/>
      <c r="D1567" s="52"/>
      <c r="E1567" s="52"/>
      <c r="F1567" s="52"/>
      <c r="G1567" s="52"/>
      <c r="H1567" s="52"/>
    </row>
    <row r="1568" spans="1:8" ht="15.75">
      <c r="A1568" s="119"/>
      <c r="B1568" s="88"/>
      <c r="C1568" s="52"/>
      <c r="D1568" s="52"/>
      <c r="E1568" s="52"/>
      <c r="F1568" s="52"/>
      <c r="G1568" s="52"/>
      <c r="H1568" s="52"/>
    </row>
    <row r="1569" spans="1:8" ht="15.75">
      <c r="A1569" s="119"/>
      <c r="B1569" s="88"/>
      <c r="C1569" s="52"/>
      <c r="D1569" s="52"/>
      <c r="E1569" s="52"/>
      <c r="F1569" s="52"/>
      <c r="G1569" s="52"/>
      <c r="H1569" s="52"/>
    </row>
    <row r="1570" spans="1:8" ht="15.75">
      <c r="A1570" s="119"/>
      <c r="B1570" s="88"/>
      <c r="C1570" s="52"/>
      <c r="D1570" s="52"/>
      <c r="E1570" s="52"/>
      <c r="F1570" s="52"/>
      <c r="G1570" s="52"/>
      <c r="H1570" s="52"/>
    </row>
    <row r="1571" spans="1:8" ht="15.75">
      <c r="A1571" s="119"/>
      <c r="B1571" s="88"/>
      <c r="C1571" s="52"/>
      <c r="D1571" s="52"/>
      <c r="E1571" s="52"/>
      <c r="F1571" s="52"/>
      <c r="G1571" s="52"/>
      <c r="H1571" s="52"/>
    </row>
    <row r="1572" spans="1:8" ht="15.75">
      <c r="A1572" s="119"/>
      <c r="B1572" s="88"/>
      <c r="C1572" s="52"/>
      <c r="D1572" s="52"/>
      <c r="E1572" s="52"/>
      <c r="F1572" s="52"/>
      <c r="G1572" s="52"/>
      <c r="H1572" s="52"/>
    </row>
    <row r="1573" spans="1:8" ht="15.75">
      <c r="A1573" s="119"/>
      <c r="B1573" s="88"/>
      <c r="C1573" s="52"/>
      <c r="D1573" s="52"/>
      <c r="E1573" s="52"/>
      <c r="F1573" s="52"/>
      <c r="G1573" s="52"/>
      <c r="H1573" s="52"/>
    </row>
    <row r="1574" spans="1:8" ht="15.75">
      <c r="A1574" s="119"/>
      <c r="B1574" s="88"/>
      <c r="C1574" s="52"/>
      <c r="D1574" s="52"/>
      <c r="E1574" s="52"/>
      <c r="F1574" s="52"/>
      <c r="G1574" s="52"/>
      <c r="H1574" s="52"/>
    </row>
    <row r="1575" spans="1:8" ht="15.75">
      <c r="A1575" s="119"/>
      <c r="B1575" s="88"/>
      <c r="C1575" s="52"/>
      <c r="D1575" s="52"/>
      <c r="E1575" s="52"/>
      <c r="F1575" s="52"/>
      <c r="G1575" s="52"/>
      <c r="H1575" s="52"/>
    </row>
    <row r="1576" spans="1:8" ht="15.75">
      <c r="A1576" s="119"/>
      <c r="B1576" s="88"/>
      <c r="C1576" s="52"/>
      <c r="D1576" s="52"/>
      <c r="E1576" s="52"/>
      <c r="F1576" s="52"/>
      <c r="G1576" s="52"/>
      <c r="H1576" s="52"/>
    </row>
    <row r="1577" spans="1:8" ht="15.75">
      <c r="A1577" s="119"/>
      <c r="B1577" s="88"/>
      <c r="C1577" s="52"/>
      <c r="D1577" s="52"/>
      <c r="E1577" s="52"/>
      <c r="F1577" s="52"/>
      <c r="G1577" s="52"/>
      <c r="H1577" s="52"/>
    </row>
    <row r="1578" spans="1:8" ht="15.75">
      <c r="A1578" s="119"/>
      <c r="B1578" s="88"/>
      <c r="C1578" s="52"/>
      <c r="D1578" s="52"/>
      <c r="E1578" s="52"/>
      <c r="F1578" s="52"/>
      <c r="G1578" s="52"/>
      <c r="H1578" s="52"/>
    </row>
    <row r="1579" spans="1:8" ht="15.75">
      <c r="A1579" s="119"/>
      <c r="B1579" s="88"/>
      <c r="C1579" s="52"/>
      <c r="D1579" s="52"/>
      <c r="E1579" s="52"/>
      <c r="F1579" s="52"/>
      <c r="G1579" s="52"/>
      <c r="H1579" s="52"/>
    </row>
    <row r="1580" spans="1:8" ht="15.75">
      <c r="A1580" s="119"/>
      <c r="B1580" s="88"/>
      <c r="C1580" s="52"/>
      <c r="D1580" s="52"/>
      <c r="E1580" s="52"/>
      <c r="F1580" s="52"/>
      <c r="G1580" s="52"/>
      <c r="H1580" s="52"/>
    </row>
    <row r="1581" spans="1:8" ht="15.75">
      <c r="A1581" s="119"/>
      <c r="B1581" s="88"/>
      <c r="C1581" s="52"/>
      <c r="D1581" s="52"/>
      <c r="E1581" s="52"/>
      <c r="F1581" s="52"/>
      <c r="G1581" s="52"/>
      <c r="H1581" s="52"/>
    </row>
    <row r="1582" spans="1:8" ht="15.75">
      <c r="A1582" s="119"/>
      <c r="B1582" s="88"/>
      <c r="C1582" s="52"/>
      <c r="D1582" s="52"/>
      <c r="E1582" s="52"/>
      <c r="F1582" s="52"/>
      <c r="G1582" s="52"/>
      <c r="H1582" s="52"/>
    </row>
    <row r="1583" spans="1:8" ht="15.75">
      <c r="A1583" s="119"/>
      <c r="B1583" s="88"/>
      <c r="C1583" s="52"/>
      <c r="D1583" s="52"/>
      <c r="E1583" s="52"/>
      <c r="F1583" s="52"/>
      <c r="G1583" s="52"/>
      <c r="H1583" s="52"/>
    </row>
    <row r="1584" spans="1:8" ht="15.75">
      <c r="A1584" s="119"/>
      <c r="B1584" s="88"/>
      <c r="C1584" s="52"/>
      <c r="D1584" s="52"/>
      <c r="E1584" s="52"/>
      <c r="F1584" s="52"/>
      <c r="G1584" s="52"/>
      <c r="H1584" s="52"/>
    </row>
    <row r="1585" spans="1:8" ht="15.75">
      <c r="A1585" s="119"/>
      <c r="B1585" s="88"/>
      <c r="C1585" s="52"/>
      <c r="D1585" s="52"/>
      <c r="E1585" s="52"/>
      <c r="F1585" s="52"/>
      <c r="G1585" s="52"/>
      <c r="H1585" s="52"/>
    </row>
    <row r="1586" spans="1:8" ht="15.75">
      <c r="A1586" s="119"/>
      <c r="B1586" s="88"/>
      <c r="C1586" s="52"/>
      <c r="D1586" s="52"/>
      <c r="E1586" s="52"/>
      <c r="F1586" s="52"/>
      <c r="G1586" s="52"/>
      <c r="H1586" s="52"/>
    </row>
    <row r="1587" spans="1:8" ht="15.75">
      <c r="A1587" s="119"/>
      <c r="B1587" s="88"/>
      <c r="C1587" s="52"/>
      <c r="D1587" s="52"/>
      <c r="E1587" s="52"/>
      <c r="F1587" s="52"/>
      <c r="G1587" s="52"/>
      <c r="H1587" s="52"/>
    </row>
    <row r="1588" spans="1:8" ht="15.75">
      <c r="A1588" s="119"/>
      <c r="B1588" s="88"/>
      <c r="C1588" s="52"/>
      <c r="D1588" s="52"/>
      <c r="E1588" s="52"/>
      <c r="F1588" s="52"/>
      <c r="G1588" s="52"/>
      <c r="H1588" s="52"/>
    </row>
    <row r="1589" spans="1:8" ht="15.75">
      <c r="A1589" s="119"/>
      <c r="B1589" s="88"/>
      <c r="C1589" s="52"/>
      <c r="D1589" s="52"/>
      <c r="E1589" s="52"/>
      <c r="F1589" s="52"/>
      <c r="G1589" s="52"/>
      <c r="H1589" s="52"/>
    </row>
    <row r="1590" spans="1:8" ht="15.75">
      <c r="A1590" s="119"/>
      <c r="B1590" s="88"/>
      <c r="C1590" s="52"/>
      <c r="D1590" s="52"/>
      <c r="E1590" s="52"/>
      <c r="F1590" s="52"/>
      <c r="G1590" s="52"/>
      <c r="H1590" s="52"/>
    </row>
    <row r="1591" spans="1:8" ht="15.75">
      <c r="A1591" s="119"/>
      <c r="B1591" s="88"/>
      <c r="C1591" s="52"/>
      <c r="D1591" s="52"/>
      <c r="E1591" s="52"/>
      <c r="F1591" s="52"/>
      <c r="G1591" s="52"/>
      <c r="H1591" s="52"/>
    </row>
    <row r="1592" spans="1:8" ht="15.75">
      <c r="A1592" s="119"/>
      <c r="B1592" s="88"/>
      <c r="C1592" s="52"/>
      <c r="D1592" s="52"/>
      <c r="E1592" s="52"/>
      <c r="F1592" s="52"/>
      <c r="G1592" s="52"/>
      <c r="H1592" s="52"/>
    </row>
    <row r="1593" spans="1:8" ht="15.75">
      <c r="A1593" s="119"/>
      <c r="B1593" s="88"/>
      <c r="C1593" s="52"/>
      <c r="D1593" s="52"/>
      <c r="E1593" s="52"/>
      <c r="F1593" s="52"/>
      <c r="G1593" s="52"/>
      <c r="H1593" s="52"/>
    </row>
    <row r="1594" spans="1:8" ht="15.75">
      <c r="A1594" s="119"/>
      <c r="B1594" s="88"/>
      <c r="C1594" s="52"/>
      <c r="D1594" s="52"/>
      <c r="E1594" s="52"/>
      <c r="F1594" s="52"/>
      <c r="G1594" s="52"/>
      <c r="H1594" s="52"/>
    </row>
    <row r="1595" spans="1:8" ht="15.75">
      <c r="A1595" s="119"/>
      <c r="B1595" s="88"/>
      <c r="C1595" s="52"/>
      <c r="D1595" s="52"/>
      <c r="E1595" s="52"/>
      <c r="F1595" s="52"/>
      <c r="G1595" s="52"/>
      <c r="H1595" s="52"/>
    </row>
    <row r="1596" spans="1:8" ht="15.75">
      <c r="A1596" s="119"/>
      <c r="B1596" s="88"/>
      <c r="C1596" s="52"/>
      <c r="D1596" s="52"/>
      <c r="E1596" s="52"/>
      <c r="F1596" s="52"/>
      <c r="G1596" s="52"/>
      <c r="H1596" s="52"/>
    </row>
    <row r="1597" spans="1:8" ht="15.75">
      <c r="A1597" s="119"/>
      <c r="B1597" s="88"/>
      <c r="C1597" s="52"/>
      <c r="D1597" s="52"/>
      <c r="E1597" s="52"/>
      <c r="F1597" s="52"/>
      <c r="G1597" s="52"/>
      <c r="H1597" s="52"/>
    </row>
    <row r="1598" spans="1:8" ht="15.75">
      <c r="A1598" s="119"/>
      <c r="B1598" s="88"/>
      <c r="C1598" s="52"/>
      <c r="D1598" s="52"/>
      <c r="E1598" s="52"/>
      <c r="F1598" s="52"/>
      <c r="G1598" s="52"/>
      <c r="H1598" s="52"/>
    </row>
    <row r="1599" spans="1:8" ht="15.75">
      <c r="A1599" s="119"/>
      <c r="B1599" s="88"/>
      <c r="C1599" s="52"/>
      <c r="D1599" s="52"/>
      <c r="E1599" s="52"/>
      <c r="F1599" s="52"/>
      <c r="G1599" s="52"/>
      <c r="H1599" s="52"/>
    </row>
    <row r="1600" spans="1:8" ht="15.75">
      <c r="A1600" s="119"/>
      <c r="B1600" s="88"/>
      <c r="C1600" s="52"/>
      <c r="D1600" s="52"/>
      <c r="E1600" s="52"/>
      <c r="F1600" s="52"/>
      <c r="G1600" s="52"/>
      <c r="H1600" s="52"/>
    </row>
    <row r="1601" spans="1:8" ht="15.75">
      <c r="A1601" s="119"/>
      <c r="B1601" s="88"/>
      <c r="C1601" s="52"/>
      <c r="D1601" s="52"/>
      <c r="E1601" s="52"/>
      <c r="F1601" s="52"/>
      <c r="G1601" s="52"/>
      <c r="H1601" s="52"/>
    </row>
    <row r="1602" spans="1:8" ht="15.75">
      <c r="A1602" s="119"/>
      <c r="B1602" s="88"/>
      <c r="C1602" s="52"/>
      <c r="D1602" s="52"/>
      <c r="E1602" s="52"/>
      <c r="F1602" s="52"/>
      <c r="G1602" s="52"/>
      <c r="H1602" s="52"/>
    </row>
    <row r="1603" spans="1:8" ht="15.75">
      <c r="A1603" s="119"/>
      <c r="B1603" s="88"/>
      <c r="C1603" s="52"/>
      <c r="D1603" s="52"/>
      <c r="E1603" s="52"/>
      <c r="F1603" s="52"/>
      <c r="G1603" s="52"/>
      <c r="H1603" s="52"/>
    </row>
    <row r="1604" spans="1:8" ht="15.75">
      <c r="A1604" s="119"/>
      <c r="B1604" s="88"/>
      <c r="C1604" s="52"/>
      <c r="D1604" s="52"/>
      <c r="E1604" s="52"/>
      <c r="F1604" s="52"/>
      <c r="G1604" s="52"/>
      <c r="H1604" s="52"/>
    </row>
    <row r="1605" spans="1:8" ht="15.75">
      <c r="A1605" s="119"/>
      <c r="B1605" s="88"/>
      <c r="C1605" s="52"/>
      <c r="D1605" s="52"/>
      <c r="E1605" s="52"/>
      <c r="F1605" s="52"/>
      <c r="G1605" s="52"/>
      <c r="H1605" s="52"/>
    </row>
    <row r="1606" spans="1:8" ht="15.75">
      <c r="A1606" s="119"/>
      <c r="B1606" s="88"/>
      <c r="C1606" s="52"/>
      <c r="D1606" s="52"/>
      <c r="E1606" s="52"/>
      <c r="F1606" s="52"/>
      <c r="G1606" s="52"/>
      <c r="H1606" s="52"/>
    </row>
    <row r="1607" spans="1:8" ht="15.75">
      <c r="A1607" s="119"/>
      <c r="B1607" s="88"/>
      <c r="C1607" s="52"/>
      <c r="D1607" s="52"/>
      <c r="E1607" s="52"/>
      <c r="F1607" s="52"/>
      <c r="G1607" s="52"/>
      <c r="H1607" s="52"/>
    </row>
    <row r="1608" spans="1:8" ht="15.75">
      <c r="A1608" s="119"/>
      <c r="B1608" s="88"/>
      <c r="C1608" s="52"/>
      <c r="D1608" s="52"/>
      <c r="E1608" s="52"/>
      <c r="F1608" s="52"/>
      <c r="G1608" s="52"/>
      <c r="H1608" s="52"/>
    </row>
    <row r="1609" spans="1:8" ht="15.75">
      <c r="A1609" s="119"/>
      <c r="B1609" s="88"/>
      <c r="C1609" s="52"/>
      <c r="D1609" s="52"/>
      <c r="E1609" s="52"/>
      <c r="F1609" s="52"/>
      <c r="G1609" s="52"/>
      <c r="H1609" s="52"/>
    </row>
    <row r="1610" spans="1:8" ht="15.75">
      <c r="A1610" s="119"/>
      <c r="B1610" s="88"/>
      <c r="C1610" s="52"/>
      <c r="D1610" s="52"/>
      <c r="E1610" s="52"/>
      <c r="F1610" s="52"/>
      <c r="G1610" s="52"/>
      <c r="H1610" s="52"/>
    </row>
    <row r="1611" spans="1:8" ht="15.75">
      <c r="A1611" s="119"/>
      <c r="B1611" s="88"/>
      <c r="C1611" s="52"/>
      <c r="D1611" s="52"/>
      <c r="E1611" s="52"/>
      <c r="F1611" s="52"/>
      <c r="G1611" s="52"/>
      <c r="H1611" s="52"/>
    </row>
    <row r="1612" spans="1:8" ht="15.75">
      <c r="A1612" s="119"/>
      <c r="B1612" s="88"/>
      <c r="C1612" s="52"/>
      <c r="D1612" s="52"/>
      <c r="E1612" s="52"/>
      <c r="F1612" s="52"/>
      <c r="G1612" s="52"/>
      <c r="H1612" s="52"/>
    </row>
    <row r="1613" spans="1:8" ht="15.75">
      <c r="A1613" s="119"/>
      <c r="B1613" s="88"/>
      <c r="C1613" s="52"/>
      <c r="D1613" s="52"/>
      <c r="E1613" s="52"/>
      <c r="F1613" s="52"/>
      <c r="G1613" s="52"/>
      <c r="H1613" s="52"/>
    </row>
    <row r="1614" spans="1:8" ht="15.75">
      <c r="A1614" s="119"/>
      <c r="B1614" s="88"/>
      <c r="C1614" s="52"/>
      <c r="D1614" s="52"/>
      <c r="E1614" s="52"/>
      <c r="F1614" s="52"/>
      <c r="G1614" s="52"/>
      <c r="H1614" s="52"/>
    </row>
    <row r="1615" spans="1:8" ht="15.75">
      <c r="A1615" s="119"/>
      <c r="B1615" s="88"/>
      <c r="C1615" s="52"/>
      <c r="D1615" s="52"/>
      <c r="E1615" s="52"/>
      <c r="F1615" s="52"/>
      <c r="G1615" s="52"/>
      <c r="H1615" s="52"/>
    </row>
    <row r="1616" spans="1:8" ht="15.75">
      <c r="A1616" s="119"/>
      <c r="B1616" s="88"/>
      <c r="C1616" s="52"/>
      <c r="D1616" s="52"/>
      <c r="E1616" s="52"/>
      <c r="F1616" s="52"/>
      <c r="G1616" s="52"/>
      <c r="H1616" s="52"/>
    </row>
    <row r="1617" spans="1:8" ht="15.75">
      <c r="A1617" s="119"/>
      <c r="B1617" s="88"/>
      <c r="C1617" s="52"/>
      <c r="D1617" s="52"/>
      <c r="E1617" s="52"/>
      <c r="F1617" s="52"/>
      <c r="G1617" s="52"/>
      <c r="H1617" s="52"/>
    </row>
    <row r="1618" spans="1:8" ht="15.75">
      <c r="A1618" s="119"/>
      <c r="B1618" s="88"/>
      <c r="C1618" s="52"/>
      <c r="D1618" s="52"/>
      <c r="E1618" s="52"/>
      <c r="F1618" s="52"/>
      <c r="G1618" s="52"/>
      <c r="H1618" s="52"/>
    </row>
    <row r="1619" spans="1:8" ht="15.75">
      <c r="A1619" s="119"/>
      <c r="B1619" s="88"/>
      <c r="C1619" s="52"/>
      <c r="D1619" s="52"/>
      <c r="E1619" s="52"/>
      <c r="F1619" s="52"/>
      <c r="G1619" s="52"/>
      <c r="H1619" s="52"/>
    </row>
    <row r="1620" spans="1:8" ht="15.75">
      <c r="A1620" s="119"/>
      <c r="B1620" s="88"/>
      <c r="C1620" s="52"/>
      <c r="D1620" s="52"/>
      <c r="E1620" s="52"/>
      <c r="F1620" s="52"/>
      <c r="G1620" s="52"/>
      <c r="H1620" s="52"/>
    </row>
    <row r="1621" spans="1:8" ht="15.75">
      <c r="A1621" s="119"/>
      <c r="B1621" s="88"/>
      <c r="C1621" s="52"/>
      <c r="D1621" s="52"/>
      <c r="E1621" s="52"/>
      <c r="F1621" s="52"/>
      <c r="G1621" s="52"/>
      <c r="H1621" s="52"/>
    </row>
    <row r="1622" spans="1:8" ht="15.75">
      <c r="A1622" s="119"/>
      <c r="B1622" s="88"/>
      <c r="C1622" s="52"/>
      <c r="D1622" s="52"/>
      <c r="E1622" s="52"/>
      <c r="F1622" s="52"/>
      <c r="G1622" s="52"/>
      <c r="H1622" s="52"/>
    </row>
    <row r="1623" spans="1:8" ht="15.75">
      <c r="A1623" s="119"/>
      <c r="B1623" s="88"/>
      <c r="C1623" s="52"/>
      <c r="D1623" s="52"/>
      <c r="E1623" s="52"/>
      <c r="F1623" s="52"/>
      <c r="G1623" s="52"/>
      <c r="H1623" s="52"/>
    </row>
    <row r="1624" spans="1:8" ht="15.75">
      <c r="A1624" s="119"/>
      <c r="B1624" s="88"/>
      <c r="C1624" s="52"/>
      <c r="D1624" s="52"/>
      <c r="E1624" s="52"/>
      <c r="F1624" s="52"/>
      <c r="G1624" s="52"/>
      <c r="H1624" s="52"/>
    </row>
    <row r="1625" spans="1:8" ht="15.75">
      <c r="A1625" s="119"/>
      <c r="B1625" s="88"/>
      <c r="C1625" s="52"/>
      <c r="D1625" s="52"/>
      <c r="E1625" s="52"/>
      <c r="F1625" s="52"/>
      <c r="G1625" s="52"/>
      <c r="H1625" s="52"/>
    </row>
    <row r="1626" spans="1:8" ht="15.75">
      <c r="A1626" s="119"/>
      <c r="B1626" s="88"/>
      <c r="C1626" s="52"/>
      <c r="D1626" s="52"/>
      <c r="E1626" s="52"/>
      <c r="F1626" s="52"/>
      <c r="G1626" s="52"/>
      <c r="H1626" s="52"/>
    </row>
    <row r="1627" spans="1:8" ht="15.75">
      <c r="A1627" s="119"/>
      <c r="B1627" s="88"/>
      <c r="C1627" s="52"/>
      <c r="D1627" s="52"/>
      <c r="E1627" s="52"/>
      <c r="F1627" s="52"/>
      <c r="G1627" s="52"/>
      <c r="H1627" s="52"/>
    </row>
    <row r="1628" spans="1:8" ht="15.75">
      <c r="A1628" s="119"/>
      <c r="B1628" s="88"/>
      <c r="C1628" s="52"/>
      <c r="D1628" s="52"/>
      <c r="E1628" s="52"/>
      <c r="F1628" s="52"/>
      <c r="G1628" s="52"/>
      <c r="H1628" s="52"/>
    </row>
    <row r="1629" spans="1:8" ht="15.75">
      <c r="A1629" s="119"/>
      <c r="B1629" s="88"/>
      <c r="C1629" s="52"/>
      <c r="D1629" s="52"/>
      <c r="E1629" s="52"/>
      <c r="F1629" s="52"/>
      <c r="G1629" s="52"/>
      <c r="H1629" s="52"/>
    </row>
    <row r="1630" spans="1:8" ht="15.75">
      <c r="A1630" s="119"/>
      <c r="B1630" s="88"/>
      <c r="C1630" s="52"/>
      <c r="D1630" s="52"/>
      <c r="E1630" s="52"/>
      <c r="F1630" s="52"/>
      <c r="G1630" s="52"/>
      <c r="H1630" s="52"/>
    </row>
    <row r="1631" spans="1:8" ht="15.75">
      <c r="A1631" s="119"/>
      <c r="B1631" s="88"/>
      <c r="C1631" s="52"/>
      <c r="D1631" s="52"/>
      <c r="E1631" s="52"/>
      <c r="F1631" s="52"/>
      <c r="G1631" s="52"/>
      <c r="H1631" s="52"/>
    </row>
    <row r="1632" spans="1:8" ht="15.75">
      <c r="A1632" s="119"/>
      <c r="B1632" s="88"/>
      <c r="C1632" s="52"/>
      <c r="D1632" s="52"/>
      <c r="E1632" s="52"/>
      <c r="F1632" s="52"/>
      <c r="G1632" s="52"/>
      <c r="H1632" s="52"/>
    </row>
    <row r="1633" spans="1:8" ht="15.75">
      <c r="A1633" s="119"/>
      <c r="B1633" s="88"/>
      <c r="C1633" s="52"/>
      <c r="D1633" s="52"/>
      <c r="E1633" s="52"/>
      <c r="F1633" s="52"/>
      <c r="G1633" s="52"/>
      <c r="H1633" s="52"/>
    </row>
    <row r="1634" spans="1:8" ht="15.75">
      <c r="A1634" s="119"/>
      <c r="B1634" s="88"/>
      <c r="C1634" s="52"/>
      <c r="D1634" s="52"/>
      <c r="E1634" s="52"/>
      <c r="F1634" s="52"/>
      <c r="G1634" s="52"/>
      <c r="H1634" s="52"/>
    </row>
    <row r="1635" spans="1:8" ht="15.75">
      <c r="A1635" s="119"/>
      <c r="B1635" s="88"/>
      <c r="C1635" s="52"/>
      <c r="D1635" s="52"/>
      <c r="E1635" s="52"/>
      <c r="F1635" s="52"/>
      <c r="G1635" s="52"/>
      <c r="H1635" s="52"/>
    </row>
    <row r="1636" spans="1:8" ht="15.75">
      <c r="A1636" s="119"/>
      <c r="B1636" s="88"/>
      <c r="C1636" s="52"/>
      <c r="D1636" s="52"/>
      <c r="E1636" s="52"/>
      <c r="F1636" s="52"/>
      <c r="G1636" s="52"/>
      <c r="H1636" s="52"/>
    </row>
    <row r="1637" spans="1:8" ht="15.75">
      <c r="A1637" s="119"/>
      <c r="B1637" s="88"/>
      <c r="C1637" s="52"/>
      <c r="D1637" s="52"/>
      <c r="E1637" s="52"/>
      <c r="F1637" s="52"/>
      <c r="G1637" s="52"/>
      <c r="H1637" s="52"/>
    </row>
    <row r="1638" spans="1:8" ht="15.75">
      <c r="A1638" s="119"/>
      <c r="B1638" s="88"/>
      <c r="C1638" s="52"/>
      <c r="D1638" s="52"/>
      <c r="E1638" s="52"/>
      <c r="F1638" s="52"/>
      <c r="G1638" s="52"/>
      <c r="H1638" s="52"/>
    </row>
    <row r="1639" spans="1:8" ht="15.75">
      <c r="A1639" s="119"/>
      <c r="B1639" s="88"/>
      <c r="C1639" s="52"/>
      <c r="D1639" s="52"/>
      <c r="E1639" s="52"/>
      <c r="F1639" s="52"/>
      <c r="G1639" s="52"/>
      <c r="H1639" s="52"/>
    </row>
    <row r="1640" spans="1:8" ht="15.75">
      <c r="A1640" s="119"/>
      <c r="B1640" s="88"/>
      <c r="C1640" s="52"/>
      <c r="D1640" s="52"/>
      <c r="E1640" s="52"/>
      <c r="F1640" s="52"/>
      <c r="G1640" s="52"/>
      <c r="H1640" s="52"/>
    </row>
    <row r="1641" spans="1:8" ht="15.75">
      <c r="A1641" s="119"/>
      <c r="B1641" s="88"/>
      <c r="C1641" s="52"/>
      <c r="D1641" s="52"/>
      <c r="E1641" s="52"/>
      <c r="F1641" s="52"/>
      <c r="G1641" s="52"/>
      <c r="H1641" s="52"/>
    </row>
    <row r="1642" spans="1:8" ht="15.75">
      <c r="A1642" s="119"/>
      <c r="B1642" s="88"/>
      <c r="C1642" s="52"/>
      <c r="D1642" s="52"/>
      <c r="E1642" s="52"/>
      <c r="F1642" s="52"/>
      <c r="G1642" s="52"/>
      <c r="H1642" s="52"/>
    </row>
    <row r="1643" spans="1:8" ht="15.75">
      <c r="A1643" s="119"/>
      <c r="B1643" s="88"/>
      <c r="C1643" s="52"/>
      <c r="D1643" s="52"/>
      <c r="E1643" s="52"/>
      <c r="F1643" s="52"/>
      <c r="G1643" s="52"/>
      <c r="H1643" s="52"/>
    </row>
    <row r="1644" spans="1:8" ht="15.75">
      <c r="A1644" s="119"/>
      <c r="B1644" s="88"/>
      <c r="C1644" s="52"/>
      <c r="D1644" s="52"/>
      <c r="E1644" s="52"/>
      <c r="F1644" s="52"/>
      <c r="G1644" s="52"/>
      <c r="H1644" s="52"/>
    </row>
    <row r="1645" spans="1:8" ht="15.75">
      <c r="A1645" s="119"/>
      <c r="B1645" s="88"/>
      <c r="C1645" s="52"/>
      <c r="D1645" s="52"/>
      <c r="E1645" s="52"/>
      <c r="F1645" s="52"/>
      <c r="G1645" s="52"/>
      <c r="H1645" s="52"/>
    </row>
    <row r="1646" spans="1:8" ht="15.75">
      <c r="A1646" s="119"/>
      <c r="B1646" s="88"/>
      <c r="C1646" s="52"/>
      <c r="D1646" s="52"/>
      <c r="E1646" s="52"/>
      <c r="F1646" s="52"/>
      <c r="G1646" s="52"/>
      <c r="H1646" s="52"/>
    </row>
    <row r="1647" spans="1:8" ht="15.75">
      <c r="A1647" s="119"/>
      <c r="B1647" s="88"/>
      <c r="C1647" s="52"/>
      <c r="D1647" s="52"/>
      <c r="E1647" s="52"/>
      <c r="F1647" s="52"/>
      <c r="G1647" s="52"/>
      <c r="H1647" s="52"/>
    </row>
    <row r="1648" spans="1:8" ht="15.75">
      <c r="A1648" s="119"/>
      <c r="B1648" s="88"/>
      <c r="C1648" s="52"/>
      <c r="D1648" s="52"/>
      <c r="E1648" s="52"/>
      <c r="F1648" s="52"/>
      <c r="G1648" s="52"/>
      <c r="H1648" s="52"/>
    </row>
    <row r="1649" spans="1:8" ht="15.75">
      <c r="A1649" s="119"/>
      <c r="B1649" s="88"/>
      <c r="C1649" s="52"/>
      <c r="D1649" s="52"/>
      <c r="E1649" s="52"/>
      <c r="F1649" s="52"/>
      <c r="G1649" s="52"/>
      <c r="H1649" s="52"/>
    </row>
    <row r="1650" spans="1:8" ht="15.75">
      <c r="A1650" s="119"/>
      <c r="B1650" s="88"/>
      <c r="C1650" s="52"/>
      <c r="D1650" s="52"/>
      <c r="E1650" s="52"/>
      <c r="F1650" s="52"/>
      <c r="G1650" s="52"/>
      <c r="H1650" s="52"/>
    </row>
    <row r="1651" spans="1:8" ht="15.75">
      <c r="A1651" s="119"/>
      <c r="B1651" s="88"/>
      <c r="C1651" s="52"/>
      <c r="D1651" s="52"/>
      <c r="E1651" s="52"/>
      <c r="F1651" s="52"/>
      <c r="G1651" s="52"/>
      <c r="H1651" s="52"/>
    </row>
    <row r="1652" spans="1:8" ht="15.75">
      <c r="A1652" s="119"/>
      <c r="B1652" s="88"/>
      <c r="C1652" s="52"/>
      <c r="D1652" s="52"/>
      <c r="E1652" s="52"/>
      <c r="F1652" s="52"/>
      <c r="G1652" s="52"/>
      <c r="H1652" s="52"/>
    </row>
    <row r="1653" spans="1:8" ht="15.75">
      <c r="A1653" s="119"/>
      <c r="B1653" s="88"/>
      <c r="C1653" s="52"/>
      <c r="D1653" s="52"/>
      <c r="E1653" s="52"/>
      <c r="F1653" s="52"/>
      <c r="G1653" s="52"/>
      <c r="H1653" s="52"/>
    </row>
    <row r="1654" spans="1:8" ht="15.75">
      <c r="A1654" s="119"/>
      <c r="B1654" s="88"/>
      <c r="C1654" s="52"/>
      <c r="D1654" s="52"/>
      <c r="E1654" s="52"/>
      <c r="F1654" s="52"/>
      <c r="G1654" s="52"/>
      <c r="H1654" s="52"/>
    </row>
    <row r="1655" spans="1:8" ht="15.75">
      <c r="A1655" s="119"/>
      <c r="B1655" s="88"/>
      <c r="C1655" s="52"/>
      <c r="D1655" s="52"/>
      <c r="E1655" s="52"/>
      <c r="F1655" s="52"/>
      <c r="G1655" s="52"/>
      <c r="H1655" s="52"/>
    </row>
    <row r="1656" spans="1:8" ht="15.75">
      <c r="A1656" s="119"/>
      <c r="B1656" s="88"/>
      <c r="C1656" s="52"/>
      <c r="D1656" s="52"/>
      <c r="E1656" s="52"/>
      <c r="F1656" s="52"/>
      <c r="G1656" s="52"/>
      <c r="H1656" s="52"/>
    </row>
    <row r="1657" spans="1:8" ht="15.75">
      <c r="A1657" s="119"/>
      <c r="B1657" s="88"/>
      <c r="C1657" s="52"/>
      <c r="D1657" s="52"/>
      <c r="E1657" s="52"/>
      <c r="F1657" s="52"/>
      <c r="G1657" s="52"/>
      <c r="H1657" s="52"/>
    </row>
    <row r="1658" spans="1:8" ht="15.75">
      <c r="A1658" s="119"/>
      <c r="B1658" s="88"/>
      <c r="C1658" s="52"/>
      <c r="D1658" s="52"/>
      <c r="E1658" s="52"/>
      <c r="F1658" s="52"/>
      <c r="G1658" s="52"/>
      <c r="H1658" s="52"/>
    </row>
    <row r="1659" spans="1:8" ht="15.75">
      <c r="A1659" s="119"/>
      <c r="B1659" s="88"/>
      <c r="C1659" s="52"/>
      <c r="D1659" s="52"/>
      <c r="E1659" s="52"/>
      <c r="F1659" s="52"/>
      <c r="G1659" s="52"/>
      <c r="H1659" s="52"/>
    </row>
    <row r="1660" spans="1:8" ht="15.75">
      <c r="A1660" s="119"/>
      <c r="B1660" s="88"/>
      <c r="C1660" s="52"/>
      <c r="D1660" s="52"/>
      <c r="E1660" s="52"/>
      <c r="F1660" s="52"/>
      <c r="G1660" s="52"/>
      <c r="H1660" s="52"/>
    </row>
    <row r="1661" spans="1:8" ht="15.75">
      <c r="A1661" s="119"/>
      <c r="B1661" s="88"/>
      <c r="C1661" s="52"/>
      <c r="D1661" s="52"/>
      <c r="E1661" s="52"/>
      <c r="F1661" s="52"/>
      <c r="G1661" s="52"/>
      <c r="H1661" s="52"/>
    </row>
    <row r="1662" spans="1:8" ht="15.75">
      <c r="A1662" s="119"/>
      <c r="B1662" s="88"/>
      <c r="C1662" s="52"/>
      <c r="D1662" s="52"/>
      <c r="E1662" s="52"/>
      <c r="F1662" s="52"/>
      <c r="G1662" s="52"/>
      <c r="H1662" s="52"/>
    </row>
    <row r="1663" spans="1:8" ht="15.75">
      <c r="A1663" s="119"/>
      <c r="B1663" s="88"/>
      <c r="C1663" s="52"/>
      <c r="D1663" s="52"/>
      <c r="E1663" s="52"/>
      <c r="F1663" s="52"/>
      <c r="G1663" s="52"/>
      <c r="H1663" s="52"/>
    </row>
    <row r="1664" spans="1:8" ht="15.75">
      <c r="A1664" s="119"/>
      <c r="B1664" s="88"/>
      <c r="C1664" s="52"/>
      <c r="D1664" s="52"/>
      <c r="E1664" s="52"/>
      <c r="F1664" s="52"/>
      <c r="G1664" s="52"/>
      <c r="H1664" s="52"/>
    </row>
    <row r="1665" spans="1:8" ht="15.75">
      <c r="A1665" s="119"/>
      <c r="B1665" s="88"/>
      <c r="C1665" s="52"/>
      <c r="D1665" s="52"/>
      <c r="E1665" s="52"/>
      <c r="F1665" s="52"/>
      <c r="G1665" s="52"/>
      <c r="H1665" s="52"/>
    </row>
    <row r="1666" spans="1:8" ht="15.75">
      <c r="A1666" s="119"/>
      <c r="B1666" s="88"/>
      <c r="C1666" s="52"/>
      <c r="D1666" s="52"/>
      <c r="E1666" s="52"/>
      <c r="F1666" s="52"/>
      <c r="G1666" s="52"/>
      <c r="H1666" s="52"/>
    </row>
    <row r="1667" spans="1:8" ht="15.75">
      <c r="A1667" s="119"/>
      <c r="B1667" s="88"/>
      <c r="C1667" s="52"/>
      <c r="D1667" s="52"/>
      <c r="E1667" s="52"/>
      <c r="F1667" s="52"/>
      <c r="G1667" s="52"/>
      <c r="H1667" s="52"/>
    </row>
    <row r="1668" spans="1:8" ht="15.75">
      <c r="A1668" s="119"/>
      <c r="B1668" s="88"/>
      <c r="C1668" s="52"/>
      <c r="D1668" s="52"/>
      <c r="E1668" s="52"/>
      <c r="F1668" s="52"/>
      <c r="G1668" s="52"/>
      <c r="H1668" s="52"/>
    </row>
    <row r="1669" spans="1:8" ht="15.75">
      <c r="A1669" s="119"/>
      <c r="B1669" s="88"/>
      <c r="C1669" s="52"/>
      <c r="D1669" s="52"/>
      <c r="E1669" s="52"/>
      <c r="F1669" s="52"/>
      <c r="G1669" s="52"/>
      <c r="H1669" s="52"/>
    </row>
    <row r="1670" spans="1:8" ht="15.75">
      <c r="A1670" s="119"/>
      <c r="B1670" s="88"/>
      <c r="C1670" s="52"/>
      <c r="D1670" s="52"/>
      <c r="E1670" s="52"/>
      <c r="F1670" s="52"/>
      <c r="G1670" s="52"/>
      <c r="H1670" s="52"/>
    </row>
    <row r="1671" spans="1:8" ht="15.75">
      <c r="A1671" s="119"/>
      <c r="B1671" s="88"/>
      <c r="C1671" s="52"/>
      <c r="D1671" s="52"/>
      <c r="E1671" s="52"/>
      <c r="F1671" s="52"/>
      <c r="G1671" s="52"/>
      <c r="H1671" s="52"/>
    </row>
    <row r="1672" spans="1:8" ht="15.75">
      <c r="A1672" s="119"/>
      <c r="B1672" s="88"/>
      <c r="C1672" s="52"/>
      <c r="D1672" s="52"/>
      <c r="E1672" s="52"/>
      <c r="F1672" s="52"/>
      <c r="G1672" s="52"/>
      <c r="H1672" s="52"/>
    </row>
    <row r="1673" spans="1:8" ht="15.75">
      <c r="A1673" s="119"/>
      <c r="B1673" s="88"/>
      <c r="C1673" s="52"/>
      <c r="D1673" s="52"/>
      <c r="E1673" s="52"/>
      <c r="F1673" s="52"/>
      <c r="G1673" s="52"/>
      <c r="H1673" s="52"/>
    </row>
    <row r="1674" spans="1:8" ht="15.75">
      <c r="A1674" s="119"/>
      <c r="B1674" s="88"/>
      <c r="C1674" s="52"/>
      <c r="D1674" s="52"/>
      <c r="E1674" s="52"/>
      <c r="F1674" s="52"/>
      <c r="G1674" s="52"/>
      <c r="H1674" s="52"/>
    </row>
    <row r="1675" spans="1:8" ht="15.75">
      <c r="A1675" s="119"/>
      <c r="B1675" s="88"/>
      <c r="C1675" s="52"/>
      <c r="D1675" s="52"/>
      <c r="E1675" s="52"/>
      <c r="F1675" s="52"/>
      <c r="G1675" s="52"/>
      <c r="H1675" s="52"/>
    </row>
    <row r="1676" spans="1:8" ht="15.75">
      <c r="A1676" s="119"/>
      <c r="B1676" s="88"/>
      <c r="C1676" s="52"/>
      <c r="D1676" s="52"/>
      <c r="E1676" s="52"/>
      <c r="F1676" s="52"/>
      <c r="G1676" s="52"/>
      <c r="H1676" s="52"/>
    </row>
    <row r="1677" spans="1:8" ht="15.75">
      <c r="A1677" s="119"/>
      <c r="B1677" s="88"/>
      <c r="C1677" s="52"/>
      <c r="D1677" s="52"/>
      <c r="E1677" s="52"/>
      <c r="F1677" s="52"/>
      <c r="G1677" s="52"/>
      <c r="H1677" s="52"/>
    </row>
    <row r="1678" spans="1:8" ht="15.75">
      <c r="A1678" s="119"/>
      <c r="B1678" s="88"/>
      <c r="C1678" s="52"/>
      <c r="D1678" s="52"/>
      <c r="E1678" s="52"/>
      <c r="F1678" s="52"/>
      <c r="G1678" s="52"/>
      <c r="H1678" s="52"/>
    </row>
    <row r="1679" spans="1:8" ht="15.75">
      <c r="A1679" s="119"/>
      <c r="B1679" s="88"/>
      <c r="C1679" s="52"/>
      <c r="D1679" s="52"/>
      <c r="E1679" s="52"/>
      <c r="F1679" s="52"/>
      <c r="G1679" s="52"/>
      <c r="H1679" s="52"/>
    </row>
    <row r="1680" spans="1:8" ht="15.75">
      <c r="A1680" s="119"/>
      <c r="B1680" s="88"/>
      <c r="C1680" s="52"/>
      <c r="D1680" s="52"/>
      <c r="E1680" s="52"/>
      <c r="F1680" s="52"/>
      <c r="G1680" s="52"/>
      <c r="H1680" s="52"/>
    </row>
    <row r="1681" spans="1:8" ht="15.75">
      <c r="A1681" s="119"/>
      <c r="B1681" s="88"/>
      <c r="C1681" s="52"/>
      <c r="D1681" s="52"/>
      <c r="E1681" s="52"/>
      <c r="F1681" s="52"/>
      <c r="G1681" s="52"/>
      <c r="H1681" s="52"/>
    </row>
    <row r="1682" spans="1:8" ht="15.75">
      <c r="A1682" s="119"/>
      <c r="B1682" s="88"/>
      <c r="C1682" s="52"/>
      <c r="D1682" s="52"/>
      <c r="E1682" s="52"/>
      <c r="F1682" s="52"/>
      <c r="G1682" s="52"/>
      <c r="H1682" s="52"/>
    </row>
    <row r="1683" spans="1:8" ht="15.75">
      <c r="A1683" s="119"/>
      <c r="B1683" s="88"/>
      <c r="C1683" s="52"/>
      <c r="D1683" s="52"/>
      <c r="E1683" s="52"/>
      <c r="F1683" s="52"/>
      <c r="G1683" s="52"/>
      <c r="H1683" s="52"/>
    </row>
    <row r="1684" spans="1:8" ht="15.75">
      <c r="A1684" s="119"/>
      <c r="B1684" s="88"/>
      <c r="C1684" s="52"/>
      <c r="D1684" s="52"/>
      <c r="E1684" s="52"/>
      <c r="F1684" s="52"/>
      <c r="G1684" s="52"/>
      <c r="H1684" s="52"/>
    </row>
    <row r="1685" spans="1:8" ht="15.75">
      <c r="A1685" s="119"/>
      <c r="B1685" s="88"/>
      <c r="C1685" s="52"/>
      <c r="D1685" s="52"/>
      <c r="E1685" s="52"/>
      <c r="F1685" s="52"/>
      <c r="G1685" s="52"/>
      <c r="H1685" s="52"/>
    </row>
    <row r="1686" spans="1:8" ht="15.75">
      <c r="A1686" s="119"/>
      <c r="B1686" s="88"/>
      <c r="C1686" s="52"/>
      <c r="D1686" s="52"/>
      <c r="E1686" s="52"/>
      <c r="F1686" s="52"/>
      <c r="G1686" s="52"/>
      <c r="H1686" s="52"/>
    </row>
    <row r="1687" spans="1:8" ht="15.75">
      <c r="A1687" s="119"/>
      <c r="B1687" s="88"/>
      <c r="C1687" s="52"/>
      <c r="D1687" s="52"/>
      <c r="E1687" s="52"/>
      <c r="F1687" s="52"/>
      <c r="G1687" s="52"/>
      <c r="H1687" s="52"/>
    </row>
    <row r="1688" spans="1:8" ht="15.75">
      <c r="A1688" s="119"/>
      <c r="B1688" s="88"/>
      <c r="C1688" s="52"/>
      <c r="D1688" s="52"/>
      <c r="E1688" s="52"/>
      <c r="F1688" s="52"/>
      <c r="G1688" s="52"/>
      <c r="H1688" s="52"/>
    </row>
    <row r="1689" spans="1:8" ht="15.75">
      <c r="A1689" s="119"/>
      <c r="B1689" s="88"/>
      <c r="C1689" s="52"/>
      <c r="D1689" s="52"/>
      <c r="E1689" s="52"/>
      <c r="F1689" s="52"/>
      <c r="G1689" s="52"/>
      <c r="H1689" s="52"/>
    </row>
    <row r="1690" spans="1:8" ht="15.75">
      <c r="A1690" s="119"/>
      <c r="B1690" s="88"/>
      <c r="C1690" s="52"/>
      <c r="D1690" s="52"/>
      <c r="E1690" s="52"/>
      <c r="F1690" s="52"/>
      <c r="G1690" s="52"/>
      <c r="H1690" s="52"/>
    </row>
    <row r="1691" spans="1:8" ht="15.75">
      <c r="A1691" s="119"/>
      <c r="B1691" s="88"/>
      <c r="C1691" s="52"/>
      <c r="D1691" s="52"/>
      <c r="E1691" s="52"/>
      <c r="F1691" s="52"/>
      <c r="G1691" s="52"/>
      <c r="H1691" s="52"/>
    </row>
    <row r="1692" spans="1:8" ht="15.75">
      <c r="A1692" s="119"/>
      <c r="B1692" s="88"/>
      <c r="C1692" s="52"/>
      <c r="D1692" s="52"/>
      <c r="E1692" s="52"/>
      <c r="F1692" s="52"/>
      <c r="G1692" s="52"/>
      <c r="H1692" s="52"/>
    </row>
    <row r="1693" spans="1:8" ht="15.75">
      <c r="A1693" s="119"/>
      <c r="B1693" s="88"/>
      <c r="C1693" s="52"/>
      <c r="D1693" s="52"/>
      <c r="E1693" s="52"/>
      <c r="F1693" s="52"/>
      <c r="G1693" s="52"/>
      <c r="H1693" s="52"/>
    </row>
    <row r="1694" spans="1:8" ht="15.75">
      <c r="A1694" s="119"/>
      <c r="B1694" s="88"/>
      <c r="C1694" s="52"/>
      <c r="D1694" s="52"/>
      <c r="E1694" s="52"/>
      <c r="F1694" s="52"/>
      <c r="G1694" s="52"/>
      <c r="H1694" s="52"/>
    </row>
    <row r="1695" spans="1:8" ht="15.75">
      <c r="A1695" s="119"/>
      <c r="B1695" s="88"/>
      <c r="C1695" s="52"/>
      <c r="D1695" s="52"/>
      <c r="E1695" s="52"/>
      <c r="F1695" s="52"/>
      <c r="G1695" s="52"/>
      <c r="H1695" s="52"/>
    </row>
    <row r="1696" spans="1:8" ht="15.75">
      <c r="A1696" s="119"/>
      <c r="B1696" s="88"/>
      <c r="C1696" s="52"/>
      <c r="D1696" s="52"/>
      <c r="E1696" s="52"/>
      <c r="F1696" s="52"/>
      <c r="G1696" s="52"/>
      <c r="H1696" s="52"/>
    </row>
    <row r="1697" spans="1:8" ht="15.75">
      <c r="A1697" s="119"/>
      <c r="B1697" s="88"/>
      <c r="C1697" s="52"/>
      <c r="D1697" s="52"/>
      <c r="E1697" s="52"/>
      <c r="F1697" s="52"/>
      <c r="G1697" s="52"/>
      <c r="H1697" s="52"/>
    </row>
    <row r="1698" spans="1:8" ht="15.75">
      <c r="A1698" s="119"/>
      <c r="B1698" s="88"/>
      <c r="C1698" s="52"/>
      <c r="D1698" s="52"/>
      <c r="E1698" s="52"/>
      <c r="F1698" s="52"/>
      <c r="G1698" s="52"/>
      <c r="H1698" s="52"/>
    </row>
    <row r="1699" spans="1:8" ht="15.75">
      <c r="A1699" s="119"/>
      <c r="B1699" s="88"/>
      <c r="C1699" s="52"/>
      <c r="D1699" s="52"/>
      <c r="E1699" s="52"/>
      <c r="F1699" s="52"/>
      <c r="G1699" s="52"/>
      <c r="H1699" s="52"/>
    </row>
    <row r="1700" spans="1:8" ht="15.75">
      <c r="A1700" s="119"/>
      <c r="B1700" s="88"/>
      <c r="C1700" s="52"/>
      <c r="D1700" s="52"/>
      <c r="E1700" s="52"/>
      <c r="F1700" s="52"/>
      <c r="G1700" s="52"/>
      <c r="H1700" s="52"/>
    </row>
    <row r="1701" spans="1:8" ht="15.75">
      <c r="A1701" s="119"/>
      <c r="B1701" s="88"/>
      <c r="C1701" s="52"/>
      <c r="D1701" s="52"/>
      <c r="E1701" s="52"/>
      <c r="F1701" s="52"/>
      <c r="G1701" s="52"/>
      <c r="H1701" s="52"/>
    </row>
    <row r="1702" spans="1:8" ht="15.75">
      <c r="A1702" s="119"/>
      <c r="B1702" s="88"/>
      <c r="C1702" s="52"/>
      <c r="D1702" s="52"/>
      <c r="E1702" s="52"/>
      <c r="F1702" s="52"/>
      <c r="G1702" s="52"/>
      <c r="H1702" s="52"/>
    </row>
    <row r="1703" spans="1:8" ht="15.75">
      <c r="A1703" s="119"/>
      <c r="B1703" s="88"/>
      <c r="C1703" s="52"/>
      <c r="D1703" s="52"/>
      <c r="E1703" s="52"/>
      <c r="F1703" s="52"/>
      <c r="G1703" s="52"/>
      <c r="H1703" s="52"/>
    </row>
    <row r="1704" spans="1:8" ht="15.75">
      <c r="A1704" s="119"/>
      <c r="B1704" s="88"/>
      <c r="C1704" s="52"/>
      <c r="D1704" s="52"/>
      <c r="E1704" s="52"/>
      <c r="F1704" s="52"/>
      <c r="G1704" s="52"/>
      <c r="H1704" s="52"/>
    </row>
    <row r="1705" spans="1:8" ht="15.75">
      <c r="A1705" s="119"/>
      <c r="B1705" s="88"/>
      <c r="C1705" s="52"/>
      <c r="D1705" s="52"/>
      <c r="E1705" s="52"/>
      <c r="F1705" s="52"/>
      <c r="G1705" s="52"/>
      <c r="H1705" s="52"/>
    </row>
    <row r="1706" spans="1:8" ht="15.75">
      <c r="A1706" s="119"/>
      <c r="B1706" s="88"/>
      <c r="C1706" s="52"/>
      <c r="D1706" s="52"/>
      <c r="E1706" s="52"/>
      <c r="F1706" s="52"/>
      <c r="G1706" s="52"/>
      <c r="H1706" s="52"/>
    </row>
    <row r="1707" spans="1:8" ht="15.75">
      <c r="A1707" s="119"/>
      <c r="B1707" s="88"/>
      <c r="C1707" s="52"/>
      <c r="D1707" s="52"/>
      <c r="E1707" s="52"/>
      <c r="F1707" s="52"/>
      <c r="G1707" s="52"/>
      <c r="H1707" s="52"/>
    </row>
    <row r="1708" spans="1:8" ht="15.75">
      <c r="A1708" s="119"/>
      <c r="B1708" s="88"/>
      <c r="C1708" s="52"/>
      <c r="D1708" s="52"/>
      <c r="E1708" s="52"/>
      <c r="F1708" s="52"/>
      <c r="G1708" s="52"/>
      <c r="H1708" s="52"/>
    </row>
    <row r="1709" spans="1:8" ht="15.75">
      <c r="A1709" s="119"/>
      <c r="B1709" s="88"/>
      <c r="C1709" s="52"/>
      <c r="D1709" s="52"/>
      <c r="E1709" s="52"/>
      <c r="F1709" s="52"/>
      <c r="G1709" s="52"/>
      <c r="H1709" s="52"/>
    </row>
    <row r="1710" spans="1:8" ht="15.75">
      <c r="A1710" s="119"/>
      <c r="B1710" s="88"/>
      <c r="C1710" s="52"/>
      <c r="D1710" s="52"/>
      <c r="E1710" s="52"/>
      <c r="F1710" s="52"/>
      <c r="G1710" s="52"/>
      <c r="H1710" s="52"/>
    </row>
    <row r="1711" spans="1:8" ht="15.75">
      <c r="A1711" s="119"/>
      <c r="B1711" s="88"/>
      <c r="C1711" s="52"/>
      <c r="D1711" s="52"/>
      <c r="E1711" s="52"/>
      <c r="F1711" s="52"/>
      <c r="G1711" s="52"/>
      <c r="H1711" s="52"/>
    </row>
    <row r="1712" spans="1:8" ht="15.75">
      <c r="A1712" s="119"/>
      <c r="B1712" s="88"/>
      <c r="C1712" s="52"/>
      <c r="D1712" s="52"/>
      <c r="E1712" s="52"/>
      <c r="F1712" s="52"/>
      <c r="G1712" s="52"/>
      <c r="H1712" s="52"/>
    </row>
    <row r="1713" spans="1:8" ht="15.75">
      <c r="A1713" s="119"/>
      <c r="B1713" s="88"/>
      <c r="C1713" s="52"/>
      <c r="D1713" s="52"/>
      <c r="E1713" s="52"/>
      <c r="F1713" s="52"/>
      <c r="G1713" s="52"/>
      <c r="H1713" s="52"/>
    </row>
    <row r="1714" spans="1:8" ht="15.75">
      <c r="A1714" s="119"/>
      <c r="B1714" s="88"/>
      <c r="C1714" s="52"/>
      <c r="D1714" s="52"/>
      <c r="E1714" s="52"/>
      <c r="F1714" s="52"/>
      <c r="G1714" s="52"/>
      <c r="H1714" s="52"/>
    </row>
    <row r="1715" spans="1:8" ht="15.75">
      <c r="A1715" s="119"/>
      <c r="B1715" s="88"/>
      <c r="C1715" s="52"/>
      <c r="D1715" s="52"/>
      <c r="E1715" s="52"/>
      <c r="F1715" s="52"/>
      <c r="G1715" s="52"/>
      <c r="H1715" s="52"/>
    </row>
    <row r="1716" spans="1:8" ht="15.75">
      <c r="A1716" s="119"/>
      <c r="B1716" s="88"/>
      <c r="C1716" s="52"/>
      <c r="D1716" s="52"/>
      <c r="E1716" s="52"/>
      <c r="F1716" s="52"/>
      <c r="G1716" s="52"/>
      <c r="H1716" s="52"/>
    </row>
    <row r="1717" spans="1:8" ht="15.75">
      <c r="A1717" s="119"/>
      <c r="B1717" s="88"/>
      <c r="C1717" s="52"/>
      <c r="D1717" s="52"/>
      <c r="E1717" s="52"/>
      <c r="F1717" s="52"/>
      <c r="G1717" s="52"/>
      <c r="H1717" s="52"/>
    </row>
    <row r="1718" spans="1:8" ht="15.75">
      <c r="A1718" s="119"/>
      <c r="B1718" s="88"/>
      <c r="C1718" s="52"/>
      <c r="D1718" s="52"/>
      <c r="E1718" s="52"/>
      <c r="F1718" s="52"/>
      <c r="G1718" s="52"/>
      <c r="H1718" s="52"/>
    </row>
    <row r="1719" spans="1:8" ht="15.75">
      <c r="A1719" s="119"/>
      <c r="B1719" s="88"/>
      <c r="C1719" s="52"/>
      <c r="D1719" s="52"/>
      <c r="E1719" s="52"/>
      <c r="F1719" s="52"/>
      <c r="G1719" s="52"/>
      <c r="H1719" s="52"/>
    </row>
    <row r="1720" spans="1:8" ht="15.75">
      <c r="A1720" s="119"/>
      <c r="B1720" s="88"/>
      <c r="C1720" s="52"/>
      <c r="D1720" s="52"/>
      <c r="E1720" s="52"/>
      <c r="F1720" s="52"/>
      <c r="G1720" s="52"/>
      <c r="H1720" s="52"/>
    </row>
    <row r="1721" spans="1:8" ht="15.75">
      <c r="A1721" s="119"/>
      <c r="B1721" s="88"/>
      <c r="C1721" s="52"/>
      <c r="D1721" s="52"/>
      <c r="E1721" s="52"/>
      <c r="F1721" s="52"/>
      <c r="G1721" s="52"/>
      <c r="H1721" s="52"/>
    </row>
    <row r="1722" spans="1:8" ht="15.75">
      <c r="A1722" s="119"/>
      <c r="B1722" s="88"/>
      <c r="C1722" s="52"/>
      <c r="D1722" s="52"/>
      <c r="E1722" s="52"/>
      <c r="F1722" s="52"/>
      <c r="G1722" s="52"/>
      <c r="H1722" s="52"/>
    </row>
    <row r="1723" spans="1:8" ht="15.75">
      <c r="A1723" s="119"/>
      <c r="B1723" s="88"/>
      <c r="C1723" s="52"/>
      <c r="D1723" s="52"/>
      <c r="E1723" s="52"/>
      <c r="F1723" s="52"/>
      <c r="G1723" s="52"/>
      <c r="H1723" s="52"/>
    </row>
    <row r="1724" spans="1:8" ht="15.75">
      <c r="A1724" s="119"/>
      <c r="B1724" s="88"/>
      <c r="C1724" s="52"/>
      <c r="D1724" s="52"/>
      <c r="E1724" s="52"/>
      <c r="F1724" s="52"/>
      <c r="G1724" s="52"/>
      <c r="H1724" s="52"/>
    </row>
    <row r="1725" spans="1:8" ht="15.75">
      <c r="A1725" s="119"/>
      <c r="B1725" s="88"/>
      <c r="C1725" s="52"/>
      <c r="D1725" s="52"/>
      <c r="E1725" s="52"/>
      <c r="F1725" s="52"/>
      <c r="G1725" s="52"/>
      <c r="H1725" s="52"/>
    </row>
    <row r="1726" spans="1:8" ht="15.75">
      <c r="A1726" s="119"/>
      <c r="B1726" s="88"/>
      <c r="C1726" s="52"/>
      <c r="D1726" s="52"/>
      <c r="E1726" s="52"/>
      <c r="F1726" s="52"/>
      <c r="G1726" s="52"/>
      <c r="H1726" s="52"/>
    </row>
    <row r="1727" spans="1:8" ht="15.75">
      <c r="A1727" s="119"/>
      <c r="B1727" s="88"/>
      <c r="C1727" s="52"/>
      <c r="D1727" s="52"/>
      <c r="E1727" s="52"/>
      <c r="F1727" s="52"/>
      <c r="G1727" s="52"/>
      <c r="H1727" s="52"/>
    </row>
    <row r="1728" spans="1:8" ht="15.75">
      <c r="A1728" s="119"/>
      <c r="B1728" s="88"/>
      <c r="C1728" s="52"/>
      <c r="D1728" s="52"/>
      <c r="E1728" s="52"/>
      <c r="F1728" s="52"/>
      <c r="G1728" s="52"/>
      <c r="H1728" s="52"/>
    </row>
    <row r="1729" spans="1:8" ht="15.75">
      <c r="A1729" s="119"/>
      <c r="B1729" s="88"/>
      <c r="C1729" s="52"/>
      <c r="D1729" s="52"/>
      <c r="E1729" s="52"/>
      <c r="F1729" s="52"/>
      <c r="G1729" s="52"/>
      <c r="H1729" s="52"/>
    </row>
    <row r="1730" spans="1:8" ht="15.75">
      <c r="A1730" s="119"/>
      <c r="B1730" s="88"/>
      <c r="C1730" s="52"/>
      <c r="D1730" s="52"/>
      <c r="E1730" s="52"/>
      <c r="F1730" s="52"/>
      <c r="G1730" s="52"/>
      <c r="H1730" s="52"/>
    </row>
    <row r="1731" spans="1:8" ht="15.75">
      <c r="A1731" s="119"/>
      <c r="B1731" s="88"/>
      <c r="C1731" s="52"/>
      <c r="D1731" s="52"/>
      <c r="E1731" s="52"/>
      <c r="F1731" s="52"/>
      <c r="G1731" s="52"/>
      <c r="H1731" s="52"/>
    </row>
    <row r="1732" spans="1:8" ht="15.75">
      <c r="A1732" s="119"/>
      <c r="B1732" s="88"/>
      <c r="C1732" s="52"/>
      <c r="D1732" s="52"/>
      <c r="E1732" s="52"/>
      <c r="F1732" s="52"/>
      <c r="G1732" s="52"/>
      <c r="H1732" s="52"/>
    </row>
    <row r="1733" spans="1:8" ht="15.75">
      <c r="A1733" s="119"/>
      <c r="B1733" s="88"/>
      <c r="C1733" s="52"/>
      <c r="D1733" s="52"/>
      <c r="E1733" s="52"/>
      <c r="F1733" s="52"/>
      <c r="G1733" s="52"/>
      <c r="H1733" s="52"/>
    </row>
    <row r="1734" spans="1:8" ht="15.75">
      <c r="A1734" s="119"/>
      <c r="B1734" s="88"/>
      <c r="C1734" s="52"/>
      <c r="D1734" s="52"/>
      <c r="E1734" s="52"/>
      <c r="F1734" s="52"/>
      <c r="G1734" s="52"/>
      <c r="H1734" s="52"/>
    </row>
    <row r="1735" spans="1:8" ht="15.75">
      <c r="A1735" s="119"/>
      <c r="B1735" s="88"/>
      <c r="C1735" s="52"/>
      <c r="D1735" s="52"/>
      <c r="E1735" s="52"/>
      <c r="F1735" s="52"/>
      <c r="G1735" s="52"/>
      <c r="H1735" s="52"/>
    </row>
    <row r="1736" spans="1:8" ht="15.75">
      <c r="A1736" s="119"/>
      <c r="B1736" s="88"/>
      <c r="C1736" s="52"/>
      <c r="D1736" s="52"/>
      <c r="E1736" s="52"/>
      <c r="F1736" s="52"/>
      <c r="G1736" s="52"/>
      <c r="H1736" s="52"/>
    </row>
    <row r="1737" spans="1:8" ht="15.75">
      <c r="A1737" s="119"/>
      <c r="B1737" s="88"/>
      <c r="C1737" s="52"/>
      <c r="D1737" s="52"/>
      <c r="E1737" s="52"/>
      <c r="F1737" s="52"/>
      <c r="G1737" s="52"/>
      <c r="H1737" s="52"/>
    </row>
    <row r="1738" spans="1:8" ht="15.75">
      <c r="A1738" s="119"/>
      <c r="B1738" s="88"/>
      <c r="C1738" s="52"/>
      <c r="D1738" s="52"/>
      <c r="E1738" s="52"/>
      <c r="F1738" s="52"/>
      <c r="G1738" s="52"/>
      <c r="H1738" s="52"/>
    </row>
    <row r="1739" spans="1:8" ht="15.75">
      <c r="A1739" s="119"/>
      <c r="B1739" s="88"/>
      <c r="C1739" s="52"/>
      <c r="D1739" s="52"/>
      <c r="E1739" s="52"/>
      <c r="F1739" s="52"/>
      <c r="G1739" s="52"/>
      <c r="H1739" s="52"/>
    </row>
    <row r="1740" spans="1:8" ht="15.75">
      <c r="A1740" s="119"/>
      <c r="B1740" s="88"/>
      <c r="C1740" s="52"/>
      <c r="D1740" s="52"/>
      <c r="E1740" s="52"/>
      <c r="F1740" s="52"/>
      <c r="G1740" s="52"/>
      <c r="H1740" s="52"/>
    </row>
    <row r="1741" spans="1:8" ht="15.75">
      <c r="A1741" s="119"/>
      <c r="B1741" s="88"/>
      <c r="C1741" s="52"/>
      <c r="D1741" s="52"/>
      <c r="E1741" s="52"/>
      <c r="F1741" s="52"/>
      <c r="G1741" s="52"/>
      <c r="H1741" s="52"/>
    </row>
    <row r="1742" spans="1:8" ht="15.75">
      <c r="A1742" s="119"/>
      <c r="B1742" s="88"/>
      <c r="C1742" s="52"/>
      <c r="D1742" s="52"/>
      <c r="E1742" s="52"/>
      <c r="F1742" s="52"/>
      <c r="G1742" s="52"/>
      <c r="H1742" s="52"/>
    </row>
    <row r="1743" spans="1:8" ht="15.75">
      <c r="A1743" s="119"/>
      <c r="B1743" s="88"/>
      <c r="C1743" s="52"/>
      <c r="D1743" s="52"/>
      <c r="E1743" s="52"/>
      <c r="F1743" s="52"/>
      <c r="G1743" s="52"/>
      <c r="H1743" s="52"/>
    </row>
    <row r="1744" spans="1:8" ht="15.75">
      <c r="A1744" s="119"/>
      <c r="B1744" s="88"/>
      <c r="C1744" s="52"/>
      <c r="D1744" s="52"/>
      <c r="E1744" s="52"/>
      <c r="F1744" s="52"/>
      <c r="G1744" s="52"/>
      <c r="H1744" s="52"/>
    </row>
    <row r="1745" spans="1:8" ht="15.75">
      <c r="A1745" s="119"/>
      <c r="B1745" s="88"/>
      <c r="C1745" s="52"/>
      <c r="D1745" s="52"/>
      <c r="E1745" s="52"/>
      <c r="F1745" s="52"/>
      <c r="G1745" s="52"/>
      <c r="H1745" s="52"/>
    </row>
    <row r="1746" spans="1:8" ht="15.75">
      <c r="A1746" s="119"/>
      <c r="B1746" s="88"/>
      <c r="C1746" s="52"/>
      <c r="D1746" s="52"/>
      <c r="E1746" s="52"/>
      <c r="F1746" s="52"/>
      <c r="G1746" s="52"/>
      <c r="H1746" s="52"/>
    </row>
    <row r="1747" spans="1:8" ht="15.75">
      <c r="A1747" s="119"/>
      <c r="B1747" s="88"/>
      <c r="C1747" s="52"/>
      <c r="D1747" s="52"/>
      <c r="E1747" s="52"/>
      <c r="F1747" s="52"/>
      <c r="G1747" s="52"/>
      <c r="H1747" s="52"/>
    </row>
    <row r="1748" spans="1:8" ht="15.75">
      <c r="A1748" s="119"/>
      <c r="B1748" s="88"/>
      <c r="C1748" s="52"/>
      <c r="D1748" s="52"/>
      <c r="E1748" s="52"/>
      <c r="F1748" s="52"/>
      <c r="G1748" s="52"/>
      <c r="H1748" s="52"/>
    </row>
    <row r="1749" spans="1:8" ht="15.75">
      <c r="A1749" s="119"/>
      <c r="B1749" s="88"/>
      <c r="C1749" s="52"/>
      <c r="D1749" s="52"/>
      <c r="E1749" s="52"/>
      <c r="F1749" s="52"/>
      <c r="G1749" s="52"/>
      <c r="H1749" s="52"/>
    </row>
    <row r="1750" spans="1:8" ht="15.75">
      <c r="A1750" s="119"/>
      <c r="B1750" s="88"/>
      <c r="C1750" s="52"/>
      <c r="D1750" s="52"/>
      <c r="E1750" s="52"/>
      <c r="F1750" s="52"/>
      <c r="G1750" s="52"/>
      <c r="H1750" s="52"/>
    </row>
    <row r="1751" spans="1:8" ht="15.75">
      <c r="A1751" s="119"/>
      <c r="B1751" s="88"/>
      <c r="C1751" s="52"/>
      <c r="D1751" s="52"/>
      <c r="E1751" s="52"/>
      <c r="F1751" s="52"/>
      <c r="G1751" s="52"/>
      <c r="H1751" s="52"/>
    </row>
    <row r="1752" spans="1:8" ht="15.75">
      <c r="A1752" s="119"/>
      <c r="B1752" s="88"/>
      <c r="C1752" s="52"/>
      <c r="D1752" s="52"/>
      <c r="E1752" s="52"/>
      <c r="F1752" s="52"/>
      <c r="G1752" s="52"/>
      <c r="H1752" s="52"/>
    </row>
    <row r="1753" spans="1:8" ht="15.75">
      <c r="A1753" s="119"/>
      <c r="B1753" s="88"/>
      <c r="C1753" s="52"/>
      <c r="D1753" s="52"/>
      <c r="E1753" s="52"/>
      <c r="F1753" s="52"/>
      <c r="G1753" s="52"/>
      <c r="H1753" s="52"/>
    </row>
    <row r="1754" spans="1:8" ht="15.75">
      <c r="A1754" s="119"/>
      <c r="B1754" s="88"/>
      <c r="C1754" s="52"/>
      <c r="D1754" s="52"/>
      <c r="E1754" s="52"/>
      <c r="F1754" s="52"/>
      <c r="G1754" s="52"/>
      <c r="H1754" s="52"/>
    </row>
    <row r="1755" spans="1:8" ht="15.75">
      <c r="A1755" s="119"/>
      <c r="B1755" s="88"/>
      <c r="C1755" s="52"/>
      <c r="D1755" s="52"/>
      <c r="E1755" s="52"/>
      <c r="F1755" s="52"/>
      <c r="G1755" s="52"/>
      <c r="H1755" s="52"/>
    </row>
    <row r="1756" spans="1:8" ht="15.75">
      <c r="A1756" s="119"/>
      <c r="B1756" s="88"/>
      <c r="C1756" s="52"/>
      <c r="D1756" s="52"/>
      <c r="E1756" s="52"/>
      <c r="F1756" s="52"/>
      <c r="G1756" s="52"/>
      <c r="H1756" s="52"/>
    </row>
    <row r="1757" spans="1:8" ht="15.75">
      <c r="A1757" s="119"/>
      <c r="B1757" s="88"/>
      <c r="C1757" s="52"/>
      <c r="D1757" s="52"/>
      <c r="E1757" s="52"/>
      <c r="F1757" s="52"/>
      <c r="G1757" s="52"/>
      <c r="H1757" s="52"/>
    </row>
    <row r="1758" spans="1:8" ht="15.75">
      <c r="A1758" s="119"/>
      <c r="B1758" s="88"/>
      <c r="C1758" s="52"/>
      <c r="D1758" s="52"/>
      <c r="E1758" s="52"/>
      <c r="F1758" s="52"/>
      <c r="G1758" s="52"/>
      <c r="H1758" s="52"/>
    </row>
    <row r="1759" spans="1:8" ht="15.75">
      <c r="A1759" s="119"/>
      <c r="B1759" s="88"/>
      <c r="C1759" s="52"/>
      <c r="D1759" s="52"/>
      <c r="E1759" s="52"/>
      <c r="F1759" s="52"/>
      <c r="G1759" s="52"/>
      <c r="H1759" s="52"/>
    </row>
    <row r="1760" spans="1:8" ht="15.75">
      <c r="A1760" s="119"/>
      <c r="B1760" s="88"/>
      <c r="C1760" s="52"/>
      <c r="D1760" s="52"/>
      <c r="E1760" s="52"/>
      <c r="F1760" s="52"/>
      <c r="G1760" s="52"/>
      <c r="H1760" s="52"/>
    </row>
    <row r="1761" spans="1:8" ht="15.75">
      <c r="A1761" s="119"/>
      <c r="B1761" s="88"/>
      <c r="C1761" s="52"/>
      <c r="D1761" s="52"/>
      <c r="E1761" s="52"/>
      <c r="F1761" s="52"/>
      <c r="G1761" s="52"/>
      <c r="H1761" s="52"/>
    </row>
    <row r="1762" spans="1:8" ht="15.75">
      <c r="A1762" s="119"/>
      <c r="B1762" s="88"/>
      <c r="C1762" s="52"/>
      <c r="D1762" s="52"/>
      <c r="E1762" s="52"/>
      <c r="F1762" s="52"/>
      <c r="G1762" s="52"/>
      <c r="H1762" s="52"/>
    </row>
    <row r="1763" spans="1:8" ht="15.75">
      <c r="A1763" s="119"/>
      <c r="B1763" s="88"/>
      <c r="C1763" s="52"/>
      <c r="D1763" s="52"/>
      <c r="E1763" s="52"/>
      <c r="F1763" s="52"/>
      <c r="G1763" s="52"/>
      <c r="H1763" s="52"/>
    </row>
    <row r="1764" spans="1:8" ht="15.75">
      <c r="A1764" s="119"/>
      <c r="B1764" s="88"/>
      <c r="C1764" s="52"/>
      <c r="D1764" s="52"/>
      <c r="E1764" s="52"/>
      <c r="F1764" s="52"/>
      <c r="G1764" s="52"/>
      <c r="H1764" s="52"/>
    </row>
    <row r="1765" spans="1:8" ht="15.75">
      <c r="A1765" s="119"/>
      <c r="B1765" s="88"/>
      <c r="C1765" s="52"/>
      <c r="D1765" s="52"/>
      <c r="E1765" s="52"/>
      <c r="F1765" s="52"/>
      <c r="G1765" s="52"/>
      <c r="H1765" s="52"/>
    </row>
    <row r="1766" spans="1:8" ht="15.75">
      <c r="A1766" s="119"/>
      <c r="B1766" s="88"/>
      <c r="C1766" s="52"/>
      <c r="D1766" s="52"/>
      <c r="E1766" s="52"/>
      <c r="F1766" s="52"/>
      <c r="G1766" s="52"/>
      <c r="H1766" s="52"/>
    </row>
    <row r="1767" spans="1:8" ht="15.75">
      <c r="A1767" s="119"/>
      <c r="B1767" s="88"/>
      <c r="C1767" s="52"/>
      <c r="D1767" s="52"/>
      <c r="E1767" s="52"/>
      <c r="F1767" s="52"/>
      <c r="G1767" s="52"/>
      <c r="H1767" s="52"/>
    </row>
    <row r="1768" spans="1:8" ht="15.75">
      <c r="A1768" s="119"/>
      <c r="B1768" s="88"/>
      <c r="C1768" s="52"/>
      <c r="D1768" s="52"/>
      <c r="E1768" s="52"/>
      <c r="F1768" s="52"/>
      <c r="G1768" s="52"/>
      <c r="H1768" s="52"/>
    </row>
    <row r="1769" spans="1:8" ht="15.75">
      <c r="A1769" s="119"/>
      <c r="B1769" s="88"/>
      <c r="C1769" s="52"/>
      <c r="D1769" s="52"/>
      <c r="E1769" s="52"/>
      <c r="F1769" s="52"/>
      <c r="G1769" s="52"/>
      <c r="H1769" s="52"/>
    </row>
    <row r="1770" spans="1:8" ht="15.75">
      <c r="A1770" s="119"/>
      <c r="B1770" s="88"/>
      <c r="C1770" s="52"/>
      <c r="D1770" s="52"/>
      <c r="E1770" s="52"/>
      <c r="F1770" s="52"/>
      <c r="G1770" s="52"/>
      <c r="H1770" s="52"/>
    </row>
    <row r="1771" spans="1:8" ht="15.75">
      <c r="A1771" s="119"/>
      <c r="B1771" s="88"/>
      <c r="C1771" s="52"/>
      <c r="D1771" s="52"/>
      <c r="E1771" s="52"/>
      <c r="F1771" s="52"/>
      <c r="G1771" s="52"/>
      <c r="H1771" s="52"/>
    </row>
    <row r="1772" spans="1:8" ht="15.75">
      <c r="A1772" s="119"/>
      <c r="B1772" s="88"/>
      <c r="C1772" s="52"/>
      <c r="D1772" s="52"/>
      <c r="E1772" s="52"/>
      <c r="F1772" s="52"/>
      <c r="G1772" s="52"/>
      <c r="H1772" s="52"/>
    </row>
    <row r="1773" spans="1:8" ht="15.75">
      <c r="A1773" s="119"/>
      <c r="B1773" s="88"/>
      <c r="C1773" s="52"/>
      <c r="D1773" s="52"/>
      <c r="E1773" s="52"/>
      <c r="F1773" s="52"/>
      <c r="G1773" s="52"/>
      <c r="H1773" s="52"/>
    </row>
    <row r="1774" spans="1:8" ht="15.75">
      <c r="A1774" s="119"/>
      <c r="B1774" s="88"/>
      <c r="C1774" s="52"/>
      <c r="D1774" s="52"/>
      <c r="E1774" s="52"/>
      <c r="F1774" s="52"/>
      <c r="G1774" s="52"/>
      <c r="H1774" s="52"/>
    </row>
    <row r="1775" spans="1:8" ht="15.75">
      <c r="A1775" s="119"/>
      <c r="B1775" s="88"/>
      <c r="C1775" s="52"/>
      <c r="D1775" s="52"/>
      <c r="E1775" s="52"/>
      <c r="F1775" s="52"/>
      <c r="G1775" s="52"/>
      <c r="H1775" s="52"/>
    </row>
    <row r="1776" spans="1:8" ht="15.75">
      <c r="A1776" s="119"/>
      <c r="B1776" s="88"/>
      <c r="C1776" s="52"/>
      <c r="D1776" s="52"/>
      <c r="E1776" s="52"/>
      <c r="F1776" s="52"/>
      <c r="G1776" s="52"/>
      <c r="H1776" s="52"/>
    </row>
    <row r="1777" spans="1:8" ht="15.75">
      <c r="A1777" s="119"/>
      <c r="B1777" s="88"/>
      <c r="C1777" s="52"/>
      <c r="D1777" s="52"/>
      <c r="E1777" s="52"/>
      <c r="F1777" s="52"/>
      <c r="G1777" s="52"/>
      <c r="H1777" s="52"/>
    </row>
    <row r="1778" spans="1:8" ht="15.75">
      <c r="A1778" s="119"/>
      <c r="B1778" s="88"/>
      <c r="C1778" s="52"/>
      <c r="D1778" s="52"/>
      <c r="E1778" s="52"/>
      <c r="F1778" s="52"/>
      <c r="G1778" s="52"/>
      <c r="H1778" s="52"/>
    </row>
    <row r="1779" spans="1:8" ht="15.75">
      <c r="A1779" s="119"/>
      <c r="B1779" s="88"/>
      <c r="C1779" s="52"/>
      <c r="D1779" s="52"/>
      <c r="E1779" s="52"/>
      <c r="F1779" s="52"/>
      <c r="G1779" s="52"/>
      <c r="H1779" s="52"/>
    </row>
    <row r="1780" spans="1:8" ht="15.75">
      <c r="A1780" s="119"/>
      <c r="B1780" s="88"/>
      <c r="C1780" s="52"/>
      <c r="D1780" s="52"/>
      <c r="E1780" s="52"/>
      <c r="F1780" s="52"/>
      <c r="G1780" s="52"/>
      <c r="H1780" s="52"/>
    </row>
    <row r="1781" spans="1:8" ht="15.75">
      <c r="A1781" s="119"/>
      <c r="B1781" s="88"/>
      <c r="C1781" s="52"/>
      <c r="D1781" s="52"/>
      <c r="E1781" s="52"/>
      <c r="F1781" s="52"/>
      <c r="G1781" s="52"/>
      <c r="H1781" s="52"/>
    </row>
    <row r="1782" spans="1:8" ht="15.75">
      <c r="A1782" s="119"/>
      <c r="B1782" s="88"/>
      <c r="C1782" s="52"/>
      <c r="D1782" s="52"/>
      <c r="E1782" s="52"/>
      <c r="F1782" s="52"/>
      <c r="G1782" s="52"/>
      <c r="H1782" s="52"/>
    </row>
    <row r="1783" spans="1:8" ht="15.75">
      <c r="A1783" s="119"/>
      <c r="B1783" s="88"/>
      <c r="C1783" s="52"/>
      <c r="D1783" s="52"/>
      <c r="E1783" s="52"/>
      <c r="F1783" s="52"/>
      <c r="G1783" s="52"/>
      <c r="H1783" s="52"/>
    </row>
    <row r="1784" spans="1:8" ht="15.75">
      <c r="A1784" s="119"/>
      <c r="B1784" s="88"/>
      <c r="C1784" s="52"/>
      <c r="D1784" s="52"/>
      <c r="E1784" s="52"/>
      <c r="F1784" s="52"/>
      <c r="G1784" s="52"/>
      <c r="H1784" s="52"/>
    </row>
    <row r="1785" spans="1:8" ht="15.75">
      <c r="A1785" s="119"/>
      <c r="B1785" s="88"/>
      <c r="C1785" s="52"/>
      <c r="D1785" s="52"/>
      <c r="E1785" s="52"/>
      <c r="F1785" s="52"/>
      <c r="G1785" s="52"/>
      <c r="H1785" s="52"/>
    </row>
    <row r="1786" spans="1:8" ht="15.75">
      <c r="A1786" s="119"/>
      <c r="B1786" s="88"/>
      <c r="C1786" s="52"/>
      <c r="D1786" s="52"/>
      <c r="E1786" s="52"/>
      <c r="F1786" s="52"/>
      <c r="G1786" s="52"/>
      <c r="H1786" s="52"/>
    </row>
    <row r="1787" spans="1:8" ht="15.75">
      <c r="A1787" s="119"/>
      <c r="B1787" s="88"/>
      <c r="C1787" s="52"/>
      <c r="D1787" s="52"/>
      <c r="E1787" s="52"/>
      <c r="F1787" s="52"/>
      <c r="G1787" s="52"/>
      <c r="H1787" s="52"/>
    </row>
    <row r="1788" spans="1:8" ht="15.75">
      <c r="A1788" s="119"/>
      <c r="B1788" s="88"/>
      <c r="C1788" s="52"/>
      <c r="D1788" s="52"/>
      <c r="E1788" s="52"/>
      <c r="F1788" s="52"/>
      <c r="G1788" s="52"/>
      <c r="H1788" s="52"/>
    </row>
    <row r="1789" spans="1:8" ht="15.75">
      <c r="A1789" s="119"/>
      <c r="B1789" s="88"/>
      <c r="C1789" s="52"/>
      <c r="D1789" s="52"/>
      <c r="E1789" s="52"/>
      <c r="F1789" s="52"/>
      <c r="G1789" s="52"/>
      <c r="H1789" s="52"/>
    </row>
    <row r="1790" spans="1:8" ht="15.75">
      <c r="A1790" s="119"/>
      <c r="B1790" s="88"/>
      <c r="C1790" s="52"/>
      <c r="D1790" s="52"/>
      <c r="E1790" s="52"/>
      <c r="F1790" s="52"/>
      <c r="G1790" s="52"/>
      <c r="H1790" s="52"/>
    </row>
    <row r="1791" spans="1:8" ht="15.75">
      <c r="A1791" s="119"/>
      <c r="B1791" s="88"/>
      <c r="C1791" s="52"/>
      <c r="D1791" s="52"/>
      <c r="E1791" s="52"/>
      <c r="F1791" s="52"/>
      <c r="G1791" s="52"/>
      <c r="H1791" s="52"/>
    </row>
    <row r="1792" spans="1:8" ht="15.75">
      <c r="A1792" s="119"/>
      <c r="B1792" s="88"/>
      <c r="C1792" s="52"/>
      <c r="D1792" s="52"/>
      <c r="E1792" s="52"/>
      <c r="F1792" s="52"/>
      <c r="G1792" s="52"/>
      <c r="H1792" s="52"/>
    </row>
    <row r="1793" spans="1:8" ht="15.75">
      <c r="A1793" s="119"/>
      <c r="B1793" s="88"/>
      <c r="C1793" s="52"/>
      <c r="D1793" s="52"/>
      <c r="E1793" s="52"/>
      <c r="F1793" s="52"/>
      <c r="G1793" s="52"/>
      <c r="H1793" s="52"/>
    </row>
    <row r="1794" spans="1:8" ht="15.75">
      <c r="A1794" s="119"/>
      <c r="B1794" s="88"/>
      <c r="C1794" s="52"/>
      <c r="D1794" s="52"/>
      <c r="E1794" s="52"/>
      <c r="F1794" s="52"/>
      <c r="G1794" s="52"/>
      <c r="H1794" s="52"/>
    </row>
    <row r="1795" spans="1:8" ht="15.75">
      <c r="A1795" s="119"/>
      <c r="B1795" s="88"/>
      <c r="C1795" s="52"/>
      <c r="D1795" s="52"/>
      <c r="E1795" s="52"/>
      <c r="F1795" s="52"/>
      <c r="G1795" s="52"/>
      <c r="H1795" s="52"/>
    </row>
    <row r="1796" spans="1:8" ht="15.75">
      <c r="A1796" s="119"/>
      <c r="B1796" s="88"/>
      <c r="C1796" s="52"/>
      <c r="D1796" s="52"/>
      <c r="E1796" s="52"/>
      <c r="F1796" s="52"/>
      <c r="G1796" s="52"/>
      <c r="H1796" s="52"/>
    </row>
    <row r="1797" spans="1:8" ht="15.75">
      <c r="A1797" s="119"/>
      <c r="B1797" s="88"/>
      <c r="C1797" s="52"/>
      <c r="D1797" s="52"/>
      <c r="E1797" s="52"/>
      <c r="F1797" s="52"/>
      <c r="G1797" s="52"/>
      <c r="H1797" s="52"/>
    </row>
    <row r="1798" spans="1:8" ht="15.75">
      <c r="A1798" s="119"/>
      <c r="B1798" s="88"/>
      <c r="C1798" s="52"/>
      <c r="D1798" s="52"/>
      <c r="E1798" s="52"/>
      <c r="F1798" s="52"/>
      <c r="G1798" s="52"/>
      <c r="H1798" s="52"/>
    </row>
    <row r="1799" spans="1:8" ht="15.75">
      <c r="A1799" s="119"/>
      <c r="B1799" s="88"/>
      <c r="C1799" s="52"/>
      <c r="D1799" s="52"/>
      <c r="E1799" s="52"/>
      <c r="F1799" s="52"/>
      <c r="G1799" s="52"/>
      <c r="H1799" s="52"/>
    </row>
    <row r="1800" spans="1:8" ht="15.75">
      <c r="A1800" s="119"/>
      <c r="B1800" s="88"/>
      <c r="C1800" s="52"/>
      <c r="D1800" s="52"/>
      <c r="E1800" s="52"/>
      <c r="F1800" s="52"/>
      <c r="G1800" s="52"/>
      <c r="H1800" s="52"/>
    </row>
    <row r="1801" spans="1:8" ht="15.75">
      <c r="A1801" s="119"/>
      <c r="B1801" s="88"/>
      <c r="C1801" s="52"/>
      <c r="D1801" s="52"/>
      <c r="E1801" s="52"/>
      <c r="F1801" s="52"/>
      <c r="G1801" s="52"/>
      <c r="H1801" s="52"/>
    </row>
    <row r="1802" spans="1:8" ht="15.75">
      <c r="A1802" s="119"/>
      <c r="B1802" s="88"/>
      <c r="C1802" s="52"/>
      <c r="D1802" s="52"/>
      <c r="E1802" s="52"/>
      <c r="F1802" s="52"/>
      <c r="G1802" s="52"/>
      <c r="H1802" s="52"/>
    </row>
    <row r="1803" spans="1:8" ht="15.75">
      <c r="A1803" s="119"/>
      <c r="B1803" s="88"/>
      <c r="C1803" s="52"/>
      <c r="D1803" s="52"/>
      <c r="E1803" s="52"/>
      <c r="F1803" s="52"/>
      <c r="G1803" s="52"/>
      <c r="H1803" s="52"/>
    </row>
    <row r="1804" spans="1:8" ht="15.75">
      <c r="A1804" s="119"/>
      <c r="B1804" s="88"/>
      <c r="C1804" s="52"/>
      <c r="D1804" s="52"/>
      <c r="E1804" s="52"/>
      <c r="F1804" s="52"/>
      <c r="G1804" s="52"/>
      <c r="H1804" s="52"/>
    </row>
    <row r="1805" spans="1:8" ht="15.75">
      <c r="A1805" s="119"/>
      <c r="B1805" s="88"/>
      <c r="C1805" s="52"/>
      <c r="D1805" s="52"/>
      <c r="E1805" s="52"/>
      <c r="F1805" s="52"/>
      <c r="G1805" s="52"/>
      <c r="H1805" s="52"/>
    </row>
    <row r="1806" spans="1:8" ht="15.75">
      <c r="A1806" s="119"/>
      <c r="B1806" s="88"/>
      <c r="C1806" s="52"/>
      <c r="D1806" s="52"/>
      <c r="E1806" s="52"/>
      <c r="F1806" s="52"/>
      <c r="G1806" s="52"/>
      <c r="H1806" s="52"/>
    </row>
    <row r="1807" spans="1:8" ht="15.75">
      <c r="A1807" s="119"/>
      <c r="B1807" s="88"/>
      <c r="C1807" s="52"/>
      <c r="D1807" s="52"/>
      <c r="E1807" s="52"/>
      <c r="F1807" s="52"/>
      <c r="G1807" s="52"/>
      <c r="H1807" s="52"/>
    </row>
    <row r="1808" spans="1:8" ht="15.75">
      <c r="A1808" s="119"/>
      <c r="B1808" s="88"/>
      <c r="C1808" s="52"/>
      <c r="D1808" s="52"/>
      <c r="E1808" s="52"/>
      <c r="F1808" s="52"/>
      <c r="G1808" s="52"/>
      <c r="H1808" s="52"/>
    </row>
    <row r="1809" spans="1:8" ht="15.75">
      <c r="A1809" s="119"/>
      <c r="B1809" s="88"/>
      <c r="C1809" s="52"/>
      <c r="D1809" s="52"/>
      <c r="E1809" s="52"/>
      <c r="F1809" s="52"/>
      <c r="G1809" s="52"/>
      <c r="H1809" s="52"/>
    </row>
    <row r="1810" spans="1:8" ht="15.75">
      <c r="A1810" s="119"/>
      <c r="B1810" s="88"/>
      <c r="C1810" s="52"/>
      <c r="D1810" s="52"/>
      <c r="E1810" s="52"/>
      <c r="F1810" s="52"/>
      <c r="G1810" s="52"/>
      <c r="H1810" s="52"/>
    </row>
    <row r="1811" spans="1:8" ht="15.75">
      <c r="A1811" s="119"/>
      <c r="B1811" s="88"/>
      <c r="C1811" s="52"/>
      <c r="D1811" s="52"/>
      <c r="E1811" s="52"/>
      <c r="F1811" s="52"/>
      <c r="G1811" s="52"/>
      <c r="H1811" s="52"/>
    </row>
    <row r="1812" spans="1:8" ht="15.75">
      <c r="A1812" s="119"/>
      <c r="B1812" s="88"/>
      <c r="C1812" s="52"/>
      <c r="D1812" s="52"/>
      <c r="E1812" s="52"/>
      <c r="F1812" s="52"/>
      <c r="G1812" s="52"/>
      <c r="H1812" s="52"/>
    </row>
    <row r="1813" spans="1:8" ht="15.75">
      <c r="A1813" s="119"/>
      <c r="B1813" s="88"/>
      <c r="C1813" s="52"/>
      <c r="D1813" s="52"/>
      <c r="E1813" s="52"/>
      <c r="F1813" s="52"/>
      <c r="G1813" s="52"/>
      <c r="H1813" s="52"/>
    </row>
    <row r="1814" spans="1:8" ht="15.75">
      <c r="A1814" s="119"/>
      <c r="B1814" s="88"/>
      <c r="C1814" s="52"/>
      <c r="D1814" s="52"/>
      <c r="E1814" s="52"/>
      <c r="F1814" s="52"/>
      <c r="G1814" s="52"/>
      <c r="H1814" s="52"/>
    </row>
    <row r="1815" spans="1:8" ht="15.75">
      <c r="A1815" s="119"/>
      <c r="B1815" s="88"/>
      <c r="C1815" s="52"/>
      <c r="D1815" s="52"/>
      <c r="E1815" s="52"/>
      <c r="F1815" s="52"/>
      <c r="G1815" s="52"/>
      <c r="H1815" s="52"/>
    </row>
    <row r="1816" spans="1:8" ht="15.75">
      <c r="A1816" s="119"/>
      <c r="B1816" s="88"/>
      <c r="C1816" s="52"/>
      <c r="D1816" s="52"/>
      <c r="E1816" s="52"/>
      <c r="F1816" s="52"/>
      <c r="G1816" s="52"/>
      <c r="H1816" s="52"/>
    </row>
    <row r="1817" spans="1:8" ht="15.75">
      <c r="A1817" s="119"/>
      <c r="B1817" s="88"/>
      <c r="C1817" s="52"/>
      <c r="D1817" s="52"/>
      <c r="E1817" s="52"/>
      <c r="F1817" s="52"/>
      <c r="G1817" s="52"/>
      <c r="H1817" s="52"/>
    </row>
    <row r="1818" spans="1:8" ht="15.75">
      <c r="A1818" s="119"/>
      <c r="B1818" s="88"/>
      <c r="C1818" s="52"/>
      <c r="D1818" s="52"/>
      <c r="E1818" s="52"/>
      <c r="F1818" s="52"/>
      <c r="G1818" s="52"/>
      <c r="H1818" s="52"/>
    </row>
    <row r="1819" spans="1:8" ht="15.75">
      <c r="A1819" s="119"/>
      <c r="B1819" s="88"/>
      <c r="C1819" s="52"/>
      <c r="D1819" s="52"/>
      <c r="E1819" s="52"/>
      <c r="F1819" s="52"/>
      <c r="G1819" s="52"/>
      <c r="H1819" s="52"/>
    </row>
    <row r="1820" spans="1:8" ht="15.75">
      <c r="A1820" s="119"/>
      <c r="B1820" s="88"/>
      <c r="C1820" s="52"/>
      <c r="D1820" s="52"/>
      <c r="E1820" s="52"/>
      <c r="F1820" s="52"/>
      <c r="G1820" s="52"/>
      <c r="H1820" s="52"/>
    </row>
    <row r="1821" spans="1:8" ht="15.75">
      <c r="A1821" s="119"/>
      <c r="B1821" s="88"/>
      <c r="C1821" s="52"/>
      <c r="D1821" s="52"/>
      <c r="E1821" s="52"/>
      <c r="F1821" s="52"/>
      <c r="G1821" s="52"/>
      <c r="H1821" s="52"/>
    </row>
    <row r="1822" spans="1:8" ht="15.75">
      <c r="A1822" s="119"/>
      <c r="B1822" s="88"/>
      <c r="C1822" s="52"/>
      <c r="D1822" s="52"/>
      <c r="E1822" s="52"/>
      <c r="F1822" s="52"/>
      <c r="G1822" s="52"/>
      <c r="H1822" s="52"/>
    </row>
    <row r="1823" spans="1:8" ht="15.75">
      <c r="A1823" s="119"/>
      <c r="B1823" s="88"/>
      <c r="C1823" s="52"/>
      <c r="D1823" s="52"/>
      <c r="E1823" s="52"/>
      <c r="F1823" s="52"/>
      <c r="G1823" s="52"/>
      <c r="H1823" s="52"/>
    </row>
    <row r="1824" spans="1:8" ht="15.75">
      <c r="A1824" s="119"/>
      <c r="B1824" s="88"/>
      <c r="C1824" s="52"/>
      <c r="D1824" s="52"/>
      <c r="E1824" s="52"/>
      <c r="F1824" s="52"/>
      <c r="G1824" s="52"/>
      <c r="H1824" s="52"/>
    </row>
    <row r="1825" spans="1:8" ht="15.75">
      <c r="A1825" s="119"/>
      <c r="B1825" s="88"/>
      <c r="C1825" s="52"/>
      <c r="D1825" s="52"/>
      <c r="E1825" s="52"/>
      <c r="F1825" s="52"/>
      <c r="G1825" s="52"/>
      <c r="H1825" s="52"/>
    </row>
    <row r="1826" spans="1:8" ht="15.75">
      <c r="A1826" s="119"/>
      <c r="B1826" s="88"/>
      <c r="C1826" s="52"/>
      <c r="D1826" s="52"/>
      <c r="E1826" s="52"/>
      <c r="F1826" s="52"/>
      <c r="G1826" s="52"/>
      <c r="H1826" s="52"/>
    </row>
    <row r="1827" spans="1:8" ht="15.75">
      <c r="A1827" s="119"/>
      <c r="B1827" s="88"/>
      <c r="C1827" s="52"/>
      <c r="D1827" s="52"/>
      <c r="E1827" s="52"/>
      <c r="F1827" s="52"/>
      <c r="G1827" s="52"/>
      <c r="H1827" s="52"/>
    </row>
    <row r="1828" spans="1:8" ht="15.75">
      <c r="A1828" s="119"/>
      <c r="B1828" s="88"/>
      <c r="C1828" s="52"/>
      <c r="D1828" s="52"/>
      <c r="E1828" s="52"/>
      <c r="F1828" s="52"/>
      <c r="G1828" s="52"/>
      <c r="H1828" s="52"/>
    </row>
    <row r="1829" spans="1:8" ht="15.75">
      <c r="A1829" s="119"/>
      <c r="B1829" s="88"/>
      <c r="C1829" s="52"/>
      <c r="D1829" s="52"/>
      <c r="E1829" s="52"/>
      <c r="F1829" s="52"/>
      <c r="G1829" s="52"/>
      <c r="H1829" s="52"/>
    </row>
    <row r="1830" spans="1:8" ht="15.75">
      <c r="A1830" s="119"/>
      <c r="B1830" s="88"/>
      <c r="C1830" s="52"/>
      <c r="D1830" s="52"/>
      <c r="E1830" s="52"/>
      <c r="F1830" s="52"/>
      <c r="G1830" s="52"/>
      <c r="H1830" s="52"/>
    </row>
    <row r="1831" spans="1:8" ht="15.75">
      <c r="A1831" s="119"/>
      <c r="B1831" s="88"/>
      <c r="C1831" s="52"/>
      <c r="D1831" s="52"/>
      <c r="E1831" s="52"/>
      <c r="F1831" s="52"/>
      <c r="G1831" s="52"/>
      <c r="H1831" s="52"/>
    </row>
    <row r="1832" spans="1:8" ht="15.75">
      <c r="A1832" s="119"/>
      <c r="B1832" s="88"/>
      <c r="C1832" s="52"/>
      <c r="D1832" s="52"/>
      <c r="E1832" s="52"/>
      <c r="F1832" s="52"/>
      <c r="G1832" s="52"/>
      <c r="H1832" s="52"/>
    </row>
    <row r="1833" spans="1:8" ht="15.75">
      <c r="A1833" s="119"/>
      <c r="B1833" s="88"/>
      <c r="C1833" s="52"/>
      <c r="D1833" s="52"/>
      <c r="E1833" s="52"/>
      <c r="F1833" s="52"/>
      <c r="G1833" s="52"/>
      <c r="H1833" s="52"/>
    </row>
    <row r="1834" spans="1:8" ht="15.75">
      <c r="A1834" s="119"/>
      <c r="B1834" s="88"/>
      <c r="C1834" s="52"/>
      <c r="D1834" s="52"/>
      <c r="E1834" s="52"/>
      <c r="F1834" s="52"/>
      <c r="G1834" s="52"/>
      <c r="H1834" s="52"/>
    </row>
    <row r="1835" spans="1:8" ht="15.75">
      <c r="A1835" s="119"/>
      <c r="B1835" s="88"/>
      <c r="C1835" s="52"/>
      <c r="D1835" s="52"/>
      <c r="E1835" s="52"/>
      <c r="F1835" s="52"/>
      <c r="G1835" s="52"/>
      <c r="H1835" s="52"/>
    </row>
    <row r="1836" spans="1:8" ht="15.75">
      <c r="A1836" s="119"/>
      <c r="B1836" s="88"/>
      <c r="C1836" s="52"/>
      <c r="D1836" s="52"/>
      <c r="E1836" s="52"/>
      <c r="F1836" s="52"/>
      <c r="G1836" s="52"/>
      <c r="H1836" s="52"/>
    </row>
    <row r="1837" spans="1:8" ht="15.75">
      <c r="A1837" s="119"/>
      <c r="B1837" s="88"/>
      <c r="C1837" s="52"/>
      <c r="D1837" s="52"/>
      <c r="E1837" s="52"/>
      <c r="F1837" s="52"/>
      <c r="G1837" s="52"/>
      <c r="H1837" s="52"/>
    </row>
    <row r="1838" spans="1:8" ht="15.75">
      <c r="A1838" s="119"/>
      <c r="B1838" s="88"/>
      <c r="C1838" s="52"/>
      <c r="D1838" s="52"/>
      <c r="E1838" s="52"/>
      <c r="F1838" s="52"/>
      <c r="G1838" s="52"/>
      <c r="H1838" s="52"/>
    </row>
    <row r="1839" spans="1:8" ht="15.75">
      <c r="A1839" s="119"/>
      <c r="B1839" s="88"/>
      <c r="C1839" s="52"/>
      <c r="D1839" s="52"/>
      <c r="E1839" s="52"/>
      <c r="F1839" s="52"/>
      <c r="G1839" s="52"/>
      <c r="H1839" s="52"/>
    </row>
    <row r="1840" spans="1:8" ht="15.75">
      <c r="A1840" s="119"/>
      <c r="B1840" s="88"/>
      <c r="C1840" s="52"/>
      <c r="D1840" s="52"/>
      <c r="E1840" s="52"/>
      <c r="F1840" s="52"/>
      <c r="G1840" s="52"/>
      <c r="H1840" s="52"/>
    </row>
    <row r="1841" spans="1:8" ht="15.75">
      <c r="A1841" s="119"/>
      <c r="B1841" s="88"/>
      <c r="C1841" s="52"/>
      <c r="D1841" s="52"/>
      <c r="E1841" s="52"/>
      <c r="F1841" s="52"/>
      <c r="G1841" s="52"/>
      <c r="H1841" s="52"/>
    </row>
    <row r="1842" spans="1:8" ht="15.75">
      <c r="A1842" s="119"/>
      <c r="B1842" s="88"/>
      <c r="C1842" s="52"/>
      <c r="D1842" s="52"/>
      <c r="E1842" s="52"/>
      <c r="F1842" s="52"/>
      <c r="G1842" s="52"/>
      <c r="H1842" s="52"/>
    </row>
    <row r="1843" spans="1:8" ht="15.75">
      <c r="A1843" s="119"/>
      <c r="B1843" s="88"/>
      <c r="C1843" s="52"/>
      <c r="D1843" s="52"/>
      <c r="E1843" s="52"/>
      <c r="F1843" s="52"/>
      <c r="G1843" s="52"/>
      <c r="H1843" s="52"/>
    </row>
    <row r="1844" spans="1:8" ht="15.75">
      <c r="A1844" s="119"/>
      <c r="B1844" s="88"/>
      <c r="C1844" s="52"/>
      <c r="D1844" s="52"/>
      <c r="E1844" s="52"/>
      <c r="F1844" s="52"/>
      <c r="G1844" s="52"/>
      <c r="H1844" s="52"/>
    </row>
    <row r="1845" spans="1:8" ht="15.75">
      <c r="A1845" s="119"/>
      <c r="B1845" s="88"/>
      <c r="C1845" s="52"/>
      <c r="D1845" s="52"/>
      <c r="E1845" s="52"/>
      <c r="F1845" s="52"/>
      <c r="G1845" s="52"/>
      <c r="H1845" s="52"/>
    </row>
    <row r="1846" spans="1:8" ht="15.75">
      <c r="A1846" s="119"/>
      <c r="B1846" s="88"/>
      <c r="C1846" s="52"/>
      <c r="D1846" s="52"/>
      <c r="E1846" s="52"/>
      <c r="F1846" s="52"/>
      <c r="G1846" s="52"/>
      <c r="H1846" s="52"/>
    </row>
    <row r="1847" spans="1:8" ht="15.75">
      <c r="A1847" s="119"/>
      <c r="B1847" s="88"/>
      <c r="C1847" s="52"/>
      <c r="D1847" s="52"/>
      <c r="E1847" s="52"/>
      <c r="F1847" s="52"/>
      <c r="G1847" s="52"/>
      <c r="H1847" s="52"/>
    </row>
    <row r="1848" spans="1:8" ht="15.75">
      <c r="A1848" s="119"/>
      <c r="B1848" s="88"/>
      <c r="C1848" s="52"/>
      <c r="D1848" s="52"/>
      <c r="E1848" s="52"/>
      <c r="F1848" s="52"/>
      <c r="G1848" s="52"/>
      <c r="H1848" s="52"/>
    </row>
    <row r="1849" spans="1:8" ht="15.75">
      <c r="A1849" s="119"/>
      <c r="B1849" s="88"/>
      <c r="C1849" s="52"/>
      <c r="D1849" s="52"/>
      <c r="E1849" s="52"/>
      <c r="F1849" s="52"/>
      <c r="G1849" s="52"/>
      <c r="H1849" s="52"/>
    </row>
    <row r="1850" spans="1:8" ht="15.75">
      <c r="A1850" s="119"/>
      <c r="B1850" s="88"/>
      <c r="C1850" s="52"/>
      <c r="D1850" s="52"/>
      <c r="E1850" s="52"/>
      <c r="F1850" s="52"/>
      <c r="G1850" s="52"/>
      <c r="H1850" s="52"/>
    </row>
    <row r="1851" spans="1:8" ht="15.75">
      <c r="A1851" s="119"/>
      <c r="B1851" s="88"/>
      <c r="C1851" s="52"/>
      <c r="D1851" s="52"/>
      <c r="E1851" s="52"/>
      <c r="F1851" s="52"/>
      <c r="G1851" s="52"/>
      <c r="H1851" s="52"/>
    </row>
    <row r="1852" spans="1:8" ht="15.75">
      <c r="A1852" s="119"/>
      <c r="B1852" s="88"/>
      <c r="C1852" s="52"/>
      <c r="D1852" s="52"/>
      <c r="E1852" s="52"/>
      <c r="F1852" s="52"/>
      <c r="G1852" s="52"/>
      <c r="H1852" s="52"/>
    </row>
    <row r="1853" spans="1:8" ht="15.75">
      <c r="A1853" s="119"/>
      <c r="B1853" s="88"/>
      <c r="C1853" s="52"/>
      <c r="D1853" s="52"/>
      <c r="E1853" s="52"/>
      <c r="F1853" s="52"/>
      <c r="G1853" s="52"/>
      <c r="H1853" s="52"/>
    </row>
    <row r="1854" spans="1:8" ht="15.75">
      <c r="A1854" s="119"/>
      <c r="B1854" s="88"/>
      <c r="C1854" s="52"/>
      <c r="D1854" s="52"/>
      <c r="E1854" s="52"/>
      <c r="F1854" s="52"/>
      <c r="G1854" s="52"/>
      <c r="H1854" s="52"/>
    </row>
    <row r="1855" spans="1:8" ht="15.75">
      <c r="A1855" s="119"/>
      <c r="B1855" s="88"/>
      <c r="C1855" s="52"/>
      <c r="D1855" s="52"/>
      <c r="E1855" s="52"/>
      <c r="F1855" s="52"/>
      <c r="G1855" s="52"/>
      <c r="H1855" s="52"/>
    </row>
    <row r="1856" spans="1:8" ht="15.75">
      <c r="A1856" s="119"/>
      <c r="B1856" s="88"/>
      <c r="C1856" s="52"/>
      <c r="D1856" s="52"/>
      <c r="E1856" s="52"/>
      <c r="F1856" s="52"/>
      <c r="G1856" s="52"/>
      <c r="H1856" s="52"/>
    </row>
    <row r="1857" spans="1:8" ht="15.75">
      <c r="A1857" s="119"/>
      <c r="B1857" s="88"/>
      <c r="C1857" s="52"/>
      <c r="D1857" s="52"/>
      <c r="E1857" s="52"/>
      <c r="F1857" s="52"/>
      <c r="G1857" s="52"/>
      <c r="H1857" s="52"/>
    </row>
    <row r="1858" spans="1:8" ht="15.75">
      <c r="A1858" s="119"/>
      <c r="B1858" s="88"/>
      <c r="C1858" s="52"/>
      <c r="D1858" s="52"/>
      <c r="E1858" s="52"/>
      <c r="F1858" s="52"/>
      <c r="G1858" s="52"/>
      <c r="H1858" s="52"/>
    </row>
    <row r="1859" spans="1:8" ht="15.75">
      <c r="A1859" s="119"/>
      <c r="B1859" s="88"/>
      <c r="C1859" s="52"/>
      <c r="D1859" s="52"/>
      <c r="E1859" s="52"/>
      <c r="F1859" s="52"/>
      <c r="G1859" s="52"/>
      <c r="H1859" s="52"/>
    </row>
    <row r="1860" spans="1:8" ht="15.75">
      <c r="A1860" s="119"/>
      <c r="B1860" s="88"/>
      <c r="C1860" s="52"/>
      <c r="D1860" s="52"/>
      <c r="E1860" s="52"/>
      <c r="F1860" s="52"/>
      <c r="G1860" s="52"/>
      <c r="H1860" s="52"/>
    </row>
    <row r="1861" spans="1:8" ht="15.75">
      <c r="A1861" s="119"/>
      <c r="B1861" s="88"/>
      <c r="C1861" s="52"/>
      <c r="D1861" s="52"/>
      <c r="E1861" s="52"/>
      <c r="F1861" s="52"/>
      <c r="G1861" s="52"/>
      <c r="H1861" s="52"/>
    </row>
    <row r="1862" spans="1:8" ht="15.75">
      <c r="A1862" s="119"/>
      <c r="B1862" s="88"/>
      <c r="C1862" s="52"/>
      <c r="D1862" s="52"/>
      <c r="E1862" s="52"/>
      <c r="F1862" s="52"/>
      <c r="G1862" s="52"/>
      <c r="H1862" s="52"/>
    </row>
    <row r="1863" spans="1:8" ht="15.75">
      <c r="A1863" s="119"/>
      <c r="B1863" s="88"/>
      <c r="C1863" s="52"/>
      <c r="D1863" s="52"/>
      <c r="E1863" s="52"/>
      <c r="F1863" s="52"/>
      <c r="G1863" s="52"/>
      <c r="H1863" s="52"/>
    </row>
    <row r="1864" spans="1:8" ht="15.75">
      <c r="A1864" s="119"/>
      <c r="B1864" s="88"/>
      <c r="C1864" s="52"/>
      <c r="D1864" s="52"/>
      <c r="E1864" s="52"/>
      <c r="F1864" s="52"/>
      <c r="G1864" s="52"/>
      <c r="H1864" s="52"/>
    </row>
    <row r="1865" spans="1:8" ht="15.75">
      <c r="A1865" s="119"/>
      <c r="B1865" s="88"/>
      <c r="C1865" s="52"/>
      <c r="D1865" s="52"/>
      <c r="E1865" s="52"/>
      <c r="F1865" s="52"/>
      <c r="G1865" s="52"/>
      <c r="H1865" s="52"/>
    </row>
    <row r="1866" spans="1:8" ht="15.75">
      <c r="A1866" s="119"/>
      <c r="B1866" s="88"/>
      <c r="C1866" s="52"/>
      <c r="D1866" s="52"/>
      <c r="E1866" s="52"/>
      <c r="F1866" s="52"/>
      <c r="G1866" s="52"/>
      <c r="H1866" s="52"/>
    </row>
    <row r="1867" spans="1:8" ht="15.75">
      <c r="A1867" s="119"/>
      <c r="B1867" s="88"/>
      <c r="C1867" s="52"/>
      <c r="D1867" s="52"/>
      <c r="E1867" s="52"/>
      <c r="F1867" s="52"/>
      <c r="G1867" s="52"/>
      <c r="H1867" s="52"/>
    </row>
    <row r="1868" spans="1:8" ht="15.75">
      <c r="A1868" s="119"/>
      <c r="B1868" s="88"/>
      <c r="C1868" s="52"/>
      <c r="D1868" s="52"/>
      <c r="E1868" s="52"/>
      <c r="F1868" s="52"/>
      <c r="G1868" s="52"/>
      <c r="H1868" s="52"/>
    </row>
    <row r="1869" spans="1:8" ht="15.75">
      <c r="A1869" s="119"/>
      <c r="B1869" s="88"/>
      <c r="C1869" s="52"/>
      <c r="D1869" s="52"/>
      <c r="E1869" s="52"/>
      <c r="F1869" s="52"/>
      <c r="G1869" s="52"/>
      <c r="H1869" s="52"/>
    </row>
    <row r="1870" spans="1:8" ht="15.75">
      <c r="A1870" s="119"/>
      <c r="B1870" s="88"/>
      <c r="C1870" s="52"/>
      <c r="D1870" s="52"/>
      <c r="E1870" s="52"/>
      <c r="F1870" s="52"/>
      <c r="G1870" s="52"/>
      <c r="H1870" s="52"/>
    </row>
    <row r="1871" spans="1:8" ht="15.75">
      <c r="A1871" s="119"/>
      <c r="B1871" s="88"/>
      <c r="C1871" s="52"/>
      <c r="D1871" s="52"/>
      <c r="E1871" s="52"/>
      <c r="F1871" s="52"/>
      <c r="G1871" s="52"/>
      <c r="H1871" s="52"/>
    </row>
    <row r="1872" spans="1:8" ht="15.75">
      <c r="A1872" s="119"/>
      <c r="B1872" s="88"/>
      <c r="C1872" s="52"/>
      <c r="D1872" s="52"/>
      <c r="E1872" s="52"/>
      <c r="F1872" s="52"/>
      <c r="G1872" s="52"/>
      <c r="H1872" s="52"/>
    </row>
    <row r="1873" spans="1:8" ht="15.75">
      <c r="A1873" s="119"/>
      <c r="B1873" s="88"/>
      <c r="C1873" s="52"/>
      <c r="D1873" s="52"/>
      <c r="E1873" s="52"/>
      <c r="F1873" s="52"/>
      <c r="G1873" s="52"/>
      <c r="H1873" s="52"/>
    </row>
    <row r="1874" spans="1:8" ht="15.75">
      <c r="A1874" s="119"/>
      <c r="B1874" s="88"/>
      <c r="C1874" s="52"/>
      <c r="D1874" s="52"/>
      <c r="E1874" s="52"/>
      <c r="F1874" s="52"/>
      <c r="G1874" s="52"/>
      <c r="H1874" s="52"/>
    </row>
    <row r="1875" spans="1:8" ht="15.75">
      <c r="A1875" s="119"/>
      <c r="B1875" s="88"/>
      <c r="C1875" s="52"/>
      <c r="D1875" s="52"/>
      <c r="E1875" s="52"/>
      <c r="F1875" s="52"/>
      <c r="G1875" s="52"/>
      <c r="H1875" s="52"/>
    </row>
    <row r="1876" spans="1:8" ht="15.75">
      <c r="A1876" s="119"/>
      <c r="B1876" s="88"/>
      <c r="C1876" s="52"/>
      <c r="D1876" s="52"/>
      <c r="E1876" s="52"/>
      <c r="F1876" s="52"/>
      <c r="G1876" s="52"/>
      <c r="H1876" s="52"/>
    </row>
    <row r="1877" spans="1:8" ht="15.75">
      <c r="A1877" s="119"/>
      <c r="B1877" s="88"/>
      <c r="C1877" s="52"/>
      <c r="D1877" s="52"/>
      <c r="E1877" s="52"/>
      <c r="F1877" s="52"/>
      <c r="G1877" s="52"/>
      <c r="H1877" s="52"/>
    </row>
    <row r="1878" spans="1:8" ht="15.75">
      <c r="A1878" s="119"/>
      <c r="B1878" s="88"/>
      <c r="C1878" s="52"/>
      <c r="D1878" s="52"/>
      <c r="E1878" s="52"/>
      <c r="F1878" s="52"/>
      <c r="G1878" s="52"/>
      <c r="H1878" s="52"/>
    </row>
    <row r="1879" spans="1:8" ht="15.75">
      <c r="A1879" s="119"/>
      <c r="B1879" s="88"/>
      <c r="C1879" s="52"/>
      <c r="D1879" s="52"/>
      <c r="E1879" s="52"/>
      <c r="F1879" s="52"/>
      <c r="G1879" s="52"/>
      <c r="H1879" s="52"/>
    </row>
    <row r="1880" spans="1:8" ht="15.75">
      <c r="A1880" s="119"/>
      <c r="B1880" s="88"/>
      <c r="C1880" s="52"/>
      <c r="D1880" s="52"/>
      <c r="E1880" s="52"/>
      <c r="F1880" s="52"/>
      <c r="G1880" s="52"/>
      <c r="H1880" s="52"/>
    </row>
    <row r="1881" spans="1:8" ht="15.75">
      <c r="A1881" s="119"/>
      <c r="B1881" s="88"/>
      <c r="C1881" s="52"/>
      <c r="D1881" s="52"/>
      <c r="E1881" s="52"/>
      <c r="F1881" s="52"/>
      <c r="G1881" s="52"/>
      <c r="H1881" s="52"/>
    </row>
    <row r="1882" spans="1:8" ht="15.75">
      <c r="A1882" s="119"/>
      <c r="B1882" s="88"/>
      <c r="C1882" s="52"/>
      <c r="D1882" s="52"/>
      <c r="E1882" s="52"/>
      <c r="F1882" s="52"/>
      <c r="G1882" s="52"/>
      <c r="H1882" s="52"/>
    </row>
    <row r="1883" spans="1:8" ht="15.75">
      <c r="A1883" s="119"/>
      <c r="B1883" s="88"/>
      <c r="C1883" s="52"/>
      <c r="D1883" s="52"/>
      <c r="E1883" s="52"/>
      <c r="F1883" s="52"/>
      <c r="G1883" s="52"/>
      <c r="H1883" s="52"/>
    </row>
    <row r="1884" spans="1:8" ht="15.75">
      <c r="A1884" s="119"/>
      <c r="B1884" s="88"/>
      <c r="C1884" s="52"/>
      <c r="D1884" s="52"/>
      <c r="E1884" s="52"/>
      <c r="F1884" s="52"/>
      <c r="G1884" s="52"/>
      <c r="H1884" s="52"/>
    </row>
    <row r="1885" spans="1:8" ht="15.75">
      <c r="A1885" s="119"/>
      <c r="B1885" s="88"/>
      <c r="C1885" s="52"/>
      <c r="D1885" s="52"/>
      <c r="E1885" s="52"/>
      <c r="F1885" s="52"/>
      <c r="G1885" s="52"/>
      <c r="H1885" s="52"/>
    </row>
    <row r="1886" spans="1:8" ht="15.75">
      <c r="A1886" s="119"/>
      <c r="B1886" s="88"/>
      <c r="C1886" s="52"/>
      <c r="D1886" s="52"/>
      <c r="E1886" s="52"/>
      <c r="F1886" s="52"/>
      <c r="G1886" s="52"/>
      <c r="H1886" s="52"/>
    </row>
    <row r="1887" spans="1:8" ht="15.75">
      <c r="A1887" s="119"/>
      <c r="B1887" s="88"/>
      <c r="C1887" s="52"/>
      <c r="D1887" s="52"/>
      <c r="E1887" s="52"/>
      <c r="F1887" s="52"/>
      <c r="G1887" s="52"/>
      <c r="H1887" s="52"/>
    </row>
    <row r="1888" spans="1:8" ht="15.75">
      <c r="A1888" s="119"/>
      <c r="B1888" s="88"/>
      <c r="C1888" s="52"/>
      <c r="D1888" s="52"/>
      <c r="E1888" s="52"/>
      <c r="F1888" s="52"/>
      <c r="G1888" s="52"/>
      <c r="H1888" s="52"/>
    </row>
    <row r="1889" spans="1:8" ht="15.75">
      <c r="A1889" s="119"/>
      <c r="B1889" s="88"/>
      <c r="C1889" s="52"/>
      <c r="D1889" s="52"/>
      <c r="E1889" s="52"/>
      <c r="F1889" s="52"/>
      <c r="G1889" s="52"/>
      <c r="H1889" s="52"/>
    </row>
    <row r="1890" spans="1:8" ht="15.75">
      <c r="A1890" s="119"/>
      <c r="B1890" s="88"/>
      <c r="C1890" s="52"/>
      <c r="D1890" s="52"/>
      <c r="E1890" s="52"/>
      <c r="F1890" s="52"/>
      <c r="G1890" s="52"/>
      <c r="H1890" s="52"/>
    </row>
    <row r="1891" spans="1:8" ht="15.75">
      <c r="A1891" s="119"/>
      <c r="B1891" s="88"/>
      <c r="C1891" s="52"/>
      <c r="D1891" s="52"/>
      <c r="E1891" s="52"/>
      <c r="F1891" s="52"/>
      <c r="G1891" s="52"/>
      <c r="H1891" s="52"/>
    </row>
    <row r="1892" spans="1:8" ht="15.75">
      <c r="A1892" s="119"/>
      <c r="B1892" s="88"/>
      <c r="C1892" s="52"/>
      <c r="D1892" s="52"/>
      <c r="E1892" s="52"/>
      <c r="F1892" s="52"/>
      <c r="G1892" s="52"/>
      <c r="H1892" s="52"/>
    </row>
    <row r="1893" spans="1:8" ht="15.75">
      <c r="A1893" s="119"/>
      <c r="B1893" s="88"/>
      <c r="C1893" s="52"/>
      <c r="D1893" s="52"/>
      <c r="E1893" s="52"/>
      <c r="F1893" s="52"/>
      <c r="G1893" s="52"/>
      <c r="H1893" s="52"/>
    </row>
    <row r="1894" spans="1:8" ht="15.75">
      <c r="A1894" s="119"/>
      <c r="B1894" s="88"/>
      <c r="C1894" s="52"/>
      <c r="D1894" s="52"/>
      <c r="E1894" s="52"/>
      <c r="F1894" s="52"/>
      <c r="G1894" s="52"/>
      <c r="H1894" s="52"/>
    </row>
    <row r="1895" spans="1:8" ht="15.75">
      <c r="A1895" s="119"/>
      <c r="B1895" s="88"/>
      <c r="C1895" s="52"/>
      <c r="D1895" s="52"/>
      <c r="E1895" s="52"/>
      <c r="F1895" s="52"/>
      <c r="G1895" s="52"/>
      <c r="H1895" s="52"/>
    </row>
    <row r="1896" spans="1:8" ht="15.75">
      <c r="A1896" s="119"/>
      <c r="B1896" s="88"/>
      <c r="C1896" s="52"/>
      <c r="D1896" s="52"/>
      <c r="E1896" s="52"/>
      <c r="F1896" s="52"/>
      <c r="G1896" s="52"/>
      <c r="H1896" s="52"/>
    </row>
    <row r="1897" spans="1:8" ht="15.75">
      <c r="A1897" s="119"/>
      <c r="B1897" s="88"/>
      <c r="C1897" s="52"/>
      <c r="D1897" s="52"/>
      <c r="E1897" s="52"/>
      <c r="F1897" s="52"/>
      <c r="G1897" s="52"/>
      <c r="H1897" s="52"/>
    </row>
    <row r="1898" spans="1:8" ht="15.75">
      <c r="A1898" s="119"/>
      <c r="B1898" s="88"/>
      <c r="C1898" s="52"/>
      <c r="D1898" s="52"/>
      <c r="E1898" s="52"/>
      <c r="F1898" s="52"/>
      <c r="G1898" s="52"/>
      <c r="H1898" s="52"/>
    </row>
    <row r="1899" spans="1:8" ht="15.75">
      <c r="A1899" s="119"/>
      <c r="B1899" s="88"/>
      <c r="C1899" s="52"/>
      <c r="D1899" s="52"/>
      <c r="E1899" s="52"/>
      <c r="F1899" s="52"/>
      <c r="G1899" s="52"/>
      <c r="H1899" s="52"/>
    </row>
    <row r="1900" spans="1:8" ht="15.75">
      <c r="A1900" s="119"/>
      <c r="B1900" s="88"/>
      <c r="C1900" s="52"/>
      <c r="D1900" s="52"/>
      <c r="E1900" s="52"/>
      <c r="F1900" s="52"/>
      <c r="G1900" s="52"/>
      <c r="H1900" s="52"/>
    </row>
    <row r="1901" spans="1:8" ht="15.75">
      <c r="A1901" s="119"/>
      <c r="B1901" s="88"/>
      <c r="C1901" s="52"/>
      <c r="D1901" s="52"/>
      <c r="E1901" s="52"/>
      <c r="F1901" s="52"/>
      <c r="G1901" s="52"/>
      <c r="H1901" s="52"/>
    </row>
    <row r="1902" spans="1:8" ht="15.75">
      <c r="A1902" s="119"/>
      <c r="B1902" s="88"/>
      <c r="C1902" s="52"/>
      <c r="D1902" s="52"/>
      <c r="E1902" s="52"/>
      <c r="F1902" s="52"/>
      <c r="G1902" s="52"/>
      <c r="H1902" s="52"/>
    </row>
    <row r="1903" spans="1:8" ht="15.75">
      <c r="A1903" s="119"/>
      <c r="B1903" s="88"/>
      <c r="C1903" s="52"/>
      <c r="D1903" s="52"/>
      <c r="E1903" s="52"/>
      <c r="F1903" s="52"/>
      <c r="G1903" s="52"/>
      <c r="H1903" s="52"/>
    </row>
    <row r="1904" spans="1:8" ht="15.75">
      <c r="A1904" s="119"/>
      <c r="B1904" s="88"/>
      <c r="C1904" s="52"/>
      <c r="D1904" s="52"/>
      <c r="E1904" s="52"/>
      <c r="F1904" s="52"/>
      <c r="G1904" s="52"/>
      <c r="H1904" s="52"/>
    </row>
    <row r="1905" spans="1:8" ht="15.75">
      <c r="A1905" s="119"/>
      <c r="B1905" s="88"/>
      <c r="C1905" s="52"/>
      <c r="D1905" s="52"/>
      <c r="E1905" s="52"/>
      <c r="F1905" s="52"/>
      <c r="G1905" s="52"/>
      <c r="H1905" s="52"/>
    </row>
    <row r="1906" spans="1:8" ht="15.75">
      <c r="A1906" s="119"/>
      <c r="B1906" s="88"/>
      <c r="C1906" s="52"/>
      <c r="D1906" s="52"/>
      <c r="E1906" s="52"/>
      <c r="F1906" s="52"/>
      <c r="G1906" s="52"/>
      <c r="H1906" s="52"/>
    </row>
    <row r="1907" spans="1:8" ht="15.75">
      <c r="A1907" s="119"/>
      <c r="B1907" s="88"/>
      <c r="C1907" s="52"/>
      <c r="D1907" s="52"/>
      <c r="E1907" s="52"/>
      <c r="F1907" s="52"/>
      <c r="G1907" s="52"/>
      <c r="H1907" s="52"/>
    </row>
    <row r="1908" spans="1:8" ht="15.75">
      <c r="A1908" s="119"/>
      <c r="B1908" s="88"/>
      <c r="C1908" s="52"/>
      <c r="D1908" s="52"/>
      <c r="E1908" s="52"/>
      <c r="F1908" s="52"/>
      <c r="G1908" s="52"/>
      <c r="H1908" s="52"/>
    </row>
    <row r="1909" spans="1:8" ht="15.75">
      <c r="A1909" s="119"/>
      <c r="B1909" s="88"/>
      <c r="C1909" s="52"/>
      <c r="D1909" s="52"/>
      <c r="E1909" s="52"/>
      <c r="F1909" s="52"/>
      <c r="G1909" s="52"/>
      <c r="H1909" s="52"/>
    </row>
    <row r="1910" spans="1:8" ht="15.75">
      <c r="A1910" s="119"/>
      <c r="B1910" s="88"/>
      <c r="C1910" s="52"/>
      <c r="D1910" s="52"/>
      <c r="E1910" s="52"/>
      <c r="F1910" s="52"/>
      <c r="G1910" s="52"/>
      <c r="H1910" s="52"/>
    </row>
    <row r="1911" spans="1:8" ht="15.75">
      <c r="A1911" s="119"/>
      <c r="B1911" s="88"/>
      <c r="C1911" s="52"/>
      <c r="D1911" s="52"/>
      <c r="E1911" s="52"/>
      <c r="F1911" s="52"/>
      <c r="G1911" s="52"/>
      <c r="H1911" s="52"/>
    </row>
    <row r="1912" spans="1:8" ht="15.75">
      <c r="A1912" s="119"/>
      <c r="B1912" s="88"/>
      <c r="C1912" s="52"/>
      <c r="D1912" s="52"/>
      <c r="E1912" s="52"/>
      <c r="F1912" s="52"/>
      <c r="G1912" s="52"/>
      <c r="H1912" s="52"/>
    </row>
    <row r="1913" spans="1:8" ht="15.75">
      <c r="A1913" s="119"/>
      <c r="B1913" s="88"/>
      <c r="C1913" s="52"/>
      <c r="D1913" s="52"/>
      <c r="E1913" s="52"/>
      <c r="F1913" s="52"/>
      <c r="G1913" s="52"/>
      <c r="H1913" s="52"/>
    </row>
    <row r="1914" spans="1:8" ht="15.75">
      <c r="A1914" s="119"/>
      <c r="B1914" s="88"/>
      <c r="C1914" s="52"/>
      <c r="D1914" s="52"/>
      <c r="E1914" s="52"/>
      <c r="F1914" s="52"/>
      <c r="G1914" s="52"/>
      <c r="H1914" s="52"/>
    </row>
    <row r="1915" spans="1:8" ht="15.75">
      <c r="A1915" s="119"/>
      <c r="B1915" s="88"/>
      <c r="C1915" s="52"/>
      <c r="D1915" s="52"/>
      <c r="E1915" s="52"/>
      <c r="F1915" s="52"/>
      <c r="G1915" s="52"/>
      <c r="H1915" s="52"/>
    </row>
    <row r="1916" spans="1:8" ht="15.75">
      <c r="A1916" s="119"/>
      <c r="B1916" s="88"/>
      <c r="C1916" s="52"/>
      <c r="D1916" s="52"/>
      <c r="E1916" s="52"/>
      <c r="F1916" s="52"/>
      <c r="G1916" s="52"/>
      <c r="H1916" s="52"/>
    </row>
    <row r="1917" spans="1:8" ht="15.75">
      <c r="A1917" s="119"/>
      <c r="B1917" s="88"/>
      <c r="C1917" s="52"/>
      <c r="D1917" s="52"/>
      <c r="E1917" s="52"/>
      <c r="F1917" s="52"/>
      <c r="G1917" s="52"/>
      <c r="H1917" s="52"/>
    </row>
    <row r="1918" spans="1:8" ht="15.75">
      <c r="A1918" s="119"/>
      <c r="B1918" s="88"/>
      <c r="C1918" s="52"/>
      <c r="D1918" s="52"/>
      <c r="E1918" s="52"/>
      <c r="F1918" s="52"/>
      <c r="G1918" s="52"/>
      <c r="H1918" s="52"/>
    </row>
    <row r="1919" spans="1:8" ht="15.75">
      <c r="A1919" s="119"/>
      <c r="B1919" s="88"/>
      <c r="C1919" s="52"/>
      <c r="D1919" s="52"/>
      <c r="E1919" s="52"/>
      <c r="F1919" s="52"/>
      <c r="G1919" s="52"/>
      <c r="H1919" s="52"/>
    </row>
    <row r="1920" spans="1:8" ht="15.75">
      <c r="A1920" s="119"/>
      <c r="B1920" s="88"/>
      <c r="C1920" s="52"/>
      <c r="D1920" s="52"/>
      <c r="E1920" s="52"/>
      <c r="F1920" s="52"/>
      <c r="G1920" s="52"/>
      <c r="H1920" s="52"/>
    </row>
    <row r="1921" spans="1:8" ht="15.75">
      <c r="A1921" s="119"/>
      <c r="B1921" s="88"/>
      <c r="C1921" s="52"/>
      <c r="D1921" s="52"/>
      <c r="E1921" s="52"/>
      <c r="F1921" s="52"/>
      <c r="G1921" s="52"/>
      <c r="H1921" s="52"/>
    </row>
    <row r="1922" spans="1:8" ht="15.75">
      <c r="A1922" s="119"/>
      <c r="B1922" s="88"/>
      <c r="C1922" s="52"/>
      <c r="D1922" s="52"/>
      <c r="E1922" s="52"/>
      <c r="F1922" s="52"/>
      <c r="G1922" s="52"/>
      <c r="H1922" s="52"/>
    </row>
    <row r="1923" spans="1:8" ht="15.75">
      <c r="A1923" s="119"/>
      <c r="B1923" s="88"/>
      <c r="C1923" s="52"/>
      <c r="D1923" s="52"/>
      <c r="E1923" s="52"/>
      <c r="F1923" s="52"/>
      <c r="G1923" s="52"/>
      <c r="H1923" s="52"/>
    </row>
    <row r="1924" spans="1:8" ht="15.75">
      <c r="A1924" s="119"/>
      <c r="B1924" s="88"/>
      <c r="C1924" s="52"/>
      <c r="D1924" s="52"/>
      <c r="E1924" s="52"/>
      <c r="F1924" s="52"/>
      <c r="G1924" s="52"/>
      <c r="H1924" s="52"/>
    </row>
    <row r="1925" spans="1:8" ht="15.75">
      <c r="A1925" s="119"/>
      <c r="B1925" s="88"/>
      <c r="C1925" s="52"/>
      <c r="D1925" s="52"/>
      <c r="E1925" s="52"/>
      <c r="F1925" s="52"/>
      <c r="G1925" s="52"/>
      <c r="H1925" s="52"/>
    </row>
    <row r="1926" spans="1:8" ht="15.75">
      <c r="A1926" s="119"/>
      <c r="B1926" s="88"/>
      <c r="C1926" s="52"/>
      <c r="D1926" s="52"/>
      <c r="E1926" s="52"/>
      <c r="F1926" s="52"/>
      <c r="G1926" s="52"/>
      <c r="H1926" s="52"/>
    </row>
    <row r="1927" spans="1:8" ht="15.75">
      <c r="A1927" s="119"/>
      <c r="B1927" s="88"/>
      <c r="C1927" s="52"/>
      <c r="D1927" s="52"/>
      <c r="E1927" s="52"/>
      <c r="F1927" s="52"/>
      <c r="G1927" s="52"/>
      <c r="H1927" s="52"/>
    </row>
    <row r="1928" spans="1:8" ht="15.75">
      <c r="A1928" s="119"/>
      <c r="B1928" s="88"/>
      <c r="C1928" s="52"/>
      <c r="D1928" s="52"/>
      <c r="E1928" s="52"/>
      <c r="F1928" s="52"/>
      <c r="G1928" s="52"/>
      <c r="H1928" s="52"/>
    </row>
    <row r="1929" spans="1:8" ht="15.75">
      <c r="A1929" s="119"/>
      <c r="B1929" s="88"/>
      <c r="C1929" s="52"/>
      <c r="D1929" s="52"/>
      <c r="E1929" s="52"/>
      <c r="F1929" s="52"/>
      <c r="G1929" s="52"/>
      <c r="H1929" s="52"/>
    </row>
    <row r="1930" spans="1:8" ht="15.75">
      <c r="A1930" s="119"/>
      <c r="B1930" s="88"/>
      <c r="C1930" s="52"/>
      <c r="D1930" s="52"/>
      <c r="E1930" s="52"/>
      <c r="F1930" s="52"/>
      <c r="G1930" s="52"/>
      <c r="H1930" s="52"/>
    </row>
    <row r="1931" spans="1:8" ht="15.75">
      <c r="A1931" s="119"/>
      <c r="B1931" s="88"/>
      <c r="C1931" s="52"/>
      <c r="D1931" s="52"/>
      <c r="E1931" s="52"/>
      <c r="F1931" s="52"/>
      <c r="G1931" s="52"/>
      <c r="H1931" s="52"/>
    </row>
    <row r="1932" spans="1:8" ht="15.75">
      <c r="A1932" s="119"/>
      <c r="B1932" s="88"/>
      <c r="C1932" s="52"/>
      <c r="D1932" s="52"/>
      <c r="E1932" s="52"/>
      <c r="F1932" s="52"/>
      <c r="G1932" s="52"/>
      <c r="H1932" s="52"/>
    </row>
    <row r="1933" spans="1:8" ht="15.75">
      <c r="A1933" s="119"/>
      <c r="B1933" s="88"/>
      <c r="C1933" s="52"/>
      <c r="D1933" s="52"/>
      <c r="E1933" s="52"/>
      <c r="F1933" s="52"/>
      <c r="G1933" s="52"/>
      <c r="H1933" s="52"/>
    </row>
    <row r="1934" spans="1:8" ht="15.75">
      <c r="A1934" s="119"/>
      <c r="B1934" s="88"/>
      <c r="C1934" s="52"/>
      <c r="D1934" s="52"/>
      <c r="E1934" s="52"/>
      <c r="F1934" s="52"/>
      <c r="G1934" s="52"/>
      <c r="H1934" s="52"/>
    </row>
    <row r="1935" spans="1:8" ht="15.75">
      <c r="A1935" s="119"/>
      <c r="B1935" s="88"/>
      <c r="C1935" s="52"/>
      <c r="D1935" s="52"/>
      <c r="E1935" s="52"/>
      <c r="F1935" s="52"/>
      <c r="G1935" s="52"/>
      <c r="H1935" s="52"/>
    </row>
    <row r="1936" spans="1:8" ht="15.75">
      <c r="A1936" s="119"/>
      <c r="B1936" s="88"/>
      <c r="C1936" s="52"/>
      <c r="D1936" s="52"/>
      <c r="E1936" s="52"/>
      <c r="F1936" s="52"/>
      <c r="G1936" s="52"/>
      <c r="H1936" s="52"/>
    </row>
    <row r="1937" spans="1:8" ht="15.75">
      <c r="A1937" s="119"/>
      <c r="B1937" s="88"/>
      <c r="C1937" s="52"/>
      <c r="D1937" s="52"/>
      <c r="E1937" s="52"/>
      <c r="F1937" s="52"/>
      <c r="G1937" s="52"/>
      <c r="H1937" s="52"/>
    </row>
    <row r="1938" spans="1:8" ht="15.75">
      <c r="A1938" s="119"/>
      <c r="B1938" s="88"/>
      <c r="C1938" s="52"/>
      <c r="D1938" s="52"/>
      <c r="E1938" s="52"/>
      <c r="F1938" s="52"/>
      <c r="G1938" s="52"/>
      <c r="H1938" s="52"/>
    </row>
    <row r="1939" spans="1:8" ht="15.75">
      <c r="A1939" s="119"/>
      <c r="B1939" s="88"/>
      <c r="C1939" s="52"/>
      <c r="D1939" s="52"/>
      <c r="E1939" s="52"/>
      <c r="F1939" s="52"/>
      <c r="G1939" s="52"/>
      <c r="H1939" s="52"/>
    </row>
    <row r="1940" spans="1:8" ht="15.75">
      <c r="A1940" s="119"/>
      <c r="B1940" s="88"/>
      <c r="C1940" s="52"/>
      <c r="D1940" s="52"/>
      <c r="E1940" s="52"/>
      <c r="F1940" s="52"/>
      <c r="G1940" s="52"/>
      <c r="H1940" s="52"/>
    </row>
    <row r="1941" spans="1:8" ht="15.75">
      <c r="A1941" s="119"/>
      <c r="B1941" s="88"/>
      <c r="C1941" s="52"/>
      <c r="D1941" s="52"/>
      <c r="E1941" s="52"/>
      <c r="F1941" s="52"/>
      <c r="G1941" s="52"/>
      <c r="H1941" s="52"/>
    </row>
    <row r="1942" spans="1:8" ht="15.75">
      <c r="A1942" s="119"/>
      <c r="B1942" s="88"/>
      <c r="C1942" s="52"/>
      <c r="D1942" s="52"/>
      <c r="E1942" s="52"/>
      <c r="F1942" s="52"/>
      <c r="G1942" s="52"/>
      <c r="H1942" s="52"/>
    </row>
    <row r="1943" spans="1:8" ht="15.75">
      <c r="A1943" s="119"/>
      <c r="B1943" s="88"/>
      <c r="C1943" s="52"/>
      <c r="D1943" s="52"/>
      <c r="E1943" s="52"/>
      <c r="F1943" s="52"/>
      <c r="G1943" s="52"/>
      <c r="H1943" s="52"/>
    </row>
    <row r="1944" spans="1:8" ht="15.75">
      <c r="A1944" s="119"/>
      <c r="B1944" s="88"/>
      <c r="C1944" s="52"/>
      <c r="D1944" s="52"/>
      <c r="E1944" s="52"/>
      <c r="F1944" s="52"/>
      <c r="G1944" s="52"/>
      <c r="H1944" s="52"/>
    </row>
    <row r="1945" spans="1:8" ht="15.75">
      <c r="A1945" s="119"/>
      <c r="B1945" s="88"/>
      <c r="C1945" s="52"/>
      <c r="D1945" s="52"/>
      <c r="E1945" s="52"/>
      <c r="F1945" s="52"/>
      <c r="G1945" s="52"/>
      <c r="H1945" s="52"/>
    </row>
    <row r="1946" spans="1:8" ht="15.75">
      <c r="A1946" s="119"/>
      <c r="B1946" s="88"/>
      <c r="C1946" s="52"/>
      <c r="D1946" s="52"/>
      <c r="E1946" s="52"/>
      <c r="F1946" s="52"/>
      <c r="G1946" s="52"/>
      <c r="H1946" s="52"/>
    </row>
    <row r="1947" spans="1:8" ht="15.75">
      <c r="A1947" s="119"/>
      <c r="B1947" s="88"/>
      <c r="C1947" s="52"/>
      <c r="D1947" s="52"/>
      <c r="E1947" s="52"/>
      <c r="F1947" s="52"/>
      <c r="G1947" s="52"/>
      <c r="H1947" s="52"/>
    </row>
    <row r="1948" spans="1:8" ht="15.75">
      <c r="A1948" s="119"/>
      <c r="B1948" s="88"/>
      <c r="C1948" s="52"/>
      <c r="D1948" s="52"/>
      <c r="E1948" s="52"/>
      <c r="F1948" s="52"/>
      <c r="G1948" s="52"/>
      <c r="H1948" s="52"/>
    </row>
    <row r="1949" spans="1:8" ht="15.75">
      <c r="A1949" s="119"/>
      <c r="B1949" s="88"/>
      <c r="C1949" s="52"/>
      <c r="D1949" s="52"/>
      <c r="E1949" s="52"/>
      <c r="F1949" s="52"/>
      <c r="G1949" s="52"/>
      <c r="H1949" s="52"/>
    </row>
    <row r="1950" spans="1:8" ht="15.75">
      <c r="A1950" s="119"/>
      <c r="B1950" s="88"/>
      <c r="C1950" s="52"/>
      <c r="D1950" s="52"/>
      <c r="E1950" s="52"/>
      <c r="F1950" s="52"/>
      <c r="G1950" s="52"/>
      <c r="H1950" s="52"/>
    </row>
    <row r="1951" spans="1:8" ht="15.75">
      <c r="A1951" s="119"/>
      <c r="B1951" s="88"/>
      <c r="C1951" s="52"/>
      <c r="D1951" s="52"/>
      <c r="E1951" s="52"/>
      <c r="F1951" s="52"/>
      <c r="G1951" s="52"/>
      <c r="H1951" s="52"/>
    </row>
    <row r="1952" spans="1:8" ht="15.75">
      <c r="A1952" s="119"/>
      <c r="B1952" s="88"/>
      <c r="C1952" s="52"/>
      <c r="D1952" s="52"/>
      <c r="E1952" s="52"/>
      <c r="F1952" s="52"/>
      <c r="G1952" s="52"/>
      <c r="H1952" s="52"/>
    </row>
    <row r="1953" spans="1:8" ht="15.75">
      <c r="A1953" s="119"/>
      <c r="B1953" s="88"/>
      <c r="C1953" s="52"/>
      <c r="D1953" s="52"/>
      <c r="E1953" s="52"/>
      <c r="F1953" s="52"/>
      <c r="G1953" s="52"/>
      <c r="H1953" s="52"/>
    </row>
    <row r="1954" spans="1:8" ht="15.75">
      <c r="A1954" s="119"/>
      <c r="B1954" s="88"/>
      <c r="C1954" s="52"/>
      <c r="D1954" s="52"/>
      <c r="E1954" s="52"/>
      <c r="F1954" s="52"/>
      <c r="G1954" s="52"/>
      <c r="H1954" s="52"/>
    </row>
    <row r="1955" spans="1:8" ht="15.75">
      <c r="A1955" s="119"/>
      <c r="B1955" s="88"/>
      <c r="C1955" s="52"/>
      <c r="D1955" s="52"/>
      <c r="E1955" s="52"/>
      <c r="F1955" s="52"/>
      <c r="G1955" s="52"/>
      <c r="H1955" s="52"/>
    </row>
    <row r="1956" spans="1:8" ht="15.75">
      <c r="A1956" s="119"/>
      <c r="B1956" s="88"/>
      <c r="C1956" s="52"/>
      <c r="D1956" s="52"/>
      <c r="E1956" s="52"/>
      <c r="F1956" s="52"/>
      <c r="G1956" s="52"/>
      <c r="H1956" s="52"/>
    </row>
    <row r="1957" spans="1:8" ht="15.75">
      <c r="A1957" s="119"/>
      <c r="B1957" s="88"/>
      <c r="C1957" s="52"/>
      <c r="D1957" s="52"/>
      <c r="E1957" s="52"/>
      <c r="F1957" s="52"/>
      <c r="G1957" s="52"/>
      <c r="H1957" s="52"/>
    </row>
    <row r="1958" spans="1:8" ht="15.75">
      <c r="A1958" s="119"/>
      <c r="B1958" s="88"/>
      <c r="C1958" s="52"/>
      <c r="D1958" s="52"/>
      <c r="E1958" s="52"/>
      <c r="F1958" s="52"/>
      <c r="G1958" s="52"/>
      <c r="H1958" s="52"/>
    </row>
    <row r="1959" spans="1:8" ht="15.75">
      <c r="A1959" s="119"/>
      <c r="B1959" s="88"/>
      <c r="C1959" s="52"/>
      <c r="D1959" s="52"/>
      <c r="E1959" s="52"/>
      <c r="F1959" s="52"/>
      <c r="G1959" s="52"/>
      <c r="H1959" s="52"/>
    </row>
    <row r="1960" spans="1:8" ht="15.75">
      <c r="A1960" s="119"/>
      <c r="B1960" s="88"/>
      <c r="C1960" s="52"/>
      <c r="D1960" s="52"/>
      <c r="E1960" s="52"/>
      <c r="F1960" s="52"/>
      <c r="G1960" s="52"/>
      <c r="H1960" s="52"/>
    </row>
    <row r="1961" spans="1:8" ht="15.75">
      <c r="A1961" s="119"/>
      <c r="B1961" s="88"/>
      <c r="C1961" s="52"/>
      <c r="D1961" s="52"/>
      <c r="E1961" s="52"/>
      <c r="F1961" s="52"/>
      <c r="G1961" s="52"/>
      <c r="H1961" s="52"/>
    </row>
    <row r="1962" spans="1:8" ht="15.75">
      <c r="A1962" s="119"/>
      <c r="B1962" s="88"/>
      <c r="C1962" s="52"/>
      <c r="D1962" s="52"/>
      <c r="E1962" s="52"/>
      <c r="F1962" s="52"/>
      <c r="G1962" s="52"/>
      <c r="H1962" s="52"/>
    </row>
    <row r="1963" spans="1:8" ht="15.75">
      <c r="A1963" s="119"/>
      <c r="B1963" s="88"/>
      <c r="C1963" s="52"/>
      <c r="D1963" s="52"/>
      <c r="E1963" s="52"/>
      <c r="F1963" s="52"/>
      <c r="G1963" s="52"/>
      <c r="H1963" s="52"/>
    </row>
    <row r="1964" spans="1:8" ht="15.75">
      <c r="A1964" s="119"/>
      <c r="B1964" s="88"/>
      <c r="C1964" s="52"/>
      <c r="D1964" s="52"/>
      <c r="E1964" s="52"/>
      <c r="F1964" s="52"/>
      <c r="G1964" s="52"/>
      <c r="H1964" s="52"/>
    </row>
    <row r="1965" spans="1:8" ht="15.75">
      <c r="A1965" s="119"/>
      <c r="B1965" s="88"/>
      <c r="C1965" s="52"/>
      <c r="D1965" s="52"/>
      <c r="E1965" s="52"/>
      <c r="F1965" s="52"/>
      <c r="G1965" s="52"/>
      <c r="H1965" s="52"/>
    </row>
    <row r="1966" spans="1:8" ht="15.75">
      <c r="A1966" s="119"/>
      <c r="B1966" s="88"/>
      <c r="C1966" s="52"/>
      <c r="D1966" s="52"/>
      <c r="E1966" s="52"/>
      <c r="F1966" s="52"/>
      <c r="G1966" s="52"/>
      <c r="H1966" s="52"/>
    </row>
    <row r="1967" spans="1:8" ht="15.75">
      <c r="A1967" s="119"/>
      <c r="B1967" s="88"/>
      <c r="C1967" s="52"/>
      <c r="D1967" s="52"/>
      <c r="E1967" s="52"/>
      <c r="F1967" s="52"/>
      <c r="G1967" s="52"/>
      <c r="H1967" s="52"/>
    </row>
    <row r="1968" spans="1:8" ht="15.75">
      <c r="A1968" s="119"/>
      <c r="B1968" s="88"/>
      <c r="C1968" s="52"/>
      <c r="D1968" s="52"/>
      <c r="E1968" s="52"/>
      <c r="F1968" s="52"/>
      <c r="G1968" s="52"/>
      <c r="H1968" s="52"/>
    </row>
    <row r="1969" spans="1:8" ht="15.75">
      <c r="A1969" s="119"/>
      <c r="B1969" s="88"/>
      <c r="C1969" s="52"/>
      <c r="D1969" s="52"/>
      <c r="E1969" s="52"/>
      <c r="F1969" s="52"/>
      <c r="G1969" s="52"/>
      <c r="H1969" s="52"/>
    </row>
    <row r="1970" spans="1:8" ht="15.75">
      <c r="A1970" s="119"/>
      <c r="B1970" s="88"/>
      <c r="C1970" s="52"/>
      <c r="D1970" s="52"/>
      <c r="E1970" s="52"/>
      <c r="F1970" s="52"/>
      <c r="G1970" s="52"/>
      <c r="H1970" s="52"/>
    </row>
    <row r="1971" spans="1:8" ht="15.75">
      <c r="A1971" s="119"/>
      <c r="B1971" s="88"/>
      <c r="C1971" s="52"/>
      <c r="D1971" s="52"/>
      <c r="E1971" s="52"/>
      <c r="F1971" s="52"/>
      <c r="G1971" s="52"/>
      <c r="H1971" s="52"/>
    </row>
    <row r="1972" spans="1:8" ht="15.75">
      <c r="A1972" s="119"/>
      <c r="B1972" s="88"/>
      <c r="C1972" s="52"/>
      <c r="D1972" s="52"/>
      <c r="E1972" s="52"/>
      <c r="F1972" s="52"/>
      <c r="G1972" s="52"/>
      <c r="H1972" s="52"/>
    </row>
    <row r="1973" spans="1:8" ht="15.75">
      <c r="A1973" s="119"/>
      <c r="B1973" s="88"/>
      <c r="C1973" s="52"/>
      <c r="D1973" s="52"/>
      <c r="E1973" s="52"/>
      <c r="F1973" s="52"/>
      <c r="G1973" s="52"/>
      <c r="H1973" s="52"/>
    </row>
    <row r="1974" spans="1:8" ht="15.75">
      <c r="A1974" s="119"/>
      <c r="B1974" s="88"/>
      <c r="C1974" s="52"/>
      <c r="D1974" s="52"/>
      <c r="E1974" s="52"/>
      <c r="F1974" s="52"/>
      <c r="G1974" s="52"/>
      <c r="H1974" s="52"/>
    </row>
    <row r="1975" spans="1:8" ht="15.75">
      <c r="A1975" s="119"/>
      <c r="B1975" s="88"/>
      <c r="C1975" s="52"/>
      <c r="D1975" s="52"/>
      <c r="E1975" s="52"/>
      <c r="F1975" s="52"/>
      <c r="G1975" s="52"/>
      <c r="H1975" s="52"/>
    </row>
    <row r="1976" spans="1:8" ht="15.75">
      <c r="A1976" s="119"/>
      <c r="B1976" s="88"/>
      <c r="C1976" s="52"/>
      <c r="D1976" s="52"/>
      <c r="E1976" s="52"/>
      <c r="F1976" s="52"/>
      <c r="G1976" s="52"/>
      <c r="H1976" s="52"/>
    </row>
    <row r="1977" spans="1:8" ht="15.75">
      <c r="A1977" s="119"/>
      <c r="B1977" s="88"/>
      <c r="C1977" s="52"/>
      <c r="D1977" s="52"/>
      <c r="E1977" s="52"/>
      <c r="F1977" s="52"/>
      <c r="G1977" s="52"/>
      <c r="H1977" s="52"/>
    </row>
    <row r="1978" spans="1:8" ht="15.75">
      <c r="A1978" s="119"/>
      <c r="B1978" s="88"/>
      <c r="C1978" s="52"/>
      <c r="D1978" s="52"/>
      <c r="E1978" s="52"/>
      <c r="F1978" s="52"/>
      <c r="G1978" s="52"/>
      <c r="H1978" s="52"/>
    </row>
    <row r="1979" spans="1:8" ht="15.75">
      <c r="A1979" s="119"/>
      <c r="B1979" s="88"/>
      <c r="C1979" s="52"/>
      <c r="D1979" s="52"/>
      <c r="E1979" s="52"/>
      <c r="F1979" s="52"/>
      <c r="G1979" s="52"/>
      <c r="H1979" s="52"/>
    </row>
    <row r="1980" spans="1:8" ht="15.75">
      <c r="A1980" s="119"/>
      <c r="B1980" s="88"/>
      <c r="C1980" s="52"/>
      <c r="D1980" s="52"/>
      <c r="E1980" s="52"/>
      <c r="F1980" s="52"/>
      <c r="G1980" s="52"/>
      <c r="H1980" s="52"/>
    </row>
    <row r="1981" spans="1:8" ht="15.75">
      <c r="A1981" s="119"/>
      <c r="B1981" s="88"/>
      <c r="C1981" s="52"/>
      <c r="D1981" s="52"/>
      <c r="E1981" s="52"/>
      <c r="F1981" s="52"/>
      <c r="G1981" s="52"/>
      <c r="H1981" s="52"/>
    </row>
    <row r="1982" spans="1:8" ht="15.75">
      <c r="A1982" s="119"/>
      <c r="B1982" s="88"/>
      <c r="C1982" s="52"/>
      <c r="D1982" s="52"/>
      <c r="E1982" s="52"/>
      <c r="F1982" s="52"/>
      <c r="G1982" s="52"/>
      <c r="H1982" s="52"/>
    </row>
    <row r="1983" spans="1:8" ht="15.75">
      <c r="A1983" s="119"/>
      <c r="B1983" s="88"/>
      <c r="C1983" s="52"/>
      <c r="D1983" s="52"/>
      <c r="E1983" s="52"/>
      <c r="F1983" s="52"/>
      <c r="G1983" s="52"/>
      <c r="H1983" s="52"/>
    </row>
    <row r="1984" spans="1:8" ht="15.75">
      <c r="A1984" s="119"/>
      <c r="B1984" s="88"/>
      <c r="C1984" s="52"/>
      <c r="D1984" s="52"/>
      <c r="E1984" s="52"/>
      <c r="F1984" s="52"/>
      <c r="G1984" s="52"/>
      <c r="H1984" s="52"/>
    </row>
    <row r="1985" spans="1:8" ht="15.75">
      <c r="A1985" s="119"/>
      <c r="B1985" s="88"/>
      <c r="C1985" s="52"/>
      <c r="D1985" s="52"/>
      <c r="E1985" s="52"/>
      <c r="F1985" s="52"/>
      <c r="G1985" s="52"/>
      <c r="H1985" s="52"/>
    </row>
    <row r="1986" spans="1:8" ht="15.75">
      <c r="A1986" s="119"/>
      <c r="B1986" s="88"/>
      <c r="C1986" s="52"/>
      <c r="D1986" s="52"/>
      <c r="E1986" s="52"/>
      <c r="F1986" s="52"/>
      <c r="G1986" s="52"/>
      <c r="H1986" s="52"/>
    </row>
    <row r="1987" spans="1:8" ht="15.75">
      <c r="A1987" s="119"/>
      <c r="B1987" s="88"/>
      <c r="C1987" s="52"/>
      <c r="D1987" s="52"/>
      <c r="E1987" s="52"/>
      <c r="F1987" s="52"/>
      <c r="G1987" s="52"/>
      <c r="H1987" s="52"/>
    </row>
    <row r="1988" spans="1:8" ht="15.75">
      <c r="A1988" s="119"/>
      <c r="B1988" s="88"/>
      <c r="C1988" s="52"/>
      <c r="D1988" s="52"/>
      <c r="E1988" s="52"/>
      <c r="F1988" s="52"/>
      <c r="G1988" s="52"/>
      <c r="H1988" s="52"/>
    </row>
    <row r="1989" spans="1:8" ht="15.75">
      <c r="A1989" s="119"/>
      <c r="B1989" s="88"/>
      <c r="C1989" s="52"/>
      <c r="D1989" s="52"/>
      <c r="E1989" s="52"/>
      <c r="F1989" s="52"/>
      <c r="G1989" s="52"/>
      <c r="H1989" s="52"/>
    </row>
    <row r="1990" spans="1:8" ht="15.75">
      <c r="A1990" s="119"/>
      <c r="B1990" s="88"/>
      <c r="C1990" s="52"/>
      <c r="D1990" s="52"/>
      <c r="E1990" s="52"/>
      <c r="F1990" s="52"/>
      <c r="G1990" s="52"/>
      <c r="H1990" s="52"/>
    </row>
    <row r="1991" spans="1:8" ht="15.75">
      <c r="A1991" s="119"/>
      <c r="B1991" s="88"/>
      <c r="C1991" s="52"/>
      <c r="D1991" s="52"/>
      <c r="E1991" s="52"/>
      <c r="F1991" s="52"/>
      <c r="G1991" s="52"/>
      <c r="H1991" s="52"/>
    </row>
    <row r="1992" spans="1:8" ht="15.75">
      <c r="A1992" s="119"/>
      <c r="B1992" s="88"/>
      <c r="C1992" s="52"/>
      <c r="D1992" s="52"/>
      <c r="E1992" s="52"/>
      <c r="F1992" s="52"/>
      <c r="G1992" s="52"/>
      <c r="H1992" s="52"/>
    </row>
    <row r="1993" spans="1:8" ht="15.75">
      <c r="A1993" s="119"/>
      <c r="B1993" s="88"/>
      <c r="C1993" s="52"/>
      <c r="D1993" s="52"/>
      <c r="E1993" s="52"/>
      <c r="F1993" s="52"/>
      <c r="G1993" s="52"/>
      <c r="H1993" s="52"/>
    </row>
    <row r="1994" spans="1:8" ht="15.75">
      <c r="A1994" s="119"/>
      <c r="B1994" s="88"/>
      <c r="C1994" s="52"/>
      <c r="D1994" s="52"/>
      <c r="E1994" s="52"/>
      <c r="F1994" s="52"/>
      <c r="G1994" s="52"/>
      <c r="H1994" s="52"/>
    </row>
    <row r="1995" spans="1:8" ht="15.75">
      <c r="A1995" s="119"/>
      <c r="B1995" s="88"/>
      <c r="C1995" s="52"/>
      <c r="D1995" s="52"/>
      <c r="E1995" s="52"/>
      <c r="F1995" s="52"/>
      <c r="G1995" s="52"/>
      <c r="H1995" s="52"/>
    </row>
    <row r="1996" spans="1:8" ht="15.75">
      <c r="A1996" s="119"/>
      <c r="B1996" s="88"/>
      <c r="C1996" s="52"/>
      <c r="D1996" s="52"/>
      <c r="E1996" s="52"/>
      <c r="F1996" s="52"/>
      <c r="G1996" s="52"/>
      <c r="H1996" s="52"/>
    </row>
    <row r="1997" spans="1:8" ht="15.75">
      <c r="A1997" s="119"/>
      <c r="B1997" s="88"/>
      <c r="C1997" s="52"/>
      <c r="D1997" s="52"/>
      <c r="E1997" s="52"/>
      <c r="F1997" s="52"/>
      <c r="G1997" s="52"/>
      <c r="H1997" s="52"/>
    </row>
    <row r="1998" spans="1:8" ht="15.75">
      <c r="A1998" s="119"/>
      <c r="B1998" s="88"/>
      <c r="C1998" s="52"/>
      <c r="D1998" s="52"/>
      <c r="E1998" s="52"/>
      <c r="F1998" s="52"/>
      <c r="G1998" s="52"/>
      <c r="H1998" s="52"/>
    </row>
    <row r="1999" spans="1:8" ht="15.75">
      <c r="A1999" s="119"/>
      <c r="B1999" s="88"/>
      <c r="C1999" s="52"/>
      <c r="D1999" s="52"/>
      <c r="E1999" s="52"/>
      <c r="F1999" s="52"/>
      <c r="G1999" s="52"/>
      <c r="H1999" s="52"/>
    </row>
    <row r="2000" spans="1:8" ht="15.75">
      <c r="A2000" s="119"/>
      <c r="B2000" s="88"/>
      <c r="C2000" s="52"/>
      <c r="D2000" s="52"/>
      <c r="E2000" s="52"/>
      <c r="F2000" s="52"/>
      <c r="G2000" s="52"/>
      <c r="H2000" s="52"/>
    </row>
    <row r="2001" spans="1:8" ht="15.75">
      <c r="A2001" s="119"/>
      <c r="B2001" s="88"/>
      <c r="C2001" s="52"/>
      <c r="D2001" s="52"/>
      <c r="E2001" s="52"/>
      <c r="F2001" s="52"/>
      <c r="G2001" s="52"/>
      <c r="H2001" s="52"/>
    </row>
    <row r="2002" spans="1:8" ht="15.75">
      <c r="A2002" s="119"/>
      <c r="B2002" s="88"/>
      <c r="C2002" s="52"/>
      <c r="D2002" s="52"/>
      <c r="E2002" s="52"/>
      <c r="F2002" s="52"/>
      <c r="G2002" s="52"/>
      <c r="H2002" s="52"/>
    </row>
    <row r="2003" spans="1:8" ht="15.75">
      <c r="A2003" s="119"/>
      <c r="B2003" s="88"/>
      <c r="C2003" s="52"/>
      <c r="D2003" s="52"/>
      <c r="E2003" s="52"/>
      <c r="F2003" s="52"/>
      <c r="G2003" s="52"/>
      <c r="H2003" s="52"/>
    </row>
    <row r="2004" spans="1:8" ht="15.75">
      <c r="A2004" s="119"/>
      <c r="B2004" s="88"/>
      <c r="C2004" s="52"/>
      <c r="D2004" s="52"/>
      <c r="E2004" s="52"/>
      <c r="F2004" s="52"/>
      <c r="G2004" s="52"/>
      <c r="H2004" s="52"/>
    </row>
    <row r="2005" spans="1:8" ht="15.75">
      <c r="A2005" s="119"/>
      <c r="B2005" s="88"/>
      <c r="C2005" s="52"/>
      <c r="D2005" s="52"/>
      <c r="E2005" s="52"/>
      <c r="F2005" s="52"/>
      <c r="G2005" s="52"/>
      <c r="H2005" s="52"/>
    </row>
    <row r="2006" spans="1:8" ht="15.75">
      <c r="A2006" s="119"/>
      <c r="B2006" s="88"/>
      <c r="C2006" s="52"/>
      <c r="D2006" s="52"/>
      <c r="E2006" s="52"/>
      <c r="F2006" s="52"/>
      <c r="G2006" s="52"/>
      <c r="H2006" s="52"/>
    </row>
    <row r="2007" spans="1:8" ht="15.75">
      <c r="A2007" s="119"/>
      <c r="B2007" s="88"/>
      <c r="C2007" s="52"/>
      <c r="D2007" s="52"/>
      <c r="E2007" s="52"/>
      <c r="F2007" s="52"/>
      <c r="G2007" s="52"/>
      <c r="H2007" s="52"/>
    </row>
    <row r="2008" spans="1:8" ht="15.75">
      <c r="A2008" s="119"/>
      <c r="B2008" s="88"/>
      <c r="C2008" s="52"/>
      <c r="D2008" s="52"/>
      <c r="E2008" s="52"/>
      <c r="F2008" s="52"/>
      <c r="G2008" s="52"/>
      <c r="H2008" s="52"/>
    </row>
    <row r="2009" spans="1:8" ht="15.75">
      <c r="A2009" s="119"/>
      <c r="B2009" s="88"/>
      <c r="C2009" s="52"/>
      <c r="D2009" s="52"/>
      <c r="E2009" s="52"/>
      <c r="F2009" s="52"/>
      <c r="G2009" s="52"/>
      <c r="H2009" s="52"/>
    </row>
    <row r="2010" spans="1:8" ht="15.75">
      <c r="A2010" s="119"/>
      <c r="B2010" s="88"/>
      <c r="C2010" s="52"/>
      <c r="D2010" s="52"/>
      <c r="E2010" s="52"/>
      <c r="F2010" s="52"/>
      <c r="G2010" s="52"/>
      <c r="H2010" s="52"/>
    </row>
    <row r="2011" spans="1:8" ht="15.75">
      <c r="A2011" s="119"/>
      <c r="B2011" s="88"/>
      <c r="C2011" s="52"/>
      <c r="D2011" s="52"/>
      <c r="E2011" s="52"/>
      <c r="F2011" s="52"/>
      <c r="G2011" s="52"/>
      <c r="H2011" s="52"/>
    </row>
    <row r="2012" spans="1:8" ht="15.75">
      <c r="A2012" s="119"/>
      <c r="B2012" s="88"/>
      <c r="C2012" s="52"/>
      <c r="D2012" s="52"/>
      <c r="E2012" s="52"/>
      <c r="F2012" s="52"/>
      <c r="G2012" s="52"/>
      <c r="H2012" s="52"/>
    </row>
    <row r="2013" spans="1:8" ht="15.75">
      <c r="A2013" s="119"/>
      <c r="B2013" s="88"/>
      <c r="C2013" s="52"/>
      <c r="D2013" s="52"/>
      <c r="E2013" s="52"/>
      <c r="F2013" s="52"/>
      <c r="G2013" s="52"/>
      <c r="H2013" s="52"/>
    </row>
    <row r="2014" spans="1:8" ht="15.75">
      <c r="A2014" s="119"/>
      <c r="B2014" s="88"/>
      <c r="C2014" s="52"/>
      <c r="D2014" s="52"/>
      <c r="E2014" s="52"/>
      <c r="F2014" s="52"/>
      <c r="G2014" s="52"/>
      <c r="H2014" s="52"/>
    </row>
    <row r="2015" spans="1:8" ht="15.75">
      <c r="A2015" s="119"/>
      <c r="B2015" s="88"/>
      <c r="C2015" s="52"/>
      <c r="D2015" s="52"/>
      <c r="E2015" s="52"/>
      <c r="F2015" s="52"/>
      <c r="G2015" s="52"/>
      <c r="H2015" s="52"/>
    </row>
    <row r="2016" spans="1:8" ht="15.75">
      <c r="A2016" s="119"/>
      <c r="B2016" s="88"/>
      <c r="C2016" s="52"/>
      <c r="D2016" s="52"/>
      <c r="E2016" s="52"/>
      <c r="F2016" s="52"/>
      <c r="G2016" s="52"/>
      <c r="H2016" s="52"/>
    </row>
    <row r="2017" spans="1:8" ht="15.75">
      <c r="A2017" s="119"/>
      <c r="B2017" s="88"/>
      <c r="C2017" s="52"/>
      <c r="D2017" s="52"/>
      <c r="E2017" s="52"/>
      <c r="F2017" s="52"/>
      <c r="G2017" s="52"/>
      <c r="H2017" s="52"/>
    </row>
    <row r="2018" spans="1:8" ht="15.75">
      <c r="A2018" s="119"/>
      <c r="B2018" s="88"/>
      <c r="C2018" s="52"/>
      <c r="D2018" s="52"/>
      <c r="E2018" s="52"/>
      <c r="F2018" s="52"/>
      <c r="G2018" s="52"/>
      <c r="H2018" s="52"/>
    </row>
    <row r="2019" spans="1:8" ht="15.75">
      <c r="A2019" s="119"/>
      <c r="B2019" s="88"/>
      <c r="C2019" s="52"/>
      <c r="D2019" s="52"/>
      <c r="E2019" s="52"/>
      <c r="F2019" s="52"/>
      <c r="G2019" s="52"/>
      <c r="H2019" s="52"/>
    </row>
    <row r="2020" spans="1:8" ht="15.75">
      <c r="A2020" s="119"/>
      <c r="B2020" s="88"/>
      <c r="C2020" s="52"/>
      <c r="D2020" s="52"/>
      <c r="E2020" s="52"/>
      <c r="F2020" s="52"/>
      <c r="G2020" s="52"/>
      <c r="H2020" s="52"/>
    </row>
    <row r="2021" spans="1:8" ht="15.75">
      <c r="A2021" s="119"/>
      <c r="B2021" s="88"/>
      <c r="C2021" s="52"/>
      <c r="D2021" s="52"/>
      <c r="E2021" s="52"/>
      <c r="F2021" s="52"/>
      <c r="G2021" s="52"/>
      <c r="H2021" s="52"/>
    </row>
    <row r="2022" spans="1:8" ht="15.75">
      <c r="A2022" s="119"/>
      <c r="B2022" s="88"/>
      <c r="C2022" s="52"/>
      <c r="D2022" s="52"/>
      <c r="E2022" s="52"/>
      <c r="F2022" s="52"/>
      <c r="G2022" s="52"/>
      <c r="H2022" s="52"/>
    </row>
    <row r="2023" spans="1:8" ht="15.75">
      <c r="A2023" s="119"/>
      <c r="B2023" s="88"/>
      <c r="C2023" s="52"/>
      <c r="D2023" s="52"/>
      <c r="E2023" s="52"/>
      <c r="F2023" s="52"/>
      <c r="G2023" s="52"/>
      <c r="H2023" s="52"/>
    </row>
    <row r="2024" spans="1:8" ht="15.75">
      <c r="A2024" s="119"/>
      <c r="B2024" s="88"/>
      <c r="C2024" s="52"/>
      <c r="D2024" s="52"/>
      <c r="E2024" s="52"/>
      <c r="F2024" s="52"/>
      <c r="G2024" s="52"/>
      <c r="H2024" s="52"/>
    </row>
    <row r="2025" spans="1:8" ht="15.75">
      <c r="A2025" s="119"/>
      <c r="B2025" s="88"/>
      <c r="C2025" s="52"/>
      <c r="D2025" s="52"/>
      <c r="E2025" s="52"/>
      <c r="F2025" s="52"/>
      <c r="G2025" s="52"/>
      <c r="H2025" s="52"/>
    </row>
    <row r="2026" spans="1:8" ht="15.75">
      <c r="A2026" s="119"/>
      <c r="B2026" s="88"/>
      <c r="C2026" s="52"/>
      <c r="D2026" s="52"/>
      <c r="E2026" s="52"/>
      <c r="F2026" s="52"/>
      <c r="G2026" s="52"/>
      <c r="H2026" s="52"/>
    </row>
    <row r="2027" spans="1:8" ht="15.75">
      <c r="A2027" s="119"/>
      <c r="B2027" s="88"/>
      <c r="C2027" s="52"/>
      <c r="D2027" s="52"/>
      <c r="E2027" s="52"/>
      <c r="F2027" s="52"/>
      <c r="G2027" s="52"/>
      <c r="H2027" s="52"/>
    </row>
    <row r="2028" spans="1:8" ht="15.75">
      <c r="A2028" s="119"/>
      <c r="B2028" s="88"/>
      <c r="C2028" s="52"/>
      <c r="D2028" s="52"/>
      <c r="E2028" s="52"/>
      <c r="F2028" s="52"/>
      <c r="G2028" s="52"/>
      <c r="H2028" s="52"/>
    </row>
    <row r="2029" spans="1:8" ht="15.75">
      <c r="A2029" s="119"/>
      <c r="B2029" s="88"/>
      <c r="C2029" s="52"/>
      <c r="D2029" s="52"/>
      <c r="E2029" s="52"/>
      <c r="F2029" s="52"/>
      <c r="G2029" s="52"/>
      <c r="H2029" s="52"/>
    </row>
    <row r="2030" spans="1:8" ht="15.75">
      <c r="A2030" s="119"/>
      <c r="B2030" s="88"/>
      <c r="C2030" s="52"/>
      <c r="D2030" s="52"/>
      <c r="E2030" s="52"/>
      <c r="F2030" s="52"/>
      <c r="G2030" s="52"/>
      <c r="H2030" s="52"/>
    </row>
    <row r="2031" spans="1:8" ht="15.75">
      <c r="A2031" s="119"/>
      <c r="B2031" s="88"/>
      <c r="C2031" s="52"/>
      <c r="D2031" s="52"/>
      <c r="E2031" s="52"/>
      <c r="F2031" s="52"/>
      <c r="G2031" s="52"/>
      <c r="H2031" s="52"/>
    </row>
    <row r="2032" spans="1:8" ht="15.75">
      <c r="A2032" s="119"/>
      <c r="B2032" s="88"/>
      <c r="C2032" s="52"/>
      <c r="D2032" s="52"/>
      <c r="E2032" s="52"/>
      <c r="F2032" s="52"/>
      <c r="G2032" s="52"/>
      <c r="H2032" s="52"/>
    </row>
    <row r="2033" spans="1:8" ht="15.75">
      <c r="A2033" s="119"/>
      <c r="B2033" s="88"/>
      <c r="C2033" s="52"/>
      <c r="D2033" s="52"/>
      <c r="E2033" s="52"/>
      <c r="F2033" s="52"/>
      <c r="G2033" s="52"/>
      <c r="H2033" s="52"/>
    </row>
    <row r="2034" spans="1:8" ht="15.75">
      <c r="A2034" s="119"/>
      <c r="B2034" s="88"/>
      <c r="C2034" s="52"/>
      <c r="D2034" s="52"/>
      <c r="E2034" s="52"/>
      <c r="F2034" s="52"/>
      <c r="G2034" s="52"/>
      <c r="H2034" s="52"/>
    </row>
    <row r="2035" spans="1:8" ht="15.75">
      <c r="A2035" s="119"/>
      <c r="B2035" s="88"/>
      <c r="C2035" s="52"/>
      <c r="D2035" s="52"/>
      <c r="E2035" s="52"/>
      <c r="F2035" s="52"/>
      <c r="G2035" s="52"/>
      <c r="H2035" s="52"/>
    </row>
    <row r="2036" spans="1:8" ht="15.75">
      <c r="A2036" s="119"/>
      <c r="B2036" s="88"/>
      <c r="C2036" s="52"/>
      <c r="D2036" s="52"/>
      <c r="E2036" s="52"/>
      <c r="F2036" s="52"/>
      <c r="G2036" s="52"/>
      <c r="H2036" s="52"/>
    </row>
    <row r="2037" spans="1:8" ht="15.75">
      <c r="A2037" s="119"/>
      <c r="B2037" s="88"/>
      <c r="C2037" s="52"/>
      <c r="D2037" s="52"/>
      <c r="E2037" s="52"/>
      <c r="F2037" s="52"/>
      <c r="G2037" s="52"/>
      <c r="H2037" s="52"/>
    </row>
    <row r="2038" spans="1:8" ht="15.75">
      <c r="A2038" s="119"/>
      <c r="B2038" s="88"/>
      <c r="C2038" s="52"/>
      <c r="D2038" s="52"/>
      <c r="E2038" s="52"/>
      <c r="F2038" s="52"/>
      <c r="G2038" s="52"/>
      <c r="H2038" s="52"/>
    </row>
    <row r="2039" spans="1:8" ht="15.75">
      <c r="A2039" s="119"/>
      <c r="B2039" s="88"/>
      <c r="C2039" s="52"/>
      <c r="D2039" s="52"/>
      <c r="E2039" s="52"/>
      <c r="F2039" s="52"/>
      <c r="G2039" s="52"/>
      <c r="H2039" s="52"/>
    </row>
    <row r="2040" spans="1:8" ht="15.75">
      <c r="A2040" s="119"/>
      <c r="B2040" s="88"/>
      <c r="C2040" s="52"/>
      <c r="D2040" s="52"/>
      <c r="E2040" s="52"/>
      <c r="F2040" s="52"/>
      <c r="G2040" s="52"/>
      <c r="H2040" s="52"/>
    </row>
    <row r="2041" spans="1:8" ht="15.75">
      <c r="A2041" s="119"/>
      <c r="B2041" s="88"/>
      <c r="C2041" s="52"/>
      <c r="D2041" s="52"/>
      <c r="E2041" s="52"/>
      <c r="F2041" s="52"/>
      <c r="G2041" s="52"/>
      <c r="H2041" s="52"/>
    </row>
    <row r="2042" spans="1:8" ht="15.75">
      <c r="A2042" s="119"/>
      <c r="B2042" s="88"/>
      <c r="C2042" s="52"/>
      <c r="D2042" s="52"/>
      <c r="E2042" s="52"/>
      <c r="F2042" s="52"/>
      <c r="G2042" s="52"/>
      <c r="H2042" s="52"/>
    </row>
    <row r="2043" spans="1:8" ht="15.75">
      <c r="A2043" s="119"/>
      <c r="B2043" s="88"/>
      <c r="C2043" s="52"/>
      <c r="D2043" s="52"/>
      <c r="E2043" s="52"/>
      <c r="F2043" s="52"/>
      <c r="G2043" s="52"/>
      <c r="H2043" s="52"/>
    </row>
    <row r="2044" spans="1:8" ht="15.75">
      <c r="A2044" s="119"/>
      <c r="B2044" s="88"/>
      <c r="C2044" s="52"/>
      <c r="D2044" s="52"/>
      <c r="E2044" s="52"/>
      <c r="F2044" s="52"/>
      <c r="G2044" s="52"/>
      <c r="H2044" s="52"/>
    </row>
    <row r="2045" spans="1:8" ht="15.75">
      <c r="A2045" s="119"/>
      <c r="B2045" s="88"/>
      <c r="C2045" s="52"/>
      <c r="D2045" s="52"/>
      <c r="E2045" s="52"/>
      <c r="F2045" s="52"/>
      <c r="G2045" s="52"/>
      <c r="H2045" s="52"/>
    </row>
    <row r="2046" spans="1:8" ht="15.75">
      <c r="A2046" s="119"/>
      <c r="B2046" s="88"/>
      <c r="C2046" s="52"/>
      <c r="D2046" s="52"/>
      <c r="E2046" s="52"/>
      <c r="F2046" s="52"/>
      <c r="G2046" s="52"/>
      <c r="H2046" s="52"/>
    </row>
    <row r="2047" spans="1:8" ht="15.75">
      <c r="A2047" s="119"/>
      <c r="B2047" s="88"/>
      <c r="C2047" s="52"/>
      <c r="D2047" s="52"/>
      <c r="E2047" s="52"/>
      <c r="F2047" s="52"/>
      <c r="G2047" s="52"/>
      <c r="H2047" s="52"/>
    </row>
    <row r="2048" spans="1:8" ht="15.75">
      <c r="A2048" s="119"/>
      <c r="B2048" s="88"/>
      <c r="C2048" s="52"/>
      <c r="D2048" s="52"/>
      <c r="E2048" s="52"/>
      <c r="F2048" s="52"/>
      <c r="G2048" s="52"/>
      <c r="H2048" s="52"/>
    </row>
    <row r="2049" spans="1:8" ht="15.75">
      <c r="A2049" s="119"/>
      <c r="B2049" s="88"/>
      <c r="C2049" s="52"/>
      <c r="D2049" s="52"/>
      <c r="E2049" s="52"/>
      <c r="F2049" s="52"/>
      <c r="G2049" s="52"/>
      <c r="H2049" s="52"/>
    </row>
    <row r="2050" spans="1:8" ht="15.75">
      <c r="A2050" s="119"/>
      <c r="B2050" s="88"/>
      <c r="C2050" s="52"/>
      <c r="D2050" s="52"/>
      <c r="E2050" s="52"/>
      <c r="F2050" s="52"/>
      <c r="G2050" s="52"/>
      <c r="H2050" s="52"/>
    </row>
    <row r="2051" spans="1:8" ht="15.75">
      <c r="A2051" s="119"/>
      <c r="B2051" s="88"/>
      <c r="C2051" s="52"/>
      <c r="D2051" s="52"/>
      <c r="E2051" s="52"/>
      <c r="F2051" s="52"/>
      <c r="G2051" s="52"/>
      <c r="H2051" s="52"/>
    </row>
    <row r="2052" spans="1:8" ht="15.75">
      <c r="A2052" s="119"/>
      <c r="B2052" s="88"/>
      <c r="C2052" s="52"/>
      <c r="D2052" s="52"/>
      <c r="E2052" s="52"/>
      <c r="F2052" s="52"/>
      <c r="G2052" s="52"/>
      <c r="H2052" s="52"/>
    </row>
    <row r="2053" spans="1:8" ht="15.75">
      <c r="A2053" s="119"/>
      <c r="B2053" s="88"/>
      <c r="C2053" s="52"/>
      <c r="D2053" s="52"/>
      <c r="E2053" s="52"/>
      <c r="F2053" s="52"/>
      <c r="G2053" s="52"/>
      <c r="H2053" s="52"/>
    </row>
    <row r="2054" spans="1:8" ht="15.75">
      <c r="A2054" s="119"/>
      <c r="B2054" s="88"/>
      <c r="C2054" s="52"/>
      <c r="D2054" s="52"/>
      <c r="E2054" s="52"/>
      <c r="F2054" s="52"/>
      <c r="G2054" s="52"/>
      <c r="H2054" s="52"/>
    </row>
    <row r="2055" spans="1:8" ht="15.75">
      <c r="A2055" s="119"/>
      <c r="B2055" s="88"/>
      <c r="C2055" s="52"/>
      <c r="D2055" s="52"/>
      <c r="E2055" s="52"/>
      <c r="F2055" s="52"/>
      <c r="G2055" s="52"/>
      <c r="H2055" s="52"/>
    </row>
    <row r="2056" spans="1:8" ht="15.75">
      <c r="A2056" s="119"/>
      <c r="B2056" s="88"/>
      <c r="C2056" s="52"/>
      <c r="D2056" s="52"/>
      <c r="E2056" s="52"/>
      <c r="F2056" s="52"/>
      <c r="G2056" s="52"/>
      <c r="H2056" s="52"/>
    </row>
    <row r="2057" spans="1:8" ht="15.75">
      <c r="A2057" s="119"/>
      <c r="B2057" s="88"/>
      <c r="C2057" s="52"/>
      <c r="D2057" s="52"/>
      <c r="E2057" s="52"/>
      <c r="F2057" s="52"/>
      <c r="G2057" s="52"/>
      <c r="H2057" s="52"/>
    </row>
    <row r="2058" spans="1:8" ht="15.75">
      <c r="A2058" s="119"/>
      <c r="B2058" s="88"/>
      <c r="C2058" s="52"/>
      <c r="D2058" s="52"/>
      <c r="E2058" s="52"/>
      <c r="F2058" s="52"/>
      <c r="G2058" s="52"/>
      <c r="H2058" s="52"/>
    </row>
    <row r="2059" spans="1:8" ht="15.75">
      <c r="A2059" s="119"/>
      <c r="B2059" s="88"/>
      <c r="C2059" s="52"/>
      <c r="D2059" s="52"/>
      <c r="E2059" s="52"/>
      <c r="F2059" s="52"/>
      <c r="G2059" s="52"/>
      <c r="H2059" s="52"/>
    </row>
    <row r="2060" spans="1:8" ht="15.75">
      <c r="A2060" s="119"/>
      <c r="B2060" s="88"/>
      <c r="C2060" s="52"/>
      <c r="D2060" s="52"/>
      <c r="E2060" s="52"/>
      <c r="F2060" s="52"/>
      <c r="G2060" s="52"/>
      <c r="H2060" s="52"/>
    </row>
    <row r="2061" spans="1:8" ht="15.75">
      <c r="A2061" s="119"/>
      <c r="B2061" s="88"/>
      <c r="C2061" s="52"/>
      <c r="D2061" s="52"/>
      <c r="E2061" s="52"/>
      <c r="F2061" s="52"/>
      <c r="G2061" s="52"/>
      <c r="H2061" s="52"/>
    </row>
    <row r="2062" spans="1:8" ht="15.75">
      <c r="A2062" s="119"/>
      <c r="B2062" s="88"/>
      <c r="C2062" s="52"/>
      <c r="D2062" s="52"/>
      <c r="E2062" s="52"/>
      <c r="F2062" s="52"/>
      <c r="G2062" s="52"/>
      <c r="H2062" s="52"/>
    </row>
    <row r="2063" spans="1:8" ht="15.75">
      <c r="A2063" s="119"/>
      <c r="B2063" s="88"/>
      <c r="C2063" s="52"/>
      <c r="D2063" s="52"/>
      <c r="E2063" s="52"/>
      <c r="F2063" s="52"/>
      <c r="G2063" s="52"/>
      <c r="H2063" s="52"/>
    </row>
    <row r="2064" spans="1:8" ht="15.75">
      <c r="A2064" s="119"/>
      <c r="B2064" s="88"/>
      <c r="C2064" s="52"/>
      <c r="D2064" s="52"/>
      <c r="E2064" s="52"/>
      <c r="F2064" s="52"/>
      <c r="G2064" s="52"/>
      <c r="H2064" s="52"/>
    </row>
    <row r="2065" spans="1:8" ht="15.75">
      <c r="A2065" s="119"/>
      <c r="B2065" s="88"/>
      <c r="C2065" s="52"/>
      <c r="D2065" s="52"/>
      <c r="E2065" s="52"/>
      <c r="F2065" s="52"/>
      <c r="G2065" s="52"/>
      <c r="H2065" s="52"/>
    </row>
    <row r="2066" spans="1:8" ht="15.75">
      <c r="A2066" s="119"/>
      <c r="B2066" s="88"/>
      <c r="C2066" s="52"/>
      <c r="D2066" s="52"/>
      <c r="E2066" s="52"/>
      <c r="F2066" s="52"/>
      <c r="G2066" s="52"/>
      <c r="H2066" s="52"/>
    </row>
    <row r="2067" spans="1:8" ht="15.75">
      <c r="A2067" s="119"/>
      <c r="B2067" s="88"/>
      <c r="C2067" s="52"/>
      <c r="D2067" s="52"/>
      <c r="E2067" s="52"/>
      <c r="F2067" s="52"/>
      <c r="G2067" s="52"/>
      <c r="H2067" s="52"/>
    </row>
    <row r="2068" spans="1:8" ht="15.75">
      <c r="A2068" s="119"/>
      <c r="B2068" s="88"/>
      <c r="C2068" s="52"/>
      <c r="D2068" s="52"/>
      <c r="E2068" s="52"/>
      <c r="F2068" s="52"/>
      <c r="G2068" s="52"/>
      <c r="H2068" s="52"/>
    </row>
    <row r="2069" spans="1:8" ht="15.75">
      <c r="A2069" s="119"/>
      <c r="B2069" s="88"/>
      <c r="C2069" s="52"/>
      <c r="D2069" s="52"/>
      <c r="E2069" s="52"/>
      <c r="F2069" s="52"/>
      <c r="G2069" s="52"/>
      <c r="H2069" s="52"/>
    </row>
    <row r="2070" spans="1:8" ht="15.75">
      <c r="A2070" s="119"/>
      <c r="B2070" s="88"/>
      <c r="C2070" s="52"/>
      <c r="D2070" s="52"/>
      <c r="E2070" s="52"/>
      <c r="F2070" s="52"/>
      <c r="G2070" s="52"/>
      <c r="H2070" s="52"/>
    </row>
    <row r="2071" spans="1:8" ht="15.75">
      <c r="A2071" s="119"/>
      <c r="B2071" s="88"/>
      <c r="C2071" s="52"/>
      <c r="D2071" s="52"/>
      <c r="E2071" s="52"/>
      <c r="F2071" s="52"/>
      <c r="G2071" s="52"/>
      <c r="H2071" s="52"/>
    </row>
    <row r="2072" spans="1:8" ht="15.75">
      <c r="A2072" s="119"/>
      <c r="B2072" s="88"/>
      <c r="C2072" s="52"/>
      <c r="D2072" s="52"/>
      <c r="E2072" s="52"/>
      <c r="F2072" s="52"/>
      <c r="G2072" s="52"/>
      <c r="H2072" s="52"/>
    </row>
    <row r="2073" spans="1:8" ht="15.75">
      <c r="A2073" s="119"/>
      <c r="B2073" s="88"/>
      <c r="C2073" s="52"/>
      <c r="D2073" s="52"/>
      <c r="E2073" s="52"/>
      <c r="F2073" s="52"/>
      <c r="G2073" s="52"/>
      <c r="H2073" s="52"/>
    </row>
    <row r="2074" spans="1:8" ht="15.75">
      <c r="A2074" s="119"/>
      <c r="B2074" s="88"/>
      <c r="C2074" s="52"/>
      <c r="D2074" s="52"/>
      <c r="E2074" s="52"/>
      <c r="F2074" s="52"/>
      <c r="G2074" s="52"/>
      <c r="H2074" s="52"/>
    </row>
    <row r="2075" spans="1:8" ht="15.75">
      <c r="A2075" s="119"/>
      <c r="B2075" s="88"/>
      <c r="C2075" s="52"/>
      <c r="D2075" s="52"/>
      <c r="E2075" s="52"/>
      <c r="F2075" s="52"/>
      <c r="G2075" s="52"/>
      <c r="H2075" s="52"/>
    </row>
    <row r="2076" spans="1:8" ht="15.75">
      <c r="A2076" s="119"/>
      <c r="B2076" s="88"/>
      <c r="C2076" s="52"/>
      <c r="D2076" s="52"/>
      <c r="E2076" s="52"/>
      <c r="F2076" s="52"/>
      <c r="G2076" s="52"/>
      <c r="H2076" s="52"/>
    </row>
    <row r="2077" spans="1:8" ht="15.75">
      <c r="A2077" s="119"/>
      <c r="B2077" s="88"/>
      <c r="C2077" s="52"/>
      <c r="D2077" s="52"/>
      <c r="E2077" s="52"/>
      <c r="F2077" s="52"/>
      <c r="G2077" s="52"/>
      <c r="H2077" s="52"/>
    </row>
    <row r="2078" spans="1:8" ht="15.75">
      <c r="A2078" s="119"/>
      <c r="B2078" s="88"/>
      <c r="C2078" s="52"/>
      <c r="D2078" s="52"/>
      <c r="E2078" s="52"/>
      <c r="F2078" s="52"/>
      <c r="G2078" s="52"/>
      <c r="H2078" s="52"/>
    </row>
    <row r="2079" spans="1:8" ht="15.75">
      <c r="A2079" s="119"/>
      <c r="B2079" s="88"/>
      <c r="C2079" s="52"/>
      <c r="D2079" s="52"/>
      <c r="E2079" s="52"/>
      <c r="F2079" s="52"/>
      <c r="G2079" s="52"/>
      <c r="H2079" s="52"/>
    </row>
    <row r="2080" spans="1:8" ht="15.75">
      <c r="A2080" s="119"/>
      <c r="B2080" s="88"/>
      <c r="C2080" s="52"/>
      <c r="D2080" s="52"/>
      <c r="E2080" s="52"/>
      <c r="F2080" s="52"/>
      <c r="G2080" s="52"/>
      <c r="H2080" s="52"/>
    </row>
    <row r="2081" spans="1:8" ht="15.75">
      <c r="A2081" s="119"/>
      <c r="B2081" s="88"/>
      <c r="C2081" s="52"/>
      <c r="D2081" s="52"/>
      <c r="E2081" s="52"/>
      <c r="F2081" s="52"/>
      <c r="G2081" s="52"/>
      <c r="H2081" s="52"/>
    </row>
    <row r="2082" spans="1:8" ht="15.75">
      <c r="A2082" s="119"/>
      <c r="B2082" s="88"/>
      <c r="C2082" s="52"/>
      <c r="D2082" s="52"/>
      <c r="E2082" s="52"/>
      <c r="F2082" s="52"/>
      <c r="G2082" s="52"/>
      <c r="H2082" s="52"/>
    </row>
    <row r="2083" spans="1:8" ht="15.75">
      <c r="A2083" s="119"/>
      <c r="B2083" s="88"/>
      <c r="C2083" s="52"/>
      <c r="D2083" s="52"/>
      <c r="E2083" s="52"/>
      <c r="F2083" s="52"/>
      <c r="G2083" s="52"/>
      <c r="H2083" s="52"/>
    </row>
    <row r="2084" spans="1:8" ht="15.75">
      <c r="A2084" s="119"/>
      <c r="B2084" s="88"/>
      <c r="C2084" s="52"/>
      <c r="D2084" s="52"/>
      <c r="E2084" s="52"/>
      <c r="F2084" s="52"/>
      <c r="G2084" s="52"/>
      <c r="H2084" s="52"/>
    </row>
    <row r="2085" spans="1:8" ht="15.75">
      <c r="A2085" s="119"/>
      <c r="B2085" s="88"/>
      <c r="C2085" s="52"/>
      <c r="D2085" s="52"/>
      <c r="E2085" s="52"/>
      <c r="F2085" s="52"/>
      <c r="G2085" s="52"/>
      <c r="H2085" s="52"/>
    </row>
    <row r="2086" spans="1:8" ht="15.75">
      <c r="A2086" s="119"/>
      <c r="B2086" s="88"/>
      <c r="C2086" s="52"/>
      <c r="D2086" s="52"/>
      <c r="E2086" s="52"/>
      <c r="F2086" s="52"/>
      <c r="G2086" s="52"/>
      <c r="H2086" s="52"/>
    </row>
    <row r="2087" spans="1:8" ht="15.75">
      <c r="A2087" s="119"/>
      <c r="B2087" s="88"/>
      <c r="C2087" s="52"/>
      <c r="D2087" s="52"/>
      <c r="E2087" s="52"/>
      <c r="F2087" s="52"/>
      <c r="G2087" s="52"/>
      <c r="H2087" s="52"/>
    </row>
    <row r="2088" spans="1:8" ht="15.75">
      <c r="A2088" s="119"/>
      <c r="B2088" s="88"/>
      <c r="C2088" s="52"/>
      <c r="D2088" s="52"/>
      <c r="E2088" s="52"/>
      <c r="F2088" s="52"/>
      <c r="G2088" s="52"/>
      <c r="H2088" s="52"/>
    </row>
    <row r="2089" spans="1:8" ht="15.75">
      <c r="A2089" s="119"/>
      <c r="B2089" s="88"/>
      <c r="C2089" s="52"/>
      <c r="D2089" s="52"/>
      <c r="E2089" s="52"/>
      <c r="F2089" s="52"/>
      <c r="G2089" s="52"/>
      <c r="H2089" s="52"/>
    </row>
    <row r="2090" spans="1:8" ht="15.75">
      <c r="A2090" s="119"/>
      <c r="B2090" s="88"/>
      <c r="C2090" s="52"/>
      <c r="D2090" s="52"/>
      <c r="E2090" s="52"/>
      <c r="F2090" s="52"/>
      <c r="G2090" s="52"/>
      <c r="H2090" s="52"/>
    </row>
    <row r="2091" spans="1:8" ht="15.75">
      <c r="A2091" s="119"/>
      <c r="B2091" s="88"/>
      <c r="C2091" s="52"/>
      <c r="D2091" s="52"/>
      <c r="E2091" s="52"/>
      <c r="F2091" s="52"/>
      <c r="G2091" s="52"/>
      <c r="H2091" s="52"/>
    </row>
    <row r="2092" spans="1:8" ht="15.75">
      <c r="A2092" s="119"/>
      <c r="B2092" s="88"/>
      <c r="C2092" s="52"/>
      <c r="D2092" s="52"/>
      <c r="E2092" s="52"/>
      <c r="F2092" s="52"/>
      <c r="G2092" s="52"/>
      <c r="H2092" s="52"/>
    </row>
    <row r="2093" spans="1:8" ht="15.75">
      <c r="A2093" s="119"/>
      <c r="B2093" s="88"/>
      <c r="C2093" s="52"/>
      <c r="D2093" s="52"/>
      <c r="E2093" s="52"/>
      <c r="F2093" s="52"/>
      <c r="G2093" s="52"/>
      <c r="H2093" s="52"/>
    </row>
    <row r="2094" spans="1:8" ht="15.75">
      <c r="A2094" s="119"/>
      <c r="B2094" s="88"/>
      <c r="C2094" s="52"/>
      <c r="D2094" s="52"/>
      <c r="E2094" s="52"/>
      <c r="F2094" s="52"/>
      <c r="G2094" s="52"/>
      <c r="H2094" s="52"/>
    </row>
    <row r="2095" spans="1:8" ht="15.75">
      <c r="A2095" s="119"/>
      <c r="B2095" s="88"/>
      <c r="C2095" s="52"/>
      <c r="D2095" s="52"/>
      <c r="E2095" s="52"/>
      <c r="F2095" s="52"/>
      <c r="G2095" s="52"/>
      <c r="H2095" s="52"/>
    </row>
    <row r="2096" spans="1:8" ht="15.75">
      <c r="A2096" s="119"/>
      <c r="B2096" s="88"/>
      <c r="C2096" s="52"/>
      <c r="D2096" s="52"/>
      <c r="E2096" s="52"/>
      <c r="F2096" s="52"/>
      <c r="G2096" s="52"/>
      <c r="H2096" s="52"/>
    </row>
    <row r="2097" spans="1:8" ht="15.75">
      <c r="A2097" s="119"/>
      <c r="B2097" s="88"/>
      <c r="C2097" s="52"/>
      <c r="D2097" s="52"/>
      <c r="E2097" s="52"/>
      <c r="F2097" s="52"/>
      <c r="G2097" s="52"/>
      <c r="H2097" s="52"/>
    </row>
    <row r="2098" spans="1:8" ht="15.75">
      <c r="A2098" s="119"/>
      <c r="B2098" s="88"/>
      <c r="C2098" s="52"/>
      <c r="D2098" s="52"/>
      <c r="E2098" s="52"/>
      <c r="F2098" s="52"/>
      <c r="G2098" s="52"/>
      <c r="H2098" s="52"/>
    </row>
    <row r="2099" spans="1:8" ht="15.75">
      <c r="A2099" s="119"/>
      <c r="B2099" s="88"/>
      <c r="C2099" s="52"/>
      <c r="D2099" s="52"/>
      <c r="E2099" s="52"/>
      <c r="F2099" s="52"/>
      <c r="G2099" s="52"/>
      <c r="H2099" s="52"/>
    </row>
    <row r="2100" spans="1:8" ht="15.75">
      <c r="A2100" s="119"/>
      <c r="B2100" s="88"/>
      <c r="C2100" s="52"/>
      <c r="D2100" s="52"/>
      <c r="E2100" s="52"/>
      <c r="F2100" s="52"/>
      <c r="G2100" s="52"/>
      <c r="H2100" s="52"/>
    </row>
    <row r="2101" spans="1:8" ht="15.75">
      <c r="A2101" s="119"/>
      <c r="B2101" s="88"/>
      <c r="C2101" s="52"/>
      <c r="D2101" s="52"/>
      <c r="E2101" s="52"/>
      <c r="F2101" s="52"/>
      <c r="G2101" s="52"/>
      <c r="H2101" s="52"/>
    </row>
    <row r="2102" spans="1:8" ht="15.75">
      <c r="A2102" s="119"/>
      <c r="B2102" s="88"/>
      <c r="C2102" s="52"/>
      <c r="D2102" s="52"/>
      <c r="E2102" s="52"/>
      <c r="F2102" s="52"/>
      <c r="G2102" s="52"/>
      <c r="H2102" s="52"/>
    </row>
    <row r="2103" spans="1:8" ht="15.75">
      <c r="A2103" s="119"/>
      <c r="B2103" s="88"/>
      <c r="C2103" s="52"/>
      <c r="D2103" s="52"/>
      <c r="E2103" s="52"/>
      <c r="F2103" s="52"/>
      <c r="G2103" s="52"/>
      <c r="H2103" s="52"/>
    </row>
    <row r="2104" spans="1:8" ht="15.75">
      <c r="A2104" s="119"/>
      <c r="B2104" s="88"/>
      <c r="C2104" s="52"/>
      <c r="D2104" s="52"/>
      <c r="E2104" s="52"/>
      <c r="F2104" s="52"/>
      <c r="G2104" s="52"/>
      <c r="H2104" s="52"/>
    </row>
    <row r="2105" spans="1:8" ht="15.75">
      <c r="A2105" s="119"/>
      <c r="B2105" s="88"/>
      <c r="C2105" s="52"/>
      <c r="D2105" s="52"/>
      <c r="E2105" s="52"/>
      <c r="F2105" s="52"/>
      <c r="G2105" s="52"/>
      <c r="H2105" s="52"/>
    </row>
    <row r="2106" spans="1:8" ht="15.75">
      <c r="A2106" s="119"/>
      <c r="B2106" s="88"/>
      <c r="C2106" s="52"/>
      <c r="D2106" s="52"/>
      <c r="E2106" s="52"/>
      <c r="F2106" s="52"/>
      <c r="G2106" s="52"/>
      <c r="H2106" s="52"/>
    </row>
    <row r="2107" spans="1:8" ht="15.75">
      <c r="A2107" s="119"/>
      <c r="B2107" s="88"/>
      <c r="C2107" s="52"/>
      <c r="D2107" s="52"/>
      <c r="E2107" s="52"/>
      <c r="F2107" s="52"/>
      <c r="G2107" s="52"/>
      <c r="H2107" s="52"/>
    </row>
    <row r="2108" spans="1:8" ht="15.75">
      <c r="A2108" s="119"/>
      <c r="B2108" s="88"/>
      <c r="C2108" s="52"/>
      <c r="D2108" s="52"/>
      <c r="E2108" s="52"/>
      <c r="F2108" s="52"/>
      <c r="G2108" s="52"/>
      <c r="H2108" s="52"/>
    </row>
    <row r="2109" spans="1:8" ht="15.75">
      <c r="A2109" s="119"/>
      <c r="B2109" s="88"/>
      <c r="C2109" s="52"/>
      <c r="D2109" s="52"/>
      <c r="E2109" s="52"/>
      <c r="F2109" s="52"/>
      <c r="G2109" s="52"/>
      <c r="H2109" s="52"/>
    </row>
    <row r="2110" spans="1:8" ht="15.75">
      <c r="A2110" s="119"/>
      <c r="B2110" s="88"/>
      <c r="C2110" s="52"/>
      <c r="D2110" s="52"/>
      <c r="E2110" s="52"/>
      <c r="F2110" s="52"/>
      <c r="G2110" s="52"/>
      <c r="H2110" s="52"/>
    </row>
    <row r="2111" spans="1:8" ht="15.75">
      <c r="A2111" s="119"/>
      <c r="B2111" s="88"/>
      <c r="C2111" s="52"/>
      <c r="D2111" s="52"/>
      <c r="E2111" s="52"/>
      <c r="F2111" s="52"/>
      <c r="G2111" s="52"/>
      <c r="H2111" s="52"/>
    </row>
    <row r="2112" spans="1:8" ht="15.75">
      <c r="A2112" s="119"/>
      <c r="B2112" s="88"/>
      <c r="C2112" s="52"/>
      <c r="D2112" s="52"/>
      <c r="E2112" s="52"/>
      <c r="F2112" s="52"/>
      <c r="G2112" s="52"/>
      <c r="H2112" s="52"/>
    </row>
    <row r="2113" spans="1:8" ht="15.75">
      <c r="A2113" s="119"/>
      <c r="B2113" s="88"/>
      <c r="C2113" s="52"/>
      <c r="D2113" s="52"/>
      <c r="E2113" s="52"/>
      <c r="F2113" s="52"/>
      <c r="G2113" s="52"/>
      <c r="H2113" s="52"/>
    </row>
    <row r="2114" spans="1:8" ht="15.75">
      <c r="A2114" s="119"/>
      <c r="B2114" s="88"/>
      <c r="C2114" s="52"/>
      <c r="D2114" s="52"/>
      <c r="E2114" s="52"/>
      <c r="F2114" s="52"/>
      <c r="G2114" s="52"/>
      <c r="H2114" s="52"/>
    </row>
    <row r="2115" spans="1:8" ht="15.75">
      <c r="A2115" s="119"/>
      <c r="B2115" s="88"/>
      <c r="C2115" s="52"/>
      <c r="D2115" s="52"/>
      <c r="E2115" s="52"/>
      <c r="F2115" s="52"/>
      <c r="G2115" s="52"/>
      <c r="H2115" s="52"/>
    </row>
    <row r="2116" spans="1:8" ht="15.75">
      <c r="A2116" s="119"/>
      <c r="B2116" s="88"/>
      <c r="C2116" s="52"/>
      <c r="D2116" s="52"/>
      <c r="E2116" s="52"/>
      <c r="F2116" s="52"/>
      <c r="G2116" s="52"/>
      <c r="H2116" s="52"/>
    </row>
    <row r="2117" spans="1:8" ht="15.75">
      <c r="A2117" s="119"/>
      <c r="B2117" s="88"/>
      <c r="C2117" s="52"/>
      <c r="D2117" s="52"/>
      <c r="E2117" s="52"/>
      <c r="F2117" s="52"/>
      <c r="G2117" s="52"/>
      <c r="H2117" s="52"/>
    </row>
    <row r="2118" spans="1:8" ht="15.75">
      <c r="A2118" s="119"/>
      <c r="B2118" s="88"/>
      <c r="C2118" s="52"/>
      <c r="D2118" s="52"/>
      <c r="E2118" s="52"/>
      <c r="F2118" s="52"/>
      <c r="G2118" s="52"/>
      <c r="H2118" s="52"/>
    </row>
    <row r="2119" spans="1:8" ht="15.75">
      <c r="A2119" s="119"/>
      <c r="B2119" s="88"/>
      <c r="C2119" s="52"/>
      <c r="D2119" s="52"/>
      <c r="E2119" s="52"/>
      <c r="F2119" s="52"/>
      <c r="G2119" s="52"/>
      <c r="H2119" s="52"/>
    </row>
    <row r="2120" spans="1:8" ht="15.75">
      <c r="A2120" s="119"/>
      <c r="B2120" s="88"/>
      <c r="C2120" s="52"/>
      <c r="D2120" s="52"/>
      <c r="E2120" s="52"/>
      <c r="F2120" s="52"/>
      <c r="G2120" s="52"/>
      <c r="H2120" s="52"/>
    </row>
    <row r="2121" spans="1:8" ht="15.75">
      <c r="A2121" s="119"/>
      <c r="B2121" s="88"/>
      <c r="C2121" s="52"/>
      <c r="D2121" s="52"/>
      <c r="E2121" s="52"/>
      <c r="F2121" s="52"/>
      <c r="G2121" s="52"/>
      <c r="H2121" s="52"/>
    </row>
    <row r="2122" spans="1:8" ht="15.75">
      <c r="A2122" s="119"/>
      <c r="B2122" s="88"/>
      <c r="C2122" s="52"/>
      <c r="D2122" s="52"/>
      <c r="E2122" s="52"/>
      <c r="F2122" s="52"/>
      <c r="G2122" s="52"/>
      <c r="H2122" s="52"/>
    </row>
    <row r="2123" spans="1:8" ht="15.75">
      <c r="A2123" s="119"/>
      <c r="B2123" s="88"/>
      <c r="C2123" s="52"/>
      <c r="D2123" s="52"/>
      <c r="E2123" s="52"/>
      <c r="F2123" s="52"/>
      <c r="G2123" s="52"/>
      <c r="H2123" s="52"/>
    </row>
    <row r="2124" spans="1:8" ht="15.75">
      <c r="A2124" s="119"/>
      <c r="B2124" s="88"/>
      <c r="C2124" s="52"/>
      <c r="D2124" s="52"/>
      <c r="E2124" s="52"/>
      <c r="F2124" s="52"/>
      <c r="G2124" s="52"/>
      <c r="H2124" s="52"/>
    </row>
    <row r="2125" spans="1:8" ht="15.75">
      <c r="A2125" s="119"/>
      <c r="B2125" s="88"/>
      <c r="C2125" s="52"/>
      <c r="D2125" s="52"/>
      <c r="E2125" s="52"/>
      <c r="F2125" s="52"/>
      <c r="G2125" s="52"/>
      <c r="H2125" s="52"/>
    </row>
    <row r="2126" spans="1:8" ht="15.75">
      <c r="A2126" s="119"/>
      <c r="B2126" s="88"/>
      <c r="C2126" s="52"/>
      <c r="D2126" s="52"/>
      <c r="E2126" s="52"/>
      <c r="F2126" s="52"/>
      <c r="G2126" s="52"/>
      <c r="H2126" s="52"/>
    </row>
    <row r="2127" spans="1:8" ht="15.75">
      <c r="A2127" s="119"/>
      <c r="B2127" s="88"/>
      <c r="C2127" s="52"/>
      <c r="D2127" s="52"/>
      <c r="E2127" s="52"/>
      <c r="F2127" s="52"/>
      <c r="G2127" s="52"/>
      <c r="H2127" s="52"/>
    </row>
    <row r="2128" spans="1:8" ht="15.75">
      <c r="A2128" s="119"/>
      <c r="B2128" s="88"/>
      <c r="C2128" s="52"/>
      <c r="D2128" s="52"/>
      <c r="E2128" s="52"/>
      <c r="F2128" s="52"/>
      <c r="G2128" s="52"/>
      <c r="H2128" s="52"/>
    </row>
    <row r="2129" spans="1:8" ht="15.75">
      <c r="A2129" s="119"/>
      <c r="B2129" s="88"/>
      <c r="C2129" s="52"/>
      <c r="D2129" s="52"/>
      <c r="E2129" s="52"/>
      <c r="F2129" s="52"/>
      <c r="G2129" s="52"/>
      <c r="H2129" s="52"/>
    </row>
    <row r="2130" spans="1:8" ht="15.75">
      <c r="A2130" s="119"/>
      <c r="B2130" s="88"/>
      <c r="C2130" s="52"/>
      <c r="D2130" s="52"/>
      <c r="E2130" s="52"/>
      <c r="F2130" s="52"/>
      <c r="G2130" s="52"/>
      <c r="H2130" s="52"/>
    </row>
    <row r="2131" spans="1:8" ht="15.75">
      <c r="A2131" s="119"/>
      <c r="B2131" s="88"/>
      <c r="C2131" s="52"/>
      <c r="D2131" s="52"/>
      <c r="E2131" s="52"/>
      <c r="F2131" s="52"/>
      <c r="G2131" s="52"/>
      <c r="H2131" s="52"/>
    </row>
    <row r="2132" spans="1:8" ht="15.75">
      <c r="A2132" s="119"/>
      <c r="B2132" s="88"/>
      <c r="C2132" s="52"/>
      <c r="D2132" s="52"/>
      <c r="E2132" s="52"/>
      <c r="F2132" s="52"/>
      <c r="G2132" s="52"/>
      <c r="H2132" s="52"/>
    </row>
    <row r="2133" spans="1:8" ht="15.75">
      <c r="A2133" s="119"/>
      <c r="B2133" s="88"/>
      <c r="C2133" s="52"/>
      <c r="D2133" s="52"/>
      <c r="E2133" s="52"/>
      <c r="F2133" s="52"/>
      <c r="G2133" s="52"/>
      <c r="H2133" s="52"/>
    </row>
    <row r="2134" spans="1:8" ht="15.75">
      <c r="A2134" s="119"/>
      <c r="B2134" s="88"/>
      <c r="C2134" s="52"/>
      <c r="D2134" s="52"/>
      <c r="E2134" s="52"/>
      <c r="F2134" s="52"/>
      <c r="G2134" s="52"/>
      <c r="H2134" s="52"/>
    </row>
    <row r="2135" spans="1:8" ht="15.75">
      <c r="A2135" s="119"/>
      <c r="B2135" s="88"/>
      <c r="C2135" s="52"/>
      <c r="D2135" s="52"/>
      <c r="E2135" s="52"/>
      <c r="F2135" s="52"/>
      <c r="G2135" s="52"/>
      <c r="H2135" s="52"/>
    </row>
    <row r="2136" spans="1:8" ht="15.75">
      <c r="A2136" s="119"/>
      <c r="B2136" s="88"/>
      <c r="C2136" s="52"/>
      <c r="D2136" s="52"/>
      <c r="E2136" s="52"/>
      <c r="F2136" s="52"/>
      <c r="G2136" s="52"/>
      <c r="H2136" s="52"/>
    </row>
    <row r="2137" spans="1:8" ht="15.75">
      <c r="A2137" s="119"/>
      <c r="B2137" s="88"/>
      <c r="C2137" s="52"/>
      <c r="D2137" s="52"/>
      <c r="E2137" s="52"/>
      <c r="F2137" s="52"/>
      <c r="G2137" s="52"/>
      <c r="H2137" s="52"/>
    </row>
    <row r="2138" spans="1:8" ht="15.75">
      <c r="A2138" s="119"/>
      <c r="B2138" s="88"/>
      <c r="C2138" s="52"/>
      <c r="D2138" s="52"/>
      <c r="E2138" s="52"/>
      <c r="F2138" s="52"/>
      <c r="G2138" s="52"/>
      <c r="H2138" s="52"/>
    </row>
    <row r="2139" spans="1:8" ht="15.75">
      <c r="A2139" s="119"/>
      <c r="B2139" s="88"/>
      <c r="C2139" s="52"/>
      <c r="D2139" s="52"/>
      <c r="E2139" s="52"/>
      <c r="F2139" s="52"/>
      <c r="G2139" s="52"/>
      <c r="H2139" s="52"/>
    </row>
    <row r="2140" spans="1:8" ht="15.75">
      <c r="A2140" s="119"/>
      <c r="B2140" s="88"/>
      <c r="C2140" s="52"/>
      <c r="D2140" s="52"/>
      <c r="E2140" s="52"/>
      <c r="F2140" s="52"/>
      <c r="G2140" s="52"/>
      <c r="H2140" s="52"/>
    </row>
    <row r="2141" spans="1:8" ht="15.75">
      <c r="A2141" s="119"/>
      <c r="B2141" s="88"/>
      <c r="C2141" s="52"/>
      <c r="D2141" s="52"/>
      <c r="E2141" s="52"/>
      <c r="F2141" s="52"/>
      <c r="G2141" s="52"/>
      <c r="H2141" s="52"/>
    </row>
    <row r="2142" spans="1:8" ht="15.75">
      <c r="A2142" s="119"/>
      <c r="B2142" s="88"/>
      <c r="C2142" s="52"/>
      <c r="D2142" s="52"/>
      <c r="E2142" s="52"/>
      <c r="F2142" s="52"/>
      <c r="G2142" s="52"/>
      <c r="H2142" s="52"/>
    </row>
    <row r="2143" spans="1:8" ht="15.75">
      <c r="A2143" s="119"/>
      <c r="B2143" s="88"/>
      <c r="C2143" s="52"/>
      <c r="D2143" s="52"/>
      <c r="E2143" s="52"/>
      <c r="F2143" s="52"/>
      <c r="G2143" s="52"/>
      <c r="H2143" s="52"/>
    </row>
    <row r="2144" spans="1:8" ht="15.75">
      <c r="A2144" s="119"/>
      <c r="B2144" s="88"/>
      <c r="C2144" s="52"/>
      <c r="D2144" s="52"/>
      <c r="E2144" s="52"/>
      <c r="F2144" s="52"/>
      <c r="G2144" s="52"/>
      <c r="H2144" s="52"/>
    </row>
    <row r="2145" spans="1:8" ht="15.75">
      <c r="A2145" s="119"/>
      <c r="B2145" s="88"/>
      <c r="C2145" s="52"/>
      <c r="D2145" s="52"/>
      <c r="E2145" s="52"/>
      <c r="F2145" s="52"/>
      <c r="G2145" s="52"/>
      <c r="H2145" s="52"/>
    </row>
    <row r="2146" spans="1:8" ht="15.75">
      <c r="A2146" s="119"/>
      <c r="B2146" s="88"/>
      <c r="C2146" s="52"/>
      <c r="D2146" s="52"/>
      <c r="E2146" s="52"/>
      <c r="F2146" s="52"/>
      <c r="G2146" s="52"/>
      <c r="H2146" s="52"/>
    </row>
    <row r="2147" spans="1:8" ht="15.75">
      <c r="A2147" s="119"/>
      <c r="B2147" s="88"/>
      <c r="C2147" s="52"/>
      <c r="D2147" s="52"/>
      <c r="E2147" s="52"/>
      <c r="F2147" s="52"/>
      <c r="G2147" s="52"/>
      <c r="H2147" s="52"/>
    </row>
    <row r="2148" spans="1:8" ht="15.75">
      <c r="A2148" s="119"/>
      <c r="B2148" s="88"/>
      <c r="C2148" s="52"/>
      <c r="D2148" s="52"/>
      <c r="E2148" s="52"/>
      <c r="F2148" s="52"/>
      <c r="G2148" s="52"/>
      <c r="H2148" s="52"/>
    </row>
    <row r="2149" spans="1:8" ht="15.75">
      <c r="A2149" s="119"/>
      <c r="B2149" s="88"/>
      <c r="C2149" s="52"/>
      <c r="D2149" s="52"/>
      <c r="E2149" s="52"/>
      <c r="F2149" s="52"/>
      <c r="G2149" s="52"/>
      <c r="H2149" s="52"/>
    </row>
    <row r="2150" spans="1:8" ht="15.75">
      <c r="A2150" s="119"/>
      <c r="B2150" s="88"/>
      <c r="C2150" s="52"/>
      <c r="D2150" s="52"/>
      <c r="E2150" s="52"/>
      <c r="F2150" s="52"/>
      <c r="G2150" s="52"/>
      <c r="H2150" s="52"/>
    </row>
    <row r="2151" spans="1:8" ht="15.75">
      <c r="A2151" s="119"/>
      <c r="B2151" s="88"/>
      <c r="C2151" s="52"/>
      <c r="D2151" s="52"/>
      <c r="E2151" s="52"/>
      <c r="F2151" s="52"/>
      <c r="G2151" s="52"/>
      <c r="H2151" s="52"/>
    </row>
    <row r="2152" spans="1:8" ht="15.75">
      <c r="A2152" s="119"/>
      <c r="B2152" s="88"/>
      <c r="C2152" s="52"/>
      <c r="D2152" s="52"/>
      <c r="E2152" s="52"/>
      <c r="F2152" s="52"/>
      <c r="G2152" s="52"/>
      <c r="H2152" s="52"/>
    </row>
    <row r="2153" spans="1:8" ht="15.75">
      <c r="A2153" s="119"/>
      <c r="B2153" s="88"/>
      <c r="C2153" s="52"/>
      <c r="D2153" s="52"/>
      <c r="E2153" s="52"/>
      <c r="F2153" s="52"/>
      <c r="G2153" s="52"/>
      <c r="H2153" s="52"/>
    </row>
    <row r="2154" spans="1:8" ht="15.75">
      <c r="A2154" s="119"/>
      <c r="B2154" s="88"/>
      <c r="C2154" s="52"/>
      <c r="D2154" s="52"/>
      <c r="E2154" s="52"/>
      <c r="F2154" s="52"/>
      <c r="G2154" s="52"/>
      <c r="H2154" s="52"/>
    </row>
    <row r="2155" spans="1:8" ht="15.75">
      <c r="A2155" s="119"/>
      <c r="B2155" s="88"/>
      <c r="C2155" s="52"/>
      <c r="D2155" s="52"/>
      <c r="E2155" s="52"/>
      <c r="F2155" s="52"/>
      <c r="G2155" s="52"/>
      <c r="H2155" s="52"/>
    </row>
    <row r="2156" spans="1:8" ht="15.75">
      <c r="A2156" s="119"/>
      <c r="B2156" s="88"/>
      <c r="C2156" s="52"/>
      <c r="D2156" s="52"/>
      <c r="E2156" s="52"/>
      <c r="F2156" s="52"/>
      <c r="G2156" s="52"/>
      <c r="H2156" s="52"/>
    </row>
    <row r="2157" spans="1:8" ht="15.75">
      <c r="A2157" s="119"/>
      <c r="B2157" s="88"/>
      <c r="C2157" s="52"/>
      <c r="D2157" s="52"/>
      <c r="E2157" s="52"/>
      <c r="F2157" s="52"/>
      <c r="G2157" s="52"/>
      <c r="H2157" s="52"/>
    </row>
    <row r="2158" spans="1:8" ht="15.75">
      <c r="A2158" s="119"/>
      <c r="B2158" s="88"/>
      <c r="C2158" s="52"/>
      <c r="D2158" s="52"/>
      <c r="E2158" s="52"/>
      <c r="F2158" s="52"/>
      <c r="G2158" s="52"/>
      <c r="H2158" s="52"/>
    </row>
    <row r="2159" spans="1:8" ht="15.75">
      <c r="A2159" s="119"/>
      <c r="B2159" s="88"/>
      <c r="C2159" s="52"/>
      <c r="D2159" s="52"/>
      <c r="E2159" s="52"/>
      <c r="F2159" s="52"/>
      <c r="G2159" s="52"/>
      <c r="H2159" s="52"/>
    </row>
    <row r="2160" spans="1:8" ht="15.75">
      <c r="A2160" s="119"/>
      <c r="B2160" s="88"/>
      <c r="C2160" s="52"/>
      <c r="D2160" s="52"/>
      <c r="E2160" s="52"/>
      <c r="F2160" s="52"/>
      <c r="G2160" s="52"/>
      <c r="H2160" s="52"/>
    </row>
    <row r="2161" spans="1:8" ht="15.75">
      <c r="A2161" s="119"/>
      <c r="B2161" s="88"/>
      <c r="C2161" s="52"/>
      <c r="D2161" s="52"/>
      <c r="E2161" s="52"/>
      <c r="F2161" s="52"/>
      <c r="G2161" s="52"/>
      <c r="H2161" s="52"/>
    </row>
    <row r="2162" spans="1:8" ht="15.75">
      <c r="A2162" s="119"/>
      <c r="B2162" s="88"/>
      <c r="C2162" s="52"/>
      <c r="D2162" s="52"/>
      <c r="E2162" s="52"/>
      <c r="F2162" s="52"/>
      <c r="G2162" s="52"/>
      <c r="H2162" s="52"/>
    </row>
    <row r="2163" spans="1:8" ht="15.75">
      <c r="A2163" s="119"/>
      <c r="B2163" s="88"/>
      <c r="C2163" s="52"/>
      <c r="D2163" s="52"/>
      <c r="E2163" s="52"/>
      <c r="F2163" s="52"/>
      <c r="G2163" s="52"/>
      <c r="H2163" s="52"/>
    </row>
    <row r="2164" spans="1:8" ht="15.75">
      <c r="A2164" s="119"/>
      <c r="B2164" s="88"/>
      <c r="C2164" s="52"/>
      <c r="D2164" s="52"/>
      <c r="E2164" s="52"/>
      <c r="F2164" s="52"/>
      <c r="G2164" s="52"/>
      <c r="H2164" s="52"/>
    </row>
    <row r="2165" spans="1:8" ht="15.75">
      <c r="A2165" s="119"/>
      <c r="B2165" s="88"/>
      <c r="C2165" s="52"/>
      <c r="D2165" s="52"/>
      <c r="E2165" s="52"/>
      <c r="F2165" s="52"/>
      <c r="G2165" s="52"/>
      <c r="H2165" s="52"/>
    </row>
    <row r="2166" spans="1:8" ht="15.75">
      <c r="A2166" s="119"/>
      <c r="B2166" s="88"/>
      <c r="C2166" s="52"/>
      <c r="D2166" s="52"/>
      <c r="E2166" s="52"/>
      <c r="F2166" s="52"/>
      <c r="G2166" s="52"/>
      <c r="H2166" s="52"/>
    </row>
    <row r="2167" spans="1:8" ht="15.75">
      <c r="A2167" s="119"/>
      <c r="B2167" s="88"/>
      <c r="C2167" s="52"/>
      <c r="D2167" s="52"/>
      <c r="E2167" s="52"/>
      <c r="F2167" s="52"/>
      <c r="G2167" s="52"/>
      <c r="H2167" s="52"/>
    </row>
    <row r="2168" spans="1:8" ht="15.75">
      <c r="A2168" s="119"/>
      <c r="B2168" s="88"/>
      <c r="C2168" s="52"/>
      <c r="D2168" s="52"/>
      <c r="E2168" s="52"/>
      <c r="F2168" s="52"/>
      <c r="G2168" s="52"/>
      <c r="H2168" s="52"/>
    </row>
    <row r="2169" spans="1:8" ht="15.75">
      <c r="A2169" s="119"/>
      <c r="B2169" s="88"/>
      <c r="C2169" s="52"/>
      <c r="D2169" s="52"/>
      <c r="E2169" s="52"/>
      <c r="F2169" s="52"/>
      <c r="G2169" s="52"/>
      <c r="H2169" s="52"/>
    </row>
    <row r="2170" spans="1:8" ht="15.75">
      <c r="A2170" s="119"/>
      <c r="B2170" s="88"/>
      <c r="C2170" s="52"/>
      <c r="D2170" s="52"/>
      <c r="E2170" s="52"/>
      <c r="F2170" s="52"/>
      <c r="G2170" s="52"/>
      <c r="H2170" s="52"/>
    </row>
    <row r="2171" spans="1:8" ht="15.75">
      <c r="A2171" s="119"/>
      <c r="B2171" s="88"/>
      <c r="C2171" s="52"/>
      <c r="D2171" s="52"/>
      <c r="E2171" s="52"/>
      <c r="F2171" s="52"/>
      <c r="G2171" s="52"/>
      <c r="H2171" s="52"/>
    </row>
    <row r="2172" spans="1:8" ht="15.75">
      <c r="A2172" s="119"/>
      <c r="B2172" s="88"/>
      <c r="C2172" s="52"/>
      <c r="D2172" s="52"/>
      <c r="E2172" s="52"/>
      <c r="F2172" s="52"/>
      <c r="G2172" s="52"/>
      <c r="H2172" s="52"/>
    </row>
    <row r="2173" spans="1:8" ht="15.75">
      <c r="A2173" s="119"/>
      <c r="B2173" s="88"/>
      <c r="C2173" s="52"/>
      <c r="D2173" s="52"/>
      <c r="E2173" s="52"/>
      <c r="F2173" s="52"/>
      <c r="G2173" s="52"/>
      <c r="H2173" s="52"/>
    </row>
    <row r="2174" spans="1:8" ht="15.75">
      <c r="A2174" s="119"/>
      <c r="B2174" s="88"/>
      <c r="C2174" s="52"/>
      <c r="D2174" s="52"/>
      <c r="E2174" s="52"/>
      <c r="F2174" s="52"/>
      <c r="G2174" s="52"/>
      <c r="H2174" s="52"/>
    </row>
    <row r="2175" spans="1:8" ht="15.75">
      <c r="A2175" s="119"/>
      <c r="B2175" s="88"/>
      <c r="C2175" s="52"/>
      <c r="D2175" s="52"/>
      <c r="E2175" s="52"/>
      <c r="F2175" s="52"/>
      <c r="G2175" s="52"/>
      <c r="H2175" s="52"/>
    </row>
    <row r="2176" spans="1:8" ht="15.75">
      <c r="A2176" s="119"/>
      <c r="B2176" s="88"/>
      <c r="C2176" s="52"/>
      <c r="D2176" s="52"/>
      <c r="E2176" s="52"/>
      <c r="F2176" s="52"/>
      <c r="G2176" s="52"/>
      <c r="H2176" s="52"/>
    </row>
    <row r="2177" spans="1:8" ht="15.75">
      <c r="A2177" s="119"/>
      <c r="B2177" s="88"/>
      <c r="C2177" s="52"/>
      <c r="D2177" s="52"/>
      <c r="E2177" s="52"/>
      <c r="F2177" s="52"/>
      <c r="G2177" s="52"/>
      <c r="H2177" s="52"/>
    </row>
    <row r="2178" spans="1:8" ht="15.75">
      <c r="A2178" s="119"/>
      <c r="B2178" s="88"/>
      <c r="C2178" s="52"/>
      <c r="D2178" s="52"/>
      <c r="E2178" s="52"/>
      <c r="F2178" s="52"/>
      <c r="G2178" s="52"/>
      <c r="H2178" s="52"/>
    </row>
    <row r="2179" spans="1:8" ht="15.75">
      <c r="A2179" s="119"/>
      <c r="B2179" s="88"/>
      <c r="C2179" s="52"/>
      <c r="D2179" s="52"/>
      <c r="E2179" s="52"/>
      <c r="F2179" s="52"/>
      <c r="G2179" s="52"/>
      <c r="H2179" s="52"/>
    </row>
    <row r="2180" spans="1:8" ht="15.75">
      <c r="A2180" s="119"/>
      <c r="B2180" s="88"/>
      <c r="C2180" s="52"/>
      <c r="D2180" s="52"/>
      <c r="E2180" s="52"/>
      <c r="F2180" s="52"/>
      <c r="G2180" s="52"/>
      <c r="H2180" s="52"/>
    </row>
    <row r="2181" spans="1:8" ht="15.75">
      <c r="A2181" s="119"/>
      <c r="B2181" s="88"/>
      <c r="C2181" s="52"/>
      <c r="D2181" s="52"/>
      <c r="E2181" s="52"/>
      <c r="F2181" s="52"/>
      <c r="G2181" s="52"/>
      <c r="H2181" s="52"/>
    </row>
    <row r="2182" spans="1:8" ht="15.75">
      <c r="A2182" s="119"/>
      <c r="B2182" s="88"/>
      <c r="C2182" s="52"/>
      <c r="D2182" s="52"/>
      <c r="E2182" s="52"/>
      <c r="F2182" s="52"/>
      <c r="G2182" s="52"/>
      <c r="H2182" s="52"/>
    </row>
    <row r="2183" spans="1:8" ht="15.75">
      <c r="A2183" s="119"/>
      <c r="B2183" s="88"/>
      <c r="C2183" s="52"/>
      <c r="D2183" s="52"/>
      <c r="E2183" s="52"/>
      <c r="F2183" s="52"/>
      <c r="G2183" s="52"/>
      <c r="H2183" s="52"/>
    </row>
    <row r="2184" spans="1:8" ht="15.75">
      <c r="A2184" s="119"/>
      <c r="B2184" s="88"/>
      <c r="C2184" s="52"/>
      <c r="D2184" s="52"/>
      <c r="E2184" s="52"/>
      <c r="F2184" s="52"/>
      <c r="G2184" s="52"/>
      <c r="H2184" s="52"/>
    </row>
    <row r="2185" spans="1:8" ht="15.75">
      <c r="A2185" s="119"/>
      <c r="B2185" s="88"/>
      <c r="C2185" s="52"/>
      <c r="D2185" s="52"/>
      <c r="E2185" s="52"/>
      <c r="F2185" s="52"/>
      <c r="G2185" s="52"/>
      <c r="H2185" s="52"/>
    </row>
    <row r="2186" spans="1:8" ht="15.75">
      <c r="A2186" s="119"/>
      <c r="B2186" s="88"/>
      <c r="C2186" s="52"/>
      <c r="D2186" s="52"/>
      <c r="E2186" s="52"/>
      <c r="F2186" s="52"/>
      <c r="G2186" s="52"/>
      <c r="H2186" s="52"/>
    </row>
    <row r="2187" spans="1:8" ht="15.75">
      <c r="A2187" s="119"/>
      <c r="B2187" s="88"/>
      <c r="C2187" s="52"/>
      <c r="D2187" s="52"/>
      <c r="E2187" s="52"/>
      <c r="F2187" s="52"/>
      <c r="G2187" s="52"/>
      <c r="H2187" s="52"/>
    </row>
    <row r="2188" spans="1:8" ht="15.75">
      <c r="A2188" s="119"/>
      <c r="B2188" s="88"/>
      <c r="C2188" s="52"/>
      <c r="D2188" s="52"/>
      <c r="E2188" s="52"/>
      <c r="F2188" s="52"/>
      <c r="G2188" s="52"/>
      <c r="H2188" s="52"/>
    </row>
    <row r="2189" spans="1:8" ht="15.75">
      <c r="A2189" s="119"/>
      <c r="B2189" s="88"/>
      <c r="C2189" s="52"/>
      <c r="D2189" s="52"/>
      <c r="E2189" s="52"/>
      <c r="F2189" s="52"/>
      <c r="G2189" s="52"/>
      <c r="H2189" s="52"/>
    </row>
    <row r="2190" spans="1:8" ht="15.75">
      <c r="A2190" s="119"/>
      <c r="B2190" s="88"/>
      <c r="C2190" s="52"/>
      <c r="D2190" s="52"/>
      <c r="E2190" s="52"/>
      <c r="F2190" s="52"/>
      <c r="G2190" s="52"/>
      <c r="H2190" s="52"/>
    </row>
    <row r="2191" spans="1:8" ht="15.75">
      <c r="A2191" s="119"/>
      <c r="B2191" s="88"/>
      <c r="C2191" s="52"/>
      <c r="D2191" s="52"/>
      <c r="E2191" s="52"/>
      <c r="F2191" s="52"/>
      <c r="G2191" s="52"/>
      <c r="H2191" s="52"/>
    </row>
    <row r="2192" spans="1:8" ht="15.75">
      <c r="A2192" s="119"/>
      <c r="B2192" s="88"/>
      <c r="C2192" s="52"/>
      <c r="D2192" s="52"/>
      <c r="E2192" s="52"/>
      <c r="F2192" s="52"/>
      <c r="G2192" s="52"/>
      <c r="H2192" s="52"/>
    </row>
    <row r="2193" spans="1:8" ht="15.75">
      <c r="A2193" s="119"/>
      <c r="B2193" s="88"/>
      <c r="C2193" s="52"/>
      <c r="D2193" s="52"/>
      <c r="E2193" s="52"/>
      <c r="F2193" s="52"/>
      <c r="G2193" s="52"/>
      <c r="H2193" s="52"/>
    </row>
    <row r="2194" spans="1:8" ht="15.75">
      <c r="A2194" s="119"/>
      <c r="B2194" s="88"/>
      <c r="C2194" s="52"/>
      <c r="D2194" s="52"/>
      <c r="E2194" s="52"/>
      <c r="F2194" s="52"/>
      <c r="G2194" s="52"/>
      <c r="H2194" s="52"/>
    </row>
    <row r="2195" spans="1:8" ht="15.75">
      <c r="A2195" s="119"/>
      <c r="B2195" s="88"/>
      <c r="C2195" s="52"/>
      <c r="D2195" s="52"/>
      <c r="E2195" s="52"/>
      <c r="F2195" s="52"/>
      <c r="G2195" s="52"/>
      <c r="H2195" s="52"/>
    </row>
    <row r="2196" spans="1:8" ht="15.75">
      <c r="A2196" s="119"/>
      <c r="B2196" s="88"/>
      <c r="C2196" s="52"/>
      <c r="D2196" s="52"/>
      <c r="E2196" s="52"/>
      <c r="F2196" s="52"/>
      <c r="G2196" s="52"/>
      <c r="H2196" s="52"/>
    </row>
    <row r="2197" spans="1:8" ht="15.75">
      <c r="A2197" s="119"/>
      <c r="B2197" s="88"/>
      <c r="C2197" s="52"/>
      <c r="D2197" s="52"/>
      <c r="E2197" s="52"/>
      <c r="F2197" s="52"/>
      <c r="G2197" s="52"/>
      <c r="H2197" s="52"/>
    </row>
    <row r="2198" spans="1:8" ht="15.75">
      <c r="A2198" s="119"/>
      <c r="B2198" s="88"/>
      <c r="C2198" s="52"/>
      <c r="D2198" s="52"/>
      <c r="E2198" s="52"/>
      <c r="F2198" s="52"/>
      <c r="G2198" s="52"/>
      <c r="H2198" s="52"/>
    </row>
    <row r="2199" spans="1:8" ht="15.75">
      <c r="A2199" s="119"/>
      <c r="B2199" s="88"/>
      <c r="C2199" s="52"/>
      <c r="D2199" s="52"/>
      <c r="E2199" s="52"/>
      <c r="F2199" s="52"/>
      <c r="G2199" s="52"/>
      <c r="H2199" s="52"/>
    </row>
    <row r="2200" spans="1:8" ht="15.75">
      <c r="A2200" s="119"/>
      <c r="B2200" s="88"/>
      <c r="C2200" s="52"/>
      <c r="D2200" s="52"/>
      <c r="E2200" s="52"/>
      <c r="F2200" s="52"/>
      <c r="G2200" s="52"/>
      <c r="H2200" s="52"/>
    </row>
    <row r="2201" spans="1:8" ht="15.75">
      <c r="A2201" s="119"/>
      <c r="B2201" s="88"/>
      <c r="C2201" s="52"/>
      <c r="D2201" s="52"/>
      <c r="E2201" s="52"/>
      <c r="F2201" s="52"/>
      <c r="G2201" s="52"/>
      <c r="H2201" s="52"/>
    </row>
    <row r="2202" spans="1:8" ht="15.75">
      <c r="A2202" s="119"/>
      <c r="B2202" s="88"/>
      <c r="C2202" s="52"/>
      <c r="D2202" s="52"/>
      <c r="E2202" s="52"/>
      <c r="F2202" s="52"/>
      <c r="G2202" s="52"/>
      <c r="H2202" s="52"/>
    </row>
    <row r="2203" spans="1:8" ht="15.75">
      <c r="A2203" s="119"/>
      <c r="B2203" s="88"/>
      <c r="C2203" s="52"/>
      <c r="D2203" s="52"/>
      <c r="E2203" s="52"/>
      <c r="F2203" s="52"/>
      <c r="G2203" s="52"/>
      <c r="H2203" s="52"/>
    </row>
    <row r="2204" spans="1:8" ht="15.75">
      <c r="A2204" s="119"/>
      <c r="B2204" s="88"/>
      <c r="C2204" s="52"/>
      <c r="D2204" s="52"/>
      <c r="E2204" s="52"/>
      <c r="F2204" s="52"/>
      <c r="G2204" s="52"/>
      <c r="H2204" s="52"/>
    </row>
    <row r="2205" spans="1:8" ht="15.75">
      <c r="A2205" s="119"/>
      <c r="B2205" s="88"/>
      <c r="C2205" s="52"/>
      <c r="D2205" s="52"/>
      <c r="E2205" s="52"/>
      <c r="F2205" s="52"/>
      <c r="G2205" s="52"/>
      <c r="H2205" s="52"/>
    </row>
    <row r="2206" spans="1:8" ht="15.75">
      <c r="A2206" s="119"/>
      <c r="B2206" s="88"/>
      <c r="C2206" s="52"/>
      <c r="D2206" s="52"/>
      <c r="E2206" s="52"/>
      <c r="F2206" s="52"/>
      <c r="G2206" s="52"/>
      <c r="H2206" s="52"/>
    </row>
    <row r="2207" spans="1:8" ht="15.75">
      <c r="A2207" s="119"/>
      <c r="B2207" s="88"/>
      <c r="C2207" s="52"/>
      <c r="D2207" s="52"/>
      <c r="E2207" s="52"/>
      <c r="F2207" s="52"/>
      <c r="G2207" s="52"/>
      <c r="H2207" s="52"/>
    </row>
    <row r="2208" spans="1:8" ht="15.75">
      <c r="A2208" s="119"/>
      <c r="B2208" s="88"/>
      <c r="C2208" s="52"/>
      <c r="D2208" s="52"/>
      <c r="E2208" s="52"/>
      <c r="F2208" s="52"/>
      <c r="G2208" s="52"/>
      <c r="H2208" s="52"/>
    </row>
    <row r="2209" spans="1:8" ht="15.75">
      <c r="A2209" s="119"/>
      <c r="B2209" s="88"/>
      <c r="C2209" s="52"/>
      <c r="D2209" s="52"/>
      <c r="E2209" s="52"/>
      <c r="F2209" s="52"/>
      <c r="G2209" s="52"/>
      <c r="H2209" s="52"/>
    </row>
    <row r="2210" spans="1:8" ht="15.75">
      <c r="A2210" s="119"/>
      <c r="B2210" s="88"/>
      <c r="C2210" s="52"/>
      <c r="D2210" s="52"/>
      <c r="E2210" s="52"/>
      <c r="F2210" s="52"/>
      <c r="G2210" s="52"/>
      <c r="H2210" s="52"/>
    </row>
    <row r="2211" spans="1:8" ht="15.75">
      <c r="A2211" s="119"/>
      <c r="B2211" s="88"/>
      <c r="C2211" s="52"/>
      <c r="D2211" s="52"/>
      <c r="E2211" s="52"/>
      <c r="F2211" s="52"/>
      <c r="G2211" s="52"/>
      <c r="H2211" s="52"/>
    </row>
    <row r="2212" spans="1:8" ht="15.75">
      <c r="A2212" s="119"/>
      <c r="B2212" s="88"/>
      <c r="C2212" s="52"/>
      <c r="D2212" s="52"/>
      <c r="E2212" s="52"/>
      <c r="F2212" s="52"/>
      <c r="G2212" s="52"/>
      <c r="H2212" s="52"/>
    </row>
    <row r="2213" spans="1:8" ht="15.75">
      <c r="A2213" s="119"/>
      <c r="B2213" s="88"/>
      <c r="C2213" s="52"/>
      <c r="D2213" s="52"/>
      <c r="E2213" s="52"/>
      <c r="F2213" s="52"/>
      <c r="G2213" s="52"/>
      <c r="H2213" s="52"/>
    </row>
    <row r="2214" spans="1:8" ht="15.75">
      <c r="A2214" s="119"/>
      <c r="B2214" s="88"/>
      <c r="C2214" s="52"/>
      <c r="D2214" s="52"/>
      <c r="E2214" s="52"/>
      <c r="F2214" s="52"/>
      <c r="G2214" s="52"/>
      <c r="H2214" s="52"/>
    </row>
    <row r="2215" spans="1:8" ht="15.75">
      <c r="A2215" s="119"/>
      <c r="B2215" s="88"/>
      <c r="C2215" s="52"/>
      <c r="D2215" s="52"/>
      <c r="E2215" s="52"/>
      <c r="F2215" s="52"/>
      <c r="G2215" s="52"/>
      <c r="H2215" s="52"/>
    </row>
    <row r="2216" spans="1:8" ht="15.75">
      <c r="A2216" s="119"/>
      <c r="B2216" s="88"/>
      <c r="C2216" s="52"/>
      <c r="D2216" s="52"/>
      <c r="E2216" s="52"/>
      <c r="F2216" s="52"/>
      <c r="G2216" s="52"/>
      <c r="H2216" s="52"/>
    </row>
    <row r="2217" spans="1:8" ht="15.75">
      <c r="A2217" s="119"/>
      <c r="B2217" s="88"/>
      <c r="C2217" s="52"/>
      <c r="D2217" s="52"/>
      <c r="E2217" s="52"/>
      <c r="F2217" s="52"/>
      <c r="G2217" s="52"/>
      <c r="H2217" s="52"/>
    </row>
    <row r="2218" spans="1:8" ht="15.75">
      <c r="A2218" s="119"/>
      <c r="B2218" s="88"/>
      <c r="C2218" s="52"/>
      <c r="D2218" s="52"/>
      <c r="E2218" s="52"/>
      <c r="F2218" s="52"/>
      <c r="G2218" s="52"/>
      <c r="H2218" s="52"/>
    </row>
    <row r="2219" spans="1:8" ht="15.75">
      <c r="A2219" s="119"/>
      <c r="B2219" s="88"/>
      <c r="C2219" s="52"/>
      <c r="D2219" s="52"/>
      <c r="E2219" s="52"/>
      <c r="F2219" s="52"/>
      <c r="G2219" s="52"/>
      <c r="H2219" s="52"/>
    </row>
    <row r="2220" spans="1:8" ht="15.75">
      <c r="A2220" s="119"/>
      <c r="B2220" s="88"/>
      <c r="C2220" s="52"/>
      <c r="D2220" s="52"/>
      <c r="E2220" s="52"/>
      <c r="F2220" s="52"/>
      <c r="G2220" s="52"/>
      <c r="H2220" s="52"/>
    </row>
    <row r="2221" spans="1:8" ht="15.75">
      <c r="A2221" s="119"/>
      <c r="B2221" s="88"/>
      <c r="C2221" s="52"/>
      <c r="D2221" s="52"/>
      <c r="E2221" s="52"/>
      <c r="F2221" s="52"/>
      <c r="G2221" s="52"/>
      <c r="H2221" s="52"/>
    </row>
    <row r="2222" spans="1:8" ht="15.75">
      <c r="A2222" s="119"/>
      <c r="B2222" s="88"/>
      <c r="C2222" s="52"/>
      <c r="D2222" s="52"/>
      <c r="E2222" s="52"/>
      <c r="F2222" s="52"/>
      <c r="G2222" s="52"/>
      <c r="H2222" s="52"/>
    </row>
    <row r="2223" spans="1:8" ht="15.75">
      <c r="A2223" s="119"/>
      <c r="B2223" s="88"/>
      <c r="C2223" s="52"/>
      <c r="D2223" s="52"/>
      <c r="E2223" s="52"/>
      <c r="F2223" s="52"/>
      <c r="G2223" s="52"/>
      <c r="H2223" s="52"/>
    </row>
    <row r="2224" spans="1:8" ht="15.75">
      <c r="A2224" s="119"/>
      <c r="B2224" s="88"/>
      <c r="C2224" s="52"/>
      <c r="D2224" s="52"/>
      <c r="E2224" s="52"/>
      <c r="F2224" s="52"/>
      <c r="G2224" s="52"/>
      <c r="H2224" s="52"/>
    </row>
    <row r="2225" spans="1:8" ht="15.75">
      <c r="A2225" s="119"/>
      <c r="B2225" s="88"/>
      <c r="C2225" s="52"/>
      <c r="D2225" s="52"/>
      <c r="E2225" s="52"/>
      <c r="F2225" s="52"/>
      <c r="G2225" s="52"/>
      <c r="H2225" s="52"/>
    </row>
    <row r="2226" spans="1:8" ht="15.75">
      <c r="A2226" s="119"/>
      <c r="B2226" s="88"/>
      <c r="C2226" s="52"/>
      <c r="D2226" s="52"/>
      <c r="E2226" s="52"/>
      <c r="F2226" s="52"/>
      <c r="G2226" s="52"/>
      <c r="H2226" s="52"/>
    </row>
    <row r="2227" spans="1:8" ht="15.75">
      <c r="A2227" s="119"/>
      <c r="B2227" s="88"/>
      <c r="C2227" s="52"/>
      <c r="D2227" s="52"/>
      <c r="E2227" s="52"/>
      <c r="F2227" s="52"/>
      <c r="G2227" s="52"/>
      <c r="H2227" s="52"/>
    </row>
    <row r="2228" spans="1:8" ht="15.75">
      <c r="A2228" s="119"/>
      <c r="B2228" s="88"/>
      <c r="C2228" s="52"/>
      <c r="D2228" s="52"/>
      <c r="E2228" s="52"/>
      <c r="F2228" s="52"/>
      <c r="G2228" s="52"/>
      <c r="H2228" s="52"/>
    </row>
    <row r="2229" spans="1:8" ht="15.75">
      <c r="A2229" s="119"/>
      <c r="B2229" s="88"/>
      <c r="C2229" s="52"/>
      <c r="D2229" s="52"/>
      <c r="E2229" s="52"/>
      <c r="F2229" s="52"/>
      <c r="G2229" s="52"/>
      <c r="H2229" s="52"/>
    </row>
    <row r="2230" spans="1:8" ht="15.75">
      <c r="A2230" s="119"/>
      <c r="B2230" s="88"/>
      <c r="C2230" s="52"/>
      <c r="D2230" s="52"/>
      <c r="E2230" s="52"/>
      <c r="F2230" s="52"/>
      <c r="G2230" s="52"/>
      <c r="H2230" s="52"/>
    </row>
    <row r="2231" spans="1:8" ht="15.75">
      <c r="A2231" s="119"/>
      <c r="B2231" s="88"/>
      <c r="C2231" s="52"/>
      <c r="D2231" s="52"/>
      <c r="E2231" s="52"/>
      <c r="F2231" s="52"/>
      <c r="G2231" s="52"/>
      <c r="H2231" s="52"/>
    </row>
    <row r="2232" spans="1:8" ht="15.75">
      <c r="A2232" s="119"/>
      <c r="B2232" s="88"/>
      <c r="C2232" s="52"/>
      <c r="D2232" s="52"/>
      <c r="E2232" s="52"/>
      <c r="F2232" s="52"/>
      <c r="G2232" s="52"/>
      <c r="H2232" s="52"/>
    </row>
    <row r="2233" spans="1:8" ht="15.75">
      <c r="A2233" s="119"/>
      <c r="B2233" s="88"/>
      <c r="C2233" s="52"/>
      <c r="D2233" s="52"/>
      <c r="E2233" s="52"/>
      <c r="F2233" s="52"/>
      <c r="G2233" s="52"/>
      <c r="H2233" s="52"/>
    </row>
    <row r="2234" spans="1:8" ht="15.75">
      <c r="A2234" s="119"/>
      <c r="B2234" s="88"/>
      <c r="C2234" s="52"/>
      <c r="D2234" s="52"/>
      <c r="E2234" s="52"/>
      <c r="F2234" s="52"/>
      <c r="G2234" s="52"/>
      <c r="H2234" s="52"/>
    </row>
    <row r="2235" spans="1:8" ht="15.75">
      <c r="A2235" s="119"/>
      <c r="B2235" s="88"/>
      <c r="C2235" s="52"/>
      <c r="D2235" s="52"/>
      <c r="E2235" s="52"/>
      <c r="F2235" s="52"/>
      <c r="G2235" s="52"/>
      <c r="H2235" s="52"/>
    </row>
    <row r="2236" spans="1:8" ht="15.75">
      <c r="A2236" s="119"/>
      <c r="B2236" s="88"/>
      <c r="C2236" s="52"/>
      <c r="D2236" s="52"/>
      <c r="E2236" s="52"/>
      <c r="F2236" s="52"/>
      <c r="G2236" s="52"/>
      <c r="H2236" s="52"/>
    </row>
    <row r="2237" spans="1:8" ht="15.75">
      <c r="A2237" s="119"/>
      <c r="B2237" s="88"/>
      <c r="C2237" s="52"/>
      <c r="D2237" s="52"/>
      <c r="E2237" s="52"/>
      <c r="F2237" s="52"/>
      <c r="G2237" s="52"/>
      <c r="H2237" s="52"/>
    </row>
    <row r="2238" spans="1:8" ht="15.75">
      <c r="A2238" s="119"/>
      <c r="B2238" s="88"/>
      <c r="C2238" s="52"/>
      <c r="D2238" s="52"/>
      <c r="E2238" s="52"/>
      <c r="F2238" s="52"/>
      <c r="G2238" s="52"/>
      <c r="H2238" s="52"/>
    </row>
    <row r="2239" spans="1:8" ht="15.75">
      <c r="A2239" s="119"/>
      <c r="B2239" s="88"/>
      <c r="C2239" s="52"/>
      <c r="D2239" s="52"/>
      <c r="E2239" s="52"/>
      <c r="F2239" s="52"/>
      <c r="G2239" s="52"/>
      <c r="H2239" s="52"/>
    </row>
    <row r="2240" spans="1:8" ht="15.75">
      <c r="A2240" s="119"/>
      <c r="B2240" s="88"/>
      <c r="C2240" s="52"/>
      <c r="D2240" s="52"/>
      <c r="E2240" s="52"/>
      <c r="F2240" s="52"/>
      <c r="G2240" s="52"/>
      <c r="H2240" s="52"/>
    </row>
    <row r="2241" spans="1:8" ht="15.75">
      <c r="A2241" s="119"/>
      <c r="B2241" s="88"/>
      <c r="C2241" s="52"/>
      <c r="D2241" s="52"/>
      <c r="E2241" s="52"/>
      <c r="F2241" s="52"/>
      <c r="G2241" s="52"/>
      <c r="H2241" s="52"/>
    </row>
    <row r="2242" spans="1:8" ht="15.75">
      <c r="A2242" s="119"/>
      <c r="B2242" s="88"/>
      <c r="C2242" s="52"/>
      <c r="D2242" s="52"/>
      <c r="E2242" s="52"/>
      <c r="F2242" s="52"/>
      <c r="G2242" s="52"/>
      <c r="H2242" s="52"/>
    </row>
    <row r="2243" spans="1:8" ht="15.75">
      <c r="A2243" s="119"/>
      <c r="B2243" s="88"/>
      <c r="C2243" s="52"/>
      <c r="D2243" s="52"/>
      <c r="E2243" s="52"/>
      <c r="F2243" s="52"/>
      <c r="G2243" s="52"/>
      <c r="H2243" s="52"/>
    </row>
    <row r="2244" spans="1:8" ht="15.75">
      <c r="A2244" s="119"/>
      <c r="B2244" s="88"/>
      <c r="C2244" s="52"/>
      <c r="D2244" s="52"/>
      <c r="E2244" s="52"/>
      <c r="F2244" s="52"/>
      <c r="G2244" s="52"/>
      <c r="H2244" s="52"/>
    </row>
    <row r="2245" spans="1:8" ht="15.75">
      <c r="A2245" s="119"/>
      <c r="B2245" s="88"/>
      <c r="C2245" s="52"/>
      <c r="D2245" s="52"/>
      <c r="E2245" s="52"/>
      <c r="F2245" s="52"/>
      <c r="G2245" s="52"/>
      <c r="H2245" s="52"/>
    </row>
    <row r="2246" spans="1:8" ht="15.75">
      <c r="A2246" s="119"/>
      <c r="B2246" s="88"/>
      <c r="C2246" s="52"/>
      <c r="D2246" s="52"/>
      <c r="E2246" s="52"/>
      <c r="F2246" s="52"/>
      <c r="G2246" s="52"/>
      <c r="H2246" s="52"/>
    </row>
    <row r="2247" spans="1:8" ht="15.75">
      <c r="A2247" s="119"/>
      <c r="B2247" s="88"/>
      <c r="C2247" s="52"/>
      <c r="D2247" s="52"/>
      <c r="E2247" s="52"/>
      <c r="F2247" s="52"/>
      <c r="G2247" s="52"/>
      <c r="H2247" s="52"/>
    </row>
    <row r="2248" spans="1:8" ht="15.75">
      <c r="A2248" s="119"/>
      <c r="B2248" s="88"/>
      <c r="C2248" s="52"/>
      <c r="D2248" s="52"/>
      <c r="E2248" s="52"/>
      <c r="F2248" s="52"/>
      <c r="G2248" s="52"/>
      <c r="H2248" s="52"/>
    </row>
    <row r="2249" spans="1:8" ht="15.75">
      <c r="A2249" s="119"/>
      <c r="B2249" s="88"/>
      <c r="C2249" s="52"/>
      <c r="D2249" s="52"/>
      <c r="E2249" s="52"/>
      <c r="F2249" s="52"/>
      <c r="G2249" s="52"/>
      <c r="H2249" s="52"/>
    </row>
    <row r="2250" spans="1:8" ht="15.75">
      <c r="A2250" s="119"/>
      <c r="B2250" s="88"/>
      <c r="C2250" s="52"/>
      <c r="D2250" s="52"/>
      <c r="E2250" s="52"/>
      <c r="F2250" s="52"/>
      <c r="G2250" s="52"/>
      <c r="H2250" s="52"/>
    </row>
    <row r="2251" spans="1:8" ht="15.75">
      <c r="A2251" s="119"/>
      <c r="B2251" s="88"/>
      <c r="C2251" s="52"/>
      <c r="D2251" s="52"/>
      <c r="E2251" s="52"/>
      <c r="F2251" s="52"/>
      <c r="G2251" s="52"/>
      <c r="H2251" s="52"/>
    </row>
    <row r="2252" spans="1:8" ht="15.75">
      <c r="A2252" s="119"/>
      <c r="B2252" s="88"/>
      <c r="C2252" s="52"/>
      <c r="D2252" s="52"/>
      <c r="E2252" s="52"/>
      <c r="F2252" s="52"/>
      <c r="G2252" s="52"/>
      <c r="H2252" s="52"/>
    </row>
    <row r="2253" spans="1:8" ht="15.75">
      <c r="A2253" s="119"/>
      <c r="B2253" s="88"/>
      <c r="C2253" s="52"/>
      <c r="D2253" s="52"/>
      <c r="E2253" s="52"/>
      <c r="F2253" s="52"/>
      <c r="G2253" s="52"/>
      <c r="H2253" s="52"/>
    </row>
    <row r="2254" spans="1:8" ht="15.75">
      <c r="A2254" s="119"/>
      <c r="B2254" s="88"/>
      <c r="C2254" s="52"/>
      <c r="D2254" s="52"/>
      <c r="E2254" s="52"/>
      <c r="F2254" s="52"/>
      <c r="G2254" s="52"/>
      <c r="H2254" s="52"/>
    </row>
    <row r="2255" spans="1:8" ht="15.75">
      <c r="A2255" s="119"/>
      <c r="B2255" s="88"/>
      <c r="C2255" s="52"/>
      <c r="D2255" s="52"/>
      <c r="E2255" s="52"/>
      <c r="F2255" s="52"/>
      <c r="G2255" s="52"/>
      <c r="H2255" s="52"/>
    </row>
    <row r="2256" spans="1:8" ht="15.75">
      <c r="A2256" s="119"/>
      <c r="B2256" s="88"/>
      <c r="C2256" s="52"/>
      <c r="D2256" s="52"/>
      <c r="E2256" s="52"/>
      <c r="F2256" s="52"/>
      <c r="G2256" s="52"/>
      <c r="H2256" s="52"/>
    </row>
    <row r="2257" spans="1:8" ht="15.75">
      <c r="A2257" s="119"/>
      <c r="B2257" s="88"/>
      <c r="C2257" s="52"/>
      <c r="D2257" s="52"/>
      <c r="E2257" s="52"/>
      <c r="F2257" s="52"/>
      <c r="G2257" s="52"/>
      <c r="H2257" s="52"/>
    </row>
    <row r="2258" spans="1:8" ht="15.75">
      <c r="A2258" s="119"/>
      <c r="B2258" s="88"/>
      <c r="C2258" s="52"/>
      <c r="D2258" s="52"/>
      <c r="E2258" s="52"/>
      <c r="F2258" s="52"/>
      <c r="G2258" s="52"/>
      <c r="H2258" s="52"/>
    </row>
    <row r="2259" spans="1:8" ht="15.75">
      <c r="A2259" s="119"/>
      <c r="B2259" s="88"/>
      <c r="C2259" s="52"/>
      <c r="D2259" s="52"/>
      <c r="E2259" s="52"/>
      <c r="F2259" s="52"/>
      <c r="G2259" s="52"/>
      <c r="H2259" s="52"/>
    </row>
    <row r="2260" spans="1:8" ht="15.75">
      <c r="A2260" s="119"/>
      <c r="B2260" s="88"/>
      <c r="C2260" s="52"/>
      <c r="D2260" s="52"/>
      <c r="E2260" s="52"/>
      <c r="F2260" s="52"/>
      <c r="G2260" s="52"/>
      <c r="H2260" s="52"/>
    </row>
    <row r="2261" spans="1:8" ht="15.75">
      <c r="A2261" s="119"/>
      <c r="B2261" s="88"/>
      <c r="C2261" s="52"/>
      <c r="D2261" s="52"/>
      <c r="E2261" s="52"/>
      <c r="F2261" s="52"/>
      <c r="G2261" s="52"/>
      <c r="H2261" s="52"/>
    </row>
    <row r="2262" spans="1:8" ht="15.75">
      <c r="A2262" s="119"/>
      <c r="B2262" s="88"/>
      <c r="C2262" s="52"/>
      <c r="D2262" s="52"/>
      <c r="E2262" s="52"/>
      <c r="F2262" s="52"/>
      <c r="G2262" s="52"/>
      <c r="H2262" s="52"/>
    </row>
    <row r="2263" spans="1:8" ht="15.75">
      <c r="A2263" s="119"/>
      <c r="B2263" s="88"/>
      <c r="C2263" s="52"/>
      <c r="D2263" s="52"/>
      <c r="E2263" s="52"/>
      <c r="F2263" s="52"/>
      <c r="G2263" s="52"/>
      <c r="H2263" s="52"/>
    </row>
    <row r="2264" spans="1:8" ht="15.75">
      <c r="A2264" s="119"/>
      <c r="B2264" s="88"/>
      <c r="C2264" s="52"/>
      <c r="D2264" s="52"/>
      <c r="E2264" s="52"/>
      <c r="F2264" s="52"/>
      <c r="G2264" s="52"/>
      <c r="H2264" s="52"/>
    </row>
    <row r="2265" spans="1:8" ht="15.75">
      <c r="A2265" s="119"/>
      <c r="B2265" s="88"/>
      <c r="C2265" s="52"/>
      <c r="D2265" s="52"/>
      <c r="E2265" s="52"/>
      <c r="F2265" s="52"/>
      <c r="G2265" s="52"/>
      <c r="H2265" s="52"/>
    </row>
    <row r="2266" spans="1:8" ht="15.75">
      <c r="A2266" s="119"/>
      <c r="B2266" s="88"/>
      <c r="C2266" s="52"/>
      <c r="D2266" s="52"/>
      <c r="E2266" s="52"/>
      <c r="F2266" s="52"/>
      <c r="G2266" s="52"/>
      <c r="H2266" s="52"/>
    </row>
    <row r="2267" spans="1:8" ht="15.75">
      <c r="A2267" s="119"/>
      <c r="B2267" s="88"/>
      <c r="C2267" s="52"/>
      <c r="D2267" s="52"/>
      <c r="E2267" s="52"/>
      <c r="F2267" s="52"/>
      <c r="G2267" s="52"/>
      <c r="H2267" s="52"/>
    </row>
    <row r="2268" spans="1:8" ht="15.75">
      <c r="A2268" s="119"/>
      <c r="B2268" s="88"/>
      <c r="C2268" s="52"/>
      <c r="D2268" s="52"/>
      <c r="E2268" s="52"/>
      <c r="F2268" s="52"/>
      <c r="G2268" s="52"/>
      <c r="H2268" s="52"/>
    </row>
    <row r="2269" spans="1:8" ht="15.75">
      <c r="A2269" s="119"/>
      <c r="B2269" s="88"/>
      <c r="C2269" s="52"/>
      <c r="D2269" s="52"/>
      <c r="E2269" s="52"/>
      <c r="F2269" s="52"/>
      <c r="G2269" s="52"/>
      <c r="H2269" s="52"/>
    </row>
    <row r="2270" spans="1:8" ht="15.75">
      <c r="A2270" s="119"/>
      <c r="B2270" s="88"/>
      <c r="C2270" s="52"/>
      <c r="D2270" s="52"/>
      <c r="E2270" s="52"/>
      <c r="F2270" s="52"/>
      <c r="G2270" s="52"/>
      <c r="H2270" s="52"/>
    </row>
    <row r="2271" spans="1:8" ht="15.75">
      <c r="A2271" s="119"/>
      <c r="B2271" s="88"/>
      <c r="C2271" s="52"/>
      <c r="D2271" s="52"/>
      <c r="E2271" s="52"/>
      <c r="F2271" s="52"/>
      <c r="G2271" s="52"/>
      <c r="H2271" s="52"/>
    </row>
    <row r="2272" spans="1:8" ht="15.75">
      <c r="A2272" s="119"/>
      <c r="B2272" s="88"/>
      <c r="C2272" s="52"/>
      <c r="D2272" s="52"/>
      <c r="E2272" s="52"/>
      <c r="F2272" s="52"/>
      <c r="G2272" s="52"/>
      <c r="H2272" s="52"/>
    </row>
    <row r="2273" spans="1:8" ht="15.75">
      <c r="A2273" s="119"/>
      <c r="B2273" s="88"/>
      <c r="C2273" s="52"/>
      <c r="D2273" s="52"/>
      <c r="E2273" s="52"/>
      <c r="F2273" s="52"/>
      <c r="G2273" s="52"/>
      <c r="H2273" s="52"/>
    </row>
    <row r="2274" spans="1:8" ht="15.75">
      <c r="A2274" s="119"/>
      <c r="B2274" s="88"/>
      <c r="C2274" s="52"/>
      <c r="D2274" s="52"/>
      <c r="E2274" s="52"/>
      <c r="F2274" s="52"/>
      <c r="G2274" s="52"/>
      <c r="H2274" s="52"/>
    </row>
    <row r="2275" spans="1:8" ht="15.75">
      <c r="A2275" s="119"/>
      <c r="B2275" s="88"/>
      <c r="C2275" s="52"/>
      <c r="D2275" s="52"/>
      <c r="E2275" s="52"/>
      <c r="F2275" s="52"/>
      <c r="G2275" s="52"/>
      <c r="H2275" s="52"/>
    </row>
    <row r="2276" spans="1:8" ht="15.75">
      <c r="A2276" s="119"/>
      <c r="B2276" s="88"/>
      <c r="C2276" s="52"/>
      <c r="D2276" s="52"/>
      <c r="E2276" s="52"/>
      <c r="F2276" s="52"/>
      <c r="G2276" s="52"/>
      <c r="H2276" s="52"/>
    </row>
    <row r="2277" spans="1:8" ht="15.75">
      <c r="A2277" s="119"/>
      <c r="B2277" s="88"/>
      <c r="C2277" s="52"/>
      <c r="D2277" s="52"/>
      <c r="E2277" s="52"/>
      <c r="F2277" s="52"/>
      <c r="G2277" s="52"/>
      <c r="H2277" s="52"/>
    </row>
    <row r="2278" spans="1:8" ht="15.75">
      <c r="A2278" s="119"/>
      <c r="B2278" s="88"/>
      <c r="C2278" s="52"/>
      <c r="D2278" s="52"/>
      <c r="E2278" s="52"/>
      <c r="F2278" s="52"/>
      <c r="G2278" s="52"/>
      <c r="H2278" s="52"/>
    </row>
    <row r="2279" spans="1:8" ht="15.75">
      <c r="A2279" s="119"/>
      <c r="B2279" s="88"/>
      <c r="C2279" s="52"/>
      <c r="D2279" s="52"/>
      <c r="E2279" s="52"/>
      <c r="F2279" s="52"/>
      <c r="G2279" s="52"/>
      <c r="H2279" s="52"/>
    </row>
    <row r="2280" spans="1:8" ht="15.75">
      <c r="A2280" s="119"/>
      <c r="B2280" s="88"/>
      <c r="C2280" s="52"/>
      <c r="D2280" s="52"/>
      <c r="E2280" s="52"/>
      <c r="F2280" s="52"/>
      <c r="G2280" s="52"/>
      <c r="H2280" s="52"/>
    </row>
    <row r="2281" spans="1:8" ht="15.75">
      <c r="A2281" s="119"/>
      <c r="B2281" s="88"/>
      <c r="C2281" s="52"/>
      <c r="D2281" s="52"/>
      <c r="E2281" s="52"/>
      <c r="F2281" s="52"/>
      <c r="G2281" s="52"/>
      <c r="H2281" s="52"/>
    </row>
    <row r="2282" spans="1:8" ht="15.75">
      <c r="A2282" s="119"/>
      <c r="B2282" s="88"/>
      <c r="C2282" s="52"/>
      <c r="D2282" s="52"/>
      <c r="E2282" s="52"/>
      <c r="F2282" s="52"/>
      <c r="G2282" s="52"/>
      <c r="H2282" s="52"/>
    </row>
    <row r="2283" spans="1:8" ht="15.75">
      <c r="A2283" s="119"/>
      <c r="B2283" s="88"/>
      <c r="C2283" s="52"/>
      <c r="D2283" s="52"/>
      <c r="E2283" s="52"/>
      <c r="F2283" s="52"/>
      <c r="G2283" s="52"/>
      <c r="H2283" s="52"/>
    </row>
    <row r="2284" spans="1:8" ht="15.75">
      <c r="A2284" s="119"/>
      <c r="B2284" s="88"/>
      <c r="C2284" s="52"/>
      <c r="D2284" s="52"/>
      <c r="E2284" s="52"/>
      <c r="F2284" s="52"/>
      <c r="G2284" s="52"/>
      <c r="H2284" s="52"/>
    </row>
    <row r="2285" spans="1:8" ht="15.75">
      <c r="A2285" s="119"/>
      <c r="B2285" s="88"/>
      <c r="C2285" s="52"/>
      <c r="D2285" s="52"/>
      <c r="E2285" s="52"/>
      <c r="F2285" s="52"/>
      <c r="G2285" s="52"/>
      <c r="H2285" s="52"/>
    </row>
    <row r="2286" spans="1:8" ht="15.75">
      <c r="A2286" s="119"/>
      <c r="B2286" s="88"/>
      <c r="C2286" s="52"/>
      <c r="D2286" s="52"/>
      <c r="E2286" s="52"/>
      <c r="F2286" s="52"/>
      <c r="G2286" s="52"/>
      <c r="H2286" s="52"/>
    </row>
    <row r="2287" spans="1:8" ht="15.75">
      <c r="A2287" s="119"/>
      <c r="B2287" s="88"/>
      <c r="C2287" s="52"/>
      <c r="D2287" s="52"/>
      <c r="E2287" s="52"/>
      <c r="F2287" s="52"/>
      <c r="G2287" s="52"/>
      <c r="H2287" s="52"/>
    </row>
    <row r="2288" spans="1:8" ht="15.75">
      <c r="A2288" s="119"/>
      <c r="B2288" s="88"/>
      <c r="C2288" s="52"/>
      <c r="D2288" s="52"/>
      <c r="E2288" s="52"/>
      <c r="F2288" s="52"/>
      <c r="G2288" s="52"/>
      <c r="H2288" s="52"/>
    </row>
    <row r="2289" spans="1:8" ht="15.75">
      <c r="A2289" s="119"/>
      <c r="B2289" s="88"/>
      <c r="C2289" s="52"/>
      <c r="D2289" s="52"/>
      <c r="E2289" s="52"/>
      <c r="F2289" s="52"/>
      <c r="G2289" s="52"/>
      <c r="H2289" s="52"/>
    </row>
    <row r="2290" spans="1:8" ht="15.75">
      <c r="A2290" s="119"/>
      <c r="B2290" s="88"/>
      <c r="C2290" s="52"/>
      <c r="D2290" s="52"/>
      <c r="E2290" s="52"/>
      <c r="F2290" s="52"/>
      <c r="G2290" s="52"/>
      <c r="H2290" s="52"/>
    </row>
    <row r="2291" spans="1:8" ht="15.75">
      <c r="A2291" s="119"/>
      <c r="B2291" s="88"/>
      <c r="C2291" s="52"/>
      <c r="D2291" s="52"/>
      <c r="E2291" s="52"/>
      <c r="F2291" s="52"/>
      <c r="G2291" s="52"/>
      <c r="H2291" s="52"/>
    </row>
    <row r="2292" spans="1:8" ht="15.75">
      <c r="A2292" s="119"/>
      <c r="B2292" s="88"/>
      <c r="C2292" s="52"/>
      <c r="D2292" s="52"/>
      <c r="E2292" s="52"/>
      <c r="F2292" s="52"/>
      <c r="G2292" s="52"/>
      <c r="H2292" s="52"/>
    </row>
    <row r="2293" spans="1:8" ht="15.75">
      <c r="A2293" s="119"/>
      <c r="B2293" s="88"/>
      <c r="C2293" s="52"/>
      <c r="D2293" s="52"/>
      <c r="E2293" s="52"/>
      <c r="F2293" s="52"/>
      <c r="G2293" s="52"/>
      <c r="H2293" s="52"/>
    </row>
    <row r="2294" spans="1:8" ht="15.75">
      <c r="A2294" s="119"/>
      <c r="B2294" s="88"/>
      <c r="C2294" s="52"/>
      <c r="D2294" s="52"/>
      <c r="E2294" s="52"/>
      <c r="F2294" s="52"/>
      <c r="G2294" s="52"/>
      <c r="H2294" s="52"/>
    </row>
    <row r="2295" spans="1:8" ht="15.75">
      <c r="A2295" s="119"/>
      <c r="B2295" s="88"/>
      <c r="C2295" s="52"/>
      <c r="D2295" s="52"/>
      <c r="E2295" s="52"/>
      <c r="F2295" s="52"/>
      <c r="G2295" s="52"/>
      <c r="H2295" s="52"/>
    </row>
    <row r="2296" spans="1:8" ht="15.75">
      <c r="A2296" s="119"/>
      <c r="B2296" s="88"/>
      <c r="C2296" s="52"/>
      <c r="D2296" s="52"/>
      <c r="E2296" s="52"/>
      <c r="F2296" s="52"/>
      <c r="G2296" s="52"/>
      <c r="H2296" s="52"/>
    </row>
    <row r="2297" spans="1:8" ht="15.75">
      <c r="A2297" s="119"/>
      <c r="B2297" s="88"/>
      <c r="C2297" s="52"/>
      <c r="D2297" s="52"/>
      <c r="E2297" s="52"/>
      <c r="F2297" s="52"/>
      <c r="G2297" s="52"/>
      <c r="H2297" s="52"/>
    </row>
    <row r="2298" spans="1:8" ht="15.75">
      <c r="A2298" s="119"/>
      <c r="B2298" s="88"/>
      <c r="C2298" s="52"/>
      <c r="D2298" s="52"/>
      <c r="E2298" s="52"/>
      <c r="F2298" s="52"/>
      <c r="G2298" s="52"/>
      <c r="H2298" s="52"/>
    </row>
    <row r="2299" spans="1:8" ht="15.75">
      <c r="A2299" s="119"/>
      <c r="B2299" s="88"/>
      <c r="C2299" s="52"/>
      <c r="D2299" s="52"/>
      <c r="E2299" s="52"/>
      <c r="F2299" s="52"/>
      <c r="G2299" s="52"/>
      <c r="H2299" s="52"/>
    </row>
    <row r="2300" spans="1:8" ht="15.75">
      <c r="A2300" s="119"/>
      <c r="B2300" s="88"/>
      <c r="C2300" s="52"/>
      <c r="D2300" s="52"/>
      <c r="E2300" s="52"/>
      <c r="F2300" s="52"/>
      <c r="G2300" s="52"/>
      <c r="H2300" s="52"/>
    </row>
    <row r="2301" spans="1:8" ht="15.75">
      <c r="A2301" s="119"/>
      <c r="B2301" s="88"/>
      <c r="C2301" s="52"/>
      <c r="D2301" s="52"/>
      <c r="E2301" s="52"/>
      <c r="F2301" s="52"/>
      <c r="G2301" s="52"/>
      <c r="H2301" s="52"/>
    </row>
    <row r="2302" spans="1:8" ht="15.75">
      <c r="A2302" s="119"/>
      <c r="B2302" s="88"/>
      <c r="C2302" s="52"/>
      <c r="D2302" s="52"/>
      <c r="E2302" s="52"/>
      <c r="F2302" s="52"/>
      <c r="G2302" s="52"/>
      <c r="H2302" s="52"/>
    </row>
    <row r="2303" spans="1:8" ht="15.75">
      <c r="A2303" s="119"/>
      <c r="B2303" s="88"/>
      <c r="C2303" s="52"/>
      <c r="D2303" s="52"/>
      <c r="E2303" s="52"/>
      <c r="F2303" s="52"/>
      <c r="G2303" s="52"/>
      <c r="H2303" s="52"/>
    </row>
    <row r="2304" spans="1:8" ht="15.75">
      <c r="A2304" s="119"/>
      <c r="B2304" s="88"/>
      <c r="C2304" s="52"/>
      <c r="D2304" s="52"/>
      <c r="E2304" s="52"/>
      <c r="F2304" s="52"/>
      <c r="G2304" s="52"/>
      <c r="H2304" s="52"/>
    </row>
    <row r="2305" spans="1:8" ht="15.75">
      <c r="A2305" s="119"/>
      <c r="B2305" s="88"/>
      <c r="C2305" s="52"/>
      <c r="D2305" s="52"/>
      <c r="E2305" s="52"/>
      <c r="F2305" s="52"/>
      <c r="G2305" s="52"/>
      <c r="H2305" s="52"/>
    </row>
    <row r="2306" spans="1:8" ht="15.75">
      <c r="A2306" s="119"/>
      <c r="B2306" s="88"/>
      <c r="C2306" s="52"/>
      <c r="D2306" s="52"/>
      <c r="E2306" s="52"/>
      <c r="F2306" s="52"/>
      <c r="G2306" s="52"/>
      <c r="H2306" s="52"/>
    </row>
    <row r="2307" spans="1:8" ht="15.75">
      <c r="A2307" s="119"/>
      <c r="B2307" s="88"/>
      <c r="C2307" s="52"/>
      <c r="D2307" s="52"/>
      <c r="E2307" s="52"/>
      <c r="F2307" s="52"/>
      <c r="G2307" s="52"/>
      <c r="H2307" s="52"/>
    </row>
    <row r="2308" spans="1:8" ht="15.75">
      <c r="A2308" s="119"/>
      <c r="B2308" s="88"/>
      <c r="C2308" s="52"/>
      <c r="D2308" s="52"/>
      <c r="E2308" s="52"/>
      <c r="F2308" s="52"/>
      <c r="G2308" s="52"/>
      <c r="H2308" s="52"/>
    </row>
    <row r="2309" spans="1:8" ht="15.75">
      <c r="A2309" s="119"/>
      <c r="B2309" s="88"/>
      <c r="C2309" s="52"/>
      <c r="D2309" s="52"/>
      <c r="E2309" s="52"/>
      <c r="F2309" s="52"/>
      <c r="G2309" s="52"/>
      <c r="H2309" s="52"/>
    </row>
    <row r="2310" spans="1:8" ht="15.75">
      <c r="A2310" s="119"/>
      <c r="B2310" s="88"/>
      <c r="C2310" s="52"/>
      <c r="D2310" s="52"/>
      <c r="E2310" s="52"/>
      <c r="F2310" s="52"/>
      <c r="G2310" s="52"/>
      <c r="H2310" s="52"/>
    </row>
    <row r="2311" spans="1:8" ht="15.75">
      <c r="A2311" s="119"/>
      <c r="B2311" s="88"/>
      <c r="C2311" s="52"/>
      <c r="D2311" s="52"/>
      <c r="E2311" s="52"/>
      <c r="F2311" s="52"/>
      <c r="G2311" s="52"/>
      <c r="H2311" s="52"/>
    </row>
    <row r="2312" spans="1:8" ht="15.75">
      <c r="A2312" s="119"/>
      <c r="B2312" s="88"/>
      <c r="C2312" s="52"/>
      <c r="D2312" s="52"/>
      <c r="E2312" s="52"/>
      <c r="F2312" s="52"/>
      <c r="G2312" s="52"/>
      <c r="H2312" s="52"/>
    </row>
    <row r="2313" spans="1:8" ht="15.75">
      <c r="A2313" s="119"/>
      <c r="B2313" s="88"/>
      <c r="C2313" s="52"/>
      <c r="D2313" s="52"/>
      <c r="E2313" s="52"/>
      <c r="F2313" s="52"/>
      <c r="G2313" s="52"/>
      <c r="H2313" s="52"/>
    </row>
    <row r="2314" spans="1:8" ht="15.75">
      <c r="A2314" s="119"/>
      <c r="B2314" s="88"/>
      <c r="C2314" s="52"/>
      <c r="D2314" s="52"/>
      <c r="E2314" s="52"/>
      <c r="F2314" s="52"/>
      <c r="G2314" s="52"/>
      <c r="H2314" s="52"/>
    </row>
    <row r="2315" spans="1:8" ht="15.75">
      <c r="A2315" s="119"/>
      <c r="B2315" s="88"/>
      <c r="C2315" s="52"/>
      <c r="D2315" s="52"/>
      <c r="E2315" s="52"/>
      <c r="F2315" s="52"/>
      <c r="G2315" s="52"/>
      <c r="H2315" s="52"/>
    </row>
    <row r="2316" spans="1:8" ht="15.75">
      <c r="A2316" s="119"/>
      <c r="B2316" s="88"/>
      <c r="C2316" s="52"/>
      <c r="D2316" s="52"/>
      <c r="E2316" s="52"/>
      <c r="F2316" s="52"/>
      <c r="G2316" s="52"/>
      <c r="H2316" s="52"/>
    </row>
    <row r="2317" spans="1:8" ht="15.75">
      <c r="A2317" s="119"/>
      <c r="B2317" s="88"/>
      <c r="C2317" s="52"/>
      <c r="D2317" s="52"/>
      <c r="E2317" s="52"/>
      <c r="F2317" s="52"/>
      <c r="G2317" s="52"/>
      <c r="H2317" s="52"/>
    </row>
    <row r="2318" spans="1:8" ht="15.75">
      <c r="A2318" s="119"/>
      <c r="B2318" s="88"/>
      <c r="C2318" s="52"/>
      <c r="D2318" s="52"/>
      <c r="E2318" s="52"/>
      <c r="F2318" s="52"/>
      <c r="G2318" s="52"/>
      <c r="H2318" s="52"/>
    </row>
    <row r="2319" spans="1:8" ht="15.75">
      <c r="A2319" s="119"/>
      <c r="B2319" s="88"/>
      <c r="C2319" s="52"/>
      <c r="D2319" s="52"/>
      <c r="E2319" s="52"/>
      <c r="F2319" s="52"/>
      <c r="G2319" s="52"/>
      <c r="H2319" s="52"/>
    </row>
    <row r="2320" spans="1:8" ht="15.75">
      <c r="A2320" s="119"/>
      <c r="B2320" s="88"/>
      <c r="C2320" s="52"/>
      <c r="D2320" s="52"/>
      <c r="E2320" s="52"/>
      <c r="F2320" s="52"/>
      <c r="G2320" s="52"/>
      <c r="H2320" s="52"/>
    </row>
    <row r="2321" spans="1:8" ht="15.75">
      <c r="A2321" s="119"/>
      <c r="B2321" s="88"/>
      <c r="C2321" s="52"/>
      <c r="D2321" s="52"/>
      <c r="E2321" s="52"/>
      <c r="F2321" s="52"/>
      <c r="G2321" s="52"/>
      <c r="H2321" s="52"/>
    </row>
    <row r="2322" spans="1:8" ht="15.75">
      <c r="A2322" s="119"/>
      <c r="B2322" s="88"/>
      <c r="C2322" s="52"/>
      <c r="D2322" s="52"/>
      <c r="E2322" s="52"/>
      <c r="F2322" s="52"/>
      <c r="G2322" s="52"/>
      <c r="H2322" s="52"/>
    </row>
    <row r="2323" spans="1:8" ht="15.75">
      <c r="A2323" s="119"/>
      <c r="B2323" s="88"/>
      <c r="C2323" s="52"/>
      <c r="D2323" s="52"/>
      <c r="E2323" s="52"/>
      <c r="F2323" s="52"/>
      <c r="G2323" s="52"/>
      <c r="H2323" s="52"/>
    </row>
    <row r="2324" spans="1:8" ht="15.75">
      <c r="A2324" s="119"/>
      <c r="B2324" s="88"/>
      <c r="C2324" s="52"/>
      <c r="D2324" s="52"/>
      <c r="E2324" s="52"/>
      <c r="F2324" s="52"/>
      <c r="G2324" s="52"/>
      <c r="H2324" s="52"/>
    </row>
    <row r="2325" spans="1:8" ht="15.75">
      <c r="A2325" s="119"/>
      <c r="B2325" s="88"/>
      <c r="C2325" s="52"/>
      <c r="D2325" s="52"/>
      <c r="E2325" s="52"/>
      <c r="F2325" s="52"/>
      <c r="G2325" s="52"/>
      <c r="H2325" s="52"/>
    </row>
    <row r="2326" spans="1:8" ht="15.75">
      <c r="A2326" s="119"/>
      <c r="B2326" s="88"/>
      <c r="C2326" s="52"/>
      <c r="D2326" s="52"/>
      <c r="E2326" s="52"/>
      <c r="F2326" s="52"/>
      <c r="G2326" s="52"/>
      <c r="H2326" s="52"/>
    </row>
    <row r="2327" spans="1:8" ht="15.75">
      <c r="A2327" s="119"/>
      <c r="B2327" s="88"/>
      <c r="C2327" s="52"/>
      <c r="D2327" s="52"/>
      <c r="E2327" s="52"/>
      <c r="F2327" s="52"/>
      <c r="G2327" s="52"/>
      <c r="H2327" s="52"/>
    </row>
    <row r="2328" spans="1:8" ht="15.75">
      <c r="A2328" s="119"/>
      <c r="B2328" s="88"/>
      <c r="C2328" s="52"/>
      <c r="D2328" s="52"/>
      <c r="E2328" s="52"/>
      <c r="F2328" s="52"/>
      <c r="G2328" s="52"/>
      <c r="H2328" s="52"/>
    </row>
    <row r="2329" spans="1:8" ht="15.75">
      <c r="A2329" s="119"/>
      <c r="B2329" s="88"/>
      <c r="C2329" s="52"/>
      <c r="D2329" s="52"/>
      <c r="E2329" s="52"/>
      <c r="F2329" s="52"/>
      <c r="G2329" s="52"/>
      <c r="H2329" s="52"/>
    </row>
    <row r="2330" spans="1:8" ht="15.75">
      <c r="A2330" s="119"/>
      <c r="B2330" s="88"/>
      <c r="C2330" s="52"/>
      <c r="D2330" s="52"/>
      <c r="E2330" s="52"/>
      <c r="F2330" s="52"/>
      <c r="G2330" s="52"/>
      <c r="H2330" s="52"/>
    </row>
    <row r="2331" spans="1:8" ht="15.75">
      <c r="A2331" s="119"/>
      <c r="B2331" s="88"/>
      <c r="C2331" s="52"/>
      <c r="D2331" s="52"/>
      <c r="E2331" s="52"/>
      <c r="F2331" s="52"/>
      <c r="G2331" s="52"/>
      <c r="H2331" s="52"/>
    </row>
    <row r="2332" spans="1:8" ht="15.75">
      <c r="A2332" s="119"/>
      <c r="B2332" s="88"/>
      <c r="C2332" s="52"/>
      <c r="D2332" s="52"/>
      <c r="E2332" s="52"/>
      <c r="F2332" s="52"/>
      <c r="G2332" s="52"/>
      <c r="H2332" s="52"/>
    </row>
    <row r="2333" spans="1:8" ht="15.75">
      <c r="A2333" s="119"/>
      <c r="B2333" s="88"/>
      <c r="C2333" s="52"/>
      <c r="D2333" s="52"/>
      <c r="E2333" s="52"/>
      <c r="F2333" s="52"/>
      <c r="G2333" s="52"/>
      <c r="H2333" s="52"/>
    </row>
    <row r="2334" spans="1:8" ht="15.75">
      <c r="A2334" s="119"/>
      <c r="B2334" s="88"/>
      <c r="C2334" s="52"/>
      <c r="D2334" s="52"/>
      <c r="E2334" s="52"/>
      <c r="F2334" s="52"/>
      <c r="G2334" s="52"/>
      <c r="H2334" s="52"/>
    </row>
    <row r="2335" spans="1:8" ht="15.75">
      <c r="A2335" s="119"/>
      <c r="B2335" s="88"/>
      <c r="C2335" s="52"/>
      <c r="D2335" s="52"/>
      <c r="E2335" s="52"/>
      <c r="F2335" s="52"/>
      <c r="G2335" s="52"/>
      <c r="H2335" s="52"/>
    </row>
    <row r="2336" spans="1:8" ht="15.75">
      <c r="A2336" s="119"/>
      <c r="B2336" s="88"/>
      <c r="C2336" s="52"/>
      <c r="D2336" s="52"/>
      <c r="E2336" s="52"/>
      <c r="F2336" s="52"/>
      <c r="G2336" s="52"/>
      <c r="H2336" s="52"/>
    </row>
    <row r="2337" spans="1:8" ht="15.75">
      <c r="A2337" s="119"/>
      <c r="B2337" s="88"/>
      <c r="C2337" s="52"/>
      <c r="D2337" s="52"/>
      <c r="E2337" s="52"/>
      <c r="F2337" s="52"/>
      <c r="G2337" s="52"/>
      <c r="H2337" s="52"/>
    </row>
    <row r="2338" spans="1:8" ht="15.75">
      <c r="A2338" s="119"/>
      <c r="B2338" s="88"/>
      <c r="C2338" s="52"/>
      <c r="D2338" s="52"/>
      <c r="E2338" s="52"/>
      <c r="F2338" s="52"/>
      <c r="G2338" s="52"/>
      <c r="H2338" s="52"/>
    </row>
    <row r="2339" spans="1:8" ht="15.75">
      <c r="A2339" s="119"/>
      <c r="B2339" s="88"/>
      <c r="C2339" s="52"/>
      <c r="D2339" s="52"/>
      <c r="E2339" s="52"/>
      <c r="F2339" s="52"/>
      <c r="G2339" s="52"/>
      <c r="H2339" s="52"/>
    </row>
    <row r="2340" spans="1:8" ht="15.75">
      <c r="A2340" s="119"/>
      <c r="B2340" s="88"/>
      <c r="C2340" s="52"/>
      <c r="D2340" s="52"/>
      <c r="E2340" s="52"/>
      <c r="F2340" s="52"/>
      <c r="G2340" s="52"/>
      <c r="H2340" s="52"/>
    </row>
    <row r="2341" spans="1:8" ht="15.75">
      <c r="A2341" s="119"/>
      <c r="B2341" s="88"/>
      <c r="C2341" s="52"/>
      <c r="D2341" s="52"/>
      <c r="E2341" s="52"/>
      <c r="F2341" s="52"/>
      <c r="G2341" s="52"/>
      <c r="H2341" s="52"/>
    </row>
    <row r="2342" spans="1:8" ht="15.75">
      <c r="A2342" s="119"/>
      <c r="B2342" s="88"/>
      <c r="C2342" s="52"/>
      <c r="D2342" s="52"/>
      <c r="E2342" s="52"/>
      <c r="F2342" s="52"/>
      <c r="G2342" s="52"/>
      <c r="H2342" s="52"/>
    </row>
    <row r="2343" spans="1:8" ht="15.75">
      <c r="A2343" s="119"/>
      <c r="B2343" s="88"/>
      <c r="C2343" s="52"/>
      <c r="D2343" s="52"/>
      <c r="E2343" s="52"/>
      <c r="F2343" s="52"/>
      <c r="G2343" s="52"/>
      <c r="H2343" s="52"/>
    </row>
    <row r="2344" spans="1:8" ht="15.75">
      <c r="A2344" s="119"/>
      <c r="B2344" s="88"/>
      <c r="C2344" s="52"/>
      <c r="D2344" s="52"/>
      <c r="E2344" s="52"/>
      <c r="F2344" s="52"/>
      <c r="G2344" s="52"/>
      <c r="H2344" s="52"/>
    </row>
    <row r="2345" spans="1:8" ht="15.75">
      <c r="A2345" s="119"/>
      <c r="B2345" s="88"/>
      <c r="C2345" s="52"/>
      <c r="D2345" s="52"/>
      <c r="E2345" s="52"/>
      <c r="F2345" s="52"/>
      <c r="G2345" s="52"/>
      <c r="H2345" s="52"/>
    </row>
    <row r="2346" spans="1:8" ht="15.75">
      <c r="A2346" s="119"/>
      <c r="B2346" s="88"/>
      <c r="C2346" s="52"/>
      <c r="D2346" s="52"/>
      <c r="E2346" s="52"/>
      <c r="F2346" s="52"/>
      <c r="G2346" s="52"/>
      <c r="H2346" s="52"/>
    </row>
    <row r="2347" spans="1:8" ht="15.75">
      <c r="A2347" s="119"/>
      <c r="B2347" s="88"/>
      <c r="C2347" s="52"/>
      <c r="D2347" s="52"/>
      <c r="E2347" s="52"/>
      <c r="F2347" s="52"/>
      <c r="G2347" s="52"/>
      <c r="H2347" s="52"/>
    </row>
    <row r="2348" spans="1:8" ht="15.75">
      <c r="A2348" s="119"/>
      <c r="B2348" s="88"/>
      <c r="C2348" s="52"/>
      <c r="D2348" s="52"/>
      <c r="E2348" s="52"/>
      <c r="F2348" s="52"/>
      <c r="G2348" s="52"/>
      <c r="H2348" s="52"/>
    </row>
    <row r="2349" spans="1:8" ht="15.75">
      <c r="A2349" s="119"/>
      <c r="B2349" s="88"/>
      <c r="C2349" s="52"/>
      <c r="D2349" s="52"/>
      <c r="E2349" s="52"/>
      <c r="F2349" s="52"/>
      <c r="G2349" s="52"/>
      <c r="H2349" s="52"/>
    </row>
    <row r="2350" spans="1:8" ht="15.75">
      <c r="A2350" s="119"/>
      <c r="B2350" s="88"/>
      <c r="C2350" s="52"/>
      <c r="D2350" s="52"/>
      <c r="E2350" s="52"/>
      <c r="F2350" s="52"/>
      <c r="G2350" s="52"/>
      <c r="H2350" s="52"/>
    </row>
    <row r="2351" spans="1:8" ht="15.75">
      <c r="A2351" s="119"/>
      <c r="B2351" s="88"/>
      <c r="C2351" s="52"/>
      <c r="D2351" s="52"/>
      <c r="E2351" s="52"/>
      <c r="F2351" s="52"/>
      <c r="G2351" s="52"/>
      <c r="H2351" s="52"/>
    </row>
    <row r="2352" spans="1:8" ht="15.75">
      <c r="A2352" s="119"/>
      <c r="B2352" s="88"/>
      <c r="C2352" s="52"/>
      <c r="D2352" s="52"/>
      <c r="E2352" s="52"/>
      <c r="F2352" s="52"/>
      <c r="G2352" s="52"/>
      <c r="H2352" s="52"/>
    </row>
    <row r="2353" spans="1:8" ht="15.75">
      <c r="A2353" s="119"/>
      <c r="B2353" s="88"/>
      <c r="C2353" s="52"/>
      <c r="D2353" s="52"/>
      <c r="E2353" s="52"/>
      <c r="F2353" s="52"/>
      <c r="G2353" s="52"/>
      <c r="H2353" s="52"/>
    </row>
    <row r="2354" spans="1:8" ht="15.75">
      <c r="A2354" s="119"/>
      <c r="B2354" s="88"/>
      <c r="C2354" s="52"/>
      <c r="D2354" s="52"/>
      <c r="E2354" s="52"/>
      <c r="F2354" s="52"/>
      <c r="G2354" s="52"/>
      <c r="H2354" s="52"/>
    </row>
    <row r="2355" spans="1:8" ht="15.75">
      <c r="A2355" s="119"/>
      <c r="B2355" s="88"/>
      <c r="C2355" s="52"/>
      <c r="D2355" s="52"/>
      <c r="E2355" s="52"/>
      <c r="F2355" s="52"/>
      <c r="G2355" s="52"/>
      <c r="H2355" s="52"/>
    </row>
    <row r="2356" spans="1:8" ht="15.75">
      <c r="A2356" s="119"/>
      <c r="B2356" s="88"/>
      <c r="C2356" s="52"/>
      <c r="D2356" s="52"/>
      <c r="E2356" s="52"/>
      <c r="F2356" s="52"/>
      <c r="G2356" s="52"/>
      <c r="H2356" s="52"/>
    </row>
    <row r="2357" spans="1:8" ht="15.75">
      <c r="A2357" s="119"/>
      <c r="B2357" s="88"/>
      <c r="C2357" s="52"/>
      <c r="D2357" s="52"/>
      <c r="E2357" s="52"/>
      <c r="F2357" s="52"/>
      <c r="G2357" s="52"/>
      <c r="H2357" s="52"/>
    </row>
    <row r="2358" spans="1:8" ht="15.75">
      <c r="A2358" s="119"/>
      <c r="B2358" s="88"/>
      <c r="C2358" s="52"/>
      <c r="D2358" s="52"/>
      <c r="E2358" s="52"/>
      <c r="F2358" s="52"/>
      <c r="G2358" s="52"/>
      <c r="H2358" s="52"/>
    </row>
    <row r="2359" spans="1:8" ht="15.75">
      <c r="A2359" s="119"/>
      <c r="B2359" s="88"/>
      <c r="C2359" s="52"/>
      <c r="D2359" s="52"/>
      <c r="E2359" s="52"/>
      <c r="F2359" s="52"/>
      <c r="G2359" s="52"/>
      <c r="H2359" s="52"/>
    </row>
    <row r="2360" spans="1:8" ht="15.75">
      <c r="A2360" s="119"/>
      <c r="B2360" s="88"/>
      <c r="C2360" s="52"/>
      <c r="D2360" s="52"/>
      <c r="E2360" s="52"/>
      <c r="F2360" s="52"/>
      <c r="G2360" s="52"/>
      <c r="H2360" s="52"/>
    </row>
    <row r="2361" spans="1:8" ht="15.75">
      <c r="A2361" s="119"/>
      <c r="B2361" s="88"/>
      <c r="C2361" s="52"/>
      <c r="D2361" s="52"/>
      <c r="E2361" s="52"/>
      <c r="F2361" s="52"/>
      <c r="G2361" s="52"/>
      <c r="H2361" s="52"/>
    </row>
    <row r="2362" spans="1:8" ht="15.75">
      <c r="A2362" s="119"/>
      <c r="B2362" s="88"/>
      <c r="C2362" s="52"/>
      <c r="D2362" s="52"/>
      <c r="E2362" s="52"/>
      <c r="F2362" s="52"/>
      <c r="G2362" s="52"/>
      <c r="H2362" s="52"/>
    </row>
    <row r="2363" spans="1:8" ht="15.75">
      <c r="A2363" s="119"/>
      <c r="B2363" s="88"/>
      <c r="C2363" s="52"/>
      <c r="D2363" s="52"/>
      <c r="E2363" s="52"/>
      <c r="F2363" s="52"/>
      <c r="G2363" s="52"/>
      <c r="H2363" s="52"/>
    </row>
    <row r="2364" spans="1:8" ht="15.75">
      <c r="A2364" s="119"/>
      <c r="B2364" s="88"/>
      <c r="C2364" s="52"/>
      <c r="D2364" s="52"/>
      <c r="E2364" s="52"/>
      <c r="F2364" s="52"/>
      <c r="G2364" s="52"/>
      <c r="H2364" s="52"/>
    </row>
    <row r="2365" spans="1:8" ht="15.75">
      <c r="A2365" s="119"/>
      <c r="B2365" s="88"/>
      <c r="C2365" s="52"/>
      <c r="D2365" s="52"/>
      <c r="E2365" s="52"/>
      <c r="F2365" s="52"/>
      <c r="G2365" s="52"/>
      <c r="H2365" s="52"/>
    </row>
    <row r="2366" spans="1:8" ht="15.75">
      <c r="A2366" s="119"/>
      <c r="B2366" s="88"/>
      <c r="C2366" s="52"/>
      <c r="D2366" s="52"/>
      <c r="E2366" s="52"/>
      <c r="F2366" s="52"/>
      <c r="G2366" s="52"/>
      <c r="H2366" s="52"/>
    </row>
    <row r="2367" spans="1:8" ht="15.75">
      <c r="A2367" s="119"/>
      <c r="B2367" s="88"/>
      <c r="C2367" s="52"/>
      <c r="D2367" s="52"/>
      <c r="E2367" s="52"/>
      <c r="F2367" s="52"/>
      <c r="G2367" s="52"/>
      <c r="H2367" s="52"/>
    </row>
    <row r="2368" spans="1:8" ht="15.75">
      <c r="A2368" s="119"/>
      <c r="B2368" s="88"/>
      <c r="C2368" s="52"/>
      <c r="D2368" s="52"/>
      <c r="E2368" s="52"/>
      <c r="F2368" s="52"/>
      <c r="G2368" s="52"/>
      <c r="H2368" s="52"/>
    </row>
    <row r="2369" spans="1:8" ht="15.75">
      <c r="A2369" s="119"/>
      <c r="B2369" s="88"/>
      <c r="C2369" s="52"/>
      <c r="D2369" s="52"/>
      <c r="E2369" s="52"/>
      <c r="F2369" s="52"/>
      <c r="G2369" s="52"/>
      <c r="H2369" s="52"/>
    </row>
    <row r="2370" spans="1:8" ht="15.75">
      <c r="A2370" s="119"/>
      <c r="B2370" s="88"/>
      <c r="C2370" s="52"/>
      <c r="D2370" s="52"/>
      <c r="E2370" s="52"/>
      <c r="F2370" s="52"/>
      <c r="G2370" s="52"/>
      <c r="H2370" s="52"/>
    </row>
    <row r="2371" spans="1:8" ht="15.75">
      <c r="A2371" s="119"/>
      <c r="B2371" s="88"/>
      <c r="C2371" s="52"/>
      <c r="D2371" s="52"/>
      <c r="E2371" s="52"/>
      <c r="F2371" s="52"/>
      <c r="G2371" s="52"/>
      <c r="H2371" s="52"/>
    </row>
    <row r="2372" spans="1:8" ht="15.75">
      <c r="A2372" s="119"/>
      <c r="B2372" s="88"/>
      <c r="C2372" s="52"/>
      <c r="D2372" s="52"/>
      <c r="E2372" s="52"/>
      <c r="F2372" s="52"/>
      <c r="G2372" s="52"/>
      <c r="H2372" s="52"/>
    </row>
    <row r="2373" spans="1:8" ht="15.75">
      <c r="A2373" s="119"/>
      <c r="B2373" s="88"/>
      <c r="C2373" s="52"/>
      <c r="D2373" s="52"/>
      <c r="E2373" s="52"/>
      <c r="F2373" s="52"/>
      <c r="G2373" s="52"/>
      <c r="H2373" s="52"/>
    </row>
    <row r="2374" spans="1:8" ht="15.75">
      <c r="A2374" s="119"/>
      <c r="B2374" s="88"/>
      <c r="C2374" s="52"/>
      <c r="D2374" s="52"/>
      <c r="E2374" s="52"/>
      <c r="F2374" s="52"/>
      <c r="G2374" s="52"/>
      <c r="H2374" s="52"/>
    </row>
    <row r="2375" spans="1:8" ht="15.75">
      <c r="A2375" s="119"/>
      <c r="B2375" s="88"/>
      <c r="C2375" s="52"/>
      <c r="D2375" s="52"/>
      <c r="E2375" s="52"/>
      <c r="F2375" s="52"/>
      <c r="G2375" s="52"/>
      <c r="H2375" s="52"/>
    </row>
    <row r="2376" spans="1:8" ht="15.75">
      <c r="A2376" s="119"/>
      <c r="B2376" s="88"/>
      <c r="C2376" s="52"/>
      <c r="D2376" s="52"/>
      <c r="E2376" s="52"/>
      <c r="F2376" s="52"/>
      <c r="G2376" s="52"/>
      <c r="H2376" s="52"/>
    </row>
    <row r="2377" spans="1:8" ht="15.75">
      <c r="A2377" s="119"/>
      <c r="B2377" s="88"/>
      <c r="C2377" s="52"/>
      <c r="D2377" s="52"/>
      <c r="E2377" s="52"/>
      <c r="F2377" s="52"/>
      <c r="G2377" s="52"/>
      <c r="H2377" s="52"/>
    </row>
    <row r="2378" spans="1:8" ht="15.75">
      <c r="A2378" s="119"/>
      <c r="B2378" s="88"/>
      <c r="C2378" s="52"/>
      <c r="D2378" s="52"/>
      <c r="E2378" s="52"/>
      <c r="F2378" s="52"/>
      <c r="G2378" s="52"/>
      <c r="H2378" s="52"/>
    </row>
    <row r="2379" spans="1:8" ht="15.75">
      <c r="A2379" s="119"/>
      <c r="B2379" s="88"/>
      <c r="C2379" s="52"/>
      <c r="D2379" s="52"/>
      <c r="E2379" s="52"/>
      <c r="F2379" s="52"/>
      <c r="G2379" s="52"/>
      <c r="H2379" s="52"/>
    </row>
    <row r="2380" spans="1:8" ht="15.75">
      <c r="A2380" s="119"/>
      <c r="B2380" s="88"/>
      <c r="C2380" s="52"/>
      <c r="D2380" s="52"/>
      <c r="E2380" s="52"/>
      <c r="F2380" s="52"/>
      <c r="G2380" s="52"/>
      <c r="H2380" s="52"/>
    </row>
    <row r="2381" spans="1:8" ht="15.75">
      <c r="A2381" s="119"/>
      <c r="B2381" s="88"/>
      <c r="C2381" s="52"/>
      <c r="D2381" s="52"/>
      <c r="E2381" s="52"/>
      <c r="F2381" s="52"/>
      <c r="G2381" s="52"/>
      <c r="H2381" s="52"/>
    </row>
    <row r="2382" spans="1:8" ht="15.75">
      <c r="A2382" s="119"/>
      <c r="B2382" s="88"/>
      <c r="C2382" s="52"/>
      <c r="D2382" s="52"/>
      <c r="E2382" s="52"/>
      <c r="F2382" s="52"/>
      <c r="G2382" s="52"/>
      <c r="H2382" s="52"/>
    </row>
    <row r="2383" spans="1:8" ht="15.75">
      <c r="A2383" s="119"/>
      <c r="B2383" s="88"/>
      <c r="C2383" s="52"/>
      <c r="D2383" s="52"/>
      <c r="E2383" s="52"/>
      <c r="F2383" s="52"/>
      <c r="G2383" s="52"/>
      <c r="H2383" s="52"/>
    </row>
    <row r="2384" spans="1:8" ht="15.75">
      <c r="A2384" s="119"/>
      <c r="B2384" s="88"/>
      <c r="C2384" s="52"/>
      <c r="D2384" s="52"/>
      <c r="E2384" s="52"/>
      <c r="F2384" s="52"/>
      <c r="G2384" s="52"/>
      <c r="H2384" s="52"/>
    </row>
    <row r="2385" spans="1:8" ht="15.75">
      <c r="A2385" s="119"/>
      <c r="B2385" s="88"/>
      <c r="C2385" s="52"/>
      <c r="D2385" s="52"/>
      <c r="E2385" s="52"/>
      <c r="F2385" s="52"/>
      <c r="G2385" s="52"/>
      <c r="H2385" s="52"/>
    </row>
    <row r="2386" spans="1:8" ht="15.75">
      <c r="A2386" s="119"/>
      <c r="B2386" s="88"/>
      <c r="C2386" s="52"/>
      <c r="D2386" s="52"/>
      <c r="E2386" s="52"/>
      <c r="F2386" s="52"/>
      <c r="G2386" s="52"/>
      <c r="H2386" s="52"/>
    </row>
    <row r="2387" spans="1:8" ht="15.75">
      <c r="A2387" s="119"/>
      <c r="B2387" s="88"/>
      <c r="C2387" s="52"/>
      <c r="D2387" s="52"/>
      <c r="E2387" s="52"/>
      <c r="F2387" s="52"/>
      <c r="G2387" s="52"/>
      <c r="H2387" s="52"/>
    </row>
    <row r="2388" spans="1:8" ht="15.75">
      <c r="A2388" s="119"/>
      <c r="B2388" s="88"/>
      <c r="C2388" s="52"/>
      <c r="D2388" s="52"/>
      <c r="E2388" s="52"/>
      <c r="F2388" s="52"/>
      <c r="G2388" s="52"/>
      <c r="H2388" s="52"/>
    </row>
    <row r="2389" spans="1:8" ht="15.75">
      <c r="A2389" s="119"/>
      <c r="B2389" s="88"/>
      <c r="C2389" s="52"/>
      <c r="D2389" s="52"/>
      <c r="E2389" s="52"/>
      <c r="F2389" s="52"/>
      <c r="G2389" s="52"/>
      <c r="H2389" s="52"/>
    </row>
    <row r="2390" spans="1:8" ht="15.75">
      <c r="A2390" s="119"/>
      <c r="B2390" s="88"/>
      <c r="C2390" s="52"/>
      <c r="D2390" s="52"/>
      <c r="E2390" s="52"/>
      <c r="F2390" s="52"/>
      <c r="G2390" s="52"/>
      <c r="H2390" s="52"/>
    </row>
    <row r="2391" spans="1:8" ht="15.75">
      <c r="A2391" s="119"/>
      <c r="B2391" s="88"/>
      <c r="C2391" s="52"/>
      <c r="D2391" s="52"/>
      <c r="E2391" s="52"/>
      <c r="F2391" s="52"/>
      <c r="G2391" s="52"/>
      <c r="H2391" s="52"/>
    </row>
    <row r="2392" spans="1:8" ht="15.75">
      <c r="A2392" s="119"/>
      <c r="B2392" s="88"/>
      <c r="C2392" s="52"/>
      <c r="D2392" s="52"/>
      <c r="E2392" s="52"/>
      <c r="F2392" s="52"/>
      <c r="G2392" s="52"/>
      <c r="H2392" s="52"/>
    </row>
    <row r="2393" spans="1:8" ht="15.75">
      <c r="A2393" s="119"/>
      <c r="B2393" s="88"/>
      <c r="C2393" s="52"/>
      <c r="D2393" s="52"/>
      <c r="E2393" s="52"/>
      <c r="F2393" s="52"/>
      <c r="G2393" s="52"/>
      <c r="H2393" s="52"/>
    </row>
    <row r="2394" spans="1:8" ht="15.75">
      <c r="A2394" s="119"/>
      <c r="B2394" s="88"/>
      <c r="C2394" s="52"/>
      <c r="D2394" s="52"/>
      <c r="E2394" s="52"/>
      <c r="F2394" s="52"/>
      <c r="G2394" s="52"/>
      <c r="H2394" s="52"/>
    </row>
    <row r="2395" spans="1:8" ht="15.75">
      <c r="A2395" s="119"/>
      <c r="B2395" s="88"/>
      <c r="C2395" s="52"/>
      <c r="D2395" s="52"/>
      <c r="E2395" s="52"/>
      <c r="F2395" s="52"/>
      <c r="G2395" s="52"/>
      <c r="H2395" s="52"/>
    </row>
    <row r="2396" spans="1:8" ht="15.75">
      <c r="A2396" s="119"/>
      <c r="B2396" s="88"/>
      <c r="C2396" s="52"/>
      <c r="D2396" s="52"/>
      <c r="E2396" s="52"/>
      <c r="F2396" s="52"/>
      <c r="G2396" s="52"/>
      <c r="H2396" s="52"/>
    </row>
    <row r="2397" spans="1:8" ht="15.75">
      <c r="A2397" s="119"/>
      <c r="B2397" s="88"/>
      <c r="C2397" s="52"/>
      <c r="D2397" s="52"/>
      <c r="E2397" s="52"/>
      <c r="F2397" s="52"/>
      <c r="G2397" s="52"/>
      <c r="H2397" s="52"/>
    </row>
    <row r="2398" spans="1:8" ht="15.75">
      <c r="A2398" s="119"/>
      <c r="B2398" s="88"/>
      <c r="C2398" s="52"/>
      <c r="D2398" s="52"/>
      <c r="E2398" s="52"/>
      <c r="F2398" s="52"/>
      <c r="G2398" s="52"/>
      <c r="H2398" s="52"/>
    </row>
    <row r="2399" spans="1:8" ht="15.75">
      <c r="A2399" s="119"/>
      <c r="B2399" s="88"/>
      <c r="C2399" s="52"/>
      <c r="D2399" s="52"/>
      <c r="E2399" s="52"/>
      <c r="F2399" s="52"/>
      <c r="G2399" s="52"/>
      <c r="H2399" s="52"/>
    </row>
    <row r="2400" spans="1:8" ht="15.75">
      <c r="A2400" s="119"/>
      <c r="B2400" s="88"/>
      <c r="C2400" s="52"/>
      <c r="D2400" s="52"/>
      <c r="E2400" s="52"/>
      <c r="F2400" s="52"/>
      <c r="G2400" s="52"/>
      <c r="H2400" s="52"/>
    </row>
    <row r="2401" spans="1:8" ht="15.75">
      <c r="A2401" s="119"/>
      <c r="B2401" s="88"/>
      <c r="C2401" s="52"/>
      <c r="D2401" s="52"/>
      <c r="E2401" s="52"/>
      <c r="F2401" s="52"/>
      <c r="G2401" s="52"/>
      <c r="H2401" s="52"/>
    </row>
    <row r="2402" spans="1:8" ht="15.75">
      <c r="A2402" s="119"/>
      <c r="B2402" s="88"/>
      <c r="C2402" s="52"/>
      <c r="D2402" s="52"/>
      <c r="E2402" s="52"/>
      <c r="F2402" s="52"/>
      <c r="G2402" s="52"/>
      <c r="H2402" s="52"/>
    </row>
    <row r="2403" spans="1:8" ht="15.75">
      <c r="A2403" s="119"/>
      <c r="B2403" s="88"/>
      <c r="C2403" s="52"/>
      <c r="D2403" s="52"/>
      <c r="E2403" s="52"/>
      <c r="F2403" s="52"/>
      <c r="G2403" s="52"/>
      <c r="H2403" s="52"/>
    </row>
    <row r="2404" spans="1:8" ht="15.75">
      <c r="A2404" s="119"/>
      <c r="B2404" s="88"/>
      <c r="C2404" s="52"/>
      <c r="D2404" s="52"/>
      <c r="E2404" s="52"/>
      <c r="F2404" s="52"/>
      <c r="G2404" s="52"/>
      <c r="H2404" s="52"/>
    </row>
    <row r="2405" spans="1:8" ht="15.75">
      <c r="A2405" s="119"/>
      <c r="B2405" s="88"/>
      <c r="C2405" s="52"/>
      <c r="D2405" s="52"/>
      <c r="E2405" s="52"/>
      <c r="F2405" s="52"/>
      <c r="G2405" s="52"/>
      <c r="H2405" s="52"/>
    </row>
    <row r="2406" spans="1:8" ht="15.75">
      <c r="A2406" s="119"/>
      <c r="B2406" s="88"/>
      <c r="C2406" s="52"/>
      <c r="D2406" s="52"/>
      <c r="E2406" s="52"/>
      <c r="F2406" s="52"/>
      <c r="G2406" s="52"/>
      <c r="H2406" s="52"/>
    </row>
    <row r="2407" spans="1:8" ht="15.75">
      <c r="A2407" s="119"/>
      <c r="B2407" s="88"/>
      <c r="C2407" s="52"/>
      <c r="D2407" s="52"/>
      <c r="E2407" s="52"/>
      <c r="F2407" s="52"/>
      <c r="G2407" s="52"/>
      <c r="H2407" s="52"/>
    </row>
    <row r="2408" spans="1:8" ht="15.75">
      <c r="A2408" s="119"/>
      <c r="B2408" s="88"/>
      <c r="C2408" s="52"/>
      <c r="D2408" s="52"/>
      <c r="E2408" s="52"/>
      <c r="F2408" s="52"/>
      <c r="G2408" s="52"/>
      <c r="H2408" s="52"/>
    </row>
    <row r="2409" spans="1:8" ht="15.75">
      <c r="A2409" s="119"/>
      <c r="B2409" s="88"/>
      <c r="C2409" s="52"/>
      <c r="D2409" s="52"/>
      <c r="E2409" s="52"/>
      <c r="F2409" s="52"/>
      <c r="G2409" s="52"/>
      <c r="H2409" s="52"/>
    </row>
    <row r="2410" spans="1:8" ht="15.75">
      <c r="A2410" s="119"/>
      <c r="B2410" s="88"/>
      <c r="C2410" s="52"/>
      <c r="D2410" s="52"/>
      <c r="E2410" s="52"/>
      <c r="F2410" s="52"/>
      <c r="G2410" s="52"/>
      <c r="H2410" s="52"/>
    </row>
    <row r="2411" spans="1:8" ht="15.75">
      <c r="A2411" s="119"/>
      <c r="B2411" s="88"/>
      <c r="C2411" s="52"/>
      <c r="D2411" s="52"/>
      <c r="E2411" s="52"/>
      <c r="F2411" s="52"/>
      <c r="G2411" s="52"/>
      <c r="H2411" s="52"/>
    </row>
    <row r="2412" spans="1:8" ht="15.75">
      <c r="A2412" s="119"/>
      <c r="B2412" s="88"/>
      <c r="C2412" s="52"/>
      <c r="D2412" s="52"/>
      <c r="E2412" s="52"/>
      <c r="F2412" s="52"/>
      <c r="G2412" s="52"/>
      <c r="H2412" s="52"/>
    </row>
    <row r="2413" spans="1:8" ht="15.75">
      <c r="A2413" s="119"/>
      <c r="B2413" s="88"/>
      <c r="C2413" s="52"/>
      <c r="D2413" s="52"/>
      <c r="E2413" s="52"/>
      <c r="F2413" s="52"/>
      <c r="G2413" s="52"/>
      <c r="H2413" s="52"/>
    </row>
    <row r="2414" spans="1:8" ht="15.75">
      <c r="A2414" s="119"/>
      <c r="B2414" s="88"/>
      <c r="C2414" s="52"/>
      <c r="D2414" s="52"/>
      <c r="E2414" s="52"/>
      <c r="F2414" s="52"/>
      <c r="G2414" s="52"/>
      <c r="H2414" s="52"/>
    </row>
    <row r="2415" spans="1:8" ht="15.75">
      <c r="A2415" s="119"/>
      <c r="B2415" s="88"/>
      <c r="C2415" s="52"/>
      <c r="D2415" s="52"/>
      <c r="E2415" s="52"/>
      <c r="F2415" s="52"/>
      <c r="G2415" s="52"/>
      <c r="H2415" s="52"/>
    </row>
    <row r="2416" spans="1:8" ht="15.75">
      <c r="A2416" s="119"/>
      <c r="B2416" s="88"/>
      <c r="C2416" s="52"/>
      <c r="D2416" s="52"/>
      <c r="E2416" s="52"/>
      <c r="F2416" s="52"/>
      <c r="G2416" s="52"/>
      <c r="H2416" s="52"/>
    </row>
    <row r="2417" spans="1:8" ht="15.75">
      <c r="A2417" s="119"/>
      <c r="B2417" s="88"/>
      <c r="C2417" s="52"/>
      <c r="D2417" s="52"/>
      <c r="E2417" s="52"/>
      <c r="F2417" s="52"/>
      <c r="G2417" s="52"/>
      <c r="H2417" s="52"/>
    </row>
    <row r="2418" spans="1:8" ht="15.75">
      <c r="A2418" s="119"/>
      <c r="B2418" s="88"/>
      <c r="C2418" s="52"/>
      <c r="D2418" s="52"/>
      <c r="E2418" s="52"/>
      <c r="F2418" s="52"/>
      <c r="G2418" s="52"/>
      <c r="H2418" s="52"/>
    </row>
    <row r="2419" spans="1:8" ht="15.75">
      <c r="A2419" s="119"/>
      <c r="B2419" s="88"/>
      <c r="C2419" s="52"/>
      <c r="D2419" s="52"/>
      <c r="E2419" s="52"/>
      <c r="F2419" s="52"/>
      <c r="G2419" s="52"/>
      <c r="H2419" s="52"/>
    </row>
    <row r="2420" spans="1:8" ht="15.75">
      <c r="A2420" s="119"/>
      <c r="B2420" s="88"/>
      <c r="C2420" s="52"/>
      <c r="D2420" s="52"/>
      <c r="E2420" s="52"/>
      <c r="F2420" s="52"/>
      <c r="G2420" s="52"/>
      <c r="H2420" s="52"/>
    </row>
    <row r="2421" spans="1:8" ht="15.75">
      <c r="A2421" s="119"/>
      <c r="B2421" s="88"/>
      <c r="C2421" s="52"/>
      <c r="D2421" s="52"/>
      <c r="E2421" s="52"/>
      <c r="F2421" s="52"/>
      <c r="G2421" s="52"/>
      <c r="H2421" s="52"/>
    </row>
    <row r="2422" spans="1:8" ht="15.75">
      <c r="A2422" s="119"/>
      <c r="B2422" s="88"/>
      <c r="C2422" s="52"/>
      <c r="D2422" s="52"/>
      <c r="E2422" s="52"/>
      <c r="F2422" s="52"/>
      <c r="G2422" s="52"/>
      <c r="H2422" s="52"/>
    </row>
    <row r="2423" spans="1:8" ht="15.75">
      <c r="A2423" s="119"/>
      <c r="B2423" s="88"/>
      <c r="C2423" s="52"/>
      <c r="D2423" s="52"/>
      <c r="E2423" s="52"/>
      <c r="F2423" s="52"/>
      <c r="G2423" s="52"/>
      <c r="H2423" s="52"/>
    </row>
    <row r="2424" spans="1:8" ht="15.75">
      <c r="A2424" s="119"/>
      <c r="B2424" s="88"/>
      <c r="C2424" s="52"/>
      <c r="D2424" s="52"/>
      <c r="E2424" s="52"/>
      <c r="F2424" s="52"/>
      <c r="G2424" s="52"/>
      <c r="H2424" s="52"/>
    </row>
    <row r="2425" spans="1:8" ht="15.75">
      <c r="A2425" s="119"/>
      <c r="B2425" s="88"/>
      <c r="C2425" s="52"/>
      <c r="D2425" s="52"/>
      <c r="E2425" s="52"/>
      <c r="F2425" s="52"/>
      <c r="G2425" s="52"/>
      <c r="H2425" s="52"/>
    </row>
    <row r="2426" spans="1:8" ht="15.75">
      <c r="A2426" s="119"/>
      <c r="B2426" s="88"/>
      <c r="C2426" s="52"/>
      <c r="D2426" s="52"/>
      <c r="E2426" s="52"/>
      <c r="F2426" s="52"/>
      <c r="G2426" s="52"/>
      <c r="H2426" s="52"/>
    </row>
    <row r="2427" spans="1:8" ht="15.75">
      <c r="A2427" s="119"/>
      <c r="B2427" s="88"/>
      <c r="C2427" s="52"/>
      <c r="D2427" s="52"/>
      <c r="E2427" s="52"/>
      <c r="F2427" s="52"/>
      <c r="G2427" s="52"/>
      <c r="H2427" s="52"/>
    </row>
    <row r="2428" spans="1:8" ht="15.75">
      <c r="A2428" s="119"/>
      <c r="B2428" s="88"/>
      <c r="C2428" s="52"/>
      <c r="D2428" s="52"/>
      <c r="E2428" s="52"/>
      <c r="F2428" s="52"/>
      <c r="G2428" s="52"/>
      <c r="H2428" s="52"/>
    </row>
    <row r="2429" spans="1:8" ht="15.75">
      <c r="A2429" s="119"/>
      <c r="B2429" s="88"/>
      <c r="C2429" s="52"/>
      <c r="D2429" s="52"/>
      <c r="E2429" s="52"/>
      <c r="F2429" s="52"/>
      <c r="G2429" s="52"/>
      <c r="H2429" s="52"/>
    </row>
    <row r="2430" spans="1:8" ht="15.75">
      <c r="A2430" s="119"/>
      <c r="B2430" s="88"/>
      <c r="C2430" s="52"/>
      <c r="D2430" s="52"/>
      <c r="E2430" s="52"/>
      <c r="F2430" s="52"/>
      <c r="G2430" s="52"/>
      <c r="H2430" s="52"/>
    </row>
    <row r="2431" spans="1:8" ht="15.75">
      <c r="A2431" s="119"/>
      <c r="B2431" s="88"/>
      <c r="C2431" s="52"/>
      <c r="D2431" s="52"/>
      <c r="E2431" s="52"/>
      <c r="F2431" s="52"/>
      <c r="G2431" s="52"/>
      <c r="H2431" s="52"/>
    </row>
    <row r="2432" spans="1:8" ht="15.75">
      <c r="A2432" s="119"/>
      <c r="B2432" s="88"/>
      <c r="C2432" s="52"/>
      <c r="D2432" s="52"/>
      <c r="E2432" s="52"/>
      <c r="F2432" s="52"/>
      <c r="G2432" s="52"/>
      <c r="H2432" s="52"/>
    </row>
    <row r="2433" spans="1:8" ht="15.75">
      <c r="A2433" s="119"/>
      <c r="B2433" s="88"/>
      <c r="C2433" s="52"/>
      <c r="D2433" s="52"/>
      <c r="E2433" s="52"/>
      <c r="F2433" s="52"/>
      <c r="G2433" s="52"/>
      <c r="H2433" s="52"/>
    </row>
    <row r="2434" spans="1:8" ht="15.75">
      <c r="A2434" s="119"/>
      <c r="B2434" s="88"/>
      <c r="C2434" s="52"/>
      <c r="D2434" s="52"/>
      <c r="E2434" s="52"/>
      <c r="F2434" s="52"/>
      <c r="G2434" s="52"/>
      <c r="H2434" s="52"/>
    </row>
    <row r="2435" spans="1:8" ht="15.75">
      <c r="A2435" s="119"/>
      <c r="B2435" s="88"/>
      <c r="C2435" s="52"/>
      <c r="D2435" s="52"/>
      <c r="E2435" s="52"/>
      <c r="F2435" s="52"/>
      <c r="G2435" s="52"/>
      <c r="H2435" s="52"/>
    </row>
    <row r="2436" spans="1:8" ht="15.75">
      <c r="A2436" s="119"/>
      <c r="B2436" s="88"/>
      <c r="C2436" s="52"/>
      <c r="D2436" s="52"/>
      <c r="E2436" s="52"/>
      <c r="F2436" s="52"/>
      <c r="G2436" s="52"/>
      <c r="H2436" s="52"/>
    </row>
    <row r="2437" spans="1:8" ht="15.75">
      <c r="A2437" s="119"/>
      <c r="B2437" s="88"/>
      <c r="C2437" s="52"/>
      <c r="D2437" s="52"/>
      <c r="E2437" s="52"/>
      <c r="F2437" s="52"/>
      <c r="G2437" s="52"/>
      <c r="H2437" s="52"/>
    </row>
    <row r="2438" spans="1:8" ht="15.75">
      <c r="A2438" s="119"/>
      <c r="B2438" s="88"/>
      <c r="C2438" s="52"/>
      <c r="D2438" s="52"/>
      <c r="E2438" s="52"/>
      <c r="F2438" s="52"/>
      <c r="G2438" s="52"/>
      <c r="H2438" s="52"/>
    </row>
    <row r="2439" spans="1:8" ht="15.75">
      <c r="A2439" s="119"/>
      <c r="B2439" s="88"/>
      <c r="C2439" s="52"/>
      <c r="D2439" s="52"/>
      <c r="E2439" s="52"/>
      <c r="F2439" s="52"/>
      <c r="G2439" s="52"/>
      <c r="H2439" s="52"/>
    </row>
    <row r="2440" spans="1:8" ht="15.75">
      <c r="A2440" s="119"/>
      <c r="B2440" s="88"/>
      <c r="C2440" s="52"/>
      <c r="D2440" s="52"/>
      <c r="E2440" s="52"/>
      <c r="F2440" s="52"/>
      <c r="G2440" s="52"/>
      <c r="H2440" s="52"/>
    </row>
    <row r="2441" spans="1:8" ht="15.75">
      <c r="A2441" s="119"/>
      <c r="B2441" s="88"/>
      <c r="C2441" s="52"/>
      <c r="D2441" s="52"/>
      <c r="E2441" s="52"/>
      <c r="F2441" s="52"/>
      <c r="G2441" s="52"/>
      <c r="H2441" s="52"/>
    </row>
    <row r="2442" spans="1:8" ht="15.75">
      <c r="A2442" s="119"/>
      <c r="B2442" s="88"/>
      <c r="C2442" s="52"/>
      <c r="D2442" s="52"/>
      <c r="E2442" s="52"/>
      <c r="F2442" s="52"/>
      <c r="G2442" s="52"/>
      <c r="H2442" s="52"/>
    </row>
    <row r="2443" spans="1:8" ht="15.75">
      <c r="A2443" s="119"/>
      <c r="B2443" s="88"/>
      <c r="C2443" s="52"/>
      <c r="D2443" s="52"/>
      <c r="E2443" s="52"/>
      <c r="F2443" s="52"/>
      <c r="G2443" s="52"/>
      <c r="H2443" s="52"/>
    </row>
    <row r="2444" spans="1:8" ht="15.75">
      <c r="A2444" s="119"/>
      <c r="B2444" s="88"/>
      <c r="C2444" s="52"/>
      <c r="D2444" s="52"/>
      <c r="E2444" s="52"/>
      <c r="F2444" s="52"/>
      <c r="G2444" s="52"/>
      <c r="H2444" s="52"/>
    </row>
    <row r="2445" spans="1:8" ht="15.75">
      <c r="A2445" s="119"/>
      <c r="B2445" s="88"/>
      <c r="C2445" s="52"/>
      <c r="D2445" s="52"/>
      <c r="E2445" s="52"/>
      <c r="F2445" s="52"/>
      <c r="G2445" s="52"/>
      <c r="H2445" s="52"/>
    </row>
    <row r="2446" spans="1:8" ht="15.75">
      <c r="A2446" s="119"/>
      <c r="B2446" s="88"/>
      <c r="C2446" s="52"/>
      <c r="D2446" s="52"/>
      <c r="E2446" s="52"/>
      <c r="F2446" s="52"/>
      <c r="G2446" s="52"/>
      <c r="H2446" s="52"/>
    </row>
    <row r="2447" spans="1:8" ht="15.75">
      <c r="A2447" s="119"/>
      <c r="B2447" s="88"/>
      <c r="C2447" s="52"/>
      <c r="D2447" s="52"/>
      <c r="E2447" s="52"/>
      <c r="F2447" s="52"/>
      <c r="G2447" s="52"/>
      <c r="H2447" s="52"/>
    </row>
    <row r="2448" spans="1:8" ht="15.75">
      <c r="A2448" s="119"/>
      <c r="B2448" s="88"/>
      <c r="C2448" s="52"/>
      <c r="D2448" s="52"/>
      <c r="E2448" s="52"/>
      <c r="F2448" s="52"/>
      <c r="G2448" s="52"/>
      <c r="H2448" s="52"/>
    </row>
    <row r="2449" spans="1:8" ht="15.75">
      <c r="A2449" s="119"/>
      <c r="B2449" s="88"/>
      <c r="C2449" s="52"/>
      <c r="D2449" s="52"/>
      <c r="E2449" s="52"/>
      <c r="F2449" s="52"/>
      <c r="G2449" s="52"/>
      <c r="H2449" s="52"/>
    </row>
    <row r="2450" spans="1:8" ht="15.75">
      <c r="A2450" s="119"/>
      <c r="B2450" s="88"/>
      <c r="C2450" s="52"/>
      <c r="D2450" s="52"/>
      <c r="E2450" s="52"/>
      <c r="F2450" s="52"/>
      <c r="G2450" s="52"/>
      <c r="H2450" s="52"/>
    </row>
    <row r="2451" spans="1:8" ht="15.75">
      <c r="A2451" s="119"/>
      <c r="B2451" s="88"/>
      <c r="C2451" s="52"/>
      <c r="D2451" s="52"/>
      <c r="E2451" s="52"/>
      <c r="F2451" s="52"/>
      <c r="G2451" s="52"/>
      <c r="H2451" s="52"/>
    </row>
    <row r="2452" spans="1:8" ht="15.75">
      <c r="A2452" s="119"/>
      <c r="B2452" s="88"/>
      <c r="C2452" s="52"/>
      <c r="D2452" s="52"/>
      <c r="E2452" s="52"/>
      <c r="F2452" s="52"/>
      <c r="G2452" s="52"/>
      <c r="H2452" s="52"/>
    </row>
    <row r="2453" spans="1:8" ht="15.75">
      <c r="A2453" s="119"/>
      <c r="B2453" s="88"/>
      <c r="C2453" s="52"/>
      <c r="D2453" s="52"/>
      <c r="E2453" s="52"/>
      <c r="F2453" s="52"/>
      <c r="G2453" s="52"/>
      <c r="H2453" s="52"/>
    </row>
    <row r="2454" spans="1:8" ht="15.75">
      <c r="A2454" s="119"/>
      <c r="B2454" s="88"/>
      <c r="C2454" s="52"/>
      <c r="D2454" s="52"/>
      <c r="E2454" s="52"/>
      <c r="F2454" s="52"/>
      <c r="G2454" s="52"/>
      <c r="H2454" s="52"/>
    </row>
    <row r="2455" spans="1:8" ht="15.75">
      <c r="A2455" s="119"/>
      <c r="B2455" s="88"/>
      <c r="C2455" s="52"/>
      <c r="D2455" s="52"/>
      <c r="E2455" s="52"/>
      <c r="F2455" s="52"/>
      <c r="G2455" s="52"/>
      <c r="H2455" s="52"/>
    </row>
    <row r="2456" spans="1:8" ht="15.75">
      <c r="A2456" s="119"/>
      <c r="B2456" s="88"/>
      <c r="C2456" s="52"/>
      <c r="D2456" s="52"/>
      <c r="E2456" s="52"/>
      <c r="F2456" s="52"/>
      <c r="G2456" s="52"/>
      <c r="H2456" s="52"/>
    </row>
    <row r="2457" spans="1:8" ht="15.75">
      <c r="A2457" s="119"/>
      <c r="B2457" s="88"/>
      <c r="C2457" s="52"/>
      <c r="D2457" s="52"/>
      <c r="E2457" s="52"/>
      <c r="F2457" s="52"/>
      <c r="G2457" s="52"/>
      <c r="H2457" s="52"/>
    </row>
    <row r="2458" spans="1:8" ht="15.75">
      <c r="A2458" s="119"/>
      <c r="B2458" s="88"/>
      <c r="C2458" s="52"/>
      <c r="D2458" s="52"/>
      <c r="E2458" s="52"/>
      <c r="F2458" s="52"/>
      <c r="G2458" s="52"/>
      <c r="H2458" s="52"/>
    </row>
    <row r="2459" spans="1:8" ht="15.75">
      <c r="A2459" s="119"/>
      <c r="B2459" s="88"/>
      <c r="C2459" s="52"/>
      <c r="D2459" s="52"/>
      <c r="E2459" s="52"/>
      <c r="F2459" s="52"/>
      <c r="G2459" s="52"/>
      <c r="H2459" s="52"/>
    </row>
    <row r="2460" spans="1:8" ht="15.75">
      <c r="A2460" s="119"/>
      <c r="B2460" s="88"/>
      <c r="C2460" s="52"/>
      <c r="D2460" s="52"/>
      <c r="E2460" s="52"/>
      <c r="F2460" s="52"/>
      <c r="G2460" s="52"/>
      <c r="H2460" s="52"/>
    </row>
    <row r="2461" spans="1:8" ht="15.75">
      <c r="A2461" s="119"/>
      <c r="B2461" s="88"/>
      <c r="C2461" s="52"/>
      <c r="D2461" s="52"/>
      <c r="E2461" s="52"/>
      <c r="F2461" s="52"/>
      <c r="G2461" s="52"/>
      <c r="H2461" s="52"/>
    </row>
    <row r="2462" spans="1:8" ht="15.75">
      <c r="A2462" s="119"/>
      <c r="B2462" s="88"/>
      <c r="C2462" s="52"/>
      <c r="D2462" s="52"/>
      <c r="E2462" s="52"/>
      <c r="F2462" s="52"/>
      <c r="G2462" s="52"/>
      <c r="H2462" s="52"/>
    </row>
    <row r="2463" spans="1:8" ht="15.75">
      <c r="A2463" s="119"/>
      <c r="B2463" s="88"/>
      <c r="C2463" s="52"/>
      <c r="D2463" s="52"/>
      <c r="E2463" s="52"/>
      <c r="F2463" s="52"/>
      <c r="G2463" s="52"/>
      <c r="H2463" s="52"/>
    </row>
    <row r="2464" spans="1:8" ht="15.75">
      <c r="A2464" s="119"/>
      <c r="B2464" s="88"/>
      <c r="C2464" s="52"/>
      <c r="D2464" s="52"/>
      <c r="E2464" s="52"/>
      <c r="F2464" s="52"/>
      <c r="G2464" s="52"/>
      <c r="H2464" s="52"/>
    </row>
    <row r="2465" spans="1:8" ht="15.75">
      <c r="A2465" s="119"/>
      <c r="B2465" s="88"/>
      <c r="C2465" s="52"/>
      <c r="D2465" s="52"/>
      <c r="E2465" s="52"/>
      <c r="F2465" s="52"/>
      <c r="G2465" s="52"/>
      <c r="H2465" s="52"/>
    </row>
    <row r="2466" spans="1:8" ht="15.75">
      <c r="A2466" s="119"/>
      <c r="B2466" s="88"/>
      <c r="C2466" s="52"/>
      <c r="D2466" s="52"/>
      <c r="E2466" s="52"/>
      <c r="F2466" s="52"/>
      <c r="G2466" s="52"/>
      <c r="H2466" s="52"/>
    </row>
    <row r="2467" spans="1:8" ht="15.75">
      <c r="A2467" s="119"/>
      <c r="B2467" s="88"/>
      <c r="C2467" s="52"/>
      <c r="D2467" s="52"/>
      <c r="E2467" s="52"/>
      <c r="F2467" s="52"/>
      <c r="G2467" s="52"/>
      <c r="H2467" s="52"/>
    </row>
    <row r="2468" spans="1:8" ht="15.75">
      <c r="A2468" s="119"/>
      <c r="B2468" s="88"/>
      <c r="C2468" s="52"/>
      <c r="D2468" s="52"/>
      <c r="E2468" s="52"/>
      <c r="F2468" s="52"/>
      <c r="G2468" s="52"/>
      <c r="H2468" s="52"/>
    </row>
    <row r="2469" spans="1:8" ht="15.75">
      <c r="A2469" s="119"/>
      <c r="B2469" s="88"/>
      <c r="C2469" s="52"/>
      <c r="D2469" s="52"/>
      <c r="E2469" s="52"/>
      <c r="F2469" s="52"/>
      <c r="G2469" s="52"/>
      <c r="H2469" s="52"/>
    </row>
    <row r="2470" spans="1:8" ht="15.75">
      <c r="A2470" s="119"/>
      <c r="B2470" s="88"/>
      <c r="C2470" s="52"/>
      <c r="D2470" s="52"/>
      <c r="E2470" s="52"/>
      <c r="F2470" s="52"/>
      <c r="G2470" s="52"/>
      <c r="H2470" s="52"/>
    </row>
    <row r="2471" spans="1:8" ht="15.75">
      <c r="A2471" s="119"/>
      <c r="B2471" s="88"/>
      <c r="C2471" s="52"/>
      <c r="D2471" s="52"/>
      <c r="E2471" s="52"/>
      <c r="F2471" s="52"/>
      <c r="G2471" s="52"/>
      <c r="H2471" s="52"/>
    </row>
    <row r="2472" spans="1:8" ht="15.75">
      <c r="A2472" s="119"/>
      <c r="B2472" s="88"/>
      <c r="C2472" s="52"/>
      <c r="D2472" s="52"/>
      <c r="E2472" s="52"/>
      <c r="F2472" s="52"/>
      <c r="G2472" s="52"/>
      <c r="H2472" s="52"/>
    </row>
    <row r="2473" spans="1:8" ht="15.75">
      <c r="A2473" s="119"/>
      <c r="B2473" s="88"/>
      <c r="C2473" s="52"/>
      <c r="D2473" s="52"/>
      <c r="E2473" s="52"/>
      <c r="F2473" s="52"/>
      <c r="G2473" s="52"/>
      <c r="H2473" s="52"/>
    </row>
    <row r="2474" spans="1:8" ht="15.75">
      <c r="A2474" s="119"/>
      <c r="B2474" s="88"/>
      <c r="C2474" s="52"/>
      <c r="D2474" s="52"/>
      <c r="E2474" s="52"/>
      <c r="F2474" s="52"/>
      <c r="G2474" s="52"/>
      <c r="H2474" s="52"/>
    </row>
    <row r="2475" spans="1:8" ht="15.75">
      <c r="A2475" s="119"/>
      <c r="B2475" s="88"/>
      <c r="C2475" s="52"/>
      <c r="D2475" s="52"/>
      <c r="E2475" s="52"/>
      <c r="F2475" s="52"/>
      <c r="G2475" s="52"/>
      <c r="H2475" s="52"/>
    </row>
    <row r="2476" spans="1:8" ht="15.75">
      <c r="A2476" s="119"/>
      <c r="B2476" s="88"/>
      <c r="C2476" s="52"/>
      <c r="D2476" s="52"/>
      <c r="E2476" s="52"/>
      <c r="F2476" s="52"/>
      <c r="G2476" s="52"/>
      <c r="H2476" s="52"/>
    </row>
    <row r="2477" spans="1:8" ht="15.75">
      <c r="A2477" s="119"/>
      <c r="B2477" s="88"/>
      <c r="C2477" s="52"/>
      <c r="D2477" s="52"/>
      <c r="E2477" s="52"/>
      <c r="F2477" s="52"/>
      <c r="G2477" s="52"/>
      <c r="H2477" s="52"/>
    </row>
    <row r="2478" spans="1:8" ht="15.75">
      <c r="A2478" s="119"/>
      <c r="B2478" s="88"/>
      <c r="C2478" s="52"/>
      <c r="D2478" s="52"/>
      <c r="E2478" s="52"/>
      <c r="F2478" s="52"/>
      <c r="G2478" s="52"/>
      <c r="H2478" s="52"/>
    </row>
    <row r="2479" spans="1:8" ht="15.75">
      <c r="A2479" s="119"/>
      <c r="B2479" s="88"/>
      <c r="C2479" s="52"/>
      <c r="D2479" s="52"/>
      <c r="E2479" s="52"/>
      <c r="F2479" s="52"/>
      <c r="G2479" s="52"/>
      <c r="H2479" s="52"/>
    </row>
    <row r="2480" spans="1:8" ht="15.75">
      <c r="A2480" s="119"/>
      <c r="B2480" s="88"/>
      <c r="C2480" s="52"/>
      <c r="D2480" s="52"/>
      <c r="E2480" s="52"/>
      <c r="F2480" s="52"/>
      <c r="G2480" s="52"/>
      <c r="H2480" s="52"/>
    </row>
    <row r="2481" spans="1:8" ht="15.75">
      <c r="A2481" s="119"/>
      <c r="B2481" s="88"/>
      <c r="C2481" s="52"/>
      <c r="D2481" s="52"/>
      <c r="E2481" s="52"/>
      <c r="F2481" s="52"/>
      <c r="G2481" s="52"/>
      <c r="H2481" s="52"/>
    </row>
    <row r="2482" spans="1:8" ht="15.75">
      <c r="A2482" s="119"/>
      <c r="B2482" s="88"/>
      <c r="C2482" s="52"/>
      <c r="D2482" s="52"/>
      <c r="E2482" s="52"/>
      <c r="F2482" s="52"/>
      <c r="G2482" s="52"/>
      <c r="H2482" s="52"/>
    </row>
    <row r="2483" spans="1:8" ht="15.75">
      <c r="A2483" s="119"/>
      <c r="B2483" s="88"/>
      <c r="C2483" s="52"/>
      <c r="D2483" s="52"/>
      <c r="E2483" s="52"/>
      <c r="F2483" s="52"/>
      <c r="G2483" s="52"/>
      <c r="H2483" s="52"/>
    </row>
    <row r="2484" spans="1:8" ht="15.75">
      <c r="A2484" s="119"/>
      <c r="B2484" s="88"/>
      <c r="C2484" s="52"/>
      <c r="D2484" s="52"/>
      <c r="E2484" s="52"/>
      <c r="F2484" s="52"/>
      <c r="G2484" s="52"/>
      <c r="H2484" s="52"/>
    </row>
    <row r="2485" spans="1:8" ht="15.75">
      <c r="A2485" s="119"/>
      <c r="B2485" s="88"/>
      <c r="C2485" s="52"/>
      <c r="D2485" s="52"/>
      <c r="E2485" s="52"/>
      <c r="F2485" s="52"/>
      <c r="G2485" s="52"/>
      <c r="H2485" s="52"/>
    </row>
    <row r="2486" spans="1:8" ht="15.75">
      <c r="A2486" s="119"/>
      <c r="B2486" s="88"/>
      <c r="C2486" s="52"/>
      <c r="D2486" s="52"/>
      <c r="E2486" s="52"/>
      <c r="F2486" s="52"/>
      <c r="G2486" s="52"/>
      <c r="H2486" s="52"/>
    </row>
    <row r="2487" spans="1:8" ht="15.75">
      <c r="A2487" s="119"/>
      <c r="B2487" s="88"/>
      <c r="C2487" s="52"/>
      <c r="D2487" s="52"/>
      <c r="E2487" s="52"/>
      <c r="F2487" s="52"/>
      <c r="G2487" s="52"/>
      <c r="H2487" s="52"/>
    </row>
    <row r="2488" spans="1:8" ht="15.75">
      <c r="A2488" s="119"/>
      <c r="B2488" s="88"/>
      <c r="C2488" s="52"/>
      <c r="D2488" s="52"/>
      <c r="E2488" s="52"/>
      <c r="F2488" s="52"/>
      <c r="G2488" s="52"/>
      <c r="H2488" s="52"/>
    </row>
    <row r="2489" spans="1:8" ht="15.75">
      <c r="A2489" s="119"/>
      <c r="B2489" s="88"/>
      <c r="C2489" s="52"/>
      <c r="D2489" s="52"/>
      <c r="E2489" s="52"/>
      <c r="F2489" s="52"/>
      <c r="G2489" s="52"/>
      <c r="H2489" s="52"/>
    </row>
    <row r="2490" spans="1:8" ht="15.75">
      <c r="A2490" s="119"/>
      <c r="B2490" s="88"/>
      <c r="C2490" s="52"/>
      <c r="D2490" s="52"/>
      <c r="E2490" s="52"/>
      <c r="F2490" s="52"/>
      <c r="G2490" s="52"/>
      <c r="H2490" s="52"/>
    </row>
    <row r="2491" spans="1:8" ht="15.75">
      <c r="A2491" s="119"/>
      <c r="B2491" s="88"/>
      <c r="C2491" s="52"/>
      <c r="D2491" s="52"/>
      <c r="E2491" s="52"/>
      <c r="F2491" s="52"/>
      <c r="G2491" s="52"/>
      <c r="H2491" s="52"/>
    </row>
    <row r="2492" spans="1:8" ht="15.75">
      <c r="A2492" s="119"/>
      <c r="B2492" s="88"/>
      <c r="C2492" s="52"/>
      <c r="D2492" s="52"/>
      <c r="E2492" s="52"/>
      <c r="F2492" s="52"/>
      <c r="G2492" s="52"/>
      <c r="H2492" s="52"/>
    </row>
    <row r="2493" spans="1:8" ht="15.75">
      <c r="A2493" s="119"/>
      <c r="B2493" s="88"/>
      <c r="C2493" s="52"/>
      <c r="D2493" s="52"/>
      <c r="E2493" s="52"/>
      <c r="F2493" s="52"/>
      <c r="G2493" s="52"/>
      <c r="H2493" s="52"/>
    </row>
    <row r="2494" spans="1:8" ht="15.75">
      <c r="A2494" s="119"/>
      <c r="B2494" s="88"/>
      <c r="C2494" s="52"/>
      <c r="D2494" s="52"/>
      <c r="E2494" s="52"/>
      <c r="F2494" s="52"/>
      <c r="G2494" s="52"/>
      <c r="H2494" s="52"/>
    </row>
    <row r="2495" spans="1:8" ht="15.75">
      <c r="A2495" s="119"/>
      <c r="B2495" s="88"/>
      <c r="C2495" s="52"/>
      <c r="D2495" s="52"/>
      <c r="E2495" s="52"/>
      <c r="F2495" s="52"/>
      <c r="G2495" s="52"/>
      <c r="H2495" s="52"/>
    </row>
    <row r="2496" spans="1:8" ht="15.75">
      <c r="A2496" s="119"/>
      <c r="B2496" s="88"/>
      <c r="C2496" s="52"/>
      <c r="D2496" s="52"/>
      <c r="E2496" s="52"/>
      <c r="F2496" s="52"/>
      <c r="G2496" s="52"/>
      <c r="H2496" s="52"/>
    </row>
    <row r="2497" spans="1:8" ht="15.75">
      <c r="A2497" s="119"/>
      <c r="B2497" s="88"/>
      <c r="C2497" s="52"/>
      <c r="D2497" s="52"/>
      <c r="E2497" s="52"/>
      <c r="F2497" s="52"/>
      <c r="G2497" s="52"/>
      <c r="H2497" s="52"/>
    </row>
    <row r="2498" spans="1:8" ht="15.75">
      <c r="A2498" s="119"/>
      <c r="B2498" s="88"/>
      <c r="C2498" s="52"/>
      <c r="D2498" s="52"/>
      <c r="E2498" s="52"/>
      <c r="F2498" s="52"/>
      <c r="G2498" s="52"/>
      <c r="H2498" s="52"/>
    </row>
    <row r="2499" spans="1:8" ht="15.75">
      <c r="A2499" s="119"/>
      <c r="B2499" s="88"/>
      <c r="C2499" s="52"/>
      <c r="D2499" s="52"/>
      <c r="E2499" s="52"/>
      <c r="F2499" s="52"/>
      <c r="G2499" s="52"/>
      <c r="H2499" s="52"/>
    </row>
    <row r="2500" spans="1:8" ht="15.75">
      <c r="A2500" s="119"/>
      <c r="B2500" s="88"/>
      <c r="C2500" s="52"/>
      <c r="D2500" s="52"/>
      <c r="E2500" s="52"/>
      <c r="F2500" s="52"/>
      <c r="G2500" s="52"/>
      <c r="H2500" s="52"/>
    </row>
    <row r="2501" spans="1:8" ht="15.75">
      <c r="A2501" s="119"/>
      <c r="B2501" s="88"/>
      <c r="C2501" s="52"/>
      <c r="D2501" s="52"/>
      <c r="E2501" s="52"/>
      <c r="F2501" s="52"/>
      <c r="G2501" s="52"/>
      <c r="H2501" s="52"/>
    </row>
    <row r="2502" spans="1:8" ht="15.75">
      <c r="A2502" s="119"/>
      <c r="B2502" s="88"/>
      <c r="C2502" s="52"/>
      <c r="D2502" s="52"/>
      <c r="E2502" s="52"/>
      <c r="F2502" s="52"/>
      <c r="G2502" s="52"/>
      <c r="H2502" s="52"/>
    </row>
    <row r="2503" spans="1:8" ht="15.75">
      <c r="A2503" s="119"/>
      <c r="B2503" s="88"/>
      <c r="C2503" s="52"/>
      <c r="D2503" s="52"/>
      <c r="E2503" s="52"/>
      <c r="F2503" s="52"/>
      <c r="G2503" s="52"/>
      <c r="H2503" s="52"/>
    </row>
    <row r="2504" spans="1:8" ht="15.75">
      <c r="A2504" s="119"/>
      <c r="B2504" s="88"/>
      <c r="C2504" s="52"/>
      <c r="D2504" s="52"/>
      <c r="E2504" s="52"/>
      <c r="F2504" s="52"/>
      <c r="G2504" s="52"/>
      <c r="H2504" s="52"/>
    </row>
    <row r="2505" spans="1:8" ht="15.75">
      <c r="A2505" s="119"/>
      <c r="B2505" s="88"/>
      <c r="C2505" s="52"/>
      <c r="D2505" s="52"/>
      <c r="E2505" s="52"/>
      <c r="F2505" s="52"/>
      <c r="G2505" s="52"/>
      <c r="H2505" s="52"/>
    </row>
    <row r="2506" spans="1:8" ht="15.75">
      <c r="A2506" s="119"/>
      <c r="B2506" s="88"/>
      <c r="C2506" s="52"/>
      <c r="D2506" s="52"/>
      <c r="E2506" s="52"/>
      <c r="F2506" s="52"/>
      <c r="G2506" s="52"/>
      <c r="H2506" s="52"/>
    </row>
    <row r="2507" spans="1:8" ht="15.75">
      <c r="A2507" s="119"/>
      <c r="B2507" s="88"/>
      <c r="C2507" s="52"/>
      <c r="D2507" s="52"/>
      <c r="E2507" s="52"/>
      <c r="F2507" s="52"/>
      <c r="G2507" s="52"/>
      <c r="H2507" s="52"/>
    </row>
    <row r="2508" spans="1:8" ht="15.75">
      <c r="A2508" s="119"/>
      <c r="B2508" s="88"/>
      <c r="C2508" s="52"/>
      <c r="D2508" s="52"/>
      <c r="E2508" s="52"/>
      <c r="F2508" s="52"/>
      <c r="G2508" s="52"/>
      <c r="H2508" s="52"/>
    </row>
    <row r="2509" spans="1:8" ht="15.75">
      <c r="A2509" s="119"/>
      <c r="B2509" s="88"/>
      <c r="C2509" s="52"/>
      <c r="D2509" s="52"/>
      <c r="E2509" s="52"/>
      <c r="F2509" s="52"/>
      <c r="G2509" s="52"/>
      <c r="H2509" s="52"/>
    </row>
    <row r="2510" spans="1:8" ht="15.75">
      <c r="A2510" s="119"/>
      <c r="B2510" s="88"/>
      <c r="C2510" s="52"/>
      <c r="D2510" s="52"/>
      <c r="E2510" s="52"/>
      <c r="F2510" s="52"/>
      <c r="G2510" s="52"/>
      <c r="H2510" s="52"/>
    </row>
    <row r="2511" spans="1:8" ht="15.75">
      <c r="A2511" s="119"/>
      <c r="B2511" s="88"/>
      <c r="C2511" s="52"/>
      <c r="D2511" s="52"/>
      <c r="E2511" s="52"/>
      <c r="F2511" s="52"/>
      <c r="G2511" s="52"/>
      <c r="H2511" s="52"/>
    </row>
    <row r="2512" spans="1:8" ht="15.75">
      <c r="A2512" s="119"/>
      <c r="B2512" s="88"/>
      <c r="C2512" s="52"/>
      <c r="D2512" s="52"/>
      <c r="E2512" s="52"/>
      <c r="F2512" s="52"/>
      <c r="G2512" s="52"/>
      <c r="H2512" s="52"/>
    </row>
    <row r="2513" spans="1:8" ht="15.75">
      <c r="A2513" s="119"/>
      <c r="B2513" s="88"/>
      <c r="C2513" s="52"/>
      <c r="D2513" s="52"/>
      <c r="E2513" s="52"/>
      <c r="F2513" s="52"/>
      <c r="G2513" s="52"/>
      <c r="H2513" s="52"/>
    </row>
    <row r="2514" spans="1:8" ht="15.75">
      <c r="A2514" s="119"/>
      <c r="B2514" s="88"/>
      <c r="C2514" s="52"/>
      <c r="D2514" s="52"/>
      <c r="E2514" s="52"/>
      <c r="F2514" s="52"/>
      <c r="G2514" s="52"/>
      <c r="H2514" s="52"/>
    </row>
    <row r="2515" spans="1:8" ht="15.75">
      <c r="A2515" s="119"/>
      <c r="B2515" s="88"/>
      <c r="C2515" s="52"/>
      <c r="D2515" s="52"/>
      <c r="E2515" s="52"/>
      <c r="F2515" s="52"/>
      <c r="G2515" s="52"/>
      <c r="H2515" s="52"/>
    </row>
    <row r="2516" spans="1:8" ht="15.75">
      <c r="A2516" s="119"/>
      <c r="B2516" s="88"/>
      <c r="C2516" s="52"/>
      <c r="D2516" s="52"/>
      <c r="E2516" s="52"/>
      <c r="F2516" s="52"/>
      <c r="G2516" s="52"/>
      <c r="H2516" s="52"/>
    </row>
    <row r="2517" spans="1:8" ht="15.75">
      <c r="A2517" s="119"/>
      <c r="B2517" s="88"/>
      <c r="C2517" s="52"/>
      <c r="D2517" s="52"/>
      <c r="E2517" s="52"/>
      <c r="F2517" s="52"/>
      <c r="G2517" s="52"/>
      <c r="H2517" s="52"/>
    </row>
    <row r="2518" spans="1:8" ht="15.75">
      <c r="A2518" s="119"/>
      <c r="B2518" s="88"/>
      <c r="C2518" s="52"/>
      <c r="D2518" s="52"/>
      <c r="E2518" s="52"/>
      <c r="F2518" s="52"/>
      <c r="G2518" s="52"/>
      <c r="H2518" s="52"/>
    </row>
    <row r="2519" spans="1:8" ht="15.75">
      <c r="A2519" s="119"/>
      <c r="B2519" s="88"/>
      <c r="C2519" s="52"/>
      <c r="D2519" s="52"/>
      <c r="E2519" s="52"/>
      <c r="F2519" s="52"/>
      <c r="G2519" s="52"/>
      <c r="H2519" s="52"/>
    </row>
    <row r="2520" spans="1:8" ht="15.75">
      <c r="A2520" s="119"/>
      <c r="B2520" s="88"/>
      <c r="C2520" s="52"/>
      <c r="D2520" s="52"/>
      <c r="E2520" s="52"/>
      <c r="F2520" s="52"/>
      <c r="G2520" s="52"/>
      <c r="H2520" s="52"/>
    </row>
    <row r="2521" spans="1:8" ht="15.75">
      <c r="A2521" s="119"/>
      <c r="B2521" s="88"/>
      <c r="C2521" s="52"/>
      <c r="D2521" s="52"/>
      <c r="E2521" s="52"/>
      <c r="F2521" s="52"/>
      <c r="G2521" s="52"/>
      <c r="H2521" s="52"/>
    </row>
    <row r="2522" spans="1:8" ht="15.75">
      <c r="A2522" s="119"/>
      <c r="B2522" s="88"/>
      <c r="C2522" s="52"/>
      <c r="D2522" s="52"/>
      <c r="E2522" s="52"/>
      <c r="F2522" s="52"/>
      <c r="G2522" s="52"/>
      <c r="H2522" s="52"/>
    </row>
    <row r="2523" spans="1:8" ht="15.75">
      <c r="A2523" s="119"/>
      <c r="B2523" s="88"/>
      <c r="C2523" s="52"/>
      <c r="D2523" s="52"/>
      <c r="E2523" s="52"/>
      <c r="F2523" s="52"/>
      <c r="G2523" s="52"/>
      <c r="H2523" s="52"/>
    </row>
    <row r="2524" spans="1:8" ht="15.75">
      <c r="A2524" s="119"/>
      <c r="B2524" s="88"/>
      <c r="C2524" s="52"/>
      <c r="D2524" s="52"/>
      <c r="E2524" s="52"/>
      <c r="F2524" s="52"/>
      <c r="G2524" s="52"/>
      <c r="H2524" s="52"/>
    </row>
    <row r="2525" spans="1:8" ht="15.75">
      <c r="A2525" s="119"/>
      <c r="B2525" s="88"/>
      <c r="C2525" s="52"/>
      <c r="D2525" s="52"/>
      <c r="E2525" s="52"/>
      <c r="F2525" s="52"/>
      <c r="G2525" s="52"/>
      <c r="H2525" s="52"/>
    </row>
    <row r="2526" spans="1:8" ht="15.75">
      <c r="A2526" s="119"/>
      <c r="B2526" s="88"/>
      <c r="C2526" s="52"/>
      <c r="D2526" s="52"/>
      <c r="E2526" s="52"/>
      <c r="F2526" s="52"/>
      <c r="G2526" s="52"/>
      <c r="H2526" s="52"/>
    </row>
    <row r="2527" spans="1:8" ht="15.75">
      <c r="A2527" s="119"/>
      <c r="B2527" s="88"/>
      <c r="C2527" s="52"/>
      <c r="D2527" s="52"/>
      <c r="E2527" s="52"/>
      <c r="F2527" s="52"/>
      <c r="G2527" s="52"/>
      <c r="H2527" s="52"/>
    </row>
    <row r="2528" spans="1:8" ht="15.75">
      <c r="A2528" s="119"/>
      <c r="B2528" s="88"/>
      <c r="C2528" s="52"/>
      <c r="D2528" s="52"/>
      <c r="E2528" s="52"/>
      <c r="F2528" s="52"/>
      <c r="G2528" s="52"/>
      <c r="H2528" s="52"/>
    </row>
    <row r="2529" spans="1:8" ht="15.75">
      <c r="A2529" s="119"/>
      <c r="B2529" s="88"/>
      <c r="C2529" s="52"/>
      <c r="D2529" s="52"/>
      <c r="E2529" s="52"/>
      <c r="F2529" s="52"/>
      <c r="G2529" s="52"/>
      <c r="H2529" s="52"/>
    </row>
    <row r="2530" spans="1:8" ht="15.75">
      <c r="A2530" s="119"/>
      <c r="B2530" s="88"/>
      <c r="C2530" s="52"/>
      <c r="D2530" s="52"/>
      <c r="E2530" s="52"/>
      <c r="F2530" s="52"/>
      <c r="G2530" s="52"/>
      <c r="H2530" s="52"/>
    </row>
    <row r="2531" spans="1:8" ht="15.75">
      <c r="A2531" s="119"/>
      <c r="B2531" s="88"/>
      <c r="C2531" s="52"/>
      <c r="D2531" s="52"/>
      <c r="E2531" s="52"/>
      <c r="F2531" s="52"/>
      <c r="G2531" s="52"/>
      <c r="H2531" s="52"/>
    </row>
    <row r="2532" spans="1:8" ht="15.75">
      <c r="A2532" s="119"/>
      <c r="B2532" s="88"/>
      <c r="C2532" s="52"/>
      <c r="D2532" s="52"/>
      <c r="E2532" s="52"/>
      <c r="F2532" s="52"/>
      <c r="G2532" s="52"/>
      <c r="H2532" s="52"/>
    </row>
    <row r="2533" spans="1:8" ht="15.75">
      <c r="A2533" s="119"/>
      <c r="B2533" s="88"/>
      <c r="C2533" s="52"/>
      <c r="D2533" s="52"/>
      <c r="E2533" s="52"/>
      <c r="F2533" s="52"/>
      <c r="G2533" s="52"/>
      <c r="H2533" s="52"/>
    </row>
    <row r="2534" spans="1:8" ht="15.75">
      <c r="A2534" s="119"/>
      <c r="B2534" s="88"/>
      <c r="C2534" s="52"/>
      <c r="D2534" s="52"/>
      <c r="E2534" s="52"/>
      <c r="F2534" s="52"/>
      <c r="G2534" s="52"/>
      <c r="H2534" s="52"/>
    </row>
    <row r="2535" spans="1:8" ht="15.75">
      <c r="A2535" s="119"/>
      <c r="B2535" s="88"/>
      <c r="C2535" s="52"/>
      <c r="D2535" s="52"/>
      <c r="E2535" s="52"/>
      <c r="F2535" s="52"/>
      <c r="G2535" s="52"/>
      <c r="H2535" s="52"/>
    </row>
    <row r="2536" spans="1:8" ht="15.75">
      <c r="A2536" s="119"/>
      <c r="B2536" s="88"/>
      <c r="C2536" s="52"/>
      <c r="D2536" s="52"/>
      <c r="E2536" s="52"/>
      <c r="F2536" s="52"/>
      <c r="G2536" s="52"/>
      <c r="H2536" s="52"/>
    </row>
    <row r="2537" spans="1:8" ht="15.75">
      <c r="A2537" s="119"/>
      <c r="B2537" s="88"/>
      <c r="C2537" s="52"/>
      <c r="D2537" s="52"/>
      <c r="E2537" s="52"/>
      <c r="F2537" s="52"/>
      <c r="G2537" s="52"/>
      <c r="H2537" s="52"/>
    </row>
    <row r="2538" spans="1:8" ht="15.75">
      <c r="A2538" s="119"/>
      <c r="B2538" s="88"/>
      <c r="C2538" s="52"/>
      <c r="D2538" s="52"/>
      <c r="E2538" s="52"/>
      <c r="F2538" s="52"/>
      <c r="G2538" s="52"/>
      <c r="H2538" s="52"/>
    </row>
    <row r="2539" spans="1:8" ht="15.75">
      <c r="A2539" s="119"/>
      <c r="B2539" s="88"/>
      <c r="C2539" s="52"/>
      <c r="D2539" s="52"/>
      <c r="E2539" s="52"/>
      <c r="F2539" s="52"/>
      <c r="G2539" s="52"/>
      <c r="H2539" s="52"/>
    </row>
    <row r="2540" spans="1:8" ht="15.75">
      <c r="A2540" s="119"/>
      <c r="B2540" s="88"/>
      <c r="C2540" s="52"/>
      <c r="D2540" s="52"/>
      <c r="E2540" s="52"/>
      <c r="F2540" s="52"/>
      <c r="G2540" s="52"/>
      <c r="H2540" s="52"/>
    </row>
    <row r="2541" spans="1:8" ht="15.75">
      <c r="A2541" s="119"/>
      <c r="B2541" s="88"/>
      <c r="C2541" s="52"/>
      <c r="D2541" s="52"/>
      <c r="E2541" s="52"/>
      <c r="F2541" s="52"/>
      <c r="G2541" s="52"/>
      <c r="H2541" s="52"/>
    </row>
    <row r="2542" spans="1:8" ht="15.75">
      <c r="A2542" s="119"/>
      <c r="B2542" s="88"/>
      <c r="C2542" s="52"/>
      <c r="D2542" s="52"/>
      <c r="E2542" s="52"/>
      <c r="F2542" s="52"/>
      <c r="G2542" s="52"/>
      <c r="H2542" s="52"/>
    </row>
    <row r="2543" spans="1:8" ht="15.75">
      <c r="A2543" s="119"/>
      <c r="B2543" s="88"/>
      <c r="C2543" s="52"/>
      <c r="D2543" s="52"/>
      <c r="E2543" s="52"/>
      <c r="F2543" s="52"/>
      <c r="G2543" s="52"/>
      <c r="H2543" s="52"/>
    </row>
    <row r="2544" spans="1:8" ht="15.75">
      <c r="A2544" s="119"/>
      <c r="B2544" s="88"/>
      <c r="C2544" s="52"/>
      <c r="D2544" s="52"/>
      <c r="E2544" s="52"/>
      <c r="F2544" s="52"/>
      <c r="G2544" s="52"/>
      <c r="H2544" s="52"/>
    </row>
    <row r="2545" spans="1:8" ht="15.75">
      <c r="A2545" s="119"/>
      <c r="B2545" s="88"/>
      <c r="C2545" s="52"/>
      <c r="D2545" s="52"/>
      <c r="E2545" s="52"/>
      <c r="F2545" s="52"/>
      <c r="G2545" s="52"/>
      <c r="H2545" s="52"/>
    </row>
    <row r="2546" spans="1:8" ht="15.75">
      <c r="A2546" s="119"/>
      <c r="B2546" s="88"/>
      <c r="C2546" s="52"/>
      <c r="D2546" s="52"/>
      <c r="E2546" s="52"/>
      <c r="F2546" s="52"/>
      <c r="G2546" s="52"/>
      <c r="H2546" s="52"/>
    </row>
    <row r="2547" spans="1:8" ht="15.75">
      <c r="A2547" s="119"/>
      <c r="B2547" s="88"/>
      <c r="C2547" s="52"/>
      <c r="D2547" s="52"/>
      <c r="E2547" s="52"/>
      <c r="F2547" s="52"/>
      <c r="G2547" s="52"/>
      <c r="H2547" s="52"/>
    </row>
    <row r="2548" spans="1:8" ht="15.75">
      <c r="A2548" s="119"/>
      <c r="B2548" s="88"/>
      <c r="C2548" s="52"/>
      <c r="D2548" s="52"/>
      <c r="E2548" s="52"/>
      <c r="F2548" s="52"/>
      <c r="G2548" s="52"/>
      <c r="H2548" s="52"/>
    </row>
    <row r="2549" spans="1:8" ht="15.75">
      <c r="A2549" s="119"/>
      <c r="B2549" s="88"/>
      <c r="C2549" s="52"/>
      <c r="D2549" s="52"/>
      <c r="E2549" s="52"/>
      <c r="F2549" s="52"/>
      <c r="G2549" s="52"/>
      <c r="H2549" s="52"/>
    </row>
    <row r="2550" spans="1:8" ht="15.75">
      <c r="A2550" s="119"/>
      <c r="B2550" s="88"/>
      <c r="C2550" s="52"/>
      <c r="D2550" s="52"/>
      <c r="E2550" s="52"/>
      <c r="F2550" s="52"/>
      <c r="G2550" s="52"/>
      <c r="H2550" s="52"/>
    </row>
    <row r="2551" spans="1:8" ht="15.75">
      <c r="A2551" s="119"/>
      <c r="B2551" s="88"/>
      <c r="C2551" s="52"/>
      <c r="D2551" s="52"/>
      <c r="E2551" s="52"/>
      <c r="F2551" s="52"/>
      <c r="G2551" s="52"/>
      <c r="H2551" s="52"/>
    </row>
    <row r="2552" spans="1:8" ht="15.75">
      <c r="A2552" s="119"/>
      <c r="B2552" s="88"/>
      <c r="C2552" s="52"/>
      <c r="D2552" s="52"/>
      <c r="E2552" s="52"/>
      <c r="F2552" s="52"/>
      <c r="G2552" s="52"/>
      <c r="H2552" s="52"/>
    </row>
    <row r="2553" spans="1:8" ht="15.75">
      <c r="A2553" s="119"/>
      <c r="B2553" s="88"/>
      <c r="C2553" s="52"/>
      <c r="D2553" s="52"/>
      <c r="E2553" s="52"/>
      <c r="F2553" s="52"/>
      <c r="G2553" s="52"/>
      <c r="H2553" s="52"/>
    </row>
    <row r="2554" spans="1:8" ht="15.75">
      <c r="A2554" s="119"/>
      <c r="B2554" s="88"/>
      <c r="C2554" s="52"/>
      <c r="D2554" s="52"/>
      <c r="E2554" s="52"/>
      <c r="F2554" s="52"/>
      <c r="G2554" s="52"/>
      <c r="H2554" s="52"/>
    </row>
    <row r="2555" spans="1:8" ht="15.75">
      <c r="A2555" s="119"/>
      <c r="B2555" s="88"/>
      <c r="C2555" s="52"/>
      <c r="D2555" s="52"/>
      <c r="E2555" s="52"/>
      <c r="F2555" s="52"/>
      <c r="G2555" s="52"/>
      <c r="H2555" s="52"/>
    </row>
    <row r="2556" spans="1:8" ht="15.75">
      <c r="A2556" s="119"/>
      <c r="B2556" s="88"/>
      <c r="C2556" s="52"/>
      <c r="D2556" s="52"/>
      <c r="E2556" s="52"/>
      <c r="F2556" s="52"/>
      <c r="G2556" s="52"/>
      <c r="H2556" s="52"/>
    </row>
    <row r="2557" spans="1:8" ht="15.75">
      <c r="A2557" s="119"/>
      <c r="B2557" s="88"/>
      <c r="C2557" s="52"/>
      <c r="D2557" s="52"/>
      <c r="E2557" s="52"/>
      <c r="F2557" s="52"/>
      <c r="G2557" s="52"/>
      <c r="H2557" s="52"/>
    </row>
    <row r="2558" spans="1:8" ht="15.75">
      <c r="A2558" s="119"/>
      <c r="B2558" s="88"/>
      <c r="C2558" s="52"/>
      <c r="D2558" s="52"/>
      <c r="E2558" s="52"/>
      <c r="F2558" s="52"/>
      <c r="G2558" s="52"/>
      <c r="H2558" s="52"/>
    </row>
    <row r="2559" spans="1:8" ht="15.75">
      <c r="A2559" s="119"/>
      <c r="B2559" s="88"/>
      <c r="C2559" s="52"/>
      <c r="D2559" s="52"/>
      <c r="E2559" s="52"/>
      <c r="F2559" s="52"/>
      <c r="G2559" s="52"/>
      <c r="H2559" s="52"/>
    </row>
    <row r="2560" spans="1:8" ht="15.75">
      <c r="A2560" s="119"/>
      <c r="B2560" s="88"/>
      <c r="C2560" s="52"/>
      <c r="D2560" s="52"/>
      <c r="E2560" s="52"/>
      <c r="F2560" s="52"/>
      <c r="G2560" s="52"/>
      <c r="H2560" s="52"/>
    </row>
    <row r="2561" spans="1:8" ht="15.75">
      <c r="A2561" s="119"/>
      <c r="B2561" s="88"/>
      <c r="C2561" s="52"/>
      <c r="D2561" s="52"/>
      <c r="E2561" s="52"/>
      <c r="F2561" s="52"/>
      <c r="G2561" s="52"/>
      <c r="H2561" s="52"/>
    </row>
    <row r="2562" spans="1:8" ht="15.75">
      <c r="A2562" s="119"/>
      <c r="B2562" s="88"/>
      <c r="C2562" s="52"/>
      <c r="D2562" s="52"/>
      <c r="E2562" s="52"/>
      <c r="F2562" s="52"/>
      <c r="G2562" s="52"/>
      <c r="H2562" s="52"/>
    </row>
    <row r="2563" spans="1:8" ht="15.75">
      <c r="A2563" s="119"/>
      <c r="B2563" s="88"/>
      <c r="C2563" s="52"/>
      <c r="D2563" s="52"/>
      <c r="E2563" s="52"/>
      <c r="F2563" s="52"/>
      <c r="G2563" s="52"/>
      <c r="H2563" s="52"/>
    </row>
    <row r="2564" spans="1:8" ht="15.75">
      <c r="A2564" s="119"/>
      <c r="B2564" s="88"/>
      <c r="C2564" s="52"/>
      <c r="D2564" s="52"/>
      <c r="E2564" s="52"/>
      <c r="F2564" s="52"/>
      <c r="G2564" s="52"/>
      <c r="H2564" s="52"/>
    </row>
    <row r="2565" spans="1:8" ht="15.75">
      <c r="A2565" s="119"/>
      <c r="B2565" s="88"/>
      <c r="C2565" s="52"/>
      <c r="D2565" s="52"/>
      <c r="E2565" s="52"/>
      <c r="F2565" s="52"/>
      <c r="G2565" s="52"/>
      <c r="H2565" s="52"/>
    </row>
    <row r="2566" spans="1:8" ht="15.75">
      <c r="A2566" s="119"/>
      <c r="B2566" s="88"/>
      <c r="C2566" s="52"/>
      <c r="D2566" s="52"/>
      <c r="E2566" s="52"/>
      <c r="F2566" s="52"/>
      <c r="G2566" s="52"/>
      <c r="H2566" s="52"/>
    </row>
    <row r="2567" spans="1:8" ht="15.75">
      <c r="A2567" s="119"/>
      <c r="B2567" s="88"/>
      <c r="C2567" s="52"/>
      <c r="D2567" s="52"/>
      <c r="E2567" s="52"/>
      <c r="F2567" s="52"/>
      <c r="G2567" s="52"/>
      <c r="H2567" s="52"/>
    </row>
    <row r="2568" spans="1:8" ht="15.75">
      <c r="A2568" s="119"/>
      <c r="B2568" s="88"/>
      <c r="C2568" s="52"/>
      <c r="D2568" s="52"/>
      <c r="E2568" s="52"/>
      <c r="F2568" s="52"/>
      <c r="G2568" s="52"/>
      <c r="H2568" s="52"/>
    </row>
    <row r="2569" spans="1:8" ht="15.75">
      <c r="A2569" s="119"/>
      <c r="B2569" s="88"/>
      <c r="C2569" s="52"/>
      <c r="D2569" s="52"/>
      <c r="E2569" s="52"/>
      <c r="F2569" s="52"/>
      <c r="G2569" s="52"/>
      <c r="H2569" s="52"/>
    </row>
    <row r="2570" spans="1:8" ht="15.75">
      <c r="A2570" s="119"/>
      <c r="B2570" s="88"/>
      <c r="C2570" s="52"/>
      <c r="D2570" s="52"/>
      <c r="E2570" s="52"/>
      <c r="F2570" s="52"/>
      <c r="G2570" s="52"/>
      <c r="H2570" s="52"/>
    </row>
    <row r="2571" spans="1:8" ht="15.75">
      <c r="A2571" s="119"/>
      <c r="B2571" s="88"/>
      <c r="C2571" s="52"/>
      <c r="D2571" s="52"/>
      <c r="E2571" s="52"/>
      <c r="F2571" s="52"/>
      <c r="G2571" s="52"/>
      <c r="H2571" s="52"/>
    </row>
    <row r="2572" spans="1:8" ht="15.75">
      <c r="A2572" s="119"/>
      <c r="B2572" s="88"/>
      <c r="C2572" s="52"/>
      <c r="D2572" s="52"/>
      <c r="E2572" s="52"/>
      <c r="F2572" s="52"/>
      <c r="G2572" s="52"/>
      <c r="H2572" s="52"/>
    </row>
    <row r="2573" spans="1:8" ht="15.75">
      <c r="A2573" s="119"/>
      <c r="B2573" s="88"/>
      <c r="C2573" s="52"/>
      <c r="D2573" s="52"/>
      <c r="E2573" s="52"/>
      <c r="F2573" s="52"/>
      <c r="G2573" s="52"/>
      <c r="H2573" s="52"/>
    </row>
    <row r="2574" spans="1:8" ht="15.75">
      <c r="A2574" s="119"/>
      <c r="B2574" s="88"/>
      <c r="C2574" s="52"/>
      <c r="D2574" s="52"/>
      <c r="E2574" s="52"/>
      <c r="F2574" s="52"/>
      <c r="G2574" s="52"/>
      <c r="H2574" s="52"/>
    </row>
    <row r="2575" spans="1:8" ht="15.75">
      <c r="A2575" s="119"/>
      <c r="B2575" s="88"/>
      <c r="C2575" s="52"/>
      <c r="D2575" s="52"/>
      <c r="E2575" s="52"/>
      <c r="F2575" s="52"/>
      <c r="G2575" s="52"/>
      <c r="H2575" s="52"/>
    </row>
    <row r="2576" spans="1:8" ht="15.75">
      <c r="A2576" s="119"/>
      <c r="B2576" s="88"/>
      <c r="C2576" s="52"/>
      <c r="D2576" s="52"/>
      <c r="E2576" s="52"/>
      <c r="F2576" s="52"/>
      <c r="G2576" s="52"/>
      <c r="H2576" s="52"/>
    </row>
    <row r="2577" spans="1:8" ht="15.75">
      <c r="A2577" s="119"/>
      <c r="B2577" s="88"/>
      <c r="C2577" s="52"/>
      <c r="D2577" s="52"/>
      <c r="E2577" s="52"/>
      <c r="F2577" s="52"/>
      <c r="G2577" s="52"/>
      <c r="H2577" s="52"/>
    </row>
    <row r="2578" spans="1:8" ht="15.75">
      <c r="A2578" s="119"/>
      <c r="B2578" s="88"/>
      <c r="C2578" s="52"/>
      <c r="D2578" s="52"/>
      <c r="E2578" s="52"/>
      <c r="F2578" s="52"/>
      <c r="G2578" s="52"/>
      <c r="H2578" s="52"/>
    </row>
    <row r="2579" spans="1:8" ht="15.75">
      <c r="A2579" s="119"/>
      <c r="B2579" s="88"/>
      <c r="C2579" s="52"/>
      <c r="D2579" s="52"/>
      <c r="E2579" s="52"/>
      <c r="F2579" s="52"/>
      <c r="G2579" s="52"/>
      <c r="H2579" s="52"/>
    </row>
    <row r="2580" spans="1:8" ht="15.75">
      <c r="A2580" s="119"/>
      <c r="B2580" s="88"/>
      <c r="C2580" s="52"/>
      <c r="D2580" s="52"/>
      <c r="E2580" s="52"/>
      <c r="F2580" s="52"/>
      <c r="G2580" s="52"/>
      <c r="H2580" s="52"/>
    </row>
    <row r="2581" spans="1:8" ht="15.75">
      <c r="A2581" s="119"/>
      <c r="B2581" s="88"/>
      <c r="C2581" s="52"/>
      <c r="D2581" s="52"/>
      <c r="E2581" s="52"/>
      <c r="F2581" s="52"/>
      <c r="G2581" s="52"/>
      <c r="H2581" s="52"/>
    </row>
    <row r="2582" spans="1:8" ht="15.75">
      <c r="A2582" s="119"/>
      <c r="B2582" s="88"/>
      <c r="C2582" s="52"/>
      <c r="D2582" s="52"/>
      <c r="E2582" s="52"/>
      <c r="F2582" s="52"/>
      <c r="G2582" s="52"/>
      <c r="H2582" s="52"/>
    </row>
    <row r="2583" spans="1:8" ht="15.75">
      <c r="A2583" s="119"/>
      <c r="B2583" s="88"/>
      <c r="C2583" s="52"/>
      <c r="D2583" s="52"/>
      <c r="E2583" s="52"/>
      <c r="F2583" s="52"/>
      <c r="G2583" s="52"/>
      <c r="H2583" s="52"/>
    </row>
    <row r="2584" spans="1:8" ht="15.75">
      <c r="A2584" s="119"/>
      <c r="B2584" s="88"/>
      <c r="C2584" s="52"/>
      <c r="D2584" s="52"/>
      <c r="E2584" s="52"/>
      <c r="F2584" s="52"/>
      <c r="G2584" s="52"/>
      <c r="H2584" s="52"/>
    </row>
    <row r="2585" spans="1:8" ht="15.75">
      <c r="A2585" s="119"/>
      <c r="B2585" s="88"/>
      <c r="C2585" s="52"/>
      <c r="D2585" s="52"/>
      <c r="E2585" s="52"/>
      <c r="F2585" s="52"/>
      <c r="G2585" s="52"/>
      <c r="H2585" s="52"/>
    </row>
    <row r="2586" spans="1:8" ht="15.75">
      <c r="A2586" s="119"/>
      <c r="B2586" s="88"/>
      <c r="C2586" s="52"/>
      <c r="D2586" s="52"/>
      <c r="E2586" s="52"/>
      <c r="F2586" s="52"/>
      <c r="G2586" s="52"/>
      <c r="H2586" s="52"/>
    </row>
    <row r="2587" spans="1:8" ht="15.75">
      <c r="A2587" s="119"/>
      <c r="B2587" s="88"/>
      <c r="C2587" s="52"/>
      <c r="D2587" s="52"/>
      <c r="E2587" s="52"/>
      <c r="F2587" s="52"/>
      <c r="G2587" s="52"/>
      <c r="H2587" s="52"/>
    </row>
    <row r="2588" spans="1:8" ht="15.75">
      <c r="A2588" s="119"/>
      <c r="B2588" s="88"/>
      <c r="C2588" s="52"/>
      <c r="D2588" s="52"/>
      <c r="E2588" s="52"/>
      <c r="F2588" s="52"/>
      <c r="G2588" s="52"/>
      <c r="H2588" s="52"/>
    </row>
    <row r="2589" spans="1:8" ht="15.75">
      <c r="A2589" s="119"/>
      <c r="B2589" s="88"/>
      <c r="C2589" s="52"/>
      <c r="D2589" s="52"/>
      <c r="E2589" s="52"/>
      <c r="F2589" s="52"/>
      <c r="G2589" s="52"/>
      <c r="H2589" s="52"/>
    </row>
    <row r="2590" spans="1:8" ht="15.75">
      <c r="A2590" s="119"/>
      <c r="B2590" s="88"/>
      <c r="C2590" s="52"/>
      <c r="D2590" s="52"/>
      <c r="E2590" s="52"/>
      <c r="F2590" s="52"/>
      <c r="G2590" s="52"/>
      <c r="H2590" s="52"/>
    </row>
    <row r="2591" spans="1:8" ht="15.75">
      <c r="A2591" s="119"/>
      <c r="B2591" s="88"/>
      <c r="C2591" s="52"/>
      <c r="D2591" s="52"/>
      <c r="E2591" s="52"/>
      <c r="F2591" s="52"/>
      <c r="G2591" s="52"/>
      <c r="H2591" s="52"/>
    </row>
    <row r="2592" spans="1:8" ht="15.75">
      <c r="A2592" s="119"/>
      <c r="B2592" s="88"/>
      <c r="C2592" s="52"/>
      <c r="D2592" s="52"/>
      <c r="E2592" s="52"/>
      <c r="F2592" s="52"/>
      <c r="G2592" s="52"/>
      <c r="H2592" s="52"/>
    </row>
    <row r="2593" spans="1:8" ht="15.75">
      <c r="A2593" s="119"/>
      <c r="B2593" s="88"/>
      <c r="C2593" s="52"/>
      <c r="D2593" s="52"/>
      <c r="E2593" s="52"/>
      <c r="F2593" s="52"/>
      <c r="G2593" s="52"/>
      <c r="H2593" s="52"/>
    </row>
    <row r="2594" spans="1:8" ht="15.75">
      <c r="A2594" s="119"/>
      <c r="B2594" s="88"/>
      <c r="C2594" s="52"/>
      <c r="D2594" s="52"/>
      <c r="E2594" s="52"/>
      <c r="F2594" s="52"/>
      <c r="G2594" s="52"/>
      <c r="H2594" s="52"/>
    </row>
    <row r="2595" spans="1:8" ht="15.75">
      <c r="A2595" s="119"/>
      <c r="B2595" s="88"/>
      <c r="C2595" s="52"/>
      <c r="D2595" s="52"/>
      <c r="E2595" s="52"/>
      <c r="F2595" s="52"/>
      <c r="G2595" s="52"/>
      <c r="H2595" s="52"/>
    </row>
    <row r="2596" spans="1:8" ht="15.75">
      <c r="A2596" s="119"/>
      <c r="B2596" s="88"/>
      <c r="C2596" s="52"/>
      <c r="D2596" s="52"/>
      <c r="E2596" s="52"/>
      <c r="F2596" s="52"/>
      <c r="G2596" s="52"/>
      <c r="H2596" s="52"/>
    </row>
    <row r="2597" spans="1:8" ht="15.75">
      <c r="A2597" s="119"/>
      <c r="B2597" s="88"/>
      <c r="C2597" s="52"/>
      <c r="D2597" s="52"/>
      <c r="E2597" s="52"/>
      <c r="F2597" s="52"/>
      <c r="G2597" s="52"/>
      <c r="H2597" s="52"/>
    </row>
    <row r="2598" spans="1:8" ht="15.75">
      <c r="A2598" s="119"/>
      <c r="B2598" s="88"/>
      <c r="C2598" s="52"/>
      <c r="D2598" s="52"/>
      <c r="E2598" s="52"/>
      <c r="F2598" s="52"/>
      <c r="G2598" s="52"/>
      <c r="H2598" s="52"/>
    </row>
    <row r="2599" spans="1:8" ht="15.75">
      <c r="A2599" s="119"/>
      <c r="B2599" s="88"/>
      <c r="C2599" s="52"/>
      <c r="D2599" s="52"/>
      <c r="E2599" s="52"/>
      <c r="F2599" s="52"/>
      <c r="G2599" s="52"/>
      <c r="H2599" s="52"/>
    </row>
    <row r="2600" spans="1:8" ht="15.75">
      <c r="A2600" s="119"/>
      <c r="B2600" s="88"/>
      <c r="C2600" s="52"/>
      <c r="D2600" s="52"/>
      <c r="E2600" s="52"/>
      <c r="F2600" s="52"/>
      <c r="G2600" s="52"/>
      <c r="H2600" s="52"/>
    </row>
    <row r="2601" spans="1:8" ht="15.75">
      <c r="A2601" s="119"/>
      <c r="B2601" s="88"/>
      <c r="C2601" s="52"/>
      <c r="D2601" s="52"/>
      <c r="E2601" s="52"/>
      <c r="F2601" s="52"/>
      <c r="G2601" s="52"/>
      <c r="H2601" s="52"/>
    </row>
    <row r="2602" spans="1:8" ht="15.75">
      <c r="A2602" s="119"/>
      <c r="B2602" s="88"/>
      <c r="C2602" s="52"/>
      <c r="D2602" s="52"/>
      <c r="E2602" s="52"/>
      <c r="F2602" s="52"/>
      <c r="G2602" s="52"/>
      <c r="H2602" s="52"/>
    </row>
    <row r="2603" spans="1:8" ht="15.75">
      <c r="A2603" s="119"/>
      <c r="B2603" s="88"/>
      <c r="C2603" s="52"/>
      <c r="D2603" s="52"/>
      <c r="E2603" s="52"/>
      <c r="F2603" s="52"/>
      <c r="G2603" s="52"/>
      <c r="H2603" s="52"/>
    </row>
    <row r="2604" spans="1:8" ht="15.75">
      <c r="A2604" s="119"/>
      <c r="B2604" s="88"/>
      <c r="C2604" s="52"/>
      <c r="D2604" s="52"/>
      <c r="E2604" s="52"/>
      <c r="F2604" s="52"/>
      <c r="G2604" s="52"/>
      <c r="H2604" s="52"/>
    </row>
    <row r="2605" spans="1:8" ht="15.75">
      <c r="A2605" s="119"/>
      <c r="B2605" s="88"/>
      <c r="C2605" s="52"/>
      <c r="D2605" s="52"/>
      <c r="E2605" s="52"/>
      <c r="F2605" s="52"/>
      <c r="G2605" s="52"/>
      <c r="H2605" s="52"/>
    </row>
    <row r="2606" spans="1:8" ht="15.75">
      <c r="A2606" s="119"/>
      <c r="B2606" s="88"/>
      <c r="C2606" s="52"/>
      <c r="D2606" s="52"/>
      <c r="E2606" s="52"/>
      <c r="F2606" s="52"/>
      <c r="G2606" s="52"/>
      <c r="H2606" s="52"/>
    </row>
    <row r="2607" spans="1:8" ht="15.75">
      <c r="A2607" s="119"/>
      <c r="B2607" s="88"/>
      <c r="C2607" s="52"/>
      <c r="D2607" s="52"/>
      <c r="E2607" s="52"/>
      <c r="F2607" s="52"/>
      <c r="G2607" s="52"/>
      <c r="H2607" s="52"/>
    </row>
    <row r="2608" spans="1:8" ht="15.75">
      <c r="A2608" s="119"/>
      <c r="B2608" s="88"/>
      <c r="C2608" s="52"/>
      <c r="D2608" s="52"/>
      <c r="E2608" s="52"/>
      <c r="F2608" s="52"/>
      <c r="G2608" s="52"/>
      <c r="H2608" s="52"/>
    </row>
    <row r="2609" spans="1:8" ht="15.75">
      <c r="A2609" s="119"/>
      <c r="B2609" s="88"/>
      <c r="C2609" s="52"/>
      <c r="D2609" s="52"/>
      <c r="E2609" s="52"/>
      <c r="F2609" s="52"/>
      <c r="G2609" s="52"/>
      <c r="H2609" s="52"/>
    </row>
    <row r="2610" spans="1:8" ht="15.75">
      <c r="A2610" s="119"/>
      <c r="B2610" s="88"/>
      <c r="C2610" s="52"/>
      <c r="D2610" s="52"/>
      <c r="E2610" s="52"/>
      <c r="F2610" s="52"/>
      <c r="G2610" s="52"/>
      <c r="H2610" s="52"/>
    </row>
    <row r="2611" spans="1:8" ht="15.75">
      <c r="A2611" s="119"/>
      <c r="B2611" s="88"/>
      <c r="C2611" s="52"/>
      <c r="D2611" s="52"/>
      <c r="E2611" s="52"/>
      <c r="F2611" s="52"/>
      <c r="G2611" s="52"/>
      <c r="H2611" s="52"/>
    </row>
    <row r="2612" spans="1:8" ht="15.75">
      <c r="A2612" s="119"/>
      <c r="B2612" s="88"/>
      <c r="C2612" s="52"/>
      <c r="D2612" s="52"/>
      <c r="E2612" s="52"/>
      <c r="F2612" s="52"/>
      <c r="G2612" s="52"/>
      <c r="H2612" s="52"/>
    </row>
    <row r="2613" spans="1:8" ht="15.75">
      <c r="A2613" s="119"/>
      <c r="B2613" s="88"/>
      <c r="C2613" s="52"/>
      <c r="D2613" s="52"/>
      <c r="E2613" s="52"/>
      <c r="F2613" s="52"/>
      <c r="G2613" s="52"/>
      <c r="H2613" s="52"/>
    </row>
    <row r="2614" spans="1:8" ht="15.75">
      <c r="A2614" s="119"/>
      <c r="B2614" s="88"/>
      <c r="C2614" s="52"/>
      <c r="D2614" s="52"/>
      <c r="E2614" s="52"/>
      <c r="F2614" s="52"/>
      <c r="G2614" s="52"/>
      <c r="H2614" s="52"/>
    </row>
    <row r="2615" spans="1:8" ht="15.75">
      <c r="A2615" s="119"/>
      <c r="B2615" s="88"/>
      <c r="C2615" s="52"/>
      <c r="D2615" s="52"/>
      <c r="E2615" s="52"/>
      <c r="F2615" s="52"/>
      <c r="G2615" s="52"/>
      <c r="H2615" s="52"/>
    </row>
    <row r="2616" spans="1:8" ht="15.75">
      <c r="A2616" s="119"/>
      <c r="B2616" s="88"/>
      <c r="C2616" s="52"/>
      <c r="D2616" s="52"/>
      <c r="E2616" s="52"/>
      <c r="F2616" s="52"/>
      <c r="G2616" s="52"/>
      <c r="H2616" s="52"/>
    </row>
    <row r="2617" spans="1:8" ht="15.75">
      <c r="A2617" s="119"/>
      <c r="B2617" s="88"/>
      <c r="C2617" s="52"/>
      <c r="D2617" s="52"/>
      <c r="E2617" s="52"/>
      <c r="F2617" s="52"/>
      <c r="G2617" s="52"/>
      <c r="H2617" s="52"/>
    </row>
    <row r="2618" spans="1:8" ht="15.75">
      <c r="A2618" s="119"/>
      <c r="B2618" s="88"/>
      <c r="C2618" s="52"/>
      <c r="D2618" s="52"/>
      <c r="E2618" s="52"/>
      <c r="F2618" s="52"/>
      <c r="G2618" s="52"/>
      <c r="H2618" s="52"/>
    </row>
    <row r="2619" spans="1:8" ht="15.75">
      <c r="A2619" s="119"/>
      <c r="B2619" s="88"/>
      <c r="C2619" s="52"/>
      <c r="D2619" s="52"/>
      <c r="E2619" s="52"/>
      <c r="F2619" s="52"/>
      <c r="G2619" s="52"/>
      <c r="H2619" s="52"/>
    </row>
    <row r="2620" spans="1:8" ht="15.75">
      <c r="A2620" s="119"/>
      <c r="B2620" s="88"/>
      <c r="C2620" s="52"/>
      <c r="D2620" s="52"/>
      <c r="E2620" s="52"/>
      <c r="F2620" s="52"/>
      <c r="G2620" s="52"/>
      <c r="H2620" s="52"/>
    </row>
    <row r="2621" spans="1:8" ht="15.75">
      <c r="A2621" s="119"/>
      <c r="B2621" s="88"/>
      <c r="C2621" s="52"/>
      <c r="D2621" s="52"/>
      <c r="E2621" s="52"/>
      <c r="F2621" s="52"/>
      <c r="G2621" s="52"/>
      <c r="H2621" s="52"/>
    </row>
    <row r="2622" spans="1:8" ht="15.75">
      <c r="A2622" s="119"/>
      <c r="B2622" s="88"/>
      <c r="C2622" s="52"/>
      <c r="D2622" s="52"/>
      <c r="E2622" s="52"/>
      <c r="F2622" s="52"/>
      <c r="G2622" s="52"/>
      <c r="H2622" s="52"/>
    </row>
    <row r="2623" spans="1:8" ht="15.75">
      <c r="A2623" s="119"/>
      <c r="B2623" s="88"/>
      <c r="C2623" s="52"/>
      <c r="D2623" s="52"/>
      <c r="E2623" s="52"/>
      <c r="F2623" s="52"/>
      <c r="G2623" s="52"/>
      <c r="H2623" s="52"/>
    </row>
    <row r="2624" spans="1:8" ht="15.75">
      <c r="A2624" s="119"/>
      <c r="B2624" s="88"/>
      <c r="C2624" s="52"/>
      <c r="D2624" s="52"/>
      <c r="E2624" s="52"/>
      <c r="F2624" s="52"/>
      <c r="G2624" s="52"/>
      <c r="H2624" s="52"/>
    </row>
    <row r="2625" spans="1:8" ht="15.75">
      <c r="A2625" s="119"/>
      <c r="B2625" s="88"/>
      <c r="C2625" s="52"/>
      <c r="D2625" s="52"/>
      <c r="E2625" s="52"/>
      <c r="F2625" s="52"/>
      <c r="G2625" s="52"/>
      <c r="H2625" s="52"/>
    </row>
    <row r="2626" spans="1:8" ht="15.75">
      <c r="A2626" s="119"/>
      <c r="B2626" s="88"/>
      <c r="C2626" s="52"/>
      <c r="D2626" s="52"/>
      <c r="E2626" s="52"/>
      <c r="F2626" s="52"/>
      <c r="G2626" s="52"/>
      <c r="H2626" s="52"/>
    </row>
    <row r="2627" spans="1:8" ht="15.75">
      <c r="A2627" s="119"/>
      <c r="B2627" s="88"/>
      <c r="C2627" s="52"/>
      <c r="D2627" s="52"/>
      <c r="E2627" s="52"/>
      <c r="F2627" s="52"/>
      <c r="G2627" s="52"/>
      <c r="H2627" s="52"/>
    </row>
    <row r="2628" spans="1:8" ht="15.75">
      <c r="A2628" s="119"/>
      <c r="B2628" s="88"/>
      <c r="C2628" s="52"/>
      <c r="D2628" s="52"/>
      <c r="E2628" s="52"/>
      <c r="F2628" s="52"/>
      <c r="G2628" s="52"/>
      <c r="H2628" s="52"/>
    </row>
    <row r="2629" spans="1:8" ht="15.75">
      <c r="A2629" s="119"/>
      <c r="B2629" s="88"/>
      <c r="C2629" s="52"/>
      <c r="D2629" s="52"/>
      <c r="E2629" s="52"/>
      <c r="F2629" s="52"/>
      <c r="G2629" s="52"/>
      <c r="H2629" s="52"/>
    </row>
    <row r="2630" spans="1:8" ht="15.75">
      <c r="A2630" s="119"/>
      <c r="B2630" s="88"/>
      <c r="C2630" s="52"/>
      <c r="D2630" s="52"/>
      <c r="E2630" s="52"/>
      <c r="F2630" s="52"/>
      <c r="G2630" s="52"/>
      <c r="H2630" s="52"/>
    </row>
    <row r="2631" spans="1:8" ht="15.75">
      <c r="A2631" s="119"/>
      <c r="B2631" s="88"/>
      <c r="C2631" s="52"/>
      <c r="D2631" s="52"/>
      <c r="E2631" s="52"/>
      <c r="F2631" s="52"/>
      <c r="G2631" s="52"/>
      <c r="H2631" s="52"/>
    </row>
    <row r="2632" spans="1:8" ht="15.75">
      <c r="A2632" s="119"/>
      <c r="B2632" s="88"/>
      <c r="C2632" s="52"/>
      <c r="D2632" s="52"/>
      <c r="E2632" s="52"/>
      <c r="F2632" s="52"/>
      <c r="G2632" s="52"/>
      <c r="H2632" s="52"/>
    </row>
    <row r="2633" spans="1:8" ht="15.75">
      <c r="A2633" s="119"/>
      <c r="B2633" s="88"/>
      <c r="C2633" s="52"/>
      <c r="D2633" s="52"/>
      <c r="E2633" s="52"/>
      <c r="F2633" s="52"/>
      <c r="G2633" s="52"/>
      <c r="H2633" s="52"/>
    </row>
    <row r="2634" spans="1:8" ht="15.75">
      <c r="A2634" s="119"/>
      <c r="B2634" s="88"/>
      <c r="C2634" s="52"/>
      <c r="D2634" s="52"/>
      <c r="E2634" s="52"/>
      <c r="F2634" s="52"/>
      <c r="G2634" s="52"/>
      <c r="H2634" s="52"/>
    </row>
    <row r="2635" spans="1:8" ht="15.75">
      <c r="A2635" s="119"/>
      <c r="B2635" s="88"/>
      <c r="C2635" s="52"/>
      <c r="D2635" s="52"/>
      <c r="E2635" s="52"/>
      <c r="F2635" s="52"/>
      <c r="G2635" s="52"/>
      <c r="H2635" s="52"/>
    </row>
    <row r="2636" spans="1:8" ht="15.75">
      <c r="A2636" s="119"/>
      <c r="B2636" s="88"/>
      <c r="C2636" s="52"/>
      <c r="D2636" s="52"/>
      <c r="E2636" s="52"/>
      <c r="F2636" s="52"/>
      <c r="G2636" s="52"/>
      <c r="H2636" s="52"/>
    </row>
    <row r="2637" spans="1:8" ht="15.75">
      <c r="A2637" s="119"/>
      <c r="B2637" s="88"/>
      <c r="C2637" s="52"/>
      <c r="D2637" s="52"/>
      <c r="E2637" s="52"/>
      <c r="F2637" s="52"/>
      <c r="G2637" s="52"/>
      <c r="H2637" s="52"/>
    </row>
    <row r="2638" spans="1:8" ht="15.75">
      <c r="A2638" s="119"/>
      <c r="B2638" s="88"/>
      <c r="C2638" s="52"/>
      <c r="D2638" s="52"/>
      <c r="E2638" s="52"/>
      <c r="F2638" s="52"/>
      <c r="G2638" s="52"/>
      <c r="H2638" s="52"/>
    </row>
    <row r="2639" spans="1:8" ht="15.75">
      <c r="A2639" s="119"/>
      <c r="B2639" s="88"/>
      <c r="C2639" s="52"/>
      <c r="D2639" s="52"/>
      <c r="E2639" s="52"/>
      <c r="F2639" s="52"/>
      <c r="G2639" s="52"/>
      <c r="H2639" s="52"/>
    </row>
    <row r="2640" spans="1:8" ht="15.75">
      <c r="A2640" s="119"/>
      <c r="B2640" s="88"/>
      <c r="C2640" s="52"/>
      <c r="D2640" s="52"/>
      <c r="E2640" s="52"/>
      <c r="F2640" s="52"/>
      <c r="G2640" s="52"/>
      <c r="H2640" s="52"/>
    </row>
    <row r="2641" spans="1:8" ht="15.75">
      <c r="A2641" s="119"/>
      <c r="B2641" s="88"/>
      <c r="C2641" s="52"/>
      <c r="D2641" s="52"/>
      <c r="E2641" s="52"/>
      <c r="F2641" s="52"/>
      <c r="G2641" s="52"/>
      <c r="H2641" s="52"/>
    </row>
    <row r="2642" spans="1:8" ht="15.75">
      <c r="A2642" s="119"/>
      <c r="B2642" s="88"/>
      <c r="C2642" s="52"/>
      <c r="D2642" s="52"/>
      <c r="E2642" s="52"/>
      <c r="F2642" s="52"/>
      <c r="G2642" s="52"/>
      <c r="H2642" s="52"/>
    </row>
    <row r="2643" spans="1:8" ht="15.75">
      <c r="A2643" s="119"/>
      <c r="B2643" s="88"/>
      <c r="C2643" s="52"/>
      <c r="D2643" s="52"/>
      <c r="E2643" s="52"/>
      <c r="F2643" s="52"/>
      <c r="G2643" s="52"/>
      <c r="H2643" s="52"/>
    </row>
    <row r="2644" spans="1:8" ht="15.75">
      <c r="A2644" s="119"/>
      <c r="B2644" s="88"/>
      <c r="C2644" s="52"/>
      <c r="D2644" s="52"/>
      <c r="E2644" s="52"/>
      <c r="F2644" s="52"/>
      <c r="G2644" s="52"/>
      <c r="H2644" s="52"/>
    </row>
    <row r="2645" spans="1:8" ht="15.75">
      <c r="A2645" s="119"/>
      <c r="B2645" s="88"/>
      <c r="C2645" s="52"/>
      <c r="D2645" s="52"/>
      <c r="E2645" s="52"/>
      <c r="F2645" s="52"/>
      <c r="G2645" s="52"/>
      <c r="H2645" s="52"/>
    </row>
    <row r="2646" spans="1:8" ht="15.75">
      <c r="A2646" s="119"/>
      <c r="B2646" s="88"/>
      <c r="C2646" s="52"/>
      <c r="D2646" s="52"/>
      <c r="E2646" s="52"/>
      <c r="F2646" s="52"/>
      <c r="G2646" s="52"/>
      <c r="H2646" s="52"/>
    </row>
    <row r="2647" spans="1:8" ht="15.75">
      <c r="A2647" s="119"/>
      <c r="B2647" s="88"/>
      <c r="C2647" s="52"/>
      <c r="D2647" s="52"/>
      <c r="E2647" s="52"/>
      <c r="F2647" s="52"/>
      <c r="G2647" s="52"/>
      <c r="H2647" s="52"/>
    </row>
    <row r="2648" spans="1:8" ht="15.75">
      <c r="A2648" s="119"/>
      <c r="B2648" s="88"/>
      <c r="C2648" s="52"/>
      <c r="D2648" s="52"/>
      <c r="E2648" s="52"/>
      <c r="F2648" s="52"/>
      <c r="G2648" s="52"/>
      <c r="H2648" s="52"/>
    </row>
    <row r="2649" spans="1:8" ht="15.75">
      <c r="A2649" s="119"/>
      <c r="B2649" s="88"/>
      <c r="C2649" s="52"/>
      <c r="D2649" s="52"/>
      <c r="E2649" s="52"/>
      <c r="F2649" s="52"/>
      <c r="G2649" s="52"/>
      <c r="H2649" s="52"/>
    </row>
    <row r="2650" spans="1:8" ht="15.75">
      <c r="A2650" s="119"/>
      <c r="B2650" s="88"/>
      <c r="C2650" s="52"/>
      <c r="D2650" s="52"/>
      <c r="E2650" s="52"/>
      <c r="F2650" s="52"/>
      <c r="G2650" s="52"/>
      <c r="H2650" s="52"/>
    </row>
    <row r="2651" spans="1:8" ht="15.75">
      <c r="A2651" s="119"/>
      <c r="B2651" s="88"/>
      <c r="C2651" s="52"/>
      <c r="D2651" s="52"/>
      <c r="E2651" s="52"/>
      <c r="F2651" s="52"/>
      <c r="G2651" s="52"/>
      <c r="H2651" s="52"/>
    </row>
    <row r="2652" spans="1:8" ht="15.75">
      <c r="A2652" s="119"/>
      <c r="B2652" s="88"/>
      <c r="C2652" s="52"/>
      <c r="D2652" s="52"/>
      <c r="E2652" s="52"/>
      <c r="F2652" s="52"/>
      <c r="G2652" s="52"/>
      <c r="H2652" s="52"/>
    </row>
    <row r="2653" spans="1:8" ht="15.75">
      <c r="A2653" s="119"/>
      <c r="B2653" s="88"/>
      <c r="C2653" s="52"/>
      <c r="D2653" s="52"/>
      <c r="E2653" s="52"/>
      <c r="F2653" s="52"/>
      <c r="G2653" s="52"/>
      <c r="H2653" s="52"/>
    </row>
    <row r="2654" spans="1:8" ht="15.75">
      <c r="A2654" s="119"/>
      <c r="B2654" s="88"/>
      <c r="C2654" s="52"/>
      <c r="D2654" s="52"/>
      <c r="E2654" s="52"/>
      <c r="F2654" s="52"/>
      <c r="G2654" s="52"/>
      <c r="H2654" s="52"/>
    </row>
    <row r="2655" spans="1:8" ht="15.75">
      <c r="A2655" s="119"/>
      <c r="B2655" s="88"/>
      <c r="C2655" s="52"/>
      <c r="D2655" s="52"/>
      <c r="E2655" s="52"/>
      <c r="F2655" s="52"/>
      <c r="G2655" s="52"/>
      <c r="H2655" s="52"/>
    </row>
    <row r="2656" spans="1:8" ht="15.75">
      <c r="A2656" s="119"/>
      <c r="B2656" s="88"/>
      <c r="C2656" s="52"/>
      <c r="D2656" s="52"/>
      <c r="E2656" s="52"/>
      <c r="F2656" s="52"/>
      <c r="G2656" s="52"/>
      <c r="H2656" s="52"/>
    </row>
    <row r="2657" spans="1:8" ht="15.75">
      <c r="A2657" s="119"/>
      <c r="B2657" s="88"/>
      <c r="C2657" s="52"/>
      <c r="D2657" s="52"/>
      <c r="E2657" s="52"/>
      <c r="F2657" s="52"/>
      <c r="G2657" s="52"/>
      <c r="H2657" s="52"/>
    </row>
    <row r="2658" spans="1:8" ht="15.75">
      <c r="A2658" s="119"/>
      <c r="B2658" s="88"/>
      <c r="C2658" s="52"/>
      <c r="D2658" s="52"/>
      <c r="E2658" s="52"/>
      <c r="F2658" s="52"/>
      <c r="G2658" s="52"/>
      <c r="H2658" s="52"/>
    </row>
    <row r="2659" spans="1:8" ht="15.75">
      <c r="A2659" s="119"/>
      <c r="B2659" s="88"/>
      <c r="C2659" s="52"/>
      <c r="D2659" s="52"/>
      <c r="E2659" s="52"/>
      <c r="F2659" s="52"/>
      <c r="G2659" s="52"/>
      <c r="H2659" s="52"/>
    </row>
    <row r="2660" spans="1:8" ht="15.75">
      <c r="A2660" s="119"/>
      <c r="B2660" s="88"/>
      <c r="C2660" s="52"/>
      <c r="D2660" s="52"/>
      <c r="E2660" s="52"/>
      <c r="F2660" s="52"/>
      <c r="G2660" s="52"/>
      <c r="H2660" s="52"/>
    </row>
    <row r="2661" spans="1:8" ht="15.75">
      <c r="A2661" s="119"/>
      <c r="B2661" s="88"/>
      <c r="C2661" s="52"/>
      <c r="D2661" s="52"/>
      <c r="E2661" s="52"/>
      <c r="F2661" s="52"/>
      <c r="G2661" s="52"/>
      <c r="H2661" s="52"/>
    </row>
    <row r="2662" spans="1:8" ht="15.75">
      <c r="A2662" s="119"/>
      <c r="B2662" s="88"/>
      <c r="C2662" s="52"/>
      <c r="D2662" s="52"/>
      <c r="E2662" s="52"/>
      <c r="F2662" s="52"/>
      <c r="G2662" s="52"/>
      <c r="H2662" s="52"/>
    </row>
    <row r="2663" spans="1:8" ht="15.75">
      <c r="A2663" s="119"/>
      <c r="B2663" s="88"/>
      <c r="C2663" s="52"/>
      <c r="D2663" s="52"/>
      <c r="E2663" s="52"/>
      <c r="F2663" s="52"/>
      <c r="G2663" s="52"/>
      <c r="H2663" s="52"/>
    </row>
    <row r="2664" spans="1:8" ht="15.75">
      <c r="A2664" s="119"/>
      <c r="B2664" s="88"/>
      <c r="C2664" s="52"/>
      <c r="D2664" s="52"/>
      <c r="E2664" s="52"/>
      <c r="F2664" s="52"/>
      <c r="G2664" s="52"/>
      <c r="H2664" s="52"/>
    </row>
    <row r="2665" spans="1:8" ht="15.75">
      <c r="A2665" s="119"/>
      <c r="B2665" s="88"/>
      <c r="C2665" s="52"/>
      <c r="D2665" s="52"/>
      <c r="E2665" s="52"/>
      <c r="F2665" s="52"/>
      <c r="G2665" s="52"/>
      <c r="H2665" s="52"/>
    </row>
    <row r="2666" spans="1:8" ht="15.75">
      <c r="A2666" s="119"/>
      <c r="B2666" s="88"/>
      <c r="C2666" s="52"/>
      <c r="D2666" s="52"/>
      <c r="E2666" s="52"/>
      <c r="F2666" s="52"/>
      <c r="G2666" s="52"/>
      <c r="H2666" s="52"/>
    </row>
    <row r="2667" spans="1:8" ht="15.75">
      <c r="A2667" s="119"/>
      <c r="B2667" s="88"/>
      <c r="C2667" s="52"/>
      <c r="D2667" s="52"/>
      <c r="E2667" s="52"/>
      <c r="F2667" s="52"/>
      <c r="G2667" s="52"/>
      <c r="H2667" s="52"/>
    </row>
    <row r="2668" spans="1:8" ht="15.75">
      <c r="A2668" s="119"/>
      <c r="B2668" s="88"/>
      <c r="C2668" s="52"/>
      <c r="D2668" s="52"/>
      <c r="E2668" s="52"/>
      <c r="F2668" s="52"/>
      <c r="G2668" s="52"/>
      <c r="H2668" s="52"/>
    </row>
    <row r="2669" spans="1:8" ht="15.75">
      <c r="A2669" s="119"/>
      <c r="B2669" s="88"/>
      <c r="C2669" s="52"/>
      <c r="D2669" s="52"/>
      <c r="E2669" s="52"/>
      <c r="F2669" s="52"/>
      <c r="G2669" s="52"/>
      <c r="H2669" s="52"/>
    </row>
    <row r="2670" spans="1:8" ht="15.75">
      <c r="A2670" s="119"/>
      <c r="B2670" s="88"/>
      <c r="C2670" s="52"/>
      <c r="D2670" s="52"/>
      <c r="E2670" s="52"/>
      <c r="F2670" s="52"/>
      <c r="G2670" s="52"/>
      <c r="H2670" s="52"/>
    </row>
    <row r="2671" spans="1:8" ht="15.75">
      <c r="A2671" s="119"/>
      <c r="B2671" s="88"/>
      <c r="C2671" s="52"/>
      <c r="D2671" s="52"/>
      <c r="E2671" s="52"/>
      <c r="F2671" s="52"/>
      <c r="G2671" s="52"/>
      <c r="H2671" s="52"/>
    </row>
    <row r="2672" spans="1:8" ht="15.75">
      <c r="A2672" s="119"/>
      <c r="B2672" s="88"/>
      <c r="C2672" s="52"/>
      <c r="D2672" s="52"/>
      <c r="E2672" s="52"/>
      <c r="F2672" s="52"/>
      <c r="G2672" s="52"/>
      <c r="H2672" s="52"/>
    </row>
    <row r="2673" spans="1:8" ht="15.75">
      <c r="A2673" s="119"/>
      <c r="B2673" s="88"/>
      <c r="C2673" s="52"/>
      <c r="D2673" s="52"/>
      <c r="E2673" s="52"/>
      <c r="F2673" s="52"/>
      <c r="G2673" s="52"/>
      <c r="H2673" s="52"/>
    </row>
    <row r="2674" spans="1:8" ht="15.75">
      <c r="A2674" s="119"/>
      <c r="B2674" s="88"/>
      <c r="C2674" s="52"/>
      <c r="D2674" s="52"/>
      <c r="E2674" s="52"/>
      <c r="F2674" s="52"/>
      <c r="G2674" s="52"/>
      <c r="H2674" s="52"/>
    </row>
    <row r="2675" spans="1:8" ht="15.75">
      <c r="A2675" s="119"/>
      <c r="B2675" s="88"/>
      <c r="C2675" s="52"/>
      <c r="D2675" s="52"/>
      <c r="E2675" s="52"/>
      <c r="F2675" s="52"/>
      <c r="G2675" s="52"/>
      <c r="H2675" s="52"/>
    </row>
    <row r="2676" spans="1:8" ht="15.75">
      <c r="A2676" s="119"/>
      <c r="B2676" s="88"/>
      <c r="C2676" s="52"/>
      <c r="D2676" s="52"/>
      <c r="E2676" s="52"/>
      <c r="F2676" s="52"/>
      <c r="G2676" s="52"/>
      <c r="H2676" s="52"/>
    </row>
    <row r="2677" spans="1:8" ht="15.75">
      <c r="A2677" s="119"/>
      <c r="B2677" s="88"/>
      <c r="C2677" s="52"/>
      <c r="D2677" s="52"/>
      <c r="E2677" s="52"/>
      <c r="F2677" s="52"/>
      <c r="G2677" s="52"/>
      <c r="H2677" s="52"/>
    </row>
    <row r="2678" spans="1:8" ht="15.75">
      <c r="A2678" s="119"/>
      <c r="B2678" s="88"/>
      <c r="C2678" s="52"/>
      <c r="D2678" s="52"/>
      <c r="E2678" s="52"/>
      <c r="F2678" s="52"/>
      <c r="G2678" s="52"/>
      <c r="H2678" s="52"/>
    </row>
    <row r="2679" spans="1:8" ht="15.75">
      <c r="A2679" s="119"/>
      <c r="B2679" s="88"/>
      <c r="C2679" s="52"/>
      <c r="D2679" s="52"/>
      <c r="E2679" s="52"/>
      <c r="F2679" s="52"/>
      <c r="G2679" s="52"/>
      <c r="H2679" s="52"/>
    </row>
    <row r="2680" spans="1:8" ht="15.75">
      <c r="A2680" s="119"/>
      <c r="B2680" s="88"/>
      <c r="C2680" s="52"/>
      <c r="D2680" s="52"/>
      <c r="E2680" s="52"/>
      <c r="F2680" s="52"/>
      <c r="G2680" s="52"/>
      <c r="H2680" s="52"/>
    </row>
    <row r="2681" spans="1:8" ht="15.75">
      <c r="A2681" s="119"/>
      <c r="B2681" s="88"/>
      <c r="C2681" s="52"/>
      <c r="D2681" s="52"/>
      <c r="E2681" s="52"/>
      <c r="F2681" s="52"/>
      <c r="G2681" s="52"/>
      <c r="H2681" s="52"/>
    </row>
    <row r="2682" spans="1:8" ht="15.75">
      <c r="A2682" s="119"/>
      <c r="B2682" s="88"/>
      <c r="C2682" s="52"/>
      <c r="D2682" s="52"/>
      <c r="E2682" s="52"/>
      <c r="F2682" s="52"/>
      <c r="G2682" s="52"/>
      <c r="H2682" s="52"/>
    </row>
    <row r="2683" spans="1:8" ht="15.75">
      <c r="A2683" s="119"/>
      <c r="B2683" s="88"/>
      <c r="C2683" s="52"/>
      <c r="D2683" s="52"/>
      <c r="E2683" s="52"/>
      <c r="F2683" s="52"/>
      <c r="G2683" s="52"/>
      <c r="H2683" s="52"/>
    </row>
    <row r="2684" spans="1:8" ht="15.75">
      <c r="A2684" s="119"/>
      <c r="B2684" s="88"/>
      <c r="C2684" s="52"/>
      <c r="D2684" s="52"/>
      <c r="E2684" s="52"/>
      <c r="F2684" s="52"/>
      <c r="G2684" s="52"/>
      <c r="H2684" s="52"/>
    </row>
    <row r="2685" spans="1:8" ht="15.75">
      <c r="A2685" s="119"/>
      <c r="B2685" s="88"/>
      <c r="C2685" s="52"/>
      <c r="D2685" s="52"/>
      <c r="E2685" s="52"/>
      <c r="F2685" s="52"/>
      <c r="G2685" s="52"/>
      <c r="H2685" s="52"/>
    </row>
    <row r="2686" spans="1:8" ht="15.75">
      <c r="A2686" s="119"/>
      <c r="B2686" s="88"/>
      <c r="C2686" s="52"/>
      <c r="D2686" s="52"/>
      <c r="E2686" s="52"/>
      <c r="F2686" s="52"/>
      <c r="G2686" s="52"/>
      <c r="H2686" s="52"/>
    </row>
    <row r="2687" spans="1:8" ht="15.75">
      <c r="A2687" s="119"/>
      <c r="B2687" s="88"/>
      <c r="C2687" s="52"/>
      <c r="D2687" s="52"/>
      <c r="E2687" s="52"/>
      <c r="F2687" s="52"/>
      <c r="G2687" s="52"/>
      <c r="H2687" s="52"/>
    </row>
    <row r="2688" spans="1:8" ht="15.75">
      <c r="A2688" s="119"/>
      <c r="B2688" s="88"/>
      <c r="C2688" s="52"/>
      <c r="D2688" s="52"/>
      <c r="E2688" s="52"/>
      <c r="F2688" s="52"/>
      <c r="G2688" s="52"/>
      <c r="H2688" s="52"/>
    </row>
    <row r="2689" spans="1:8" ht="15.75">
      <c r="A2689" s="119"/>
      <c r="B2689" s="88"/>
      <c r="C2689" s="52"/>
      <c r="D2689" s="52"/>
      <c r="E2689" s="52"/>
      <c r="F2689" s="52"/>
      <c r="G2689" s="52"/>
      <c r="H2689" s="52"/>
    </row>
    <row r="2690" spans="1:8" ht="15.75">
      <c r="A2690" s="119"/>
      <c r="B2690" s="88"/>
      <c r="C2690" s="52"/>
      <c r="D2690" s="52"/>
      <c r="E2690" s="52"/>
      <c r="F2690" s="52"/>
      <c r="G2690" s="52"/>
      <c r="H2690" s="52"/>
    </row>
    <row r="2691" spans="1:8" ht="15.75">
      <c r="A2691" s="119"/>
      <c r="B2691" s="88"/>
      <c r="C2691" s="52"/>
      <c r="D2691" s="52"/>
      <c r="E2691" s="52"/>
      <c r="F2691" s="52"/>
      <c r="G2691" s="52"/>
      <c r="H2691" s="52"/>
    </row>
    <row r="2692" spans="1:8" ht="15.75">
      <c r="A2692" s="119"/>
      <c r="B2692" s="88"/>
      <c r="C2692" s="52"/>
      <c r="D2692" s="52"/>
      <c r="E2692" s="52"/>
      <c r="F2692" s="52"/>
      <c r="G2692" s="52"/>
      <c r="H2692" s="52"/>
    </row>
    <row r="2693" spans="1:8" ht="15.75">
      <c r="A2693" s="119"/>
      <c r="B2693" s="88"/>
      <c r="C2693" s="52"/>
      <c r="D2693" s="52"/>
      <c r="E2693" s="52"/>
      <c r="F2693" s="52"/>
      <c r="G2693" s="52"/>
      <c r="H2693" s="52"/>
    </row>
    <row r="2694" spans="1:8" ht="15.75">
      <c r="A2694" s="119"/>
      <c r="B2694" s="88"/>
      <c r="C2694" s="52"/>
      <c r="D2694" s="52"/>
      <c r="E2694" s="52"/>
      <c r="F2694" s="52"/>
      <c r="G2694" s="52"/>
      <c r="H2694" s="52"/>
    </row>
    <row r="2695" spans="1:8" ht="15.75">
      <c r="A2695" s="119"/>
      <c r="B2695" s="88"/>
      <c r="C2695" s="52"/>
      <c r="D2695" s="52"/>
      <c r="E2695" s="52"/>
      <c r="F2695" s="52"/>
      <c r="G2695" s="52"/>
      <c r="H2695" s="52"/>
    </row>
    <row r="2696" spans="1:8" ht="15.75">
      <c r="A2696" s="119"/>
      <c r="B2696" s="88"/>
      <c r="C2696" s="52"/>
      <c r="D2696" s="52"/>
      <c r="E2696" s="52"/>
      <c r="F2696" s="52"/>
      <c r="G2696" s="52"/>
      <c r="H2696" s="52"/>
    </row>
    <row r="2697" spans="1:8" ht="15.75">
      <c r="A2697" s="119"/>
      <c r="B2697" s="88"/>
      <c r="C2697" s="52"/>
      <c r="D2697" s="52"/>
      <c r="E2697" s="52"/>
      <c r="F2697" s="52"/>
      <c r="G2697" s="52"/>
      <c r="H2697" s="52"/>
    </row>
    <row r="2698" spans="1:8" ht="15.75">
      <c r="A2698" s="119"/>
      <c r="B2698" s="88"/>
      <c r="C2698" s="52"/>
      <c r="D2698" s="52"/>
      <c r="E2698" s="52"/>
      <c r="F2698" s="52"/>
      <c r="G2698" s="52"/>
      <c r="H2698" s="52"/>
    </row>
    <row r="2699" spans="1:8" ht="15.75">
      <c r="A2699" s="119"/>
      <c r="B2699" s="88"/>
      <c r="C2699" s="52"/>
      <c r="D2699" s="52"/>
      <c r="E2699" s="52"/>
      <c r="F2699" s="52"/>
      <c r="G2699" s="52"/>
      <c r="H2699" s="52"/>
    </row>
    <row r="2700" spans="1:8" ht="15.75">
      <c r="A2700" s="119"/>
      <c r="B2700" s="88"/>
      <c r="C2700" s="52"/>
      <c r="D2700" s="52"/>
      <c r="E2700" s="52"/>
      <c r="F2700" s="52"/>
      <c r="G2700" s="52"/>
      <c r="H2700" s="52"/>
    </row>
    <row r="2701" spans="1:8" ht="15.75">
      <c r="A2701" s="119"/>
      <c r="B2701" s="88"/>
      <c r="C2701" s="52"/>
      <c r="D2701" s="52"/>
      <c r="E2701" s="52"/>
      <c r="F2701" s="52"/>
      <c r="G2701" s="52"/>
      <c r="H2701" s="52"/>
    </row>
    <row r="2702" spans="1:8" ht="15.75">
      <c r="A2702" s="119"/>
      <c r="B2702" s="88"/>
      <c r="C2702" s="52"/>
      <c r="D2702" s="52"/>
      <c r="E2702" s="52"/>
      <c r="F2702" s="52"/>
      <c r="G2702" s="52"/>
      <c r="H2702" s="52"/>
    </row>
    <row r="2703" spans="1:8" ht="15.75">
      <c r="A2703" s="119"/>
      <c r="B2703" s="88"/>
      <c r="C2703" s="52"/>
      <c r="D2703" s="52"/>
      <c r="E2703" s="52"/>
      <c r="F2703" s="52"/>
      <c r="G2703" s="52"/>
      <c r="H2703" s="52"/>
    </row>
    <row r="2704" spans="1:8" ht="15.75">
      <c r="A2704" s="119"/>
      <c r="B2704" s="88"/>
      <c r="C2704" s="52"/>
      <c r="D2704" s="52"/>
      <c r="E2704" s="52"/>
      <c r="F2704" s="52"/>
      <c r="G2704" s="52"/>
      <c r="H2704" s="52"/>
    </row>
    <row r="2705" spans="1:8" ht="15.75">
      <c r="A2705" s="119"/>
      <c r="B2705" s="88"/>
      <c r="C2705" s="52"/>
      <c r="D2705" s="52"/>
      <c r="E2705" s="52"/>
      <c r="F2705" s="52"/>
      <c r="G2705" s="52"/>
      <c r="H2705" s="52"/>
    </row>
    <row r="2706" spans="1:8" ht="15.75">
      <c r="A2706" s="119"/>
      <c r="B2706" s="88"/>
      <c r="C2706" s="52"/>
      <c r="D2706" s="52"/>
      <c r="E2706" s="52"/>
      <c r="F2706" s="52"/>
      <c r="G2706" s="52"/>
      <c r="H2706" s="52"/>
    </row>
    <row r="2707" spans="1:8" ht="15.75">
      <c r="A2707" s="119"/>
      <c r="B2707" s="88"/>
      <c r="C2707" s="52"/>
      <c r="D2707" s="52"/>
      <c r="E2707" s="52"/>
      <c r="F2707" s="52"/>
      <c r="G2707" s="52"/>
      <c r="H2707" s="52"/>
    </row>
    <row r="2708" spans="1:8" ht="15.75">
      <c r="A2708" s="119"/>
      <c r="B2708" s="88"/>
      <c r="C2708" s="52"/>
      <c r="D2708" s="52"/>
      <c r="E2708" s="52"/>
      <c r="F2708" s="52"/>
      <c r="G2708" s="52"/>
      <c r="H2708" s="52"/>
    </row>
    <row r="2709" spans="1:8" ht="15.75">
      <c r="A2709" s="119"/>
      <c r="B2709" s="88"/>
      <c r="C2709" s="52"/>
      <c r="D2709" s="52"/>
      <c r="E2709" s="52"/>
      <c r="F2709" s="52"/>
      <c r="G2709" s="52"/>
      <c r="H2709" s="52"/>
    </row>
    <row r="2710" spans="1:8" ht="15.75">
      <c r="A2710" s="119"/>
      <c r="B2710" s="88"/>
      <c r="C2710" s="52"/>
      <c r="D2710" s="52"/>
      <c r="E2710" s="52"/>
      <c r="F2710" s="52"/>
      <c r="G2710" s="52"/>
      <c r="H2710" s="52"/>
    </row>
    <row r="2711" spans="1:8" ht="15.75">
      <c r="A2711" s="119"/>
      <c r="B2711" s="88"/>
      <c r="C2711" s="52"/>
      <c r="D2711" s="52"/>
      <c r="E2711" s="52"/>
      <c r="F2711" s="52"/>
      <c r="G2711" s="52"/>
      <c r="H2711" s="52"/>
    </row>
    <row r="2712" spans="1:8" ht="15.75">
      <c r="A2712" s="119"/>
      <c r="B2712" s="88"/>
      <c r="C2712" s="52"/>
      <c r="D2712" s="52"/>
      <c r="E2712" s="52"/>
      <c r="F2712" s="52"/>
      <c r="G2712" s="52"/>
      <c r="H2712" s="52"/>
    </row>
    <row r="2713" spans="1:8" ht="15.75">
      <c r="A2713" s="119"/>
      <c r="B2713" s="88"/>
      <c r="C2713" s="52"/>
      <c r="D2713" s="52"/>
      <c r="E2713" s="52"/>
      <c r="F2713" s="52"/>
      <c r="G2713" s="52"/>
      <c r="H2713" s="52"/>
    </row>
    <row r="2714" spans="1:8" ht="15.75">
      <c r="A2714" s="119"/>
      <c r="B2714" s="88"/>
      <c r="C2714" s="52"/>
      <c r="D2714" s="52"/>
      <c r="E2714" s="52"/>
      <c r="F2714" s="52"/>
      <c r="G2714" s="52"/>
      <c r="H2714" s="52"/>
    </row>
    <row r="2715" spans="1:8" ht="15.75">
      <c r="A2715" s="119"/>
      <c r="B2715" s="88"/>
      <c r="C2715" s="52"/>
      <c r="D2715" s="52"/>
      <c r="E2715" s="52"/>
      <c r="F2715" s="52"/>
      <c r="G2715" s="52"/>
      <c r="H2715" s="52"/>
    </row>
    <row r="2716" spans="1:8" ht="15.75">
      <c r="A2716" s="119"/>
      <c r="B2716" s="88"/>
      <c r="C2716" s="52"/>
      <c r="D2716" s="52"/>
      <c r="E2716" s="52"/>
      <c r="F2716" s="52"/>
      <c r="G2716" s="52"/>
      <c r="H2716" s="52"/>
    </row>
    <row r="2717" spans="1:8" ht="15.75">
      <c r="A2717" s="119"/>
      <c r="B2717" s="88"/>
      <c r="C2717" s="52"/>
      <c r="D2717" s="52"/>
      <c r="E2717" s="52"/>
      <c r="F2717" s="52"/>
      <c r="G2717" s="52"/>
      <c r="H2717" s="52"/>
    </row>
    <row r="2718" spans="1:8" ht="15.75">
      <c r="A2718" s="119"/>
      <c r="B2718" s="88"/>
      <c r="C2718" s="52"/>
      <c r="D2718" s="52"/>
      <c r="E2718" s="52"/>
      <c r="F2718" s="52"/>
      <c r="G2718" s="52"/>
      <c r="H2718" s="52"/>
    </row>
    <row r="2719" spans="1:8" ht="15.75">
      <c r="A2719" s="119"/>
      <c r="B2719" s="88"/>
      <c r="C2719" s="52"/>
      <c r="D2719" s="52"/>
      <c r="E2719" s="52"/>
      <c r="F2719" s="52"/>
      <c r="G2719" s="52"/>
      <c r="H2719" s="52"/>
    </row>
    <row r="2720" spans="1:8" ht="15.75">
      <c r="A2720" s="119"/>
      <c r="B2720" s="88"/>
      <c r="C2720" s="52"/>
      <c r="D2720" s="52"/>
      <c r="E2720" s="52"/>
      <c r="F2720" s="52"/>
      <c r="G2720" s="52"/>
      <c r="H2720" s="52"/>
    </row>
    <row r="2721" spans="1:8" ht="15.75">
      <c r="A2721" s="119"/>
      <c r="B2721" s="88"/>
      <c r="C2721" s="52"/>
      <c r="D2721" s="52"/>
      <c r="E2721" s="52"/>
      <c r="F2721" s="52"/>
      <c r="G2721" s="52"/>
      <c r="H2721" s="52"/>
    </row>
    <row r="2722" spans="1:8" ht="15.75">
      <c r="A2722" s="119"/>
      <c r="B2722" s="88"/>
      <c r="C2722" s="52"/>
      <c r="D2722" s="52"/>
      <c r="E2722" s="52"/>
      <c r="F2722" s="52"/>
      <c r="G2722" s="52"/>
      <c r="H2722" s="52"/>
    </row>
    <row r="2723" spans="1:8" ht="15.75">
      <c r="A2723" s="119"/>
      <c r="B2723" s="88"/>
      <c r="C2723" s="52"/>
      <c r="D2723" s="52"/>
      <c r="E2723" s="52"/>
      <c r="F2723" s="52"/>
      <c r="G2723" s="52"/>
      <c r="H2723" s="52"/>
    </row>
    <row r="2724" spans="1:8" ht="15.75">
      <c r="A2724" s="119"/>
      <c r="B2724" s="88"/>
      <c r="C2724" s="52"/>
      <c r="D2724" s="52"/>
      <c r="E2724" s="52"/>
      <c r="F2724" s="52"/>
      <c r="G2724" s="52"/>
      <c r="H2724" s="52"/>
    </row>
    <row r="2725" spans="1:8" ht="15.75">
      <c r="A2725" s="119"/>
      <c r="B2725" s="88"/>
      <c r="C2725" s="52"/>
      <c r="D2725" s="52"/>
      <c r="E2725" s="52"/>
      <c r="F2725" s="52"/>
      <c r="G2725" s="52"/>
      <c r="H2725" s="52"/>
    </row>
    <row r="2726" spans="1:8" ht="15.75">
      <c r="A2726" s="119"/>
      <c r="B2726" s="88"/>
      <c r="C2726" s="52"/>
      <c r="D2726" s="52"/>
      <c r="E2726" s="52"/>
      <c r="F2726" s="52"/>
      <c r="G2726" s="52"/>
      <c r="H2726" s="52"/>
    </row>
    <row r="2727" spans="1:8" ht="15.75">
      <c r="A2727" s="119"/>
      <c r="B2727" s="88"/>
      <c r="C2727" s="52"/>
      <c r="D2727" s="52"/>
      <c r="E2727" s="52"/>
      <c r="F2727" s="52"/>
      <c r="G2727" s="52"/>
      <c r="H2727" s="52"/>
    </row>
    <row r="2728" spans="1:8" ht="15.75">
      <c r="A2728" s="119"/>
      <c r="B2728" s="88"/>
      <c r="C2728" s="52"/>
      <c r="D2728" s="52"/>
      <c r="E2728" s="52"/>
      <c r="F2728" s="52"/>
      <c r="G2728" s="52"/>
      <c r="H2728" s="52"/>
    </row>
    <row r="2729" spans="1:8" ht="15.75">
      <c r="A2729" s="119"/>
      <c r="B2729" s="88"/>
      <c r="C2729" s="52"/>
      <c r="D2729" s="52"/>
      <c r="E2729" s="52"/>
      <c r="F2729" s="52"/>
      <c r="G2729" s="52"/>
      <c r="H2729" s="52"/>
    </row>
    <row r="2730" spans="1:8" ht="15.75">
      <c r="A2730" s="119"/>
      <c r="B2730" s="88"/>
      <c r="C2730" s="52"/>
      <c r="D2730" s="52"/>
      <c r="E2730" s="52"/>
      <c r="F2730" s="52"/>
      <c r="G2730" s="52"/>
      <c r="H2730" s="52"/>
    </row>
    <row r="2731" spans="1:8" ht="15.75">
      <c r="A2731" s="119"/>
      <c r="B2731" s="88"/>
      <c r="C2731" s="52"/>
      <c r="D2731" s="52"/>
      <c r="E2731" s="52"/>
      <c r="F2731" s="52"/>
      <c r="G2731" s="52"/>
      <c r="H2731" s="52"/>
    </row>
    <row r="2732" spans="1:8" ht="15.75">
      <c r="A2732" s="119"/>
      <c r="B2732" s="88"/>
      <c r="C2732" s="52"/>
      <c r="D2732" s="52"/>
      <c r="E2732" s="52"/>
      <c r="F2732" s="52"/>
      <c r="G2732" s="52"/>
      <c r="H2732" s="52"/>
    </row>
    <row r="2733" spans="1:8" ht="15.75">
      <c r="A2733" s="119"/>
      <c r="B2733" s="88"/>
      <c r="C2733" s="52"/>
      <c r="D2733" s="52"/>
      <c r="E2733" s="52"/>
      <c r="F2733" s="52"/>
      <c r="G2733" s="52"/>
      <c r="H2733" s="52"/>
    </row>
    <row r="2734" spans="1:8" ht="15.75">
      <c r="A2734" s="119"/>
      <c r="B2734" s="88"/>
      <c r="C2734" s="52"/>
      <c r="D2734" s="52"/>
      <c r="E2734" s="52"/>
      <c r="F2734" s="52"/>
      <c r="G2734" s="52"/>
      <c r="H2734" s="52"/>
    </row>
    <row r="2735" spans="1:8" ht="15.75">
      <c r="A2735" s="119"/>
      <c r="B2735" s="88"/>
      <c r="C2735" s="52"/>
      <c r="D2735" s="52"/>
      <c r="E2735" s="52"/>
      <c r="F2735" s="52"/>
      <c r="G2735" s="52"/>
      <c r="H2735" s="52"/>
    </row>
    <row r="2736" spans="1:8" ht="15.75">
      <c r="A2736" s="119"/>
      <c r="B2736" s="88"/>
      <c r="C2736" s="52"/>
      <c r="D2736" s="52"/>
      <c r="E2736" s="52"/>
      <c r="F2736" s="52"/>
      <c r="G2736" s="52"/>
      <c r="H2736" s="52"/>
    </row>
    <row r="2737" spans="1:8" ht="15.75">
      <c r="A2737" s="119"/>
      <c r="B2737" s="88"/>
      <c r="C2737" s="52"/>
      <c r="D2737" s="52"/>
      <c r="E2737" s="52"/>
      <c r="F2737" s="52"/>
      <c r="G2737" s="52"/>
      <c r="H2737" s="52"/>
    </row>
    <row r="2738" spans="1:8" ht="15.75">
      <c r="A2738" s="119"/>
      <c r="B2738" s="88"/>
      <c r="C2738" s="52"/>
      <c r="D2738" s="52"/>
      <c r="E2738" s="52"/>
      <c r="F2738" s="52"/>
      <c r="G2738" s="52"/>
      <c r="H2738" s="52"/>
    </row>
    <row r="2739" spans="1:8" ht="15.75">
      <c r="A2739" s="119"/>
      <c r="B2739" s="88"/>
      <c r="C2739" s="52"/>
      <c r="D2739" s="52"/>
      <c r="E2739" s="52"/>
      <c r="F2739" s="52"/>
      <c r="G2739" s="52"/>
      <c r="H2739" s="52"/>
    </row>
    <row r="2740" spans="1:8" ht="15.75">
      <c r="A2740" s="119"/>
      <c r="B2740" s="88"/>
      <c r="C2740" s="52"/>
      <c r="D2740" s="52"/>
      <c r="E2740" s="52"/>
      <c r="F2740" s="52"/>
      <c r="G2740" s="52"/>
      <c r="H2740" s="52"/>
    </row>
    <row r="2741" spans="1:8" ht="15.75">
      <c r="A2741" s="119"/>
      <c r="B2741" s="88"/>
      <c r="C2741" s="52"/>
      <c r="D2741" s="52"/>
      <c r="E2741" s="52"/>
      <c r="F2741" s="52"/>
      <c r="G2741" s="52"/>
      <c r="H2741" s="52"/>
    </row>
    <row r="2742" spans="1:8" ht="15.75">
      <c r="A2742" s="119"/>
      <c r="B2742" s="88"/>
      <c r="C2742" s="52"/>
      <c r="D2742" s="52"/>
      <c r="E2742" s="52"/>
      <c r="F2742" s="52"/>
      <c r="G2742" s="52"/>
      <c r="H2742" s="52"/>
    </row>
    <row r="2743" spans="1:8" ht="15.75">
      <c r="A2743" s="119"/>
      <c r="B2743" s="88"/>
      <c r="C2743" s="52"/>
      <c r="D2743" s="52"/>
      <c r="E2743" s="52"/>
      <c r="F2743" s="52"/>
      <c r="G2743" s="52"/>
      <c r="H2743" s="52"/>
    </row>
    <row r="2744" spans="1:8" ht="15.75">
      <c r="A2744" s="119"/>
      <c r="B2744" s="88"/>
      <c r="C2744" s="52"/>
      <c r="D2744" s="52"/>
      <c r="E2744" s="52"/>
      <c r="F2744" s="52"/>
      <c r="G2744" s="52"/>
      <c r="H2744" s="52"/>
    </row>
    <row r="2745" spans="1:8" ht="15.75">
      <c r="A2745" s="119"/>
      <c r="B2745" s="88"/>
      <c r="C2745" s="52"/>
      <c r="D2745" s="52"/>
      <c r="E2745" s="52"/>
      <c r="F2745" s="52"/>
      <c r="G2745" s="52"/>
      <c r="H2745" s="52"/>
    </row>
    <row r="2746" spans="1:8" ht="15.75">
      <c r="A2746" s="119"/>
      <c r="B2746" s="88"/>
      <c r="C2746" s="52"/>
      <c r="D2746" s="52"/>
      <c r="E2746" s="52"/>
      <c r="F2746" s="52"/>
      <c r="G2746" s="52"/>
      <c r="H2746" s="52"/>
    </row>
    <row r="2747" spans="1:8" ht="15.75">
      <c r="A2747" s="119"/>
      <c r="B2747" s="88"/>
      <c r="C2747" s="52"/>
      <c r="D2747" s="52"/>
      <c r="E2747" s="52"/>
      <c r="F2747" s="52"/>
      <c r="G2747" s="52"/>
      <c r="H2747" s="52"/>
    </row>
    <row r="2748" spans="1:8" ht="15.75">
      <c r="A2748" s="119"/>
      <c r="B2748" s="88"/>
      <c r="C2748" s="52"/>
      <c r="D2748" s="52"/>
      <c r="E2748" s="52"/>
      <c r="F2748" s="52"/>
      <c r="G2748" s="52"/>
      <c r="H2748" s="52"/>
    </row>
    <row r="2749" spans="1:8" ht="15.75">
      <c r="A2749" s="119"/>
      <c r="B2749" s="88"/>
      <c r="C2749" s="52"/>
      <c r="D2749" s="52"/>
      <c r="E2749" s="52"/>
      <c r="F2749" s="52"/>
      <c r="G2749" s="52"/>
      <c r="H2749" s="52"/>
    </row>
    <row r="2750" spans="1:8" ht="15.75">
      <c r="A2750" s="119"/>
      <c r="B2750" s="88"/>
      <c r="C2750" s="52"/>
      <c r="D2750" s="52"/>
      <c r="E2750" s="52"/>
      <c r="F2750" s="52"/>
      <c r="G2750" s="52"/>
      <c r="H2750" s="52"/>
    </row>
    <row r="2751" spans="1:8" ht="15.75">
      <c r="A2751" s="119"/>
      <c r="B2751" s="88"/>
      <c r="C2751" s="52"/>
      <c r="D2751" s="52"/>
      <c r="E2751" s="52"/>
      <c r="F2751" s="52"/>
      <c r="G2751" s="52"/>
      <c r="H2751" s="52"/>
    </row>
    <row r="2752" spans="1:8" ht="15.75">
      <c r="A2752" s="119"/>
      <c r="B2752" s="88"/>
      <c r="C2752" s="52"/>
      <c r="D2752" s="52"/>
      <c r="E2752" s="52"/>
      <c r="F2752" s="52"/>
      <c r="G2752" s="52"/>
      <c r="H2752" s="52"/>
    </row>
    <row r="2753" spans="1:8" ht="15.75">
      <c r="A2753" s="119"/>
      <c r="B2753" s="88"/>
      <c r="C2753" s="52"/>
      <c r="D2753" s="52"/>
      <c r="E2753" s="52"/>
      <c r="F2753" s="52"/>
      <c r="G2753" s="52"/>
      <c r="H2753" s="52"/>
    </row>
    <row r="2754" spans="1:8" ht="15.75">
      <c r="A2754" s="119"/>
      <c r="B2754" s="88"/>
      <c r="C2754" s="52"/>
      <c r="D2754" s="52"/>
      <c r="E2754" s="52"/>
      <c r="F2754" s="52"/>
      <c r="G2754" s="52"/>
      <c r="H2754" s="52"/>
    </row>
    <row r="2755" spans="1:8" ht="15.75">
      <c r="A2755" s="119"/>
      <c r="B2755" s="88"/>
      <c r="C2755" s="52"/>
      <c r="D2755" s="52"/>
      <c r="E2755" s="52"/>
      <c r="F2755" s="52"/>
      <c r="G2755" s="52"/>
      <c r="H2755" s="52"/>
    </row>
    <row r="2756" spans="1:8" ht="15.75">
      <c r="A2756" s="119"/>
      <c r="B2756" s="88"/>
      <c r="C2756" s="52"/>
      <c r="D2756" s="52"/>
      <c r="E2756" s="52"/>
      <c r="F2756" s="52"/>
      <c r="G2756" s="52"/>
      <c r="H2756" s="52"/>
    </row>
    <row r="2757" spans="1:8" ht="15.75">
      <c r="A2757" s="119"/>
      <c r="B2757" s="88"/>
      <c r="C2757" s="52"/>
      <c r="D2757" s="52"/>
      <c r="E2757" s="52"/>
      <c r="F2757" s="52"/>
      <c r="G2757" s="52"/>
      <c r="H2757" s="52"/>
    </row>
    <row r="2758" spans="1:8" ht="15.75">
      <c r="A2758" s="119"/>
      <c r="B2758" s="88"/>
      <c r="C2758" s="52"/>
      <c r="D2758" s="52"/>
      <c r="E2758" s="52"/>
      <c r="F2758" s="52"/>
      <c r="G2758" s="52"/>
      <c r="H2758" s="52"/>
    </row>
    <row r="2759" spans="1:8" ht="15.75">
      <c r="A2759" s="119"/>
      <c r="B2759" s="88"/>
      <c r="C2759" s="52"/>
      <c r="D2759" s="52"/>
      <c r="E2759" s="52"/>
      <c r="F2759" s="52"/>
      <c r="G2759" s="52"/>
      <c r="H2759" s="52"/>
    </row>
    <row r="2760" spans="1:8" ht="15.75">
      <c r="A2760" s="119"/>
      <c r="B2760" s="88"/>
      <c r="C2760" s="52"/>
      <c r="D2760" s="52"/>
      <c r="E2760" s="52"/>
      <c r="F2760" s="52"/>
      <c r="G2760" s="52"/>
      <c r="H2760" s="52"/>
    </row>
    <row r="2761" spans="1:8" ht="15.75">
      <c r="A2761" s="119"/>
      <c r="B2761" s="88"/>
      <c r="C2761" s="52"/>
      <c r="D2761" s="52"/>
      <c r="E2761" s="52"/>
      <c r="F2761" s="52"/>
      <c r="G2761" s="52"/>
      <c r="H2761" s="52"/>
    </row>
    <row r="2762" spans="1:8" ht="15.75">
      <c r="A2762" s="119"/>
      <c r="B2762" s="88"/>
      <c r="C2762" s="52"/>
      <c r="D2762" s="52"/>
      <c r="E2762" s="52"/>
      <c r="F2762" s="52"/>
      <c r="G2762" s="52"/>
      <c r="H2762" s="52"/>
    </row>
    <row r="2763" spans="1:8" ht="15.75">
      <c r="A2763" s="119"/>
      <c r="B2763" s="88"/>
      <c r="C2763" s="52"/>
      <c r="D2763" s="52"/>
      <c r="E2763" s="52"/>
      <c r="F2763" s="52"/>
      <c r="G2763" s="52"/>
      <c r="H2763" s="52"/>
    </row>
    <row r="2764" spans="1:8" ht="15.75">
      <c r="A2764" s="119"/>
      <c r="B2764" s="88"/>
      <c r="C2764" s="52"/>
      <c r="D2764" s="52"/>
      <c r="E2764" s="52"/>
      <c r="F2764" s="52"/>
      <c r="G2764" s="52"/>
      <c r="H2764" s="52"/>
    </row>
    <row r="2765" spans="1:8" ht="15.75">
      <c r="A2765" s="119"/>
      <c r="B2765" s="88"/>
      <c r="C2765" s="52"/>
      <c r="D2765" s="52"/>
      <c r="E2765" s="52"/>
      <c r="F2765" s="52"/>
      <c r="G2765" s="52"/>
      <c r="H2765" s="52"/>
    </row>
    <row r="2766" spans="1:8" ht="15.75">
      <c r="A2766" s="119"/>
      <c r="B2766" s="88"/>
      <c r="C2766" s="52"/>
      <c r="D2766" s="52"/>
      <c r="E2766" s="52"/>
      <c r="F2766" s="52"/>
      <c r="G2766" s="52"/>
      <c r="H2766" s="52"/>
    </row>
    <row r="2767" spans="1:8" ht="15.75">
      <c r="A2767" s="119"/>
      <c r="B2767" s="88"/>
      <c r="C2767" s="52"/>
      <c r="D2767" s="52"/>
      <c r="E2767" s="52"/>
      <c r="F2767" s="52"/>
      <c r="G2767" s="52"/>
      <c r="H2767" s="52"/>
    </row>
    <row r="2768" spans="1:8" ht="15.75">
      <c r="A2768" s="119"/>
      <c r="B2768" s="88"/>
      <c r="C2768" s="52"/>
      <c r="D2768" s="52"/>
      <c r="E2768" s="52"/>
      <c r="F2768" s="52"/>
      <c r="G2768" s="52"/>
      <c r="H2768" s="52"/>
    </row>
    <row r="2769" spans="1:8" ht="15.75">
      <c r="A2769" s="119"/>
      <c r="B2769" s="88"/>
      <c r="C2769" s="52"/>
      <c r="D2769" s="52"/>
      <c r="E2769" s="52"/>
      <c r="F2769" s="52"/>
      <c r="G2769" s="52"/>
      <c r="H2769" s="52"/>
    </row>
    <row r="2770" spans="1:8" ht="15.75">
      <c r="A2770" s="119"/>
      <c r="B2770" s="88"/>
      <c r="C2770" s="52"/>
      <c r="D2770" s="52"/>
      <c r="E2770" s="52"/>
      <c r="F2770" s="52"/>
      <c r="G2770" s="52"/>
      <c r="H2770" s="52"/>
    </row>
    <row r="2771" spans="1:8" ht="15.75">
      <c r="A2771" s="119"/>
      <c r="B2771" s="88"/>
      <c r="C2771" s="52"/>
      <c r="D2771" s="52"/>
      <c r="E2771" s="52"/>
      <c r="F2771" s="52"/>
      <c r="G2771" s="52"/>
      <c r="H2771" s="52"/>
    </row>
    <row r="2772" spans="1:8" ht="15.75">
      <c r="A2772" s="119"/>
      <c r="B2772" s="88"/>
      <c r="C2772" s="52"/>
      <c r="D2772" s="52"/>
      <c r="E2772" s="52"/>
      <c r="F2772" s="52"/>
      <c r="G2772" s="52"/>
      <c r="H2772" s="52"/>
    </row>
    <row r="2773" spans="1:8" ht="15.75">
      <c r="A2773" s="119"/>
      <c r="B2773" s="88"/>
      <c r="C2773" s="52"/>
      <c r="D2773" s="52"/>
      <c r="E2773" s="52"/>
      <c r="F2773" s="52"/>
      <c r="G2773" s="52"/>
      <c r="H2773" s="52"/>
    </row>
    <row r="2774" spans="1:8" ht="15.75">
      <c r="A2774" s="119"/>
      <c r="B2774" s="88"/>
      <c r="C2774" s="52"/>
      <c r="D2774" s="52"/>
      <c r="E2774" s="52"/>
      <c r="F2774" s="52"/>
      <c r="G2774" s="52"/>
      <c r="H2774" s="52"/>
    </row>
    <row r="2775" spans="1:8" ht="15.75">
      <c r="A2775" s="119"/>
      <c r="B2775" s="88"/>
      <c r="C2775" s="52"/>
      <c r="D2775" s="52"/>
      <c r="E2775" s="52"/>
      <c r="F2775" s="52"/>
      <c r="G2775" s="52"/>
      <c r="H2775" s="52"/>
    </row>
    <row r="2776" spans="1:8" ht="15.75">
      <c r="A2776" s="119"/>
      <c r="B2776" s="88"/>
      <c r="C2776" s="52"/>
      <c r="D2776" s="52"/>
      <c r="E2776" s="52"/>
      <c r="F2776" s="52"/>
      <c r="G2776" s="52"/>
      <c r="H2776" s="52"/>
    </row>
    <row r="2777" spans="1:8" ht="15.75">
      <c r="A2777" s="119"/>
      <c r="B2777" s="88"/>
      <c r="C2777" s="52"/>
      <c r="D2777" s="52"/>
      <c r="E2777" s="52"/>
      <c r="F2777" s="52"/>
      <c r="G2777" s="52"/>
      <c r="H2777" s="52"/>
    </row>
    <row r="2778" spans="1:8" ht="15.75">
      <c r="A2778" s="119"/>
      <c r="B2778" s="88"/>
      <c r="C2778" s="52"/>
      <c r="D2778" s="52"/>
      <c r="E2778" s="52"/>
      <c r="F2778" s="52"/>
      <c r="G2778" s="52"/>
      <c r="H2778" s="52"/>
    </row>
    <row r="2779" spans="1:8" ht="15.75">
      <c r="A2779" s="119"/>
      <c r="B2779" s="88"/>
      <c r="C2779" s="52"/>
      <c r="D2779" s="52"/>
      <c r="E2779" s="52"/>
      <c r="F2779" s="52"/>
      <c r="G2779" s="52"/>
      <c r="H2779" s="52"/>
    </row>
    <row r="2780" spans="1:8" ht="15.75">
      <c r="A2780" s="119"/>
      <c r="B2780" s="88"/>
      <c r="C2780" s="52"/>
      <c r="D2780" s="52"/>
      <c r="E2780" s="52"/>
      <c r="F2780" s="52"/>
      <c r="G2780" s="52"/>
      <c r="H2780" s="52"/>
    </row>
    <row r="2781" spans="1:8" ht="15.75">
      <c r="A2781" s="119"/>
      <c r="B2781" s="88"/>
      <c r="C2781" s="52"/>
      <c r="D2781" s="52"/>
      <c r="E2781" s="52"/>
      <c r="F2781" s="52"/>
      <c r="G2781" s="52"/>
      <c r="H2781" s="52"/>
    </row>
    <row r="2782" spans="1:8" ht="15.75">
      <c r="A2782" s="119"/>
      <c r="B2782" s="88"/>
      <c r="C2782" s="52"/>
      <c r="D2782" s="52"/>
      <c r="E2782" s="52"/>
      <c r="F2782" s="52"/>
      <c r="G2782" s="52"/>
      <c r="H2782" s="52"/>
    </row>
    <row r="2783" spans="1:8" ht="15.75">
      <c r="A2783" s="119"/>
      <c r="B2783" s="88"/>
      <c r="C2783" s="52"/>
      <c r="D2783" s="52"/>
      <c r="E2783" s="52"/>
      <c r="F2783" s="52"/>
      <c r="G2783" s="52"/>
      <c r="H2783" s="52"/>
    </row>
    <row r="2784" spans="1:8" ht="15.75">
      <c r="A2784" s="119"/>
      <c r="B2784" s="88"/>
      <c r="C2784" s="52"/>
      <c r="D2784" s="52"/>
      <c r="E2784" s="52"/>
      <c r="F2784" s="52"/>
      <c r="G2784" s="52"/>
      <c r="H2784" s="52"/>
    </row>
    <row r="2785" spans="1:8" ht="15.75">
      <c r="A2785" s="119"/>
      <c r="B2785" s="88"/>
      <c r="C2785" s="52"/>
      <c r="D2785" s="52"/>
      <c r="E2785" s="52"/>
      <c r="F2785" s="52"/>
      <c r="G2785" s="52"/>
      <c r="H2785" s="52"/>
    </row>
    <row r="2786" spans="1:8" ht="15.75">
      <c r="A2786" s="119"/>
      <c r="B2786" s="88"/>
      <c r="C2786" s="52"/>
      <c r="D2786" s="52"/>
      <c r="E2786" s="52"/>
      <c r="F2786" s="52"/>
      <c r="G2786" s="52"/>
      <c r="H2786" s="52"/>
    </row>
    <row r="2787" spans="1:8" ht="15.75">
      <c r="A2787" s="119"/>
      <c r="B2787" s="88"/>
      <c r="C2787" s="52"/>
      <c r="D2787" s="52"/>
      <c r="E2787" s="52"/>
      <c r="F2787" s="52"/>
      <c r="G2787" s="52"/>
      <c r="H2787" s="52"/>
    </row>
    <row r="2788" spans="1:8" ht="15.75">
      <c r="A2788" s="119"/>
      <c r="B2788" s="88"/>
      <c r="C2788" s="52"/>
      <c r="D2788" s="52"/>
      <c r="E2788" s="52"/>
      <c r="F2788" s="52"/>
      <c r="G2788" s="52"/>
      <c r="H2788" s="52"/>
    </row>
    <row r="2789" spans="1:8" ht="15.75">
      <c r="A2789" s="119"/>
      <c r="B2789" s="88"/>
      <c r="C2789" s="52"/>
      <c r="D2789" s="52"/>
      <c r="E2789" s="52"/>
      <c r="F2789" s="52"/>
      <c r="G2789" s="52"/>
      <c r="H2789" s="52"/>
    </row>
    <row r="2790" spans="1:8" ht="15.75">
      <c r="A2790" s="119"/>
      <c r="B2790" s="88"/>
      <c r="C2790" s="52"/>
      <c r="D2790" s="52"/>
      <c r="E2790" s="52"/>
      <c r="F2790" s="52"/>
      <c r="G2790" s="52"/>
      <c r="H2790" s="52"/>
    </row>
    <row r="2791" spans="1:8" ht="15.75">
      <c r="A2791" s="119"/>
      <c r="B2791" s="88"/>
      <c r="C2791" s="52"/>
      <c r="D2791" s="52"/>
      <c r="E2791" s="52"/>
      <c r="F2791" s="52"/>
      <c r="G2791" s="52"/>
      <c r="H2791" s="52"/>
    </row>
    <row r="2792" spans="1:8" ht="15.75">
      <c r="A2792" s="119"/>
      <c r="B2792" s="88"/>
      <c r="C2792" s="52"/>
      <c r="D2792" s="52"/>
      <c r="E2792" s="52"/>
      <c r="F2792" s="52"/>
      <c r="G2792" s="52"/>
      <c r="H2792" s="52"/>
    </row>
    <row r="2793" spans="1:8" ht="15.75">
      <c r="A2793" s="119"/>
      <c r="B2793" s="88"/>
      <c r="C2793" s="52"/>
      <c r="D2793" s="52"/>
      <c r="E2793" s="52"/>
      <c r="F2793" s="52"/>
      <c r="G2793" s="52"/>
      <c r="H2793" s="52"/>
    </row>
    <row r="2794" spans="1:8" ht="15.75">
      <c r="A2794" s="119"/>
      <c r="B2794" s="88"/>
      <c r="C2794" s="52"/>
      <c r="D2794" s="52"/>
      <c r="E2794" s="52"/>
      <c r="F2794" s="52"/>
      <c r="G2794" s="52"/>
      <c r="H2794" s="52"/>
    </row>
    <row r="2795" spans="1:8" ht="15.75">
      <c r="A2795" s="119"/>
      <c r="B2795" s="88"/>
      <c r="C2795" s="52"/>
      <c r="D2795" s="52"/>
      <c r="E2795" s="52"/>
      <c r="F2795" s="52"/>
      <c r="G2795" s="52"/>
      <c r="H2795" s="52"/>
    </row>
    <row r="2796" spans="1:8" ht="15.75">
      <c r="A2796" s="119"/>
      <c r="B2796" s="88"/>
      <c r="C2796" s="52"/>
      <c r="D2796" s="52"/>
      <c r="E2796" s="52"/>
      <c r="F2796" s="52"/>
      <c r="G2796" s="52"/>
      <c r="H2796" s="52"/>
    </row>
    <row r="2797" spans="1:8" ht="15.75">
      <c r="A2797" s="119"/>
      <c r="B2797" s="88"/>
      <c r="C2797" s="52"/>
      <c r="D2797" s="52"/>
      <c r="E2797" s="52"/>
      <c r="F2797" s="52"/>
      <c r="G2797" s="52"/>
      <c r="H2797" s="52"/>
    </row>
    <row r="2798" spans="1:8" ht="15.75">
      <c r="A2798" s="119"/>
      <c r="B2798" s="88"/>
      <c r="C2798" s="52"/>
      <c r="D2798" s="52"/>
      <c r="E2798" s="52"/>
      <c r="F2798" s="52"/>
      <c r="G2798" s="52"/>
      <c r="H2798" s="52"/>
    </row>
    <row r="2799" spans="1:8" ht="15.75">
      <c r="A2799" s="119"/>
      <c r="B2799" s="88"/>
      <c r="C2799" s="52"/>
      <c r="D2799" s="52"/>
      <c r="E2799" s="52"/>
      <c r="F2799" s="52"/>
      <c r="G2799" s="52"/>
      <c r="H2799" s="52"/>
    </row>
    <row r="2800" spans="1:8" ht="15.75">
      <c r="A2800" s="119"/>
      <c r="B2800" s="88"/>
      <c r="C2800" s="52"/>
      <c r="D2800" s="52"/>
      <c r="E2800" s="52"/>
      <c r="F2800" s="52"/>
      <c r="G2800" s="52"/>
      <c r="H2800" s="52"/>
    </row>
    <row r="2801" spans="1:8" ht="15.75">
      <c r="A2801" s="119"/>
      <c r="B2801" s="88"/>
      <c r="C2801" s="52"/>
      <c r="D2801" s="52"/>
      <c r="E2801" s="52"/>
      <c r="F2801" s="52"/>
      <c r="G2801" s="52"/>
      <c r="H2801" s="52"/>
    </row>
    <row r="2802" spans="1:8" ht="15.75">
      <c r="A2802" s="119"/>
      <c r="B2802" s="88"/>
      <c r="C2802" s="52"/>
      <c r="D2802" s="52"/>
      <c r="E2802" s="52"/>
      <c r="F2802" s="52"/>
      <c r="G2802" s="52"/>
      <c r="H2802" s="52"/>
    </row>
    <row r="2803" spans="1:8" ht="15.75">
      <c r="A2803" s="119"/>
      <c r="B2803" s="88"/>
      <c r="C2803" s="52"/>
      <c r="D2803" s="52"/>
      <c r="E2803" s="52"/>
      <c r="F2803" s="52"/>
      <c r="G2803" s="52"/>
      <c r="H2803" s="52"/>
    </row>
    <row r="2804" spans="1:8" ht="15.75">
      <c r="A2804" s="119"/>
      <c r="B2804" s="88"/>
      <c r="C2804" s="52"/>
      <c r="D2804" s="52"/>
      <c r="E2804" s="52"/>
      <c r="F2804" s="52"/>
      <c r="G2804" s="52"/>
      <c r="H2804" s="52"/>
    </row>
    <row r="2805" spans="1:8" ht="15.75">
      <c r="A2805" s="119"/>
      <c r="B2805" s="88"/>
      <c r="C2805" s="52"/>
      <c r="D2805" s="52"/>
      <c r="E2805" s="52"/>
      <c r="F2805" s="52"/>
      <c r="G2805" s="52"/>
      <c r="H2805" s="52"/>
    </row>
    <row r="2806" spans="1:8" ht="15.75">
      <c r="A2806" s="119"/>
      <c r="B2806" s="88"/>
      <c r="C2806" s="52"/>
      <c r="D2806" s="52"/>
      <c r="E2806" s="52"/>
      <c r="F2806" s="52"/>
      <c r="G2806" s="52"/>
      <c r="H2806" s="52"/>
    </row>
    <row r="2807" spans="1:8" ht="15.75">
      <c r="A2807" s="119"/>
      <c r="B2807" s="88"/>
      <c r="C2807" s="52"/>
      <c r="D2807" s="52"/>
      <c r="E2807" s="52"/>
      <c r="F2807" s="52"/>
      <c r="G2807" s="52"/>
      <c r="H2807" s="52"/>
    </row>
    <row r="2808" spans="1:8" ht="15.75">
      <c r="A2808" s="119"/>
      <c r="B2808" s="88"/>
      <c r="C2808" s="52"/>
      <c r="D2808" s="52"/>
      <c r="E2808" s="52"/>
      <c r="F2808" s="52"/>
      <c r="G2808" s="52"/>
      <c r="H2808" s="52"/>
    </row>
    <row r="2809" spans="1:8" ht="15.75">
      <c r="A2809" s="119"/>
      <c r="B2809" s="88"/>
      <c r="C2809" s="52"/>
      <c r="D2809" s="52"/>
      <c r="E2809" s="52"/>
      <c r="F2809" s="52"/>
      <c r="G2809" s="52"/>
      <c r="H2809" s="52"/>
    </row>
    <row r="2810" spans="1:8" ht="15.75">
      <c r="A2810" s="119"/>
      <c r="B2810" s="88"/>
      <c r="C2810" s="52"/>
      <c r="D2810" s="52"/>
      <c r="E2810" s="52"/>
      <c r="F2810" s="52"/>
      <c r="G2810" s="52"/>
      <c r="H2810" s="52"/>
    </row>
    <row r="2811" spans="1:8" ht="15.75">
      <c r="A2811" s="119"/>
      <c r="B2811" s="88"/>
      <c r="C2811" s="52"/>
      <c r="D2811" s="52"/>
      <c r="E2811" s="52"/>
      <c r="F2811" s="52"/>
      <c r="G2811" s="52"/>
      <c r="H2811" s="52"/>
    </row>
    <row r="2812" spans="1:8" ht="15.75">
      <c r="A2812" s="119"/>
      <c r="B2812" s="88"/>
      <c r="C2812" s="52"/>
      <c r="D2812" s="52"/>
      <c r="E2812" s="52"/>
      <c r="F2812" s="52"/>
      <c r="G2812" s="52"/>
      <c r="H2812" s="52"/>
    </row>
    <row r="2813" spans="1:8" ht="15.75">
      <c r="A2813" s="119"/>
      <c r="B2813" s="88"/>
      <c r="C2813" s="52"/>
      <c r="D2813" s="52"/>
      <c r="E2813" s="52"/>
      <c r="F2813" s="52"/>
      <c r="G2813" s="52"/>
      <c r="H2813" s="52"/>
    </row>
    <row r="2814" spans="1:8" ht="15.75">
      <c r="A2814" s="119"/>
      <c r="B2814" s="88"/>
      <c r="C2814" s="52"/>
      <c r="D2814" s="52"/>
      <c r="E2814" s="52"/>
      <c r="F2814" s="52"/>
      <c r="G2814" s="52"/>
      <c r="H2814" s="52"/>
    </row>
    <row r="2815" spans="1:8" ht="15.75">
      <c r="A2815" s="119"/>
      <c r="B2815" s="88"/>
      <c r="C2815" s="52"/>
      <c r="D2815" s="52"/>
      <c r="E2815" s="52"/>
      <c r="F2815" s="52"/>
      <c r="G2815" s="52"/>
      <c r="H2815" s="52"/>
    </row>
    <row r="2816" spans="1:8" ht="15.75">
      <c r="A2816" s="119"/>
      <c r="B2816" s="88"/>
      <c r="C2816" s="52"/>
      <c r="D2816" s="52"/>
      <c r="E2816" s="52"/>
      <c r="F2816" s="52"/>
      <c r="G2816" s="52"/>
      <c r="H2816" s="52"/>
    </row>
    <row r="2817" spans="1:8" ht="15.75">
      <c r="A2817" s="119"/>
      <c r="B2817" s="88"/>
      <c r="C2817" s="52"/>
      <c r="D2817" s="52"/>
      <c r="E2817" s="52"/>
      <c r="F2817" s="52"/>
      <c r="G2817" s="52"/>
      <c r="H2817" s="52"/>
    </row>
    <row r="2818" spans="1:8" ht="15.75">
      <c r="A2818" s="119"/>
      <c r="B2818" s="88"/>
      <c r="C2818" s="52"/>
      <c r="D2818" s="52"/>
      <c r="E2818" s="52"/>
      <c r="F2818" s="52"/>
      <c r="G2818" s="52"/>
      <c r="H2818" s="52"/>
    </row>
    <row r="2819" spans="1:8" ht="15.75">
      <c r="A2819" s="119"/>
      <c r="B2819" s="88"/>
      <c r="C2819" s="52"/>
      <c r="D2819" s="52"/>
      <c r="E2819" s="52"/>
      <c r="F2819" s="52"/>
      <c r="G2819" s="52"/>
      <c r="H2819" s="52"/>
    </row>
    <row r="2820" spans="1:8" ht="15.75">
      <c r="A2820" s="119"/>
      <c r="B2820" s="88"/>
      <c r="C2820" s="52"/>
      <c r="D2820" s="52"/>
      <c r="E2820" s="52"/>
      <c r="F2820" s="52"/>
      <c r="G2820" s="52"/>
      <c r="H2820" s="52"/>
    </row>
    <row r="2821" spans="1:8" ht="15.75">
      <c r="A2821" s="119"/>
      <c r="B2821" s="88"/>
      <c r="C2821" s="52"/>
      <c r="D2821" s="52"/>
      <c r="E2821" s="52"/>
      <c r="F2821" s="52"/>
      <c r="G2821" s="52"/>
      <c r="H2821" s="52"/>
    </row>
    <row r="2822" spans="1:8" ht="15.75">
      <c r="A2822" s="119"/>
      <c r="B2822" s="88"/>
      <c r="C2822" s="52"/>
      <c r="D2822" s="52"/>
      <c r="E2822" s="52"/>
      <c r="F2822" s="52"/>
      <c r="G2822" s="52"/>
      <c r="H2822" s="52"/>
    </row>
    <row r="2823" spans="1:8" ht="15.75">
      <c r="A2823" s="119"/>
      <c r="B2823" s="88"/>
      <c r="C2823" s="52"/>
      <c r="D2823" s="52"/>
      <c r="E2823" s="52"/>
      <c r="F2823" s="52"/>
      <c r="G2823" s="52"/>
      <c r="H2823" s="52"/>
    </row>
    <row r="2824" spans="1:8" ht="15.75">
      <c r="A2824" s="119"/>
      <c r="B2824" s="88"/>
      <c r="C2824" s="52"/>
      <c r="D2824" s="52"/>
      <c r="E2824" s="52"/>
      <c r="F2824" s="52"/>
      <c r="G2824" s="52"/>
      <c r="H2824" s="52"/>
    </row>
    <row r="2825" spans="1:8" ht="15.75">
      <c r="A2825" s="119"/>
      <c r="B2825" s="88"/>
      <c r="C2825" s="52"/>
      <c r="D2825" s="52"/>
      <c r="E2825" s="52"/>
      <c r="F2825" s="52"/>
      <c r="G2825" s="52"/>
      <c r="H2825" s="52"/>
    </row>
    <row r="2826" spans="1:8" ht="15.75">
      <c r="A2826" s="119"/>
      <c r="B2826" s="88"/>
      <c r="C2826" s="52"/>
      <c r="D2826" s="52"/>
      <c r="E2826" s="52"/>
      <c r="F2826" s="52"/>
      <c r="G2826" s="52"/>
      <c r="H2826" s="52"/>
    </row>
    <row r="2827" spans="1:8" ht="15.75">
      <c r="A2827" s="119"/>
      <c r="B2827" s="88"/>
      <c r="C2827" s="52"/>
      <c r="D2827" s="52"/>
      <c r="E2827" s="52"/>
      <c r="F2827" s="52"/>
      <c r="G2827" s="52"/>
      <c r="H2827" s="52"/>
    </row>
    <row r="2828" spans="1:8" ht="15.75">
      <c r="A2828" s="119"/>
      <c r="B2828" s="88"/>
      <c r="C2828" s="52"/>
      <c r="D2828" s="52"/>
      <c r="E2828" s="52"/>
      <c r="F2828" s="52"/>
      <c r="G2828" s="52"/>
      <c r="H2828" s="52"/>
    </row>
    <row r="2829" spans="1:8" ht="15.75">
      <c r="A2829" s="119"/>
      <c r="B2829" s="88"/>
      <c r="C2829" s="52"/>
      <c r="D2829" s="52"/>
      <c r="E2829" s="52"/>
      <c r="F2829" s="52"/>
      <c r="G2829" s="52"/>
      <c r="H2829" s="52"/>
    </row>
    <row r="2830" spans="1:8" ht="15.75">
      <c r="A2830" s="119"/>
      <c r="B2830" s="88"/>
      <c r="C2830" s="52"/>
      <c r="D2830" s="52"/>
      <c r="E2830" s="52"/>
      <c r="F2830" s="52"/>
      <c r="G2830" s="52"/>
      <c r="H2830" s="52"/>
    </row>
    <row r="2831" spans="1:8" ht="15.75">
      <c r="A2831" s="119"/>
      <c r="B2831" s="88"/>
      <c r="C2831" s="52"/>
      <c r="D2831" s="52"/>
      <c r="E2831" s="52"/>
      <c r="F2831" s="52"/>
      <c r="G2831" s="52"/>
      <c r="H2831" s="52"/>
    </row>
    <row r="2832" spans="1:8" ht="15.75">
      <c r="A2832" s="119"/>
      <c r="B2832" s="88"/>
      <c r="C2832" s="52"/>
      <c r="D2832" s="52"/>
      <c r="E2832" s="52"/>
      <c r="F2832" s="52"/>
      <c r="G2832" s="52"/>
      <c r="H2832" s="52"/>
    </row>
    <row r="2833" spans="1:8" ht="15.75">
      <c r="A2833" s="119"/>
      <c r="B2833" s="88"/>
      <c r="C2833" s="52"/>
      <c r="D2833" s="52"/>
      <c r="E2833" s="52"/>
      <c r="F2833" s="52"/>
      <c r="G2833" s="52"/>
      <c r="H2833" s="52"/>
    </row>
    <row r="2834" spans="1:8" ht="15.75">
      <c r="A2834" s="119"/>
      <c r="B2834" s="88"/>
      <c r="C2834" s="52"/>
      <c r="D2834" s="52"/>
      <c r="E2834" s="52"/>
      <c r="F2834" s="52"/>
      <c r="G2834" s="52"/>
      <c r="H2834" s="52"/>
    </row>
    <row r="2835" spans="1:8" ht="15.75">
      <c r="A2835" s="119"/>
      <c r="B2835" s="88"/>
      <c r="C2835" s="52"/>
      <c r="D2835" s="52"/>
      <c r="E2835" s="52"/>
      <c r="F2835" s="52"/>
      <c r="G2835" s="52"/>
      <c r="H2835" s="52"/>
    </row>
    <row r="2836" spans="1:8" ht="15.75">
      <c r="A2836" s="119"/>
      <c r="B2836" s="88"/>
      <c r="C2836" s="52"/>
      <c r="D2836" s="52"/>
      <c r="E2836" s="52"/>
      <c r="F2836" s="52"/>
      <c r="G2836" s="52"/>
      <c r="H2836" s="52"/>
    </row>
    <row r="2837" spans="1:8" ht="15.75">
      <c r="A2837" s="119"/>
      <c r="B2837" s="88"/>
      <c r="C2837" s="52"/>
      <c r="D2837" s="52"/>
      <c r="E2837" s="52"/>
      <c r="F2837" s="52"/>
      <c r="G2837" s="52"/>
      <c r="H2837" s="52"/>
    </row>
    <row r="2838" spans="1:8" ht="15.75">
      <c r="A2838" s="119"/>
      <c r="B2838" s="88"/>
      <c r="C2838" s="52"/>
      <c r="D2838" s="52"/>
      <c r="E2838" s="52"/>
      <c r="F2838" s="52"/>
      <c r="G2838" s="52"/>
      <c r="H2838" s="52"/>
    </row>
    <row r="2839" spans="1:8" ht="15.75">
      <c r="A2839" s="119"/>
      <c r="B2839" s="88"/>
      <c r="C2839" s="52"/>
      <c r="D2839" s="52"/>
      <c r="E2839" s="52"/>
      <c r="F2839" s="52"/>
      <c r="G2839" s="52"/>
      <c r="H2839" s="52"/>
    </row>
    <row r="2840" spans="1:8" ht="15.75">
      <c r="A2840" s="119"/>
      <c r="B2840" s="88"/>
      <c r="C2840" s="52"/>
      <c r="D2840" s="52"/>
      <c r="E2840" s="52"/>
      <c r="F2840" s="52"/>
      <c r="G2840" s="52"/>
      <c r="H2840" s="52"/>
    </row>
    <row r="2841" spans="1:8" ht="15.75">
      <c r="A2841" s="119"/>
      <c r="B2841" s="88"/>
      <c r="C2841" s="52"/>
      <c r="D2841" s="52"/>
      <c r="E2841" s="52"/>
      <c r="F2841" s="52"/>
      <c r="G2841" s="52"/>
      <c r="H2841" s="52"/>
    </row>
    <row r="2842" spans="1:8" ht="15.75">
      <c r="A2842" s="119"/>
      <c r="B2842" s="88"/>
      <c r="C2842" s="52"/>
      <c r="D2842" s="52"/>
      <c r="E2842" s="52"/>
      <c r="F2842" s="52"/>
      <c r="G2842" s="52"/>
      <c r="H2842" s="52"/>
    </row>
    <row r="2843" spans="1:8" ht="15.75">
      <c r="A2843" s="119"/>
      <c r="B2843" s="88"/>
      <c r="C2843" s="52"/>
      <c r="D2843" s="52"/>
      <c r="E2843" s="52"/>
      <c r="F2843" s="52"/>
      <c r="G2843" s="52"/>
      <c r="H2843" s="52"/>
    </row>
    <row r="2844" spans="1:8" ht="15.75">
      <c r="A2844" s="119"/>
      <c r="B2844" s="88"/>
      <c r="C2844" s="52"/>
      <c r="D2844" s="52"/>
      <c r="E2844" s="52"/>
      <c r="F2844" s="52"/>
      <c r="G2844" s="52"/>
      <c r="H2844" s="52"/>
    </row>
    <row r="2845" spans="1:8" ht="15.75">
      <c r="A2845" s="119"/>
      <c r="B2845" s="88"/>
      <c r="C2845" s="52"/>
      <c r="D2845" s="52"/>
      <c r="E2845" s="52"/>
      <c r="F2845" s="52"/>
      <c r="G2845" s="52"/>
      <c r="H2845" s="52"/>
    </row>
    <row r="2846" spans="1:8" ht="15.75">
      <c r="A2846" s="119"/>
      <c r="B2846" s="88"/>
      <c r="C2846" s="52"/>
      <c r="D2846" s="52"/>
      <c r="E2846" s="52"/>
      <c r="F2846" s="52"/>
      <c r="G2846" s="52"/>
      <c r="H2846" s="52"/>
    </row>
    <row r="2847" spans="1:8" ht="15.75">
      <c r="A2847" s="119"/>
      <c r="B2847" s="88"/>
      <c r="C2847" s="52"/>
      <c r="D2847" s="52"/>
      <c r="E2847" s="52"/>
      <c r="F2847" s="52"/>
      <c r="G2847" s="52"/>
      <c r="H2847" s="52"/>
    </row>
    <row r="2848" spans="1:8" ht="15.75">
      <c r="A2848" s="119"/>
      <c r="B2848" s="88"/>
      <c r="C2848" s="52"/>
      <c r="D2848" s="52"/>
      <c r="E2848" s="52"/>
      <c r="F2848" s="52"/>
      <c r="G2848" s="52"/>
      <c r="H2848" s="52"/>
    </row>
    <row r="2849" spans="1:8" ht="15.75">
      <c r="A2849" s="119"/>
      <c r="B2849" s="88"/>
      <c r="C2849" s="52"/>
      <c r="D2849" s="52"/>
      <c r="E2849" s="52"/>
      <c r="F2849" s="52"/>
      <c r="G2849" s="52"/>
      <c r="H2849" s="52"/>
    </row>
    <row r="2850" spans="1:8" ht="15.75">
      <c r="A2850" s="119"/>
      <c r="B2850" s="88"/>
      <c r="C2850" s="52"/>
      <c r="D2850" s="52"/>
      <c r="E2850" s="52"/>
      <c r="F2850" s="52"/>
      <c r="G2850" s="52"/>
      <c r="H2850" s="52"/>
    </row>
    <row r="2851" spans="1:8" ht="15.75">
      <c r="A2851" s="119"/>
      <c r="B2851" s="88"/>
      <c r="C2851" s="52"/>
      <c r="D2851" s="52"/>
      <c r="E2851" s="52"/>
      <c r="F2851" s="52"/>
      <c r="G2851" s="52"/>
      <c r="H2851" s="52"/>
    </row>
    <row r="2852" spans="1:8" ht="15.75">
      <c r="A2852" s="119"/>
      <c r="B2852" s="88"/>
      <c r="C2852" s="52"/>
      <c r="D2852" s="52"/>
      <c r="E2852" s="52"/>
      <c r="F2852" s="52"/>
      <c r="G2852" s="52"/>
      <c r="H2852" s="52"/>
    </row>
    <row r="2853" spans="1:8" ht="15.75">
      <c r="A2853" s="119"/>
      <c r="B2853" s="88"/>
      <c r="C2853" s="52"/>
      <c r="D2853" s="52"/>
      <c r="E2853" s="52"/>
      <c r="F2853" s="52"/>
      <c r="G2853" s="52"/>
      <c r="H2853" s="52"/>
    </row>
    <row r="2854" spans="1:8" ht="15.75">
      <c r="A2854" s="119"/>
      <c r="B2854" s="88"/>
      <c r="C2854" s="52"/>
      <c r="D2854" s="52"/>
      <c r="E2854" s="52"/>
      <c r="F2854" s="52"/>
      <c r="G2854" s="52"/>
      <c r="H2854" s="52"/>
    </row>
    <row r="2855" spans="1:8" ht="15.75">
      <c r="A2855" s="119"/>
      <c r="B2855" s="88"/>
      <c r="C2855" s="52"/>
      <c r="D2855" s="52"/>
      <c r="E2855" s="52"/>
      <c r="F2855" s="52"/>
      <c r="G2855" s="52"/>
      <c r="H2855" s="52"/>
    </row>
    <row r="2856" spans="1:8" ht="15.75">
      <c r="A2856" s="119"/>
      <c r="B2856" s="88"/>
      <c r="C2856" s="52"/>
      <c r="D2856" s="52"/>
      <c r="E2856" s="52"/>
      <c r="F2856" s="52"/>
      <c r="G2856" s="52"/>
      <c r="H2856" s="52"/>
    </row>
    <row r="2857" spans="1:8" ht="15.75">
      <c r="A2857" s="119"/>
      <c r="B2857" s="88"/>
      <c r="C2857" s="52"/>
      <c r="D2857" s="52"/>
      <c r="E2857" s="52"/>
      <c r="F2857" s="52"/>
      <c r="G2857" s="52"/>
      <c r="H2857" s="52"/>
    </row>
    <row r="2858" spans="1:8" ht="15.75">
      <c r="A2858" s="119"/>
      <c r="B2858" s="88"/>
      <c r="C2858" s="52"/>
      <c r="D2858" s="52"/>
      <c r="E2858" s="52"/>
      <c r="F2858" s="52"/>
      <c r="G2858" s="52"/>
      <c r="H2858" s="52"/>
    </row>
    <row r="2859" spans="1:8" ht="15.75">
      <c r="A2859" s="119"/>
      <c r="B2859" s="88"/>
      <c r="C2859" s="52"/>
      <c r="D2859" s="52"/>
      <c r="E2859" s="52"/>
      <c r="F2859" s="52"/>
      <c r="G2859" s="52"/>
      <c r="H2859" s="52"/>
    </row>
    <row r="2860" spans="1:8" ht="15.75">
      <c r="A2860" s="119"/>
      <c r="B2860" s="88"/>
      <c r="C2860" s="52"/>
      <c r="D2860" s="52"/>
      <c r="E2860" s="52"/>
      <c r="F2860" s="52"/>
      <c r="G2860" s="52"/>
      <c r="H2860" s="52"/>
    </row>
    <row r="2861" spans="1:8" ht="15.75">
      <c r="A2861" s="119"/>
      <c r="B2861" s="88"/>
      <c r="C2861" s="52"/>
      <c r="D2861" s="52"/>
      <c r="E2861" s="52"/>
      <c r="F2861" s="52"/>
      <c r="G2861" s="52"/>
      <c r="H2861" s="52"/>
    </row>
    <row r="2862" spans="1:8" ht="15.75">
      <c r="A2862" s="119"/>
      <c r="B2862" s="88"/>
      <c r="C2862" s="52"/>
      <c r="D2862" s="52"/>
      <c r="E2862" s="52"/>
      <c r="F2862" s="52"/>
      <c r="G2862" s="52"/>
      <c r="H2862" s="52"/>
    </row>
    <row r="2863" spans="1:8" ht="15.75">
      <c r="A2863" s="119"/>
      <c r="B2863" s="88"/>
      <c r="C2863" s="52"/>
      <c r="D2863" s="52"/>
      <c r="E2863" s="52"/>
      <c r="F2863" s="52"/>
      <c r="G2863" s="52"/>
      <c r="H2863" s="52"/>
    </row>
    <row r="2864" spans="1:8" ht="15.75">
      <c r="A2864" s="119"/>
      <c r="B2864" s="88"/>
      <c r="C2864" s="52"/>
      <c r="D2864" s="52"/>
      <c r="E2864" s="52"/>
      <c r="F2864" s="52"/>
      <c r="G2864" s="52"/>
      <c r="H2864" s="52"/>
    </row>
    <row r="2865" spans="1:8" ht="15.75">
      <c r="A2865" s="119"/>
      <c r="B2865" s="88"/>
      <c r="C2865" s="52"/>
      <c r="D2865" s="52"/>
      <c r="E2865" s="52"/>
      <c r="F2865" s="52"/>
      <c r="G2865" s="52"/>
      <c r="H2865" s="52"/>
    </row>
    <row r="2866" spans="1:8" ht="15.75">
      <c r="A2866" s="119"/>
      <c r="B2866" s="88"/>
      <c r="C2866" s="52"/>
      <c r="D2866" s="52"/>
      <c r="E2866" s="52"/>
      <c r="F2866" s="52"/>
      <c r="G2866" s="52"/>
      <c r="H2866" s="52"/>
    </row>
    <row r="2867" spans="1:8" ht="15.75">
      <c r="A2867" s="119"/>
      <c r="B2867" s="88"/>
      <c r="C2867" s="52"/>
      <c r="D2867" s="52"/>
      <c r="E2867" s="52"/>
      <c r="F2867" s="52"/>
      <c r="G2867" s="52"/>
      <c r="H2867" s="52"/>
    </row>
    <row r="2868" spans="1:8" ht="15.75">
      <c r="A2868" s="119"/>
      <c r="B2868" s="88"/>
      <c r="C2868" s="52"/>
      <c r="D2868" s="52"/>
      <c r="E2868" s="52"/>
      <c r="F2868" s="52"/>
      <c r="G2868" s="52"/>
      <c r="H2868" s="52"/>
    </row>
    <row r="2869" spans="1:8" ht="15.75">
      <c r="A2869" s="119"/>
      <c r="B2869" s="88"/>
      <c r="C2869" s="52"/>
      <c r="D2869" s="52"/>
      <c r="E2869" s="52"/>
      <c r="F2869" s="52"/>
      <c r="G2869" s="52"/>
      <c r="H2869" s="52"/>
    </row>
    <row r="2870" spans="1:8" ht="15.75">
      <c r="A2870" s="119"/>
      <c r="B2870" s="88"/>
      <c r="C2870" s="52"/>
      <c r="D2870" s="52"/>
      <c r="E2870" s="52"/>
      <c r="F2870" s="52"/>
      <c r="G2870" s="52"/>
      <c r="H2870" s="52"/>
    </row>
    <row r="2871" spans="1:8" ht="15.75">
      <c r="A2871" s="119"/>
      <c r="B2871" s="88"/>
      <c r="C2871" s="52"/>
      <c r="D2871" s="52"/>
      <c r="E2871" s="52"/>
      <c r="F2871" s="52"/>
      <c r="G2871" s="52"/>
      <c r="H2871" s="52"/>
    </row>
    <row r="2872" spans="1:8" ht="15.75">
      <c r="A2872" s="119"/>
      <c r="B2872" s="88"/>
      <c r="C2872" s="52"/>
      <c r="D2872" s="52"/>
      <c r="E2872" s="52"/>
      <c r="F2872" s="52"/>
      <c r="G2872" s="52"/>
      <c r="H2872" s="52"/>
    </row>
    <row r="2873" spans="1:8" ht="15.75">
      <c r="A2873" s="119"/>
      <c r="B2873" s="88"/>
      <c r="C2873" s="52"/>
      <c r="D2873" s="52"/>
      <c r="E2873" s="52"/>
      <c r="F2873" s="52"/>
      <c r="G2873" s="52"/>
      <c r="H2873" s="52"/>
    </row>
    <row r="2874" spans="1:8" ht="15.75">
      <c r="A2874" s="119"/>
      <c r="B2874" s="88"/>
      <c r="C2874" s="52"/>
      <c r="D2874" s="52"/>
      <c r="E2874" s="52"/>
      <c r="F2874" s="52"/>
      <c r="G2874" s="52"/>
      <c r="H2874" s="52"/>
    </row>
    <row r="2875" spans="1:8" ht="15.75">
      <c r="A2875" s="119"/>
      <c r="B2875" s="88"/>
      <c r="C2875" s="52"/>
      <c r="D2875" s="52"/>
      <c r="E2875" s="52"/>
      <c r="F2875" s="52"/>
      <c r="G2875" s="52"/>
      <c r="H2875" s="52"/>
    </row>
    <row r="2876" spans="1:8" ht="15.75">
      <c r="A2876" s="119"/>
      <c r="B2876" s="88"/>
      <c r="C2876" s="52"/>
      <c r="D2876" s="52"/>
      <c r="E2876" s="52"/>
      <c r="F2876" s="52"/>
      <c r="G2876" s="52"/>
      <c r="H2876" s="52"/>
    </row>
    <row r="2877" spans="1:8" ht="15.75">
      <c r="A2877" s="119"/>
      <c r="B2877" s="88"/>
      <c r="C2877" s="52"/>
      <c r="D2877" s="52"/>
      <c r="E2877" s="52"/>
      <c r="F2877" s="52"/>
      <c r="G2877" s="52"/>
      <c r="H2877" s="52"/>
    </row>
    <row r="2878" spans="1:8" ht="15.75">
      <c r="A2878" s="119"/>
      <c r="B2878" s="88"/>
      <c r="C2878" s="52"/>
      <c r="D2878" s="52"/>
      <c r="E2878" s="52"/>
      <c r="F2878" s="52"/>
      <c r="G2878" s="52"/>
      <c r="H2878" s="52"/>
    </row>
    <row r="2879" spans="1:8" ht="15.75">
      <c r="A2879" s="119"/>
      <c r="B2879" s="88"/>
      <c r="C2879" s="52"/>
      <c r="D2879" s="52"/>
      <c r="E2879" s="52"/>
      <c r="F2879" s="52"/>
      <c r="G2879" s="52"/>
      <c r="H2879" s="52"/>
    </row>
    <row r="2880" spans="1:8" ht="15.75">
      <c r="A2880" s="119"/>
      <c r="B2880" s="88"/>
      <c r="C2880" s="52"/>
      <c r="D2880" s="52"/>
      <c r="E2880" s="52"/>
      <c r="F2880" s="52"/>
      <c r="G2880" s="52"/>
      <c r="H2880" s="52"/>
    </row>
    <row r="2881" spans="1:8" ht="15.75">
      <c r="A2881" s="119"/>
      <c r="B2881" s="88"/>
      <c r="C2881" s="52"/>
      <c r="D2881" s="52"/>
      <c r="E2881" s="52"/>
      <c r="F2881" s="52"/>
      <c r="G2881" s="52"/>
      <c r="H2881" s="52"/>
    </row>
    <row r="2882" spans="1:8" ht="15.75">
      <c r="A2882" s="119"/>
      <c r="B2882" s="88"/>
      <c r="C2882" s="52"/>
      <c r="D2882" s="52"/>
      <c r="E2882" s="52"/>
      <c r="F2882" s="52"/>
      <c r="G2882" s="52"/>
      <c r="H2882" s="52"/>
    </row>
    <row r="2883" spans="1:8" ht="15.75">
      <c r="A2883" s="119"/>
      <c r="B2883" s="88"/>
      <c r="C2883" s="52"/>
      <c r="D2883" s="52"/>
      <c r="E2883" s="52"/>
      <c r="F2883" s="52"/>
      <c r="G2883" s="52"/>
      <c r="H2883" s="52"/>
    </row>
    <row r="2884" spans="1:8" ht="15.75">
      <c r="A2884" s="119"/>
      <c r="B2884" s="88"/>
      <c r="C2884" s="52"/>
      <c r="D2884" s="52"/>
      <c r="E2884" s="52"/>
      <c r="F2884" s="52"/>
      <c r="G2884" s="52"/>
      <c r="H2884" s="52"/>
    </row>
    <row r="2885" spans="1:8" ht="15.75">
      <c r="A2885" s="119"/>
      <c r="B2885" s="88"/>
      <c r="C2885" s="52"/>
      <c r="D2885" s="52"/>
      <c r="E2885" s="52"/>
      <c r="F2885" s="52"/>
      <c r="G2885" s="52"/>
      <c r="H2885" s="52"/>
    </row>
    <row r="2886" spans="1:8" ht="15.75">
      <c r="A2886" s="119"/>
      <c r="B2886" s="88"/>
      <c r="C2886" s="52"/>
      <c r="D2886" s="52"/>
      <c r="E2886" s="52"/>
      <c r="F2886" s="52"/>
      <c r="G2886" s="52"/>
      <c r="H2886" s="52"/>
    </row>
    <row r="2887" spans="1:8" ht="15.75">
      <c r="A2887" s="119"/>
      <c r="B2887" s="88"/>
      <c r="C2887" s="52"/>
      <c r="D2887" s="52"/>
      <c r="E2887" s="52"/>
      <c r="F2887" s="52"/>
      <c r="G2887" s="52"/>
      <c r="H2887" s="52"/>
    </row>
    <row r="2888" spans="1:8" ht="15.75">
      <c r="A2888" s="119"/>
      <c r="B2888" s="88"/>
      <c r="C2888" s="52"/>
      <c r="D2888" s="52"/>
      <c r="E2888" s="52"/>
      <c r="F2888" s="52"/>
      <c r="G2888" s="52"/>
      <c r="H2888" s="52"/>
    </row>
    <row r="2889" spans="1:8" ht="15.75">
      <c r="A2889" s="119"/>
      <c r="B2889" s="88"/>
      <c r="C2889" s="52"/>
      <c r="D2889" s="52"/>
      <c r="E2889" s="52"/>
      <c r="F2889" s="52"/>
      <c r="G2889" s="52"/>
      <c r="H2889" s="52"/>
    </row>
    <row r="2890" spans="1:8" ht="15.75">
      <c r="A2890" s="119"/>
      <c r="B2890" s="88"/>
      <c r="C2890" s="52"/>
      <c r="D2890" s="52"/>
      <c r="E2890" s="52"/>
      <c r="F2890" s="52"/>
      <c r="G2890" s="52"/>
      <c r="H2890" s="52"/>
    </row>
    <row r="2891" spans="1:8" ht="15.75">
      <c r="A2891" s="119"/>
      <c r="B2891" s="88"/>
      <c r="C2891" s="52"/>
      <c r="D2891" s="52"/>
      <c r="E2891" s="52"/>
      <c r="F2891" s="52"/>
      <c r="G2891" s="52"/>
      <c r="H2891" s="52"/>
    </row>
    <row r="2892" spans="1:8" ht="15.75">
      <c r="A2892" s="119"/>
      <c r="B2892" s="88"/>
      <c r="C2892" s="52"/>
      <c r="D2892" s="52"/>
      <c r="E2892" s="52"/>
      <c r="F2892" s="52"/>
      <c r="G2892" s="52"/>
      <c r="H2892" s="52"/>
    </row>
    <row r="2893" spans="1:8" ht="15.75">
      <c r="A2893" s="119"/>
      <c r="B2893" s="88"/>
      <c r="C2893" s="52"/>
      <c r="D2893" s="52"/>
      <c r="E2893" s="52"/>
      <c r="F2893" s="52"/>
      <c r="G2893" s="52"/>
      <c r="H2893" s="52"/>
    </row>
    <row r="2894" spans="1:8" ht="15.75">
      <c r="A2894" s="119"/>
      <c r="B2894" s="88"/>
      <c r="C2894" s="52"/>
      <c r="D2894" s="52"/>
      <c r="E2894" s="52"/>
      <c r="F2894" s="52"/>
      <c r="G2894" s="52"/>
      <c r="H2894" s="52"/>
    </row>
    <row r="2895" spans="1:8" ht="15.75">
      <c r="A2895" s="119"/>
      <c r="B2895" s="88"/>
      <c r="C2895" s="52"/>
      <c r="D2895" s="52"/>
      <c r="E2895" s="52"/>
      <c r="F2895" s="52"/>
      <c r="G2895" s="52"/>
      <c r="H2895" s="52"/>
    </row>
    <row r="2896" spans="1:8" ht="15.75">
      <c r="A2896" s="119"/>
      <c r="B2896" s="88"/>
      <c r="C2896" s="52"/>
      <c r="D2896" s="52"/>
      <c r="E2896" s="52"/>
      <c r="F2896" s="52"/>
      <c r="G2896" s="52"/>
      <c r="H2896" s="52"/>
    </row>
    <row r="2897" spans="1:8" ht="15.75">
      <c r="A2897" s="119"/>
      <c r="B2897" s="88"/>
      <c r="C2897" s="52"/>
      <c r="D2897" s="52"/>
      <c r="E2897" s="52"/>
      <c r="F2897" s="52"/>
      <c r="G2897" s="52"/>
      <c r="H2897" s="52"/>
    </row>
    <row r="2898" spans="1:8" ht="15.75">
      <c r="A2898" s="119"/>
      <c r="B2898" s="88"/>
      <c r="C2898" s="52"/>
      <c r="D2898" s="52"/>
      <c r="E2898" s="52"/>
      <c r="F2898" s="52"/>
      <c r="G2898" s="52"/>
      <c r="H2898" s="52"/>
    </row>
    <row r="2899" spans="1:8" ht="15.75">
      <c r="A2899" s="119"/>
      <c r="B2899" s="88"/>
      <c r="C2899" s="52"/>
      <c r="D2899" s="52"/>
      <c r="E2899" s="52"/>
      <c r="F2899" s="52"/>
      <c r="G2899" s="52"/>
      <c r="H2899" s="52"/>
    </row>
    <row r="2900" spans="1:8" ht="15.75">
      <c r="A2900" s="119"/>
      <c r="B2900" s="88"/>
      <c r="C2900" s="52"/>
      <c r="D2900" s="52"/>
      <c r="E2900" s="52"/>
      <c r="F2900" s="52"/>
      <c r="G2900" s="52"/>
      <c r="H2900" s="52"/>
    </row>
    <row r="2901" spans="1:8" ht="15.75">
      <c r="A2901" s="119"/>
      <c r="B2901" s="88"/>
      <c r="C2901" s="52"/>
      <c r="D2901" s="52"/>
      <c r="E2901" s="52"/>
      <c r="F2901" s="52"/>
      <c r="G2901" s="52"/>
      <c r="H2901" s="52"/>
    </row>
    <row r="2902" spans="1:8" ht="15.75">
      <c r="A2902" s="119"/>
      <c r="B2902" s="88"/>
      <c r="C2902" s="52"/>
      <c r="D2902" s="52"/>
      <c r="E2902" s="52"/>
      <c r="F2902" s="52"/>
      <c r="G2902" s="52"/>
      <c r="H2902" s="52"/>
    </row>
    <row r="2903" spans="1:8" ht="15.75">
      <c r="A2903" s="119"/>
      <c r="B2903" s="88"/>
      <c r="C2903" s="52"/>
      <c r="D2903" s="52"/>
      <c r="E2903" s="52"/>
      <c r="F2903" s="52"/>
      <c r="G2903" s="52"/>
      <c r="H2903" s="52"/>
    </row>
    <row r="2904" spans="1:8" ht="15.75">
      <c r="A2904" s="119"/>
      <c r="B2904" s="88"/>
      <c r="C2904" s="52"/>
      <c r="D2904" s="52"/>
      <c r="E2904" s="52"/>
      <c r="F2904" s="52"/>
      <c r="G2904" s="52"/>
      <c r="H2904" s="52"/>
    </row>
    <row r="2905" spans="1:8" ht="15.75">
      <c r="A2905" s="119"/>
      <c r="B2905" s="88"/>
      <c r="C2905" s="52"/>
      <c r="D2905" s="52"/>
      <c r="E2905" s="52"/>
      <c r="F2905" s="52"/>
      <c r="G2905" s="52"/>
      <c r="H2905" s="52"/>
    </row>
    <row r="2906" spans="1:8" ht="15.75">
      <c r="A2906" s="119"/>
      <c r="B2906" s="88"/>
      <c r="C2906" s="52"/>
      <c r="D2906" s="52"/>
      <c r="E2906" s="52"/>
      <c r="F2906" s="52"/>
      <c r="G2906" s="52"/>
      <c r="H2906" s="52"/>
    </row>
    <row r="2907" spans="1:8" ht="15.75">
      <c r="A2907" s="119"/>
      <c r="B2907" s="88"/>
      <c r="C2907" s="52"/>
      <c r="D2907" s="52"/>
      <c r="E2907" s="52"/>
      <c r="F2907" s="52"/>
      <c r="G2907" s="52"/>
      <c r="H2907" s="52"/>
    </row>
    <row r="2908" spans="1:8" ht="15.75">
      <c r="A2908" s="119"/>
      <c r="B2908" s="88"/>
      <c r="C2908" s="52"/>
      <c r="D2908" s="52"/>
      <c r="E2908" s="52"/>
      <c r="F2908" s="52"/>
      <c r="G2908" s="52"/>
      <c r="H2908" s="52"/>
    </row>
    <row r="2909" spans="1:8" ht="15.75">
      <c r="A2909" s="119"/>
      <c r="B2909" s="88"/>
      <c r="C2909" s="52"/>
      <c r="D2909" s="52"/>
      <c r="E2909" s="52"/>
      <c r="F2909" s="52"/>
      <c r="G2909" s="52"/>
      <c r="H2909" s="52"/>
    </row>
    <row r="2910" spans="1:8" ht="15.75">
      <c r="A2910" s="119"/>
      <c r="B2910" s="88"/>
      <c r="C2910" s="52"/>
      <c r="D2910" s="52"/>
      <c r="E2910" s="52"/>
      <c r="F2910" s="52"/>
      <c r="G2910" s="52"/>
      <c r="H2910" s="52"/>
    </row>
    <row r="2911" spans="1:8" ht="15.75">
      <c r="A2911" s="119"/>
      <c r="B2911" s="88"/>
      <c r="C2911" s="52"/>
      <c r="D2911" s="52"/>
      <c r="E2911" s="52"/>
      <c r="F2911" s="52"/>
      <c r="G2911" s="52"/>
      <c r="H2911" s="52"/>
    </row>
    <row r="2912" spans="1:8" ht="15.75">
      <c r="A2912" s="119"/>
      <c r="B2912" s="88"/>
      <c r="C2912" s="52"/>
      <c r="D2912" s="52"/>
      <c r="E2912" s="52"/>
      <c r="F2912" s="52"/>
      <c r="G2912" s="52"/>
      <c r="H2912" s="52"/>
    </row>
    <row r="2913" spans="1:8" ht="15.75">
      <c r="A2913" s="119"/>
      <c r="B2913" s="88"/>
      <c r="C2913" s="52"/>
      <c r="D2913" s="52"/>
      <c r="E2913" s="52"/>
      <c r="F2913" s="52"/>
      <c r="G2913" s="52"/>
      <c r="H2913" s="52"/>
    </row>
    <row r="2914" spans="1:8" ht="15.75">
      <c r="A2914" s="119"/>
      <c r="B2914" s="88"/>
      <c r="C2914" s="52"/>
      <c r="D2914" s="52"/>
      <c r="E2914" s="52"/>
      <c r="F2914" s="52"/>
      <c r="G2914" s="52"/>
      <c r="H2914" s="52"/>
    </row>
    <row r="2915" spans="1:8" ht="15.75">
      <c r="A2915" s="119"/>
      <c r="B2915" s="88"/>
      <c r="C2915" s="52"/>
      <c r="D2915" s="52"/>
      <c r="E2915" s="52"/>
      <c r="F2915" s="52"/>
      <c r="G2915" s="52"/>
      <c r="H2915" s="52"/>
    </row>
    <row r="2916" spans="1:8" ht="15.75">
      <c r="A2916" s="119"/>
      <c r="B2916" s="88"/>
      <c r="C2916" s="52"/>
      <c r="D2916" s="52"/>
      <c r="E2916" s="52"/>
      <c r="F2916" s="52"/>
      <c r="G2916" s="52"/>
      <c r="H2916" s="52"/>
    </row>
    <row r="2917" spans="1:8" ht="15.75">
      <c r="A2917" s="119"/>
      <c r="B2917" s="88"/>
      <c r="C2917" s="52"/>
      <c r="D2917" s="52"/>
      <c r="E2917" s="52"/>
      <c r="F2917" s="52"/>
      <c r="G2917" s="52"/>
      <c r="H2917" s="52"/>
    </row>
    <row r="2918" spans="1:8" ht="15.75">
      <c r="A2918" s="119"/>
      <c r="B2918" s="88"/>
      <c r="C2918" s="52"/>
      <c r="D2918" s="52"/>
      <c r="E2918" s="52"/>
      <c r="F2918" s="52"/>
      <c r="G2918" s="52"/>
      <c r="H2918" s="52"/>
    </row>
    <row r="2919" spans="1:8" ht="15.75">
      <c r="A2919" s="119"/>
      <c r="B2919" s="88"/>
      <c r="C2919" s="52"/>
      <c r="D2919" s="52"/>
      <c r="E2919" s="52"/>
      <c r="F2919" s="52"/>
      <c r="G2919" s="52"/>
      <c r="H2919" s="52"/>
    </row>
    <row r="2920" spans="1:8" ht="15.75">
      <c r="A2920" s="119"/>
      <c r="B2920" s="88"/>
      <c r="C2920" s="52"/>
      <c r="D2920" s="52"/>
      <c r="E2920" s="52"/>
      <c r="F2920" s="52"/>
      <c r="G2920" s="52"/>
      <c r="H2920" s="52"/>
    </row>
    <row r="2921" spans="1:8" ht="15.75">
      <c r="A2921" s="119"/>
      <c r="B2921" s="88"/>
      <c r="C2921" s="52"/>
      <c r="D2921" s="52"/>
      <c r="E2921" s="52"/>
      <c r="F2921" s="52"/>
      <c r="G2921" s="52"/>
      <c r="H2921" s="52"/>
    </row>
    <row r="2922" spans="1:8" ht="15.75">
      <c r="A2922" s="119"/>
      <c r="B2922" s="88"/>
      <c r="C2922" s="52"/>
      <c r="D2922" s="52"/>
      <c r="E2922" s="52"/>
      <c r="F2922" s="52"/>
      <c r="G2922" s="52"/>
      <c r="H2922" s="52"/>
    </row>
    <row r="2923" spans="1:8" ht="15.75">
      <c r="A2923" s="119"/>
      <c r="B2923" s="88"/>
      <c r="C2923" s="52"/>
      <c r="D2923" s="52"/>
      <c r="E2923" s="52"/>
      <c r="F2923" s="52"/>
      <c r="G2923" s="52"/>
      <c r="H2923" s="52"/>
    </row>
    <row r="2924" spans="1:8" ht="15.75">
      <c r="A2924" s="119"/>
      <c r="B2924" s="88"/>
      <c r="C2924" s="52"/>
      <c r="D2924" s="52"/>
      <c r="E2924" s="52"/>
      <c r="F2924" s="52"/>
      <c r="G2924" s="52"/>
      <c r="H2924" s="52"/>
    </row>
    <row r="2925" spans="1:8" ht="15.75">
      <c r="A2925" s="119"/>
      <c r="B2925" s="88"/>
      <c r="C2925" s="52"/>
      <c r="D2925" s="52"/>
      <c r="E2925" s="52"/>
      <c r="F2925" s="52"/>
      <c r="G2925" s="52"/>
      <c r="H2925" s="52"/>
    </row>
    <row r="2926" spans="1:8" ht="15.75">
      <c r="A2926" s="119"/>
      <c r="B2926" s="88"/>
      <c r="C2926" s="52"/>
      <c r="D2926" s="52"/>
      <c r="E2926" s="52"/>
      <c r="F2926" s="52"/>
      <c r="G2926" s="52"/>
      <c r="H2926" s="52"/>
    </row>
    <row r="2927" spans="1:8" ht="15.75">
      <c r="A2927" s="119"/>
      <c r="B2927" s="88"/>
      <c r="C2927" s="52"/>
      <c r="D2927" s="52"/>
      <c r="E2927" s="52"/>
      <c r="F2927" s="52"/>
      <c r="G2927" s="52"/>
      <c r="H2927" s="52"/>
    </row>
    <row r="2928" spans="1:8" ht="15.75">
      <c r="A2928" s="119"/>
      <c r="B2928" s="88"/>
      <c r="C2928" s="52"/>
      <c r="D2928" s="52"/>
      <c r="E2928" s="52"/>
      <c r="F2928" s="52"/>
      <c r="G2928" s="52"/>
      <c r="H2928" s="52"/>
    </row>
    <row r="2929" spans="1:8" ht="15.75">
      <c r="A2929" s="119"/>
      <c r="B2929" s="88"/>
      <c r="C2929" s="52"/>
      <c r="D2929" s="52"/>
      <c r="E2929" s="52"/>
      <c r="F2929" s="52"/>
      <c r="G2929" s="52"/>
      <c r="H2929" s="52"/>
    </row>
    <row r="2930" spans="1:8" ht="15.75">
      <c r="A2930" s="119"/>
      <c r="B2930" s="88"/>
      <c r="C2930" s="52"/>
      <c r="D2930" s="52"/>
      <c r="E2930" s="52"/>
      <c r="F2930" s="52"/>
      <c r="G2930" s="52"/>
      <c r="H2930" s="52"/>
    </row>
    <row r="2931" spans="1:8" ht="15.75">
      <c r="A2931" s="119"/>
      <c r="B2931" s="88"/>
      <c r="C2931" s="52"/>
      <c r="D2931" s="52"/>
      <c r="E2931" s="52"/>
      <c r="F2931" s="52"/>
      <c r="G2931" s="52"/>
      <c r="H2931" s="52"/>
    </row>
    <row r="2932" spans="1:8" ht="15.75">
      <c r="A2932" s="119"/>
      <c r="B2932" s="88"/>
      <c r="C2932" s="52"/>
      <c r="D2932" s="52"/>
      <c r="E2932" s="52"/>
      <c r="F2932" s="52"/>
      <c r="G2932" s="52"/>
      <c r="H2932" s="52"/>
    </row>
    <row r="2933" spans="1:8" ht="15.75">
      <c r="A2933" s="119"/>
      <c r="B2933" s="88"/>
      <c r="C2933" s="52"/>
      <c r="D2933" s="52"/>
      <c r="E2933" s="52"/>
      <c r="F2933" s="52"/>
      <c r="G2933" s="52"/>
      <c r="H2933" s="52"/>
    </row>
    <row r="2934" spans="1:8" ht="15.75">
      <c r="A2934" s="119"/>
      <c r="B2934" s="88"/>
      <c r="C2934" s="52"/>
      <c r="D2934" s="52"/>
      <c r="E2934" s="52"/>
      <c r="F2934" s="52"/>
      <c r="G2934" s="52"/>
      <c r="H2934" s="52"/>
    </row>
    <row r="2935" spans="1:8" ht="15.75">
      <c r="A2935" s="119"/>
      <c r="B2935" s="88"/>
      <c r="C2935" s="52"/>
      <c r="D2935" s="52"/>
      <c r="E2935" s="52"/>
      <c r="F2935" s="52"/>
      <c r="G2935" s="52"/>
      <c r="H2935" s="52"/>
    </row>
    <row r="2936" spans="1:8" ht="15.75">
      <c r="A2936" s="119"/>
      <c r="B2936" s="88"/>
      <c r="C2936" s="52"/>
      <c r="D2936" s="52"/>
      <c r="E2936" s="52"/>
      <c r="F2936" s="52"/>
      <c r="G2936" s="52"/>
      <c r="H2936" s="52"/>
    </row>
    <row r="2937" spans="1:8" ht="15.75">
      <c r="A2937" s="119"/>
      <c r="B2937" s="88"/>
      <c r="C2937" s="52"/>
      <c r="D2937" s="52"/>
      <c r="E2937" s="52"/>
      <c r="F2937" s="52"/>
      <c r="G2937" s="52"/>
      <c r="H2937" s="52"/>
    </row>
    <row r="2938" spans="1:8" ht="15.75">
      <c r="A2938" s="119"/>
      <c r="B2938" s="88"/>
      <c r="C2938" s="52"/>
      <c r="D2938" s="52"/>
      <c r="E2938" s="52"/>
      <c r="F2938" s="52"/>
      <c r="G2938" s="52"/>
      <c r="H2938" s="52"/>
    </row>
    <row r="2939" spans="1:8" ht="15.75">
      <c r="A2939" s="119"/>
      <c r="B2939" s="88"/>
      <c r="C2939" s="52"/>
      <c r="D2939" s="52"/>
      <c r="E2939" s="52"/>
      <c r="F2939" s="52"/>
      <c r="G2939" s="52"/>
      <c r="H2939" s="52"/>
    </row>
    <row r="2940" spans="1:8" ht="15.75">
      <c r="A2940" s="119"/>
      <c r="B2940" s="88"/>
      <c r="C2940" s="52"/>
      <c r="D2940" s="52"/>
      <c r="E2940" s="52"/>
      <c r="F2940" s="52"/>
      <c r="G2940" s="52"/>
      <c r="H2940" s="52"/>
    </row>
    <row r="2941" spans="1:8" ht="15.75">
      <c r="A2941" s="119"/>
      <c r="B2941" s="88"/>
      <c r="C2941" s="52"/>
      <c r="D2941" s="52"/>
      <c r="E2941" s="52"/>
      <c r="F2941" s="52"/>
      <c r="G2941" s="52"/>
      <c r="H2941" s="52"/>
    </row>
    <row r="2942" spans="1:8" ht="15.75">
      <c r="A2942" s="119"/>
      <c r="B2942" s="88"/>
      <c r="C2942" s="52"/>
      <c r="D2942" s="52"/>
      <c r="E2942" s="52"/>
      <c r="F2942" s="52"/>
      <c r="G2942" s="52"/>
      <c r="H2942" s="52"/>
    </row>
    <row r="2943" spans="1:8" ht="15.75">
      <c r="A2943" s="119"/>
      <c r="B2943" s="88"/>
      <c r="C2943" s="52"/>
      <c r="D2943" s="52"/>
      <c r="E2943" s="52"/>
      <c r="F2943" s="52"/>
      <c r="G2943" s="52"/>
      <c r="H2943" s="52"/>
    </row>
    <row r="2944" spans="1:8" ht="15.75">
      <c r="A2944" s="119"/>
      <c r="B2944" s="88"/>
      <c r="C2944" s="52"/>
      <c r="D2944" s="52"/>
      <c r="E2944" s="52"/>
      <c r="F2944" s="52"/>
      <c r="G2944" s="52"/>
      <c r="H2944" s="52"/>
    </row>
    <row r="2945" spans="1:8" ht="15.75">
      <c r="A2945" s="119"/>
      <c r="B2945" s="88"/>
      <c r="C2945" s="52"/>
      <c r="D2945" s="52"/>
      <c r="E2945" s="52"/>
      <c r="F2945" s="52"/>
      <c r="G2945" s="52"/>
      <c r="H2945" s="52"/>
    </row>
    <row r="2946" spans="1:8" ht="15.75">
      <c r="A2946" s="119"/>
      <c r="B2946" s="88"/>
      <c r="C2946" s="52"/>
      <c r="D2946" s="52"/>
      <c r="E2946" s="52"/>
      <c r="F2946" s="52"/>
      <c r="G2946" s="52"/>
      <c r="H2946" s="52"/>
    </row>
    <row r="2947" spans="1:8" ht="15.75">
      <c r="A2947" s="119"/>
      <c r="B2947" s="88"/>
      <c r="C2947" s="52"/>
      <c r="D2947" s="52"/>
      <c r="E2947" s="52"/>
      <c r="F2947" s="52"/>
      <c r="G2947" s="52"/>
      <c r="H2947" s="52"/>
    </row>
    <row r="2948" spans="1:8" ht="15.75">
      <c r="A2948" s="119"/>
      <c r="B2948" s="88"/>
      <c r="C2948" s="52"/>
      <c r="D2948" s="52"/>
      <c r="E2948" s="52"/>
      <c r="F2948" s="52"/>
      <c r="G2948" s="52"/>
      <c r="H2948" s="52"/>
    </row>
    <row r="2949" spans="1:8" ht="15.75">
      <c r="A2949" s="119"/>
      <c r="B2949" s="88"/>
      <c r="C2949" s="52"/>
      <c r="D2949" s="52"/>
      <c r="E2949" s="52"/>
      <c r="F2949" s="52"/>
      <c r="G2949" s="52"/>
      <c r="H2949" s="52"/>
    </row>
    <row r="2950" spans="1:8" ht="15.75">
      <c r="A2950" s="119"/>
      <c r="B2950" s="88"/>
      <c r="C2950" s="52"/>
      <c r="D2950" s="52"/>
      <c r="E2950" s="52"/>
      <c r="F2950" s="52"/>
      <c r="G2950" s="52"/>
      <c r="H2950" s="52"/>
    </row>
    <row r="2951" spans="1:8" ht="15.75">
      <c r="A2951" s="119"/>
      <c r="B2951" s="88"/>
      <c r="C2951" s="52"/>
      <c r="D2951" s="52"/>
      <c r="E2951" s="52"/>
      <c r="F2951" s="52"/>
      <c r="G2951" s="52"/>
      <c r="H2951" s="52"/>
    </row>
    <row r="2952" spans="1:8" ht="15.75">
      <c r="A2952" s="119"/>
      <c r="B2952" s="88"/>
      <c r="C2952" s="52"/>
      <c r="D2952" s="52"/>
      <c r="E2952" s="52"/>
      <c r="F2952" s="52"/>
      <c r="G2952" s="52"/>
      <c r="H2952" s="52"/>
    </row>
    <row r="2953" spans="1:8" ht="15.75">
      <c r="A2953" s="119"/>
      <c r="B2953" s="88"/>
      <c r="C2953" s="52"/>
      <c r="D2953" s="52"/>
      <c r="E2953" s="52"/>
      <c r="F2953" s="52"/>
      <c r="G2953" s="52"/>
      <c r="H2953" s="52"/>
    </row>
    <row r="2954" spans="1:8" ht="15.75">
      <c r="A2954" s="119"/>
      <c r="B2954" s="88"/>
      <c r="C2954" s="52"/>
      <c r="D2954" s="52"/>
      <c r="E2954" s="52"/>
      <c r="F2954" s="52"/>
      <c r="G2954" s="52"/>
      <c r="H2954" s="52"/>
    </row>
    <row r="2955" spans="1:8" ht="15.75">
      <c r="A2955" s="119"/>
      <c r="B2955" s="88"/>
      <c r="C2955" s="52"/>
      <c r="D2955" s="52"/>
      <c r="E2955" s="52"/>
      <c r="F2955" s="52"/>
      <c r="G2955" s="52"/>
      <c r="H2955" s="52"/>
    </row>
    <row r="2956" spans="1:8" ht="15.75">
      <c r="A2956" s="119"/>
      <c r="B2956" s="88"/>
      <c r="C2956" s="52"/>
      <c r="D2956" s="52"/>
      <c r="E2956" s="52"/>
      <c r="F2956" s="52"/>
      <c r="G2956" s="52"/>
      <c r="H2956" s="52"/>
    </row>
    <row r="2957" spans="1:8" ht="15.75">
      <c r="A2957" s="119"/>
      <c r="B2957" s="88"/>
      <c r="C2957" s="52"/>
      <c r="D2957" s="52"/>
      <c r="E2957" s="52"/>
      <c r="F2957" s="52"/>
      <c r="G2957" s="52"/>
      <c r="H2957" s="52"/>
    </row>
    <row r="2958" spans="1:8" ht="15.75">
      <c r="A2958" s="119"/>
      <c r="B2958" s="88"/>
      <c r="C2958" s="52"/>
      <c r="D2958" s="52"/>
      <c r="E2958" s="52"/>
      <c r="F2958" s="52"/>
      <c r="G2958" s="52"/>
      <c r="H2958" s="52"/>
    </row>
    <row r="2959" spans="1:8" ht="15.75">
      <c r="A2959" s="119"/>
      <c r="B2959" s="88"/>
      <c r="C2959" s="52"/>
      <c r="D2959" s="52"/>
      <c r="E2959" s="52"/>
      <c r="F2959" s="52"/>
      <c r="G2959" s="52"/>
      <c r="H2959" s="52"/>
    </row>
    <row r="2960" spans="1:8" ht="15.75">
      <c r="A2960" s="119"/>
      <c r="B2960" s="88"/>
      <c r="C2960" s="52"/>
      <c r="D2960" s="52"/>
      <c r="E2960" s="52"/>
      <c r="F2960" s="52"/>
      <c r="G2960" s="52"/>
      <c r="H2960" s="52"/>
    </row>
    <row r="2961" spans="1:8" ht="15.75">
      <c r="A2961" s="119"/>
      <c r="B2961" s="88"/>
      <c r="C2961" s="52"/>
      <c r="D2961" s="52"/>
      <c r="E2961" s="52"/>
      <c r="F2961" s="52"/>
      <c r="G2961" s="52"/>
      <c r="H2961" s="52"/>
    </row>
    <row r="2962" spans="1:8" ht="15.75">
      <c r="A2962" s="119"/>
      <c r="B2962" s="88"/>
      <c r="C2962" s="52"/>
      <c r="D2962" s="52"/>
      <c r="E2962" s="52"/>
      <c r="F2962" s="52"/>
      <c r="G2962" s="52"/>
      <c r="H2962" s="52"/>
    </row>
    <row r="2963" spans="1:8" ht="15.75">
      <c r="A2963" s="119"/>
      <c r="B2963" s="88"/>
      <c r="C2963" s="52"/>
      <c r="D2963" s="52"/>
      <c r="E2963" s="52"/>
      <c r="F2963" s="52"/>
      <c r="G2963" s="52"/>
      <c r="H2963" s="52"/>
    </row>
    <row r="2964" spans="1:8" ht="15.75">
      <c r="A2964" s="119"/>
      <c r="B2964" s="88"/>
      <c r="C2964" s="52"/>
      <c r="D2964" s="52"/>
      <c r="E2964" s="52"/>
      <c r="F2964" s="52"/>
      <c r="G2964" s="52"/>
      <c r="H2964" s="52"/>
    </row>
    <row r="2965" spans="1:8" ht="15.75">
      <c r="A2965" s="119"/>
      <c r="B2965" s="88"/>
      <c r="C2965" s="52"/>
      <c r="D2965" s="52"/>
      <c r="E2965" s="52"/>
      <c r="F2965" s="52"/>
      <c r="G2965" s="52"/>
      <c r="H2965" s="52"/>
    </row>
    <row r="2966" spans="1:8" ht="15.75">
      <c r="A2966" s="119"/>
      <c r="B2966" s="88"/>
      <c r="C2966" s="52"/>
      <c r="D2966" s="52"/>
      <c r="E2966" s="52"/>
      <c r="F2966" s="52"/>
      <c r="G2966" s="52"/>
      <c r="H2966" s="52"/>
    </row>
    <row r="2967" spans="1:8" ht="15.75">
      <c r="A2967" s="119"/>
      <c r="B2967" s="88"/>
      <c r="C2967" s="52"/>
      <c r="D2967" s="52"/>
      <c r="E2967" s="52"/>
      <c r="F2967" s="52"/>
      <c r="G2967" s="52"/>
      <c r="H2967" s="52"/>
    </row>
    <row r="2968" spans="1:8" ht="15.75">
      <c r="A2968" s="119"/>
      <c r="B2968" s="88"/>
      <c r="C2968" s="52"/>
      <c r="D2968" s="52"/>
      <c r="E2968" s="52"/>
      <c r="F2968" s="52"/>
      <c r="G2968" s="52"/>
      <c r="H2968" s="52"/>
    </row>
    <row r="2969" spans="1:8" ht="15.75">
      <c r="A2969" s="119"/>
      <c r="B2969" s="88"/>
      <c r="C2969" s="52"/>
      <c r="D2969" s="52"/>
      <c r="E2969" s="52"/>
      <c r="F2969" s="52"/>
      <c r="G2969" s="52"/>
      <c r="H2969" s="52"/>
    </row>
    <row r="2970" spans="1:8" ht="15.75">
      <c r="A2970" s="119"/>
      <c r="B2970" s="88"/>
      <c r="C2970" s="52"/>
      <c r="D2970" s="52"/>
      <c r="E2970" s="52"/>
      <c r="F2970" s="52"/>
      <c r="G2970" s="52"/>
      <c r="H2970" s="52"/>
    </row>
    <row r="2971" spans="1:8" ht="15.75">
      <c r="A2971" s="119"/>
      <c r="B2971" s="88"/>
      <c r="C2971" s="52"/>
      <c r="D2971" s="52"/>
      <c r="E2971" s="52"/>
      <c r="F2971" s="52"/>
      <c r="G2971" s="52"/>
      <c r="H2971" s="52"/>
    </row>
    <row r="2972" spans="1:8" ht="15.75">
      <c r="A2972" s="119"/>
      <c r="B2972" s="88"/>
      <c r="C2972" s="52"/>
      <c r="D2972" s="52"/>
      <c r="E2972" s="52"/>
      <c r="F2972" s="52"/>
      <c r="G2972" s="52"/>
      <c r="H2972" s="52"/>
    </row>
    <row r="2973" spans="1:8" ht="15.75">
      <c r="A2973" s="119"/>
      <c r="B2973" s="88"/>
      <c r="C2973" s="52"/>
      <c r="D2973" s="52"/>
      <c r="E2973" s="52"/>
      <c r="F2973" s="52"/>
      <c r="G2973" s="52"/>
      <c r="H2973" s="52"/>
    </row>
    <row r="2974" spans="1:8" ht="15.75">
      <c r="A2974" s="119"/>
      <c r="B2974" s="88"/>
      <c r="C2974" s="52"/>
      <c r="D2974" s="52"/>
      <c r="E2974" s="52"/>
      <c r="F2974" s="52"/>
      <c r="G2974" s="52"/>
      <c r="H2974" s="52"/>
    </row>
    <row r="2975" spans="1:8" ht="15.75">
      <c r="A2975" s="119"/>
      <c r="B2975" s="88"/>
      <c r="C2975" s="52"/>
      <c r="D2975" s="52"/>
      <c r="E2975" s="52"/>
      <c r="F2975" s="52"/>
      <c r="G2975" s="52"/>
      <c r="H2975" s="52"/>
    </row>
    <row r="2976" spans="1:8" ht="15.75">
      <c r="A2976" s="119"/>
      <c r="B2976" s="88"/>
      <c r="C2976" s="52"/>
      <c r="D2976" s="52"/>
      <c r="E2976" s="52"/>
      <c r="F2976" s="52"/>
      <c r="G2976" s="52"/>
      <c r="H2976" s="52"/>
    </row>
    <row r="2977" spans="1:8" ht="15.75">
      <c r="A2977" s="119"/>
      <c r="B2977" s="88"/>
      <c r="C2977" s="52"/>
      <c r="D2977" s="52"/>
      <c r="E2977" s="52"/>
      <c r="F2977" s="52"/>
      <c r="G2977" s="52"/>
      <c r="H2977" s="52"/>
    </row>
    <row r="2978" spans="1:8" ht="15.75">
      <c r="A2978" s="119"/>
      <c r="B2978" s="88"/>
      <c r="C2978" s="52"/>
      <c r="D2978" s="52"/>
      <c r="E2978" s="52"/>
      <c r="F2978" s="52"/>
      <c r="G2978" s="52"/>
      <c r="H2978" s="52"/>
    </row>
    <row r="2979" spans="1:8" ht="15.75">
      <c r="A2979" s="119"/>
      <c r="B2979" s="88"/>
      <c r="C2979" s="52"/>
      <c r="D2979" s="52"/>
      <c r="E2979" s="52"/>
      <c r="F2979" s="52"/>
      <c r="G2979" s="52"/>
      <c r="H2979" s="52"/>
    </row>
    <row r="2980" spans="1:8" ht="15.75">
      <c r="A2980" s="119"/>
      <c r="B2980" s="88"/>
      <c r="C2980" s="52"/>
      <c r="D2980" s="52"/>
      <c r="E2980" s="52"/>
      <c r="F2980" s="52"/>
      <c r="G2980" s="52"/>
      <c r="H2980" s="52"/>
    </row>
    <row r="2981" spans="1:8" ht="15.75">
      <c r="A2981" s="119"/>
      <c r="B2981" s="88"/>
      <c r="C2981" s="52"/>
      <c r="D2981" s="52"/>
      <c r="E2981" s="52"/>
      <c r="F2981" s="52"/>
      <c r="G2981" s="52"/>
      <c r="H2981" s="52"/>
    </row>
    <row r="2982" spans="1:8" ht="15.75">
      <c r="A2982" s="119"/>
      <c r="B2982" s="88"/>
      <c r="C2982" s="52"/>
      <c r="D2982" s="52"/>
      <c r="E2982" s="52"/>
      <c r="F2982" s="52"/>
      <c r="G2982" s="52"/>
      <c r="H2982" s="52"/>
    </row>
    <row r="2983" spans="1:8" ht="15.75">
      <c r="A2983" s="119"/>
      <c r="B2983" s="88"/>
      <c r="C2983" s="52"/>
      <c r="D2983" s="52"/>
      <c r="E2983" s="52"/>
      <c r="F2983" s="52"/>
      <c r="G2983" s="52"/>
      <c r="H2983" s="52"/>
    </row>
    <row r="2984" spans="1:8" ht="15.75">
      <c r="A2984" s="119"/>
      <c r="B2984" s="88"/>
      <c r="C2984" s="52"/>
      <c r="D2984" s="52"/>
      <c r="E2984" s="52"/>
      <c r="F2984" s="52"/>
      <c r="G2984" s="52"/>
      <c r="H2984" s="52"/>
    </row>
    <row r="2985" spans="1:8" ht="15.75">
      <c r="A2985" s="119"/>
      <c r="B2985" s="88"/>
      <c r="C2985" s="52"/>
      <c r="D2985" s="52"/>
      <c r="E2985" s="52"/>
      <c r="F2985" s="52"/>
      <c r="G2985" s="52"/>
      <c r="H2985" s="52"/>
    </row>
    <row r="2986" spans="1:8" ht="15.75">
      <c r="A2986" s="119"/>
      <c r="B2986" s="88"/>
      <c r="C2986" s="52"/>
      <c r="D2986" s="52"/>
      <c r="E2986" s="52"/>
      <c r="F2986" s="52"/>
      <c r="G2986" s="52"/>
      <c r="H2986" s="52"/>
    </row>
    <row r="2987" spans="1:8" ht="15.75">
      <c r="A2987" s="119"/>
      <c r="B2987" s="88"/>
      <c r="C2987" s="52"/>
      <c r="D2987" s="52"/>
      <c r="E2987" s="52"/>
      <c r="F2987" s="52"/>
      <c r="G2987" s="52"/>
      <c r="H2987" s="52"/>
    </row>
    <row r="2988" spans="1:8" ht="15.75">
      <c r="A2988" s="119"/>
      <c r="B2988" s="88"/>
      <c r="C2988" s="52"/>
      <c r="D2988" s="52"/>
      <c r="E2988" s="52"/>
      <c r="F2988" s="52"/>
      <c r="G2988" s="52"/>
      <c r="H2988" s="52"/>
    </row>
    <row r="2989" spans="1:8" ht="15.75">
      <c r="A2989" s="119"/>
      <c r="B2989" s="88"/>
      <c r="C2989" s="52"/>
      <c r="D2989" s="52"/>
      <c r="E2989" s="52"/>
      <c r="F2989" s="52"/>
      <c r="G2989" s="52"/>
      <c r="H2989" s="52"/>
    </row>
    <row r="2990" spans="1:8" ht="15.75">
      <c r="A2990" s="119"/>
      <c r="B2990" s="88"/>
      <c r="C2990" s="52"/>
      <c r="D2990" s="52"/>
      <c r="E2990" s="52"/>
      <c r="F2990" s="52"/>
      <c r="G2990" s="52"/>
      <c r="H2990" s="52"/>
    </row>
    <row r="2991" spans="1:8" ht="15.75">
      <c r="A2991" s="119"/>
      <c r="B2991" s="88"/>
      <c r="C2991" s="52"/>
      <c r="D2991" s="52"/>
      <c r="E2991" s="52"/>
      <c r="F2991" s="52"/>
      <c r="G2991" s="52"/>
      <c r="H2991" s="52"/>
    </row>
    <row r="2992" spans="1:8" ht="15.75">
      <c r="A2992" s="119"/>
      <c r="B2992" s="88"/>
      <c r="C2992" s="52"/>
      <c r="D2992" s="52"/>
      <c r="E2992" s="52"/>
      <c r="F2992" s="52"/>
      <c r="G2992" s="52"/>
      <c r="H2992" s="52"/>
    </row>
    <row r="2993" spans="1:8" ht="15.75">
      <c r="A2993" s="119"/>
      <c r="B2993" s="88"/>
      <c r="C2993" s="52"/>
      <c r="D2993" s="52"/>
      <c r="E2993" s="52"/>
      <c r="F2993" s="52"/>
      <c r="G2993" s="52"/>
      <c r="H2993" s="52"/>
    </row>
    <row r="2994" spans="1:8" ht="15.75">
      <c r="A2994" s="119"/>
      <c r="B2994" s="88"/>
      <c r="C2994" s="52"/>
      <c r="D2994" s="52"/>
      <c r="E2994" s="52"/>
      <c r="F2994" s="52"/>
      <c r="G2994" s="52"/>
      <c r="H2994" s="52"/>
    </row>
    <row r="2995" spans="1:8" ht="15.75">
      <c r="A2995" s="119"/>
      <c r="B2995" s="88"/>
      <c r="C2995" s="52"/>
      <c r="D2995" s="52"/>
      <c r="E2995" s="52"/>
      <c r="F2995" s="52"/>
      <c r="G2995" s="52"/>
      <c r="H2995" s="52"/>
    </row>
    <row r="2996" spans="1:8" ht="15.75">
      <c r="A2996" s="119"/>
      <c r="B2996" s="88"/>
      <c r="C2996" s="52"/>
      <c r="D2996" s="52"/>
      <c r="E2996" s="52"/>
      <c r="F2996" s="52"/>
      <c r="G2996" s="52"/>
      <c r="H2996" s="52"/>
    </row>
    <row r="2997" spans="1:8" ht="15.75">
      <c r="A2997" s="119"/>
      <c r="B2997" s="88"/>
      <c r="C2997" s="52"/>
      <c r="D2997" s="52"/>
      <c r="E2997" s="52"/>
      <c r="F2997" s="52"/>
      <c r="G2997" s="52"/>
      <c r="H2997" s="52"/>
    </row>
    <row r="2998" spans="1:8" ht="15.75">
      <c r="A2998" s="119"/>
      <c r="B2998" s="88"/>
      <c r="C2998" s="52"/>
      <c r="D2998" s="52"/>
      <c r="E2998" s="52"/>
      <c r="F2998" s="52"/>
      <c r="G2998" s="52"/>
      <c r="H2998" s="52"/>
    </row>
    <row r="2999" spans="1:8" ht="15.75">
      <c r="A2999" s="119"/>
      <c r="B2999" s="88"/>
      <c r="C2999" s="52"/>
      <c r="D2999" s="52"/>
      <c r="E2999" s="52"/>
      <c r="F2999" s="52"/>
      <c r="G2999" s="52"/>
      <c r="H2999" s="52"/>
    </row>
    <row r="3000" spans="1:8" ht="15.75">
      <c r="A3000" s="119"/>
      <c r="B3000" s="88"/>
      <c r="C3000" s="52"/>
      <c r="D3000" s="52"/>
      <c r="E3000" s="52"/>
      <c r="F3000" s="52"/>
      <c r="G3000" s="52"/>
      <c r="H3000" s="52"/>
    </row>
    <row r="3001" spans="1:8" ht="15.75">
      <c r="A3001" s="119"/>
      <c r="B3001" s="88"/>
      <c r="C3001" s="52"/>
      <c r="D3001" s="52"/>
      <c r="E3001" s="52"/>
      <c r="F3001" s="52"/>
      <c r="G3001" s="52"/>
      <c r="H3001" s="52"/>
    </row>
    <row r="3002" spans="1:8" ht="15.75">
      <c r="A3002" s="119"/>
      <c r="B3002" s="88"/>
      <c r="C3002" s="52"/>
      <c r="D3002" s="52"/>
      <c r="E3002" s="52"/>
      <c r="F3002" s="52"/>
      <c r="G3002" s="52"/>
      <c r="H3002" s="52"/>
    </row>
    <row r="3003" spans="1:8" ht="15.75">
      <c r="A3003" s="119"/>
      <c r="B3003" s="88"/>
      <c r="C3003" s="52"/>
      <c r="D3003" s="52"/>
      <c r="E3003" s="52"/>
      <c r="F3003" s="52"/>
      <c r="G3003" s="52"/>
      <c r="H3003" s="52"/>
    </row>
    <row r="3004" spans="1:8" ht="15.75">
      <c r="A3004" s="119"/>
      <c r="B3004" s="88"/>
      <c r="C3004" s="52"/>
      <c r="D3004" s="52"/>
      <c r="E3004" s="52"/>
      <c r="F3004" s="52"/>
      <c r="G3004" s="52"/>
      <c r="H3004" s="52"/>
    </row>
    <row r="3005" spans="1:8" ht="15.75">
      <c r="A3005" s="119"/>
      <c r="B3005" s="88"/>
      <c r="C3005" s="52"/>
      <c r="D3005" s="52"/>
      <c r="E3005" s="52"/>
      <c r="F3005" s="52"/>
      <c r="G3005" s="52"/>
      <c r="H3005" s="52"/>
    </row>
    <row r="3006" spans="1:8" ht="15.75">
      <c r="A3006" s="119"/>
      <c r="B3006" s="88"/>
      <c r="C3006" s="52"/>
      <c r="D3006" s="52"/>
      <c r="E3006" s="52"/>
      <c r="F3006" s="52"/>
      <c r="G3006" s="52"/>
      <c r="H3006" s="52"/>
    </row>
    <row r="3007" spans="1:8" ht="15.75">
      <c r="A3007" s="119"/>
      <c r="B3007" s="88"/>
      <c r="C3007" s="52"/>
      <c r="D3007" s="52"/>
      <c r="E3007" s="52"/>
      <c r="F3007" s="52"/>
      <c r="G3007" s="52"/>
      <c r="H3007" s="52"/>
    </row>
    <row r="3008" spans="1:8" ht="15.75">
      <c r="A3008" s="119"/>
      <c r="B3008" s="88"/>
      <c r="C3008" s="52"/>
      <c r="D3008" s="52"/>
      <c r="E3008" s="52"/>
      <c r="F3008" s="52"/>
      <c r="G3008" s="52"/>
      <c r="H3008" s="52"/>
    </row>
    <row r="3009" spans="1:8" ht="15.75">
      <c r="A3009" s="119"/>
      <c r="B3009" s="88"/>
      <c r="C3009" s="52"/>
      <c r="D3009" s="52"/>
      <c r="E3009" s="52"/>
      <c r="F3009" s="52"/>
      <c r="G3009" s="52"/>
      <c r="H3009" s="52"/>
    </row>
    <row r="3010" spans="1:8" ht="15.75">
      <c r="A3010" s="119"/>
      <c r="B3010" s="88"/>
      <c r="C3010" s="52"/>
      <c r="D3010" s="52"/>
      <c r="E3010" s="52"/>
      <c r="F3010" s="52"/>
      <c r="G3010" s="52"/>
      <c r="H3010" s="52"/>
    </row>
    <row r="3011" spans="1:8" ht="15.75">
      <c r="A3011" s="119"/>
      <c r="B3011" s="88"/>
      <c r="C3011" s="52"/>
      <c r="D3011" s="52"/>
      <c r="E3011" s="52"/>
      <c r="F3011" s="52"/>
      <c r="G3011" s="52"/>
      <c r="H3011" s="52"/>
    </row>
    <row r="3012" spans="1:8" ht="15.75">
      <c r="A3012" s="119"/>
      <c r="B3012" s="88"/>
      <c r="C3012" s="52"/>
      <c r="D3012" s="52"/>
      <c r="E3012" s="52"/>
      <c r="F3012" s="52"/>
      <c r="G3012" s="52"/>
      <c r="H3012" s="52"/>
    </row>
    <row r="3013" spans="1:8" ht="15.75">
      <c r="A3013" s="119"/>
      <c r="B3013" s="88"/>
      <c r="C3013" s="52"/>
      <c r="D3013" s="52"/>
      <c r="E3013" s="52"/>
      <c r="F3013" s="52"/>
      <c r="G3013" s="52"/>
      <c r="H3013" s="52"/>
    </row>
    <row r="3014" spans="1:8" ht="15.75">
      <c r="A3014" s="119"/>
      <c r="B3014" s="88"/>
      <c r="C3014" s="52"/>
      <c r="D3014" s="52"/>
      <c r="E3014" s="52"/>
      <c r="F3014" s="52"/>
      <c r="G3014" s="52"/>
      <c r="H3014" s="52"/>
    </row>
    <row r="3015" spans="1:8" ht="15.75">
      <c r="A3015" s="119"/>
      <c r="B3015" s="88"/>
      <c r="C3015" s="52"/>
      <c r="D3015" s="52"/>
      <c r="E3015" s="52"/>
      <c r="F3015" s="52"/>
      <c r="G3015" s="52"/>
      <c r="H3015" s="52"/>
    </row>
    <row r="3016" spans="1:8" ht="15.75">
      <c r="A3016" s="119"/>
      <c r="B3016" s="88"/>
      <c r="C3016" s="52"/>
      <c r="D3016" s="52"/>
      <c r="E3016" s="52"/>
      <c r="F3016" s="52"/>
      <c r="G3016" s="52"/>
      <c r="H3016" s="52"/>
    </row>
    <row r="3017" spans="1:8" ht="15.75">
      <c r="A3017" s="119"/>
      <c r="B3017" s="88"/>
      <c r="C3017" s="52"/>
      <c r="D3017" s="52"/>
      <c r="E3017" s="52"/>
      <c r="F3017" s="52"/>
      <c r="G3017" s="52"/>
      <c r="H3017" s="52"/>
    </row>
    <row r="3018" spans="1:8" ht="15.75">
      <c r="A3018" s="119"/>
      <c r="B3018" s="88"/>
      <c r="C3018" s="52"/>
      <c r="D3018" s="52"/>
      <c r="E3018" s="52"/>
      <c r="F3018" s="52"/>
      <c r="G3018" s="52"/>
      <c r="H3018" s="52"/>
    </row>
    <row r="3019" spans="1:8" ht="15.75">
      <c r="A3019" s="119"/>
      <c r="B3019" s="88"/>
      <c r="C3019" s="52"/>
      <c r="D3019" s="52"/>
      <c r="E3019" s="52"/>
      <c r="F3019" s="52"/>
      <c r="G3019" s="52"/>
      <c r="H3019" s="52"/>
    </row>
    <row r="3020" spans="1:8" ht="15.75">
      <c r="A3020" s="119"/>
      <c r="B3020" s="88"/>
      <c r="C3020" s="52"/>
      <c r="D3020" s="52"/>
      <c r="E3020" s="52"/>
      <c r="F3020" s="52"/>
      <c r="G3020" s="52"/>
      <c r="H3020" s="52"/>
    </row>
    <row r="3021" spans="1:8" ht="15.75">
      <c r="A3021" s="119"/>
      <c r="B3021" s="88"/>
      <c r="C3021" s="52"/>
      <c r="D3021" s="52"/>
      <c r="E3021" s="52"/>
      <c r="F3021" s="52"/>
      <c r="G3021" s="52"/>
      <c r="H3021" s="52"/>
    </row>
    <row r="3022" spans="1:8" ht="15.75">
      <c r="A3022" s="119"/>
      <c r="B3022" s="88"/>
      <c r="C3022" s="52"/>
      <c r="D3022" s="52"/>
      <c r="E3022" s="52"/>
      <c r="F3022" s="52"/>
      <c r="G3022" s="52"/>
      <c r="H3022" s="52"/>
    </row>
    <row r="3023" spans="1:8" ht="15.75">
      <c r="A3023" s="119"/>
      <c r="B3023" s="88"/>
      <c r="C3023" s="52"/>
      <c r="D3023" s="52"/>
      <c r="E3023" s="52"/>
      <c r="F3023" s="52"/>
      <c r="G3023" s="52"/>
      <c r="H3023" s="52"/>
    </row>
    <row r="3024" spans="1:8" ht="15.75">
      <c r="A3024" s="119"/>
      <c r="B3024" s="88"/>
      <c r="C3024" s="52"/>
      <c r="D3024" s="52"/>
      <c r="E3024" s="52"/>
      <c r="F3024" s="52"/>
      <c r="G3024" s="52"/>
      <c r="H3024" s="52"/>
    </row>
    <row r="3025" spans="1:18" ht="15.75">
      <c r="A3025" s="119"/>
      <c r="B3025" s="88"/>
      <c r="C3025" s="52"/>
      <c r="D3025" s="52"/>
      <c r="E3025" s="52"/>
      <c r="F3025" s="52"/>
      <c r="G3025" s="52"/>
      <c r="H3025" s="52"/>
    </row>
    <row r="3026" spans="1:18" ht="15.75">
      <c r="A3026" s="119"/>
      <c r="B3026" s="88"/>
      <c r="C3026" s="52"/>
      <c r="D3026" s="52"/>
      <c r="E3026" s="52"/>
      <c r="F3026" s="52"/>
      <c r="G3026" s="52"/>
      <c r="H3026" s="52"/>
    </row>
    <row r="3027" spans="1:18" ht="15.75">
      <c r="A3027" s="119"/>
      <c r="B3027" s="88"/>
      <c r="C3027" s="52"/>
      <c r="D3027" s="52"/>
      <c r="E3027" s="52"/>
      <c r="F3027" s="52"/>
      <c r="G3027" s="52"/>
      <c r="H3027" s="52"/>
    </row>
    <row r="3028" spans="1:18" ht="15.75">
      <c r="A3028" s="119"/>
      <c r="B3028" s="88"/>
      <c r="C3028" s="52"/>
      <c r="D3028" s="52"/>
      <c r="E3028" s="52"/>
      <c r="F3028" s="52"/>
      <c r="G3028" s="52"/>
      <c r="H3028" s="52"/>
    </row>
    <row r="3029" spans="1:18" ht="15.75">
      <c r="A3029" s="119"/>
      <c r="B3029" s="88"/>
      <c r="C3029" s="52"/>
      <c r="D3029" s="52"/>
      <c r="E3029" s="52"/>
      <c r="F3029" s="52"/>
      <c r="G3029" s="52"/>
      <c r="H3029" s="52"/>
    </row>
    <row r="3030" spans="1:18" ht="15.75">
      <c r="A3030" s="119"/>
      <c r="B3030" s="88"/>
      <c r="C3030" s="52"/>
      <c r="D3030" s="52"/>
      <c r="E3030" s="52"/>
      <c r="F3030" s="52"/>
      <c r="G3030" s="52"/>
      <c r="H3030" s="52"/>
    </row>
    <row r="3031" spans="1:18" ht="15.75">
      <c r="A3031" s="119"/>
      <c r="B3031" s="88"/>
      <c r="C3031" s="52"/>
      <c r="D3031" s="52"/>
      <c r="E3031" s="52"/>
      <c r="F3031" s="52"/>
      <c r="G3031" s="52"/>
      <c r="H3031" s="52"/>
    </row>
    <row r="3032" spans="1:18" ht="15.75">
      <c r="A3032" s="119"/>
      <c r="B3032" s="88"/>
      <c r="C3032" s="52"/>
      <c r="D3032" s="52"/>
      <c r="E3032" s="52"/>
      <c r="F3032" s="52"/>
      <c r="G3032" s="52"/>
      <c r="H3032" s="52"/>
    </row>
    <row r="3033" spans="1:18" ht="15.75">
      <c r="A3033" s="119"/>
      <c r="B3033" s="88"/>
      <c r="C3033" s="52"/>
      <c r="D3033" s="52"/>
      <c r="E3033" s="52"/>
      <c r="F3033" s="52"/>
      <c r="G3033" s="52"/>
      <c r="H3033" s="52"/>
    </row>
    <row r="3034" spans="1:18" ht="15.75">
      <c r="A3034" s="119"/>
      <c r="B3034" s="88"/>
      <c r="C3034" s="52"/>
      <c r="D3034" s="52"/>
      <c r="E3034" s="52"/>
      <c r="F3034" s="52"/>
      <c r="G3034" s="52"/>
      <c r="H3034" s="52"/>
    </row>
    <row r="3035" spans="1:18" ht="15.75">
      <c r="A3035" s="119"/>
      <c r="B3035" s="88"/>
      <c r="C3035" s="52"/>
      <c r="D3035" s="52"/>
      <c r="E3035" s="52"/>
      <c r="F3035" s="52"/>
      <c r="G3035" s="52"/>
      <c r="H3035" s="52"/>
    </row>
    <row r="3036" spans="1:18" ht="15.75">
      <c r="A3036" s="119"/>
      <c r="B3036" s="88"/>
      <c r="C3036" s="52"/>
      <c r="D3036" s="52"/>
      <c r="E3036" s="52"/>
      <c r="F3036" s="52"/>
      <c r="G3036" s="52"/>
      <c r="H3036" s="52"/>
    </row>
    <row r="3037" spans="1:18" ht="15.75">
      <c r="A3037" s="119"/>
      <c r="B3037" s="88"/>
      <c r="C3037" s="52"/>
      <c r="D3037" s="52"/>
      <c r="E3037" s="52"/>
      <c r="F3037" s="52"/>
      <c r="G3037" s="52"/>
      <c r="H3037" s="52"/>
    </row>
    <row r="3038" spans="1:18" ht="15.75">
      <c r="A3038" s="119"/>
      <c r="B3038" s="88"/>
      <c r="C3038" s="52"/>
      <c r="D3038" s="52"/>
      <c r="E3038" s="52"/>
      <c r="F3038" s="52"/>
      <c r="G3038" s="52"/>
      <c r="H3038" s="52"/>
    </row>
    <row r="3039" spans="1:18" ht="15.75">
      <c r="A3039" s="119"/>
      <c r="B3039" s="88"/>
      <c r="C3039" s="52"/>
      <c r="D3039" s="52"/>
      <c r="E3039" s="52"/>
      <c r="F3039" s="52"/>
      <c r="G3039" s="52"/>
      <c r="H3039" s="52"/>
    </row>
    <row r="3040" spans="1:18" ht="15.75">
      <c r="A3040" s="119"/>
      <c r="B3040" s="88"/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19"/>
      <c r="B3041" s="88"/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19"/>
      <c r="B3042" s="88"/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19"/>
      <c r="B3043" s="88"/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19"/>
      <c r="B3044" s="88"/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19"/>
      <c r="B3045" s="88"/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19"/>
      <c r="B3046" s="88"/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19"/>
      <c r="B3047" s="88"/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19"/>
      <c r="B3048" s="88"/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19"/>
      <c r="B3049" s="88"/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19"/>
      <c r="B3050" s="88"/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19"/>
      <c r="B3051" s="88"/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19"/>
      <c r="B3052" s="88"/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19"/>
      <c r="B3053" s="88"/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19"/>
      <c r="B3054" s="88"/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19"/>
      <c r="B3055" s="88"/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19"/>
      <c r="B3056" s="88"/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19"/>
      <c r="B3057" s="88"/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19"/>
      <c r="B3058" s="88"/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19"/>
      <c r="B3059" s="88"/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19"/>
      <c r="B3060" s="88"/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19"/>
      <c r="B3061" s="88"/>
      <c r="C3061" s="52"/>
      <c r="D3061" s="52"/>
      <c r="E3061" s="52"/>
      <c r="F3061" s="52"/>
      <c r="G3061" s="52"/>
      <c r="H3061" s="52"/>
    </row>
    <row r="3062" spans="1:18" ht="15.75">
      <c r="A3062" s="119"/>
      <c r="B3062" s="88"/>
      <c r="C3062" s="52"/>
      <c r="D3062" s="52"/>
      <c r="E3062" s="52"/>
      <c r="F3062" s="52"/>
      <c r="G3062" s="52"/>
      <c r="H3062" s="52"/>
    </row>
    <row r="3063" spans="1:18" ht="15.75">
      <c r="A3063" s="119"/>
      <c r="B3063" s="88"/>
      <c r="C3063" s="52"/>
      <c r="D3063" s="52"/>
      <c r="E3063" s="52"/>
      <c r="F3063" s="52"/>
      <c r="G3063" s="52"/>
      <c r="H3063" s="52"/>
    </row>
    <row r="3064" spans="1:18" ht="15.75">
      <c r="A3064" s="119"/>
      <c r="B3064" s="88"/>
      <c r="C3064" s="52"/>
      <c r="D3064" s="52"/>
      <c r="E3064" s="52"/>
      <c r="F3064" s="52"/>
      <c r="G3064" s="52"/>
      <c r="H3064" s="52"/>
    </row>
    <row r="3065" spans="1:18" ht="15.75">
      <c r="A3065" s="119"/>
      <c r="B3065" s="88"/>
      <c r="C3065" s="52"/>
      <c r="D3065" s="52"/>
      <c r="E3065" s="52"/>
      <c r="F3065" s="52"/>
      <c r="G3065" s="52"/>
      <c r="H3065" s="52"/>
    </row>
    <row r="3066" spans="1:18" ht="15.75">
      <c r="A3066" s="119"/>
      <c r="B3066" s="88"/>
      <c r="C3066" s="52"/>
      <c r="D3066" s="52"/>
      <c r="E3066" s="52"/>
      <c r="F3066" s="52"/>
      <c r="G3066" s="52"/>
      <c r="H3066" s="52"/>
    </row>
    <row r="3067" spans="1:18" ht="15.75">
      <c r="A3067" s="119"/>
      <c r="B3067" s="88"/>
      <c r="C3067" s="52"/>
      <c r="D3067" s="52"/>
      <c r="E3067" s="52"/>
      <c r="F3067" s="52"/>
      <c r="G3067" s="52"/>
      <c r="H3067" s="52"/>
    </row>
    <row r="3068" spans="1:18" ht="15.75">
      <c r="A3068" s="119"/>
      <c r="B3068" s="88"/>
      <c r="C3068" s="52"/>
      <c r="D3068" s="52"/>
      <c r="E3068" s="52"/>
      <c r="F3068" s="52"/>
      <c r="G3068" s="52"/>
      <c r="H3068" s="52"/>
    </row>
    <row r="3069" spans="1:18" ht="15.75">
      <c r="A3069" s="119"/>
      <c r="B3069" s="88"/>
      <c r="C3069" s="52"/>
      <c r="D3069" s="52"/>
      <c r="E3069" s="52"/>
      <c r="F3069" s="52"/>
      <c r="G3069" s="52"/>
      <c r="H3069" s="52"/>
    </row>
    <row r="3070" spans="1:18" ht="15.75">
      <c r="A3070" s="119"/>
      <c r="B3070" s="88"/>
      <c r="C3070" s="52"/>
      <c r="D3070" s="52"/>
      <c r="E3070" s="52"/>
      <c r="F3070" s="52"/>
      <c r="G3070" s="52"/>
      <c r="H3070" s="52"/>
    </row>
    <row r="3071" spans="1:18" ht="15.75">
      <c r="A3071" s="119"/>
      <c r="B3071" s="88"/>
      <c r="C3071" s="52"/>
      <c r="D3071" s="52"/>
      <c r="E3071" s="52"/>
      <c r="F3071" s="52"/>
      <c r="G3071" s="52"/>
      <c r="H3071" s="52"/>
    </row>
    <row r="3072" spans="1:18" ht="15.75">
      <c r="A3072" s="119"/>
      <c r="B3072" s="88"/>
      <c r="C3072" s="52"/>
      <c r="D3072" s="52"/>
      <c r="E3072" s="52"/>
      <c r="F3072" s="52"/>
      <c r="G3072" s="52"/>
      <c r="H3072" s="52"/>
    </row>
    <row r="3073" spans="1:8" ht="15.75">
      <c r="A3073" s="119"/>
      <c r="B3073" s="88"/>
      <c r="C3073" s="52"/>
      <c r="D3073" s="52"/>
      <c r="E3073" s="52"/>
      <c r="F3073" s="52"/>
      <c r="G3073" s="52"/>
      <c r="H3073" s="52"/>
    </row>
    <row r="3074" spans="1:8" ht="15.75">
      <c r="A3074" s="119"/>
      <c r="B3074" s="88"/>
      <c r="C3074" s="52"/>
      <c r="D3074" s="52"/>
      <c r="E3074" s="52"/>
      <c r="F3074" s="52"/>
      <c r="G3074" s="52"/>
      <c r="H3074" s="52"/>
    </row>
    <row r="3075" spans="1:8" ht="15.75">
      <c r="A3075" s="119"/>
      <c r="B3075" s="88"/>
      <c r="C3075" s="52"/>
      <c r="D3075" s="52"/>
      <c r="E3075" s="52"/>
      <c r="F3075" s="52"/>
      <c r="G3075" s="52"/>
      <c r="H3075" s="52"/>
    </row>
    <row r="3076" spans="1:8" ht="15.75">
      <c r="A3076" s="119"/>
      <c r="B3076" s="88"/>
      <c r="C3076" s="52"/>
      <c r="D3076" s="52"/>
      <c r="E3076" s="52"/>
      <c r="F3076" s="52"/>
      <c r="G3076" s="52"/>
      <c r="H3076" s="52"/>
    </row>
    <row r="3077" spans="1:8" ht="15.75">
      <c r="A3077" s="119"/>
      <c r="B3077" s="88"/>
      <c r="C3077" s="52"/>
      <c r="D3077" s="52"/>
      <c r="E3077" s="52"/>
      <c r="F3077" s="52"/>
      <c r="G3077" s="52"/>
      <c r="H3077" s="52"/>
    </row>
    <row r="3078" spans="1:8" ht="15.75">
      <c r="A3078" s="119"/>
      <c r="B3078" s="88"/>
      <c r="C3078" s="52"/>
      <c r="D3078" s="52"/>
      <c r="E3078" s="52"/>
      <c r="F3078" s="52"/>
      <c r="G3078" s="52"/>
      <c r="H3078" s="52"/>
    </row>
    <row r="3079" spans="1:8" ht="15.75">
      <c r="A3079" s="119"/>
      <c r="B3079" s="88"/>
      <c r="C3079" s="52"/>
      <c r="D3079" s="52"/>
      <c r="E3079" s="52"/>
      <c r="F3079" s="52"/>
      <c r="G3079" s="52"/>
      <c r="H3079" s="52"/>
    </row>
    <row r="3080" spans="1:8" ht="15.75">
      <c r="A3080" s="119"/>
      <c r="B3080" s="88"/>
      <c r="C3080" s="52"/>
      <c r="D3080" s="52"/>
      <c r="E3080" s="52"/>
      <c r="F3080" s="52"/>
      <c r="G3080" s="52"/>
      <c r="H3080" s="52"/>
    </row>
    <row r="3081" spans="1:8" ht="15.75">
      <c r="A3081" s="119"/>
      <c r="B3081" s="88"/>
      <c r="C3081" s="52"/>
      <c r="D3081" s="52"/>
      <c r="E3081" s="52"/>
      <c r="F3081" s="52"/>
      <c r="G3081" s="52"/>
      <c r="H3081" s="52"/>
    </row>
    <row r="3082" spans="1:8" ht="15.75">
      <c r="A3082" s="119"/>
      <c r="B3082" s="88"/>
      <c r="C3082" s="52"/>
      <c r="D3082" s="52"/>
      <c r="E3082" s="52"/>
      <c r="F3082" s="52"/>
      <c r="G3082" s="52"/>
      <c r="H3082" s="52"/>
    </row>
    <row r="3083" spans="1:8" ht="15.75">
      <c r="A3083" s="119"/>
      <c r="B3083" s="88"/>
      <c r="C3083" s="52"/>
      <c r="D3083" s="52"/>
      <c r="E3083" s="52"/>
      <c r="F3083" s="52"/>
      <c r="G3083" s="52"/>
      <c r="H3083" s="52"/>
    </row>
    <row r="3084" spans="1:8" ht="15.75">
      <c r="A3084" s="119"/>
      <c r="B3084" s="88"/>
      <c r="C3084" s="52"/>
      <c r="D3084" s="52"/>
      <c r="E3084" s="52"/>
      <c r="F3084" s="52"/>
      <c r="G3084" s="52"/>
      <c r="H3084" s="52"/>
    </row>
    <row r="3085" spans="1:8" ht="15.75">
      <c r="A3085" s="119"/>
      <c r="B3085" s="88"/>
      <c r="C3085" s="52"/>
      <c r="D3085" s="52"/>
      <c r="E3085" s="52"/>
      <c r="F3085" s="52"/>
      <c r="G3085" s="52"/>
      <c r="H3085" s="52"/>
    </row>
    <row r="3086" spans="1:8" ht="15.75">
      <c r="A3086" s="119"/>
      <c r="B3086" s="88"/>
      <c r="C3086" s="52"/>
      <c r="D3086" s="52"/>
      <c r="E3086" s="52"/>
      <c r="F3086" s="52"/>
      <c r="G3086" s="52"/>
      <c r="H3086" s="52"/>
    </row>
    <row r="3087" spans="1:8" ht="15.75">
      <c r="A3087" s="119"/>
      <c r="B3087" s="88"/>
      <c r="C3087" s="52"/>
      <c r="D3087" s="52"/>
      <c r="E3087" s="52"/>
      <c r="F3087" s="52"/>
      <c r="G3087" s="52"/>
      <c r="H3087" s="52"/>
    </row>
    <row r="3088" spans="1:8" ht="15.75">
      <c r="A3088" s="119"/>
      <c r="B3088" s="88"/>
      <c r="C3088" s="52"/>
      <c r="D3088" s="52"/>
      <c r="E3088" s="52"/>
      <c r="F3088" s="52"/>
      <c r="G3088" s="52"/>
      <c r="H3088" s="52"/>
    </row>
    <row r="3089" spans="1:8" ht="15.75">
      <c r="A3089" s="119"/>
      <c r="B3089" s="88"/>
      <c r="C3089" s="52"/>
      <c r="D3089" s="52"/>
      <c r="E3089" s="52"/>
      <c r="F3089" s="52"/>
      <c r="G3089" s="52"/>
      <c r="H3089" s="52"/>
    </row>
    <row r="3090" spans="1:8" ht="15.75">
      <c r="A3090" s="119"/>
      <c r="B3090" s="88"/>
      <c r="C3090" s="52"/>
      <c r="D3090" s="52"/>
      <c r="E3090" s="52"/>
      <c r="F3090" s="52"/>
      <c r="G3090" s="52"/>
      <c r="H3090" s="52"/>
    </row>
    <row r="3091" spans="1:8" ht="15.75">
      <c r="A3091" s="119"/>
      <c r="B3091" s="88"/>
      <c r="C3091" s="52"/>
      <c r="D3091" s="52"/>
      <c r="E3091" s="52"/>
      <c r="F3091" s="52"/>
      <c r="G3091" s="52"/>
      <c r="H3091" s="52"/>
    </row>
    <row r="3092" spans="1:8" ht="15.75">
      <c r="A3092" s="119"/>
      <c r="B3092" s="88"/>
      <c r="C3092" s="52"/>
      <c r="D3092" s="52"/>
      <c r="E3092" s="52"/>
      <c r="F3092" s="52"/>
      <c r="G3092" s="52"/>
      <c r="H3092" s="52"/>
    </row>
    <row r="3093" spans="1:8" ht="15.75">
      <c r="A3093" s="119"/>
      <c r="B3093" s="88"/>
      <c r="C3093" s="52"/>
      <c r="D3093" s="52"/>
      <c r="E3093" s="52"/>
      <c r="F3093" s="52"/>
      <c r="G3093" s="52"/>
      <c r="H3093" s="52"/>
    </row>
    <row r="3094" spans="1:8" ht="15.75">
      <c r="A3094" s="119"/>
      <c r="B3094" s="88"/>
      <c r="C3094" s="52"/>
      <c r="D3094" s="52"/>
      <c r="E3094" s="52"/>
      <c r="F3094" s="52"/>
      <c r="G3094" s="52"/>
      <c r="H3094" s="52"/>
    </row>
    <row r="3095" spans="1:8" ht="15.75">
      <c r="A3095" s="119"/>
      <c r="B3095" s="88"/>
      <c r="C3095" s="52"/>
      <c r="D3095" s="52"/>
      <c r="E3095" s="52"/>
      <c r="F3095" s="52"/>
      <c r="G3095" s="52"/>
      <c r="H3095" s="52"/>
    </row>
    <row r="3096" spans="1:8" ht="15.75">
      <c r="A3096" s="119"/>
      <c r="B3096" s="88"/>
      <c r="C3096" s="52"/>
      <c r="D3096" s="52"/>
      <c r="E3096" s="52"/>
      <c r="F3096" s="52"/>
      <c r="G3096" s="52"/>
      <c r="H3096" s="52"/>
    </row>
    <row r="3097" spans="1:8" ht="15.75">
      <c r="A3097" s="119"/>
      <c r="B3097" s="88"/>
      <c r="C3097" s="52"/>
      <c r="D3097" s="52"/>
      <c r="E3097" s="52"/>
      <c r="F3097" s="52"/>
      <c r="G3097" s="52"/>
      <c r="H3097" s="52"/>
    </row>
    <row r="3098" spans="1:8" ht="15.75">
      <c r="A3098" s="119"/>
      <c r="B3098" s="88"/>
      <c r="C3098" s="52"/>
      <c r="D3098" s="52"/>
      <c r="E3098" s="52"/>
      <c r="F3098" s="52"/>
      <c r="G3098" s="52"/>
      <c r="H3098" s="52"/>
    </row>
    <row r="3099" spans="1:8" ht="15.75">
      <c r="A3099" s="119"/>
      <c r="B3099" s="88"/>
      <c r="C3099" s="52"/>
      <c r="D3099" s="52"/>
      <c r="E3099" s="52"/>
      <c r="F3099" s="52"/>
      <c r="G3099" s="52"/>
      <c r="H3099" s="52"/>
    </row>
    <row r="3100" spans="1:8" ht="15.75">
      <c r="A3100" s="119"/>
      <c r="B3100" s="88"/>
      <c r="C3100" s="52"/>
      <c r="D3100" s="52"/>
      <c r="E3100" s="52"/>
      <c r="F3100" s="52"/>
      <c r="G3100" s="52"/>
      <c r="H3100" s="52"/>
    </row>
    <row r="3101" spans="1:8" ht="15.75">
      <c r="A3101" s="119"/>
      <c r="B3101" s="88"/>
      <c r="C3101" s="52"/>
      <c r="D3101" s="52"/>
      <c r="E3101" s="52"/>
      <c r="F3101" s="52"/>
      <c r="G3101" s="52"/>
      <c r="H3101" s="52"/>
    </row>
    <row r="3102" spans="1:8" ht="15.75">
      <c r="A3102" s="119"/>
      <c r="B3102" s="88"/>
      <c r="C3102" s="52"/>
      <c r="D3102" s="52"/>
      <c r="E3102" s="52"/>
      <c r="F3102" s="52"/>
      <c r="G3102" s="52"/>
      <c r="H3102" s="52"/>
    </row>
    <row r="3103" spans="1:8" ht="15.75">
      <c r="A3103" s="119"/>
      <c r="B3103" s="88"/>
      <c r="C3103" s="52"/>
      <c r="D3103" s="52"/>
      <c r="E3103" s="52"/>
      <c r="F3103" s="52"/>
      <c r="G3103" s="52"/>
      <c r="H3103" s="52"/>
    </row>
    <row r="3104" spans="1:8" ht="15.75">
      <c r="A3104" s="119"/>
      <c r="B3104" s="88"/>
      <c r="C3104" s="52"/>
      <c r="D3104" s="52"/>
      <c r="E3104" s="52"/>
      <c r="F3104" s="52"/>
      <c r="G3104" s="52"/>
      <c r="H3104" s="52"/>
    </row>
    <row r="3105" spans="1:8" ht="15.75">
      <c r="A3105" s="119"/>
      <c r="B3105" s="88"/>
      <c r="C3105" s="52"/>
      <c r="D3105" s="52"/>
      <c r="E3105" s="52"/>
      <c r="F3105" s="52"/>
      <c r="G3105" s="52"/>
      <c r="H3105" s="52"/>
    </row>
    <row r="3106" spans="1:8" ht="15.75">
      <c r="A3106" s="119"/>
      <c r="B3106" s="88"/>
      <c r="C3106" s="52"/>
      <c r="D3106" s="52"/>
      <c r="E3106" s="52"/>
      <c r="F3106" s="52"/>
      <c r="G3106" s="52"/>
      <c r="H3106" s="52"/>
    </row>
    <row r="3107" spans="1:8" ht="15.75">
      <c r="A3107" s="119"/>
      <c r="B3107" s="88"/>
      <c r="C3107" s="52"/>
      <c r="D3107" s="52"/>
      <c r="E3107" s="52"/>
      <c r="F3107" s="52"/>
      <c r="G3107" s="52"/>
      <c r="H3107" s="52"/>
    </row>
    <row r="3108" spans="1:8" ht="15.75">
      <c r="A3108" s="119"/>
      <c r="B3108" s="88"/>
      <c r="C3108" s="52"/>
      <c r="D3108" s="52"/>
      <c r="E3108" s="52"/>
      <c r="F3108" s="52"/>
      <c r="G3108" s="52"/>
      <c r="H3108" s="52"/>
    </row>
    <row r="3109" spans="1:8" ht="15.75">
      <c r="A3109" s="119"/>
      <c r="B3109" s="88"/>
      <c r="C3109" s="52"/>
      <c r="D3109" s="52"/>
      <c r="E3109" s="52"/>
      <c r="F3109" s="52"/>
      <c r="G3109" s="52"/>
      <c r="H3109" s="52"/>
    </row>
    <row r="3110" spans="1:8" ht="15.75">
      <c r="A3110" s="119"/>
      <c r="B3110" s="88"/>
      <c r="C3110" s="52"/>
      <c r="D3110" s="52"/>
      <c r="E3110" s="52"/>
      <c r="F3110" s="52"/>
      <c r="G3110" s="52"/>
      <c r="H3110" s="52"/>
    </row>
    <row r="3111" spans="1:8" ht="15.75">
      <c r="A3111" s="119"/>
      <c r="B3111" s="88"/>
      <c r="C3111" s="52"/>
      <c r="D3111" s="52"/>
      <c r="E3111" s="52"/>
      <c r="F3111" s="52"/>
      <c r="G3111" s="52"/>
      <c r="H3111" s="52"/>
    </row>
    <row r="3112" spans="1:8" ht="15.75">
      <c r="A3112" s="119"/>
      <c r="B3112" s="88"/>
      <c r="C3112" s="52"/>
      <c r="D3112" s="52"/>
      <c r="E3112" s="52"/>
      <c r="F3112" s="52"/>
      <c r="G3112" s="52"/>
      <c r="H3112" s="52"/>
    </row>
    <row r="3113" spans="1:8" ht="15.75">
      <c r="A3113" s="119"/>
      <c r="B3113" s="88"/>
      <c r="C3113" s="52"/>
      <c r="D3113" s="52"/>
      <c r="E3113" s="52"/>
      <c r="F3113" s="52"/>
      <c r="G3113" s="52"/>
      <c r="H3113" s="52"/>
    </row>
    <row r="3114" spans="1:8" ht="15.75">
      <c r="A3114" s="119"/>
      <c r="B3114" s="88"/>
      <c r="C3114" s="52"/>
      <c r="D3114" s="52"/>
      <c r="E3114" s="52"/>
      <c r="F3114" s="52"/>
      <c r="G3114" s="52"/>
      <c r="H3114" s="52"/>
    </row>
    <row r="3115" spans="1:8" ht="15.75">
      <c r="A3115" s="119"/>
      <c r="B3115" s="88"/>
      <c r="C3115" s="52"/>
      <c r="D3115" s="52"/>
      <c r="E3115" s="52"/>
      <c r="F3115" s="52"/>
      <c r="G3115" s="52"/>
      <c r="H3115" s="52"/>
    </row>
    <row r="3116" spans="1:8" ht="15.75">
      <c r="A3116" s="119"/>
      <c r="B3116" s="88"/>
      <c r="C3116" s="52"/>
      <c r="D3116" s="52"/>
      <c r="E3116" s="52"/>
      <c r="F3116" s="52"/>
      <c r="G3116" s="52"/>
      <c r="H3116" s="52"/>
    </row>
    <row r="3117" spans="1:8" ht="15.75">
      <c r="A3117" s="119"/>
      <c r="B3117" s="88"/>
      <c r="C3117" s="52"/>
      <c r="D3117" s="52"/>
      <c r="E3117" s="52"/>
      <c r="F3117" s="52"/>
      <c r="G3117" s="52"/>
      <c r="H3117" s="52"/>
    </row>
    <row r="3118" spans="1:8" ht="15.75">
      <c r="A3118" s="119"/>
      <c r="B3118" s="88"/>
      <c r="C3118" s="52"/>
      <c r="D3118" s="52"/>
      <c r="E3118" s="52"/>
      <c r="F3118" s="52"/>
      <c r="G3118" s="52"/>
      <c r="H3118" s="52"/>
    </row>
    <row r="3119" spans="1:8" ht="15.75">
      <c r="A3119" s="119"/>
      <c r="B3119" s="88"/>
      <c r="C3119" s="52"/>
      <c r="D3119" s="52"/>
      <c r="E3119" s="52"/>
      <c r="F3119" s="52"/>
      <c r="G3119" s="52"/>
      <c r="H3119" s="52"/>
    </row>
    <row r="3120" spans="1:8" ht="15.75">
      <c r="A3120" s="119"/>
      <c r="B3120" s="88"/>
      <c r="C3120" s="52"/>
      <c r="D3120" s="52"/>
      <c r="E3120" s="52"/>
      <c r="F3120" s="52"/>
      <c r="G3120" s="52"/>
      <c r="H3120" s="52"/>
    </row>
    <row r="3121" spans="1:8" ht="15.75">
      <c r="A3121" s="119"/>
      <c r="B3121" s="88"/>
      <c r="C3121" s="52"/>
      <c r="D3121" s="52"/>
      <c r="E3121" s="52"/>
      <c r="F3121" s="52"/>
      <c r="G3121" s="52"/>
      <c r="H3121" s="52"/>
    </row>
    <row r="3122" spans="1:8" ht="15.75">
      <c r="A3122" s="119"/>
      <c r="B3122" s="88"/>
      <c r="C3122" s="52"/>
      <c r="D3122" s="52"/>
      <c r="E3122" s="52"/>
      <c r="F3122" s="52"/>
      <c r="G3122" s="52"/>
      <c r="H3122" s="52"/>
    </row>
    <row r="3123" spans="1:8" ht="15.75">
      <c r="A3123" s="119"/>
      <c r="B3123" s="88"/>
      <c r="C3123" s="52"/>
      <c r="D3123" s="52"/>
      <c r="E3123" s="52"/>
      <c r="F3123" s="52"/>
      <c r="G3123" s="52"/>
      <c r="H3123" s="52"/>
    </row>
    <row r="3124" spans="1:8" ht="15.75">
      <c r="A3124" s="119"/>
      <c r="B3124" s="88"/>
      <c r="C3124" s="52"/>
      <c r="D3124" s="52"/>
      <c r="E3124" s="52"/>
      <c r="F3124" s="52"/>
      <c r="G3124" s="52"/>
      <c r="H3124" s="52"/>
    </row>
    <row r="3125" spans="1:8" ht="15.75">
      <c r="A3125" s="119"/>
      <c r="B3125" s="88"/>
      <c r="C3125" s="52"/>
      <c r="D3125" s="52"/>
      <c r="E3125" s="52"/>
      <c r="F3125" s="52"/>
      <c r="G3125" s="52"/>
      <c r="H3125" s="52"/>
    </row>
    <row r="3126" spans="1:8" ht="15.75">
      <c r="A3126" s="119"/>
      <c r="B3126" s="88"/>
      <c r="C3126" s="52"/>
      <c r="D3126" s="52"/>
      <c r="E3126" s="52"/>
      <c r="F3126" s="52"/>
      <c r="G3126" s="52"/>
      <c r="H3126" s="52"/>
    </row>
    <row r="3127" spans="1:8" ht="15.75">
      <c r="A3127" s="119"/>
      <c r="B3127" s="88"/>
      <c r="C3127" s="52"/>
      <c r="D3127" s="52"/>
      <c r="E3127" s="52"/>
      <c r="F3127" s="52"/>
      <c r="G3127" s="52"/>
      <c r="H3127" s="52"/>
    </row>
    <row r="3128" spans="1:8" ht="15.75">
      <c r="A3128" s="119"/>
      <c r="B3128" s="88"/>
      <c r="C3128" s="52"/>
      <c r="D3128" s="52"/>
      <c r="E3128" s="52"/>
      <c r="F3128" s="52"/>
      <c r="G3128" s="52"/>
      <c r="H3128" s="52"/>
    </row>
    <row r="3129" spans="1:8" ht="15.75">
      <c r="A3129" s="119"/>
      <c r="B3129" s="88"/>
      <c r="C3129" s="52"/>
      <c r="D3129" s="52"/>
      <c r="E3129" s="52"/>
      <c r="F3129" s="52"/>
      <c r="G3129" s="52"/>
      <c r="H3129" s="52"/>
    </row>
    <row r="3130" spans="1:8" ht="15.75">
      <c r="A3130" s="119"/>
      <c r="B3130" s="88"/>
      <c r="C3130" s="52"/>
      <c r="D3130" s="52"/>
      <c r="E3130" s="52"/>
      <c r="F3130" s="52"/>
      <c r="G3130" s="52"/>
      <c r="H3130" s="52"/>
    </row>
    <row r="3131" spans="1:8" ht="15.75">
      <c r="A3131" s="119"/>
      <c r="B3131" s="88"/>
      <c r="C3131" s="52"/>
      <c r="D3131" s="52"/>
      <c r="E3131" s="52"/>
      <c r="F3131" s="52"/>
      <c r="G3131" s="52"/>
      <c r="H3131" s="52"/>
    </row>
    <row r="3132" spans="1:8" ht="15.75">
      <c r="A3132" s="119"/>
      <c r="B3132" s="88"/>
      <c r="C3132" s="52"/>
      <c r="D3132" s="52"/>
      <c r="E3132" s="52"/>
      <c r="F3132" s="52"/>
      <c r="G3132" s="52"/>
      <c r="H3132" s="52"/>
    </row>
    <row r="3133" spans="1:8" ht="15.75">
      <c r="A3133" s="119"/>
      <c r="B3133" s="88"/>
      <c r="C3133" s="52"/>
      <c r="D3133" s="52"/>
      <c r="E3133" s="52"/>
      <c r="F3133" s="52"/>
      <c r="G3133" s="52"/>
      <c r="H3133" s="52"/>
    </row>
    <row r="3134" spans="1:8" ht="15.75">
      <c r="A3134" s="119"/>
      <c r="B3134" s="88"/>
      <c r="C3134" s="52"/>
      <c r="D3134" s="52"/>
      <c r="E3134" s="52"/>
      <c r="F3134" s="52"/>
      <c r="G3134" s="52"/>
      <c r="H3134" s="52"/>
    </row>
    <row r="3135" spans="1:8" ht="15.75">
      <c r="A3135" s="119"/>
      <c r="B3135" s="88"/>
      <c r="C3135" s="52"/>
      <c r="D3135" s="52"/>
      <c r="E3135" s="52"/>
      <c r="F3135" s="52"/>
      <c r="G3135" s="52"/>
      <c r="H3135" s="52"/>
    </row>
    <row r="3136" spans="1:8" ht="15.75">
      <c r="A3136" s="119"/>
      <c r="B3136" s="88"/>
      <c r="C3136" s="52"/>
      <c r="D3136" s="52"/>
      <c r="E3136" s="52"/>
      <c r="F3136" s="52"/>
      <c r="G3136" s="52"/>
      <c r="H3136" s="52"/>
    </row>
    <row r="3137" spans="1:8" ht="15.75">
      <c r="A3137" s="119"/>
      <c r="B3137" s="88"/>
      <c r="C3137" s="52"/>
      <c r="D3137" s="52"/>
      <c r="E3137" s="52"/>
      <c r="F3137" s="52"/>
      <c r="G3137" s="52"/>
      <c r="H3137" s="52"/>
    </row>
    <row r="3138" spans="1:8" ht="15.75">
      <c r="A3138" s="119"/>
      <c r="B3138" s="88"/>
      <c r="C3138" s="52"/>
      <c r="D3138" s="52"/>
      <c r="E3138" s="52"/>
      <c r="F3138" s="52"/>
      <c r="G3138" s="52"/>
      <c r="H3138" s="52"/>
    </row>
    <row r="3139" spans="1:8" ht="15.75">
      <c r="A3139" s="119"/>
      <c r="B3139" s="88"/>
      <c r="C3139" s="52"/>
      <c r="D3139" s="52"/>
      <c r="E3139" s="52"/>
      <c r="F3139" s="52"/>
      <c r="G3139" s="52"/>
      <c r="H3139" s="52"/>
    </row>
    <row r="3140" spans="1:8" ht="15.75">
      <c r="A3140" s="119"/>
      <c r="B3140" s="88"/>
      <c r="C3140" s="52"/>
      <c r="D3140" s="52"/>
      <c r="E3140" s="52"/>
      <c r="F3140" s="52"/>
      <c r="G3140" s="52"/>
      <c r="H3140" s="52"/>
    </row>
    <row r="3141" spans="1:8" ht="15.75">
      <c r="A3141" s="88"/>
      <c r="B3141" s="88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A1:F1"/>
    <mergeCell ref="A2:F2"/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92" priority="27" operator="lessThan">
      <formula>0</formula>
    </cfRule>
    <cfRule type="cellIs" dxfId="91" priority="28" operator="greaterThan">
      <formula>0</formula>
    </cfRule>
  </conditionalFormatting>
  <conditionalFormatting sqref="H7:H155">
    <cfRule type="cellIs" dxfId="90" priority="25" operator="lessThan">
      <formula>0</formula>
    </cfRule>
    <cfRule type="cellIs" dxfId="89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88" priority="23" operator="lessThan">
      <formula>0</formula>
    </cfRule>
    <cfRule type="cellIs" dxfId="87" priority="24" operator="greaterThan">
      <formula>0</formula>
    </cfRule>
  </conditionalFormatting>
  <conditionalFormatting sqref="G6:H6">
    <cfRule type="cellIs" dxfId="86" priority="21" operator="lessThan">
      <formula>0</formula>
    </cfRule>
    <cfRule type="cellIs" dxfId="85" priority="22" operator="greaterThan">
      <formula>0</formula>
    </cfRule>
  </conditionalFormatting>
  <conditionalFormatting sqref="F148:F153">
    <cfRule type="cellIs" dxfId="84" priority="19" operator="lessThan">
      <formula>0</formula>
    </cfRule>
    <cfRule type="cellIs" dxfId="83" priority="20" operator="greaterThan">
      <formula>0</formula>
    </cfRule>
  </conditionalFormatting>
  <conditionalFormatting sqref="N6:O6">
    <cfRule type="cellIs" dxfId="82" priority="17" operator="lessThan">
      <formula>0</formula>
    </cfRule>
    <cfRule type="cellIs" dxfId="81" priority="18" operator="greaterThan">
      <formula>0</formula>
    </cfRule>
  </conditionalFormatting>
  <conditionalFormatting sqref="U6:V6">
    <cfRule type="cellIs" dxfId="80" priority="15" operator="lessThan">
      <formula>0</formula>
    </cfRule>
    <cfRule type="cellIs" dxfId="79" priority="16" operator="greaterThan">
      <formula>0</formula>
    </cfRule>
  </conditionalFormatting>
  <conditionalFormatting sqref="T6:T17">
    <cfRule type="cellIs" dxfId="78" priority="14" operator="greaterThan">
      <formula>0</formula>
    </cfRule>
  </conditionalFormatting>
  <conditionalFormatting sqref="T6:T17">
    <cfRule type="cellIs" dxfId="77" priority="13" operator="lessThan">
      <formula>0</formula>
    </cfRule>
  </conditionalFormatting>
  <conditionalFormatting sqref="M53">
    <cfRule type="cellIs" dxfId="76" priority="11" operator="lessThan">
      <formula>0</formula>
    </cfRule>
    <cfRule type="cellIs" dxfId="75" priority="12" operator="greaterThan">
      <formula>0</formula>
    </cfRule>
  </conditionalFormatting>
  <conditionalFormatting sqref="AH6:AH15 AI6:AJ6 AO6:AO13 AP6:AQ6 AT6:AT8 AU6:AV6">
    <cfRule type="cellIs" dxfId="74" priority="10" operator="greaterThan">
      <formula>0</formula>
    </cfRule>
  </conditionalFormatting>
  <conditionalFormatting sqref="AH6:AH15 AI6:AJ6 AO6:AO13 AP6:AQ6 AT6:AT8 AU6:AV6">
    <cfRule type="cellIs" dxfId="73" priority="9" operator="lessThan">
      <formula>0</formula>
    </cfRule>
  </conditionalFormatting>
  <conditionalFormatting sqref="M107">
    <cfRule type="cellIs" dxfId="72" priority="5" operator="lessThan">
      <formula>0</formula>
    </cfRule>
    <cfRule type="cellIs" dxfId="71" priority="6" operator="greaterThan">
      <formula>0</formula>
    </cfRule>
  </conditionalFormatting>
  <conditionalFormatting sqref="M110:M157">
    <cfRule type="cellIs" dxfId="70" priority="3" operator="lessThan">
      <formula>0</formula>
    </cfRule>
    <cfRule type="cellIs" dxfId="69" priority="4" operator="greaterThan">
      <formula>0</formula>
    </cfRule>
  </conditionalFormatting>
  <conditionalFormatting sqref="M58:M105">
    <cfRule type="cellIs" dxfId="68" priority="7" operator="lessThan">
      <formula>0</formula>
    </cfRule>
    <cfRule type="cellIs" dxfId="67" priority="8" operator="greaterThan">
      <formula>0</formula>
    </cfRule>
  </conditionalFormatting>
  <conditionalFormatting sqref="N59:O59 N111:O111">
    <cfRule type="cellIs" dxfId="66" priority="1" operator="lessThan">
      <formula>0</formula>
    </cfRule>
    <cfRule type="cellIs" dxfId="65" priority="2" operator="greaterThan">
      <formula>0</formula>
    </cfRule>
  </conditionalFormatting>
  <hyperlinks>
    <hyperlink ref="A2" r:id="rId1" display="https://www.finanzen.net/fonds/deka-immobilieneuropa-de0009809566" xr:uid="{E69C1478-8C1B-4FFB-B632-07972E948459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5673-8848-408D-A4C4-D6A7EB1E7C26}">
  <dimension ref="A1:AV3177"/>
  <sheetViews>
    <sheetView zoomScale="85" zoomScaleNormal="85" workbookViewId="0">
      <selection activeCell="F28" sqref="F28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28" max="28" width="13.28515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24" t="s">
        <v>66</v>
      </c>
      <c r="B1" s="224"/>
      <c r="C1" s="224"/>
      <c r="D1" s="224"/>
      <c r="E1" s="224"/>
      <c r="F1" s="224"/>
      <c r="G1" s="117"/>
    </row>
    <row r="2" spans="1:48" ht="15.75" customHeight="1">
      <c r="A2" s="225" t="s">
        <v>67</v>
      </c>
      <c r="B2" s="225"/>
      <c r="C2" s="225"/>
      <c r="D2" s="225"/>
      <c r="E2" s="225"/>
      <c r="F2" s="225"/>
      <c r="G2" s="11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4">
        <v>39449</v>
      </c>
      <c r="B6" s="125">
        <v>48.41</v>
      </c>
      <c r="C6" s="52"/>
      <c r="D6" s="53">
        <v>39448</v>
      </c>
      <c r="E6" s="54">
        <f t="shared" ref="E6:E69" si="0">AVERAGEIFS($B$6:$B$3140,$A$6:$A$3140,"&gt;="&amp;D6,$A$6:$A$3140,"&lt;="&amp;EOMONTH(D6,0))</f>
        <v>47.50090909090909</v>
      </c>
      <c r="F6" s="55"/>
      <c r="G6" s="56">
        <f>AVERAGE(F6:F150)</f>
        <v>3.0559728604017306E-4</v>
      </c>
      <c r="H6" s="56">
        <f>_xlfn.STDEV.P(F6:F150)</f>
        <v>8.0597068709220114E-3</v>
      </c>
      <c r="J6" s="57">
        <v>39448</v>
      </c>
      <c r="K6" s="58" t="s">
        <v>46</v>
      </c>
      <c r="L6" s="59">
        <v>39539</v>
      </c>
      <c r="M6" s="60">
        <f>$E$9/$E$6-1</f>
        <v>-3.5310328988920059E-3</v>
      </c>
      <c r="N6" s="61">
        <f>AVERAGE(M6:M53)</f>
        <v>8.8685807999122396E-4</v>
      </c>
      <c r="O6" s="62">
        <f>_xlfn.STDEV.P(M6:M53)</f>
        <v>1.1631443798312113E-2</v>
      </c>
      <c r="Q6" s="63">
        <v>39448</v>
      </c>
      <c r="R6" s="64" t="s">
        <v>46</v>
      </c>
      <c r="S6" s="65">
        <v>39814</v>
      </c>
      <c r="T6" s="66">
        <f>E18/E6-1</f>
        <v>-7.6681148048201031E-3</v>
      </c>
      <c r="U6" s="67">
        <f>AVERAGE(T6:T17)</f>
        <v>3.4524555234067833E-3</v>
      </c>
      <c r="V6" s="66">
        <f>_xlfn.STDEV.P(T6:T17)</f>
        <v>1.864137746547808E-2</v>
      </c>
      <c r="X6" s="68">
        <v>39448</v>
      </c>
      <c r="Y6" s="68" t="s">
        <v>46</v>
      </c>
      <c r="Z6" s="69">
        <v>40179</v>
      </c>
      <c r="AA6" s="70">
        <f>E30/E6-1</f>
        <v>1.0285927542056594E-2</v>
      </c>
      <c r="AB6" s="71">
        <f>AVERAGE(AA6:AA11)</f>
        <v>6.9881453785654761E-3</v>
      </c>
      <c r="AC6" s="70">
        <f>_xlfn.STDEV.P(AA6:AA11)</f>
        <v>2.9126281087431292E-2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4">
        <v>39450</v>
      </c>
      <c r="B7" s="125">
        <v>48.35</v>
      </c>
      <c r="C7" s="52"/>
      <c r="D7" s="53">
        <v>39479</v>
      </c>
      <c r="E7" s="54">
        <f t="shared" si="0"/>
        <v>47.845714285714294</v>
      </c>
      <c r="F7" s="55">
        <f t="shared" ref="F7:F70" si="1">E7/E6-1</f>
        <v>7.2589178060844528E-3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8.2181691557494663E-3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1.8092779859981478E-2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-1.5921096376195876E-2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4">
        <v>39451</v>
      </c>
      <c r="B8" s="125">
        <v>48.29</v>
      </c>
      <c r="C8" s="52"/>
      <c r="D8" s="53">
        <v>39508</v>
      </c>
      <c r="E8" s="54">
        <f t="shared" si="0"/>
        <v>47.165263157894728</v>
      </c>
      <c r="F8" s="55">
        <f t="shared" si="1"/>
        <v>-1.4221778020831688E-2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6.0586182706059422E-3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-2.1621297119061911E-2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-3.1762531762531743E-2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4">
        <v>39454</v>
      </c>
      <c r="B9" s="125">
        <v>47.07</v>
      </c>
      <c r="C9" s="52"/>
      <c r="D9" s="53">
        <v>39539</v>
      </c>
      <c r="E9" s="54">
        <f t="shared" si="0"/>
        <v>47.333181818181814</v>
      </c>
      <c r="F9" s="55">
        <f t="shared" si="1"/>
        <v>3.5602188781380661E-3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-1.8217328044723313E-2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5.8261700976127706E-3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-3.5090858483437515E-3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4">
        <v>39455</v>
      </c>
      <c r="B10" s="125">
        <v>47.1</v>
      </c>
      <c r="C10" s="52"/>
      <c r="D10" s="53">
        <v>39569</v>
      </c>
      <c r="E10" s="54">
        <f t="shared" si="0"/>
        <v>47.755238095238099</v>
      </c>
      <c r="F10" s="55">
        <f t="shared" si="1"/>
        <v>8.9167104522469565E-3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-2.9205855314335949E-3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-1.2502887502887527E-2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2.4510439631694858E-2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4">
        <v>39456</v>
      </c>
      <c r="B11" s="125">
        <v>46.7</v>
      </c>
      <c r="C11" s="52"/>
      <c r="D11" s="53">
        <v>39600</v>
      </c>
      <c r="E11" s="54">
        <f t="shared" si="0"/>
        <v>47.837619047619043</v>
      </c>
      <c r="F11" s="55">
        <f t="shared" si="1"/>
        <v>1.7250663103522967E-3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9.7994684438242885E-3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-1.9503494254217935E-2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5.8325219084712776E-2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4">
        <v>39457</v>
      </c>
      <c r="B12" s="125">
        <v>47.11</v>
      </c>
      <c r="C12" s="52"/>
      <c r="D12" s="53">
        <v>39630</v>
      </c>
      <c r="E12" s="54">
        <f t="shared" si="0"/>
        <v>47.722173913043477</v>
      </c>
      <c r="F12" s="55">
        <f t="shared" si="1"/>
        <v>-2.4132709125980201E-3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2.9111529931449276E-3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-1.175186365452352E-2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4">
        <v>39458</v>
      </c>
      <c r="B13" s="125">
        <v>47.34</v>
      </c>
      <c r="C13" s="52"/>
      <c r="D13" s="53">
        <v>39661</v>
      </c>
      <c r="E13" s="54">
        <f t="shared" si="0"/>
        <v>48.092380952380964</v>
      </c>
      <c r="F13" s="55">
        <f t="shared" si="1"/>
        <v>7.7575476760982642E-3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8.230912476722585E-3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8.3407977237999198E-3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4">
        <v>39461</v>
      </c>
      <c r="B14" s="125">
        <v>47.42</v>
      </c>
      <c r="C14" s="52"/>
      <c r="D14" s="53">
        <v>39692</v>
      </c>
      <c r="E14" s="54">
        <f t="shared" si="0"/>
        <v>48.354090909090907</v>
      </c>
      <c r="F14" s="55">
        <f t="shared" si="1"/>
        <v>5.4418174256973817E-3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-2.0066889632106899E-2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3.1134343545185406E-2</v>
      </c>
      <c r="U14" s="64"/>
      <c r="V14" s="64"/>
      <c r="X14" s="88" t="s">
        <v>68</v>
      </c>
      <c r="Y14" s="88"/>
      <c r="Z14" s="209">
        <f>COUNTIF(AA6:AA11,"&lt;0")</f>
        <v>3</v>
      </c>
      <c r="AB14" s="88" t="s">
        <v>3</v>
      </c>
      <c r="AC14" s="210">
        <f>MIN(AA6:AA11)</f>
        <v>-3.1762531762531743E-2</v>
      </c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4">
        <v>39462</v>
      </c>
      <c r="B15" s="125">
        <v>47.43</v>
      </c>
      <c r="C15" s="52"/>
      <c r="D15" s="53">
        <v>39722</v>
      </c>
      <c r="E15" s="54">
        <f t="shared" si="0"/>
        <v>48.011304347826076</v>
      </c>
      <c r="F15" s="55">
        <f t="shared" si="1"/>
        <v>-7.0890912189682798E-3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1.2349903294370579E-2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-6.4239000038701644E-3</v>
      </c>
      <c r="U15" s="64"/>
      <c r="V15" s="64"/>
      <c r="X15" s="88" t="s">
        <v>69</v>
      </c>
      <c r="Y15" s="88"/>
      <c r="Z15" s="209">
        <f>COUNTIF(AA6:AA11,"&gt;0")</f>
        <v>3</v>
      </c>
      <c r="AB15" s="88" t="s">
        <v>4</v>
      </c>
      <c r="AC15" s="210">
        <f>MAX(AA6:AA11)</f>
        <v>5.8325219084712776E-2</v>
      </c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4">
        <v>39463</v>
      </c>
      <c r="B16" s="125">
        <v>46.91</v>
      </c>
      <c r="C16" s="52"/>
      <c r="D16" s="53">
        <v>39753</v>
      </c>
      <c r="E16" s="54">
        <f t="shared" si="0"/>
        <v>47.748947368421057</v>
      </c>
      <c r="F16" s="55">
        <f t="shared" si="1"/>
        <v>-5.4644834788142305E-3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7.8792210437492738E-3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2.5842259006815915E-2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4">
        <v>39464</v>
      </c>
      <c r="B17" s="125">
        <v>47.22</v>
      </c>
      <c r="C17" s="52"/>
      <c r="D17" s="53">
        <v>39783</v>
      </c>
      <c r="E17" s="54">
        <f t="shared" si="0"/>
        <v>48.501052631578958</v>
      </c>
      <c r="F17" s="55">
        <f t="shared" si="1"/>
        <v>1.575124279399942E-2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-2.1476137074124213E-2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3.166467338686707E-2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4">
        <v>39465</v>
      </c>
      <c r="B18" s="125">
        <v>47.7</v>
      </c>
      <c r="C18" s="52"/>
      <c r="D18" s="53">
        <v>39814</v>
      </c>
      <c r="E18" s="54">
        <f t="shared" si="0"/>
        <v>47.136666666666677</v>
      </c>
      <c r="F18" s="55">
        <f t="shared" si="1"/>
        <v>-2.8131058830338285E-2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6.1920132637192093E-3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4">
        <v>39468</v>
      </c>
      <c r="B19" s="125">
        <v>47.67</v>
      </c>
      <c r="C19" s="52"/>
      <c r="D19" s="53">
        <v>39845</v>
      </c>
      <c r="E19" s="54">
        <f t="shared" si="0"/>
        <v>47.046999999999983</v>
      </c>
      <c r="F19" s="55">
        <f t="shared" si="1"/>
        <v>-1.9022699950504984E-3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8.0785960176785743E-3</v>
      </c>
      <c r="N19" s="78"/>
      <c r="O19" s="78"/>
    </row>
    <row r="20" spans="1:48" ht="15.75">
      <c r="A20" s="124">
        <v>39469</v>
      </c>
      <c r="B20" s="125">
        <v>47.17</v>
      </c>
      <c r="C20" s="52"/>
      <c r="D20" s="53">
        <v>39873</v>
      </c>
      <c r="E20" s="54">
        <f t="shared" si="0"/>
        <v>46.905909090909084</v>
      </c>
      <c r="F20" s="55">
        <f t="shared" si="1"/>
        <v>-2.9989353006758535E-3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-2.1997580266168715E-3</v>
      </c>
      <c r="N20" s="78"/>
      <c r="O20" s="78"/>
      <c r="Q20" s="211" t="s">
        <v>68</v>
      </c>
      <c r="R20" s="88"/>
      <c r="S20" s="212">
        <f>COUNTIF(T6:T17,"&lt;0")</f>
        <v>6</v>
      </c>
      <c r="T20" s="88"/>
      <c r="U20" s="88" t="s">
        <v>3</v>
      </c>
      <c r="V20" s="210">
        <f>MIN(T6:T17)</f>
        <v>-2.1621297119061911E-2</v>
      </c>
    </row>
    <row r="21" spans="1:48" ht="15.75">
      <c r="A21" s="124">
        <v>39470</v>
      </c>
      <c r="B21" s="125">
        <v>47.19</v>
      </c>
      <c r="C21" s="52"/>
      <c r="D21" s="53">
        <v>39904</v>
      </c>
      <c r="E21" s="54">
        <f t="shared" si="0"/>
        <v>46.999000000000002</v>
      </c>
      <c r="F21" s="55">
        <f t="shared" si="1"/>
        <v>1.9846307404574048E-3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-6.1883882769535603E-3</v>
      </c>
      <c r="N21" s="78"/>
      <c r="O21" s="78"/>
      <c r="Q21" s="211" t="s">
        <v>69</v>
      </c>
      <c r="R21" s="88"/>
      <c r="S21" s="212">
        <f>COUNTIF(T6:T17,"&gt;0")</f>
        <v>6</v>
      </c>
      <c r="T21" s="88"/>
      <c r="U21" s="88" t="s">
        <v>4</v>
      </c>
      <c r="V21" s="210">
        <f>MAX(T6:T17)</f>
        <v>3.166467338686707E-2</v>
      </c>
    </row>
    <row r="22" spans="1:48" ht="15.75">
      <c r="A22" s="124">
        <v>39471</v>
      </c>
      <c r="B22" s="125">
        <v>47.58</v>
      </c>
      <c r="C22" s="52"/>
      <c r="D22" s="53">
        <v>39934</v>
      </c>
      <c r="E22" s="54">
        <f t="shared" si="0"/>
        <v>47.132500000000007</v>
      </c>
      <c r="F22" s="55">
        <f t="shared" si="1"/>
        <v>2.8404859677866323E-3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4.5095702990440856E-3</v>
      </c>
      <c r="N22" s="78"/>
      <c r="O22" s="78"/>
    </row>
    <row r="23" spans="1:48" ht="15.75">
      <c r="A23" s="124">
        <v>39472</v>
      </c>
      <c r="B23" s="125">
        <v>47.38</v>
      </c>
      <c r="C23" s="52"/>
      <c r="D23" s="53">
        <v>39965</v>
      </c>
      <c r="E23" s="54">
        <f t="shared" si="0"/>
        <v>47.282272727272705</v>
      </c>
      <c r="F23" s="55">
        <f t="shared" si="1"/>
        <v>3.1776953752229442E-3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-1.3572871604890957E-2</v>
      </c>
      <c r="N23" s="78"/>
      <c r="O23" s="78"/>
    </row>
    <row r="24" spans="1:48" ht="15.75">
      <c r="A24" s="124">
        <v>39475</v>
      </c>
      <c r="B24" s="125">
        <v>47.4</v>
      </c>
      <c r="C24" s="52"/>
      <c r="D24" s="53">
        <v>39995</v>
      </c>
      <c r="E24" s="54">
        <f t="shared" si="0"/>
        <v>47.459565217391301</v>
      </c>
      <c r="F24" s="55">
        <f t="shared" si="1"/>
        <v>3.7496609171312478E-3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2.760025745374195E-2</v>
      </c>
      <c r="N24" s="78"/>
      <c r="O24" s="78"/>
    </row>
    <row r="25" spans="1:48" ht="15.75">
      <c r="A25" s="124">
        <v>39476</v>
      </c>
      <c r="B25" s="125">
        <v>47.4</v>
      </c>
      <c r="C25" s="52"/>
      <c r="D25" s="53">
        <v>40026</v>
      </c>
      <c r="E25" s="54">
        <f t="shared" si="0"/>
        <v>48.271904761904764</v>
      </c>
      <c r="F25" s="55">
        <f t="shared" si="1"/>
        <v>1.71164556774277E-2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-3.0176856724353107E-2</v>
      </c>
      <c r="N25" s="78"/>
      <c r="O25" s="78"/>
    </row>
    <row r="26" spans="1:48" ht="15.75">
      <c r="A26" s="124">
        <v>39477</v>
      </c>
      <c r="B26" s="125">
        <v>48.39</v>
      </c>
      <c r="C26" s="52"/>
      <c r="D26" s="53">
        <v>40057</v>
      </c>
      <c r="E26" s="54">
        <f t="shared" si="0"/>
        <v>47.749090909090917</v>
      </c>
      <c r="F26" s="55">
        <f t="shared" si="1"/>
        <v>-1.0830603337335876E-2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-8.9907947740046623E-3</v>
      </c>
      <c r="N26" s="78"/>
      <c r="O26" s="78"/>
    </row>
    <row r="27" spans="1:48" ht="15.75">
      <c r="A27" s="124">
        <v>39478</v>
      </c>
      <c r="B27" s="125">
        <v>47.79</v>
      </c>
      <c r="C27" s="52"/>
      <c r="D27" s="53">
        <v>40087</v>
      </c>
      <c r="E27" s="54">
        <f t="shared" si="0"/>
        <v>47.597727272727269</v>
      </c>
      <c r="F27" s="55">
        <f t="shared" si="1"/>
        <v>-3.1699794379714819E-3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1.2520276908313921E-2</v>
      </c>
      <c r="N27" s="78"/>
      <c r="O27" s="78"/>
    </row>
    <row r="28" spans="1:48" ht="15.75">
      <c r="A28" s="124">
        <v>39479</v>
      </c>
      <c r="B28" s="125">
        <v>47.68</v>
      </c>
      <c r="C28" s="52"/>
      <c r="D28" s="53">
        <v>40118</v>
      </c>
      <c r="E28" s="54">
        <f t="shared" si="0"/>
        <v>48.073809523809523</v>
      </c>
      <c r="F28" s="55">
        <f t="shared" si="1"/>
        <v>1.0002205532931852E-2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-2.6183020989156813E-2</v>
      </c>
      <c r="N28" s="78"/>
      <c r="O28" s="78"/>
    </row>
    <row r="29" spans="1:48" ht="15.75">
      <c r="A29" s="124">
        <v>39482</v>
      </c>
      <c r="B29" s="125">
        <v>47</v>
      </c>
      <c r="C29" s="52"/>
      <c r="D29" s="53">
        <v>40148</v>
      </c>
      <c r="E29" s="54">
        <f t="shared" si="0"/>
        <v>48.419499999999992</v>
      </c>
      <c r="F29" s="55">
        <f t="shared" si="1"/>
        <v>7.1908275964536195E-3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3.4304826355127105E-3</v>
      </c>
      <c r="N29" s="78"/>
      <c r="O29" s="78"/>
    </row>
    <row r="30" spans="1:48" ht="15.75">
      <c r="A30" s="124">
        <v>39483</v>
      </c>
      <c r="B30" s="125">
        <v>47.6</v>
      </c>
      <c r="C30" s="52"/>
      <c r="D30" s="53">
        <v>40179</v>
      </c>
      <c r="E30" s="54">
        <f t="shared" si="0"/>
        <v>47.9895</v>
      </c>
      <c r="F30" s="55">
        <f t="shared" si="1"/>
        <v>-8.8807195448112886E-3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-5.717921189709374E-3</v>
      </c>
      <c r="N30" s="78"/>
      <c r="O30" s="78"/>
    </row>
    <row r="31" spans="1:48" ht="15.75">
      <c r="A31" s="124">
        <v>39484</v>
      </c>
      <c r="B31" s="125">
        <v>47.5</v>
      </c>
      <c r="C31" s="52"/>
      <c r="D31" s="53">
        <v>40210</v>
      </c>
      <c r="E31" s="54">
        <f t="shared" si="0"/>
        <v>47.728000000000009</v>
      </c>
      <c r="F31" s="55">
        <f t="shared" si="1"/>
        <v>-5.4491086591856863E-3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-1.0846613469615685E-2</v>
      </c>
      <c r="N31" s="78"/>
      <c r="O31" s="78"/>
    </row>
    <row r="32" spans="1:48" ht="15.75">
      <c r="A32" s="124">
        <v>39485</v>
      </c>
      <c r="B32" s="125">
        <v>47.6</v>
      </c>
      <c r="C32" s="52"/>
      <c r="D32" s="53">
        <v>40238</v>
      </c>
      <c r="E32" s="54">
        <f t="shared" si="0"/>
        <v>46.981739130434782</v>
      </c>
      <c r="F32" s="55">
        <f t="shared" si="1"/>
        <v>-1.5635703770642495E-2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2.4266916748039158E-3</v>
      </c>
      <c r="N32" s="78"/>
      <c r="O32" s="78"/>
    </row>
    <row r="33" spans="1:15" ht="15.75">
      <c r="A33" s="124">
        <v>39486</v>
      </c>
      <c r="B33" s="125">
        <v>47.62</v>
      </c>
      <c r="C33" s="52"/>
      <c r="D33" s="53">
        <v>40269</v>
      </c>
      <c r="E33" s="54">
        <f t="shared" si="0"/>
        <v>47.026500000000006</v>
      </c>
      <c r="F33" s="55">
        <f t="shared" si="1"/>
        <v>9.5272908993337957E-4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2.3978535513586863E-3</v>
      </c>
      <c r="N33" s="78"/>
      <c r="O33" s="78"/>
    </row>
    <row r="34" spans="1:15" ht="15.75">
      <c r="A34" s="124">
        <v>39489</v>
      </c>
      <c r="B34" s="125">
        <v>48.1</v>
      </c>
      <c r="C34" s="52"/>
      <c r="D34" s="53">
        <v>40299</v>
      </c>
      <c r="E34" s="54">
        <f t="shared" si="0"/>
        <v>47.01380952380952</v>
      </c>
      <c r="F34" s="55">
        <f t="shared" si="1"/>
        <v>-2.698579777462573E-4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1.2814163022283331E-3</v>
      </c>
      <c r="N34" s="78"/>
      <c r="O34" s="78"/>
    </row>
    <row r="35" spans="1:15" ht="15.75">
      <c r="A35" s="124">
        <v>39490</v>
      </c>
      <c r="B35" s="125">
        <v>48</v>
      </c>
      <c r="C35" s="52"/>
      <c r="D35" s="53">
        <v>40330</v>
      </c>
      <c r="E35" s="54">
        <f t="shared" si="0"/>
        <v>47.324090909090913</v>
      </c>
      <c r="F35" s="55">
        <f t="shared" si="1"/>
        <v>6.5997924529868079E-3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4.6432161190324006E-3</v>
      </c>
      <c r="N35" s="78"/>
      <c r="O35" s="78"/>
    </row>
    <row r="36" spans="1:15" ht="15.75">
      <c r="A36" s="124">
        <v>39491</v>
      </c>
      <c r="B36" s="125">
        <v>47.85</v>
      </c>
      <c r="C36" s="52"/>
      <c r="D36" s="53">
        <v>40360</v>
      </c>
      <c r="E36" s="54">
        <f t="shared" si="0"/>
        <v>47.607272727272722</v>
      </c>
      <c r="F36" s="55">
        <f t="shared" si="1"/>
        <v>5.9838828964680069E-3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4.3159405898407499E-3</v>
      </c>
      <c r="N36" s="78"/>
      <c r="O36" s="78"/>
    </row>
    <row r="37" spans="1:15" ht="15.75">
      <c r="A37" s="124">
        <v>39492</v>
      </c>
      <c r="B37" s="125">
        <v>48</v>
      </c>
      <c r="C37" s="52"/>
      <c r="D37" s="53">
        <v>40391</v>
      </c>
      <c r="E37" s="54">
        <f t="shared" si="0"/>
        <v>47.761363636363633</v>
      </c>
      <c r="F37" s="55">
        <f t="shared" si="1"/>
        <v>3.236709440880059E-3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-1.9116841738435753E-3</v>
      </c>
      <c r="N37" s="78"/>
      <c r="O37" s="78"/>
    </row>
    <row r="38" spans="1:15" ht="15.75">
      <c r="A38" s="124">
        <v>39493</v>
      </c>
      <c r="B38" s="125">
        <v>47.85</v>
      </c>
      <c r="C38" s="52"/>
      <c r="D38" s="53">
        <v>40422</v>
      </c>
      <c r="E38" s="54">
        <f t="shared" si="0"/>
        <v>47.844545454545461</v>
      </c>
      <c r="F38" s="55">
        <f t="shared" si="1"/>
        <v>1.7416131334762053E-3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1.9245139073955198E-2</v>
      </c>
      <c r="N38" s="78"/>
      <c r="O38" s="78"/>
    </row>
    <row r="39" spans="1:15" ht="15.75">
      <c r="A39" s="124">
        <v>39496</v>
      </c>
      <c r="B39" s="125">
        <v>48.11</v>
      </c>
      <c r="C39" s="52"/>
      <c r="D39" s="53">
        <v>40452</v>
      </c>
      <c r="E39" s="54">
        <f t="shared" si="0"/>
        <v>47.982380952380957</v>
      </c>
      <c r="F39" s="55">
        <f t="shared" si="1"/>
        <v>2.8809030690122306E-3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-1.9071446148802851E-3</v>
      </c>
      <c r="N39" s="78"/>
      <c r="O39" s="78"/>
    </row>
    <row r="40" spans="1:15" ht="15.75">
      <c r="A40" s="124">
        <v>39497</v>
      </c>
      <c r="B40" s="125">
        <v>48.22</v>
      </c>
      <c r="C40" s="52"/>
      <c r="D40" s="53">
        <v>40483</v>
      </c>
      <c r="E40" s="54">
        <f t="shared" si="0"/>
        <v>47.695909090909097</v>
      </c>
      <c r="F40" s="55">
        <f t="shared" si="1"/>
        <v>-5.9703552801216864E-3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1.5029483676111344E-2</v>
      </c>
      <c r="N40" s="78"/>
      <c r="O40" s="78"/>
    </row>
    <row r="41" spans="1:15" ht="15.75">
      <c r="A41" s="124">
        <v>39498</v>
      </c>
      <c r="B41" s="125">
        <v>48.44</v>
      </c>
      <c r="C41" s="52"/>
      <c r="D41" s="53">
        <v>40513</v>
      </c>
      <c r="E41" s="54">
        <f t="shared" si="0"/>
        <v>47.980476190476189</v>
      </c>
      <c r="F41" s="55">
        <f t="shared" si="1"/>
        <v>5.9662789742553901E-3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-1.4104917399282435E-3</v>
      </c>
      <c r="N41" s="78"/>
      <c r="O41" s="78"/>
    </row>
    <row r="42" spans="1:15" ht="15.75">
      <c r="A42" s="124">
        <v>39499</v>
      </c>
      <c r="B42" s="125">
        <v>48</v>
      </c>
      <c r="C42" s="52"/>
      <c r="D42" s="53">
        <v>40544</v>
      </c>
      <c r="E42" s="54">
        <f t="shared" si="0"/>
        <v>46.951904761904778</v>
      </c>
      <c r="F42" s="55">
        <f t="shared" si="1"/>
        <v>-2.1437290961601074E-2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7.3838301751301127E-3</v>
      </c>
      <c r="N42" s="78"/>
      <c r="O42" s="78"/>
    </row>
    <row r="43" spans="1:15" ht="15.75">
      <c r="A43" s="124">
        <v>39500</v>
      </c>
      <c r="B43" s="125">
        <v>47.87</v>
      </c>
      <c r="C43" s="52"/>
      <c r="D43" s="53">
        <v>40575</v>
      </c>
      <c r="E43" s="54">
        <f t="shared" si="0"/>
        <v>46.834500000000006</v>
      </c>
      <c r="F43" s="55">
        <f t="shared" si="1"/>
        <v>-2.5005324597614509E-3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8.1326033553330568E-4</v>
      </c>
      <c r="N43" s="78"/>
      <c r="O43" s="78"/>
    </row>
    <row r="44" spans="1:15" ht="15.75">
      <c r="A44" s="124">
        <v>39503</v>
      </c>
      <c r="B44" s="125">
        <v>47.88</v>
      </c>
      <c r="C44" s="52"/>
      <c r="D44" s="53">
        <v>40603</v>
      </c>
      <c r="E44" s="54">
        <f t="shared" si="0"/>
        <v>46.772608695652181</v>
      </c>
      <c r="F44" s="55">
        <f t="shared" si="1"/>
        <v>-1.3214895930953041E-3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-3.558180447348791E-3</v>
      </c>
      <c r="N44" s="78"/>
      <c r="O44" s="78"/>
    </row>
    <row r="45" spans="1:15" ht="15.75">
      <c r="A45" s="124">
        <v>39504</v>
      </c>
      <c r="B45" s="125">
        <v>47.43</v>
      </c>
      <c r="C45" s="52"/>
      <c r="D45" s="53">
        <v>40634</v>
      </c>
      <c r="E45" s="54">
        <f t="shared" si="0"/>
        <v>47.242631578947375</v>
      </c>
      <c r="F45" s="55">
        <f t="shared" si="1"/>
        <v>1.0049105585570706E-2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-1.0988905163755058E-2</v>
      </c>
      <c r="N45" s="78"/>
      <c r="O45" s="78"/>
    </row>
    <row r="46" spans="1:15" ht="15.75">
      <c r="A46" s="124">
        <v>39505</v>
      </c>
      <c r="B46" s="125">
        <v>47.87</v>
      </c>
      <c r="C46" s="52"/>
      <c r="D46" s="53">
        <v>40664</v>
      </c>
      <c r="E46" s="54">
        <f t="shared" si="0"/>
        <v>47.377272727272725</v>
      </c>
      <c r="F46" s="55">
        <f t="shared" si="1"/>
        <v>2.8499925559895001E-3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1.2374878286270707E-2</v>
      </c>
      <c r="N46" s="78"/>
      <c r="O46" s="78"/>
    </row>
    <row r="47" spans="1:15" ht="15.75">
      <c r="A47" s="124">
        <v>39506</v>
      </c>
      <c r="B47" s="125">
        <v>48.09</v>
      </c>
      <c r="C47" s="52"/>
      <c r="D47" s="53">
        <v>40695</v>
      </c>
      <c r="E47" s="54">
        <f t="shared" si="0"/>
        <v>47.410454545454542</v>
      </c>
      <c r="F47" s="55">
        <f t="shared" si="1"/>
        <v>7.003741725031265E-4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1.3196961842207644E-2</v>
      </c>
      <c r="N47" s="78"/>
      <c r="O47" s="78"/>
    </row>
    <row r="48" spans="1:15" ht="15.75">
      <c r="A48" s="124">
        <v>39507</v>
      </c>
      <c r="B48" s="125">
        <v>48.05</v>
      </c>
      <c r="C48" s="52"/>
      <c r="D48" s="53">
        <v>40725</v>
      </c>
      <c r="E48" s="54">
        <f t="shared" si="0"/>
        <v>47.624285714285712</v>
      </c>
      <c r="F48" s="55">
        <f t="shared" si="1"/>
        <v>4.5102113211372696E-3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-9.4168573137271006E-3</v>
      </c>
      <c r="N48" s="78"/>
      <c r="O48" s="78"/>
    </row>
    <row r="49" spans="1:15" ht="15.75">
      <c r="A49" s="124">
        <v>39510</v>
      </c>
      <c r="B49" s="125">
        <v>48</v>
      </c>
      <c r="C49" s="52"/>
      <c r="D49" s="53">
        <v>40756</v>
      </c>
      <c r="E49" s="54">
        <f t="shared" si="0"/>
        <v>47.207391304347823</v>
      </c>
      <c r="F49" s="55">
        <f t="shared" si="1"/>
        <v>-8.7538196885299513E-3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9.6117909746908925E-3</v>
      </c>
      <c r="N49" s="78"/>
      <c r="O49" s="78"/>
    </row>
    <row r="50" spans="1:15" ht="15.75">
      <c r="A50" s="124">
        <v>39511</v>
      </c>
      <c r="B50" s="125">
        <v>47.23</v>
      </c>
      <c r="C50" s="52"/>
      <c r="D50" s="53">
        <v>40787</v>
      </c>
      <c r="E50" s="54">
        <f t="shared" si="0"/>
        <v>47.434999999999995</v>
      </c>
      <c r="F50" s="55">
        <f t="shared" si="1"/>
        <v>4.8214631091298976E-3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5.9475672494637699E-3</v>
      </c>
      <c r="N50" s="78"/>
      <c r="O50" s="78"/>
    </row>
    <row r="51" spans="1:15" ht="15.75">
      <c r="A51" s="124">
        <v>39512</v>
      </c>
      <c r="B51" s="125">
        <v>46.88</v>
      </c>
      <c r="C51" s="52"/>
      <c r="D51" s="53">
        <v>40817</v>
      </c>
      <c r="E51" s="54">
        <f t="shared" si="0"/>
        <v>47.519523809523818</v>
      </c>
      <c r="F51" s="55">
        <f t="shared" si="1"/>
        <v>1.7818869932291204E-3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1.1471336550601396E-3</v>
      </c>
      <c r="N51" s="78"/>
      <c r="O51" s="78"/>
    </row>
    <row r="52" spans="1:15" ht="15.75">
      <c r="A52" s="124">
        <v>39513</v>
      </c>
      <c r="B52" s="125">
        <v>46.96</v>
      </c>
      <c r="C52" s="52"/>
      <c r="D52" s="53">
        <v>40848</v>
      </c>
      <c r="E52" s="54">
        <f t="shared" si="0"/>
        <v>47.748636363636358</v>
      </c>
      <c r="F52" s="55">
        <f t="shared" si="1"/>
        <v>4.8214404468973626E-3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1.5869854733951971E-2</v>
      </c>
      <c r="N52" s="78"/>
      <c r="O52" s="78"/>
    </row>
    <row r="53" spans="1:15" ht="15.75">
      <c r="A53" s="124">
        <v>39514</v>
      </c>
      <c r="B53" s="125">
        <v>46.9</v>
      </c>
      <c r="C53" s="52"/>
      <c r="D53" s="53">
        <v>40878</v>
      </c>
      <c r="E53" s="54">
        <f t="shared" si="0"/>
        <v>47.939523809523813</v>
      </c>
      <c r="F53" s="55">
        <f t="shared" si="1"/>
        <v>3.9977570130742546E-3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8.3869890338261754E-3</v>
      </c>
      <c r="N53" s="78"/>
      <c r="O53" s="78"/>
    </row>
    <row r="54" spans="1:15" ht="15.75">
      <c r="A54" s="124">
        <v>39517</v>
      </c>
      <c r="B54" s="125">
        <v>46.9</v>
      </c>
      <c r="C54" s="52"/>
      <c r="D54" s="53">
        <v>40909</v>
      </c>
      <c r="E54" s="54">
        <f t="shared" si="0"/>
        <v>47.225454545454546</v>
      </c>
      <c r="F54" s="55">
        <f t="shared" si="1"/>
        <v>-1.4895209783610919E-2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4">
        <v>39518</v>
      </c>
      <c r="B55" s="125">
        <v>47.05</v>
      </c>
      <c r="C55" s="52"/>
      <c r="D55" s="53">
        <v>40940</v>
      </c>
      <c r="E55" s="54">
        <f t="shared" si="0"/>
        <v>46.885714285714279</v>
      </c>
      <c r="F55" s="55">
        <f t="shared" si="1"/>
        <v>-7.1940071940073125E-3</v>
      </c>
      <c r="G55" s="81"/>
      <c r="H55" s="55"/>
      <c r="J55" s="87"/>
      <c r="K55" s="88"/>
      <c r="L55" s="89"/>
      <c r="M55" s="94"/>
    </row>
    <row r="56" spans="1:15" ht="15.75">
      <c r="A56" s="124">
        <v>39519</v>
      </c>
      <c r="B56" s="125">
        <v>47</v>
      </c>
      <c r="C56" s="52"/>
      <c r="D56" s="53">
        <v>40969</v>
      </c>
      <c r="E56" s="54">
        <f t="shared" si="0"/>
        <v>47.297272727272727</v>
      </c>
      <c r="F56" s="55">
        <f t="shared" si="1"/>
        <v>8.7779070411613258E-3</v>
      </c>
      <c r="G56" s="76"/>
      <c r="H56" s="77"/>
      <c r="J56" s="213" t="s">
        <v>68</v>
      </c>
      <c r="L56" s="212">
        <f>COUNTIF(M6:M53,"&lt;0")</f>
        <v>19</v>
      </c>
      <c r="N56" s="88" t="s">
        <v>3</v>
      </c>
      <c r="O56" s="93">
        <f>MIN(M6:M53)</f>
        <v>-3.0176856724353107E-2</v>
      </c>
    </row>
    <row r="57" spans="1:15" ht="15.75">
      <c r="A57" s="124">
        <v>39520</v>
      </c>
      <c r="B57" s="125">
        <v>48.17</v>
      </c>
      <c r="C57" s="52"/>
      <c r="D57" s="53">
        <v>41000</v>
      </c>
      <c r="E57" s="54">
        <f t="shared" si="0"/>
        <v>47.438421052631583</v>
      </c>
      <c r="F57" s="55">
        <f t="shared" si="1"/>
        <v>2.9842804292914415E-3</v>
      </c>
      <c r="G57" s="76"/>
      <c r="H57" s="77"/>
      <c r="J57" s="214" t="s">
        <v>69</v>
      </c>
      <c r="L57" s="215">
        <f>COUNTIF(M6:M53,"&gt;0")</f>
        <v>29</v>
      </c>
      <c r="N57" s="215" t="s">
        <v>4</v>
      </c>
      <c r="O57" s="93">
        <f>MAX(M6:M53)</f>
        <v>2.760025745374195E-2</v>
      </c>
    </row>
    <row r="58" spans="1:15" ht="18">
      <c r="A58" s="124">
        <v>39521</v>
      </c>
      <c r="B58" s="125">
        <v>47</v>
      </c>
      <c r="C58" s="52"/>
      <c r="D58" s="53">
        <v>41030</v>
      </c>
      <c r="E58" s="54">
        <f t="shared" si="0"/>
        <v>47.112272727272732</v>
      </c>
      <c r="F58" s="55">
        <f t="shared" si="1"/>
        <v>-6.8751935271411657E-3</v>
      </c>
      <c r="G58" s="81"/>
      <c r="H58" s="55"/>
      <c r="J58" s="87"/>
      <c r="L58" s="88"/>
      <c r="M58" s="33"/>
      <c r="N58" s="33"/>
      <c r="O58" s="33"/>
    </row>
    <row r="59" spans="1:15" ht="15.75">
      <c r="A59" s="124">
        <v>39524</v>
      </c>
      <c r="B59" s="125">
        <v>47</v>
      </c>
      <c r="C59" s="52"/>
      <c r="D59" s="53">
        <v>41061</v>
      </c>
      <c r="E59" s="54">
        <f t="shared" si="0"/>
        <v>46.77809523809524</v>
      </c>
      <c r="F59" s="55">
        <f t="shared" si="1"/>
        <v>-7.0932152034355322E-3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4">
        <v>39525</v>
      </c>
      <c r="B60" s="125">
        <v>47.2</v>
      </c>
      <c r="C60" s="52"/>
      <c r="D60" s="53">
        <v>41091</v>
      </c>
      <c r="E60" s="54">
        <f t="shared" si="0"/>
        <v>46.794545454545457</v>
      </c>
      <c r="F60" s="55">
        <f t="shared" si="1"/>
        <v>3.5166494844407481E-4</v>
      </c>
      <c r="G60" s="76"/>
      <c r="H60" s="77"/>
      <c r="J60" s="87"/>
      <c r="K60" s="88"/>
      <c r="L60" s="89"/>
      <c r="M60" s="92"/>
    </row>
    <row r="61" spans="1:15" ht="15.75">
      <c r="A61" s="124">
        <v>39526</v>
      </c>
      <c r="B61" s="125">
        <v>46.94</v>
      </c>
      <c r="C61" s="52"/>
      <c r="D61" s="53">
        <v>41122</v>
      </c>
      <c r="E61" s="54">
        <f t="shared" si="0"/>
        <v>47.633478260869573</v>
      </c>
      <c r="F61" s="55">
        <f t="shared" si="1"/>
        <v>1.7928004176021473E-2</v>
      </c>
      <c r="G61" s="81"/>
      <c r="H61" s="55"/>
      <c r="J61" s="95"/>
      <c r="K61" s="88"/>
      <c r="L61" s="89"/>
      <c r="M61" s="92"/>
    </row>
    <row r="62" spans="1:15" ht="15.75">
      <c r="A62" s="124">
        <v>39527</v>
      </c>
      <c r="B62" s="125">
        <v>47.15</v>
      </c>
      <c r="C62" s="52"/>
      <c r="D62" s="53">
        <v>41153</v>
      </c>
      <c r="E62" s="54">
        <f t="shared" si="0"/>
        <v>47.924500000000002</v>
      </c>
      <c r="F62" s="55">
        <f t="shared" si="1"/>
        <v>6.1096050457751794E-3</v>
      </c>
      <c r="G62" s="76"/>
      <c r="H62" s="77"/>
      <c r="J62" s="87"/>
      <c r="K62" s="88"/>
      <c r="L62" s="96"/>
      <c r="M62" s="92"/>
    </row>
    <row r="63" spans="1:15" ht="15.75">
      <c r="A63" s="124">
        <v>39532</v>
      </c>
      <c r="B63" s="125">
        <v>46.76</v>
      </c>
      <c r="C63" s="52"/>
      <c r="D63" s="53">
        <v>41183</v>
      </c>
      <c r="E63" s="54">
        <f t="shared" si="0"/>
        <v>48.08608695652174</v>
      </c>
      <c r="F63" s="55">
        <f t="shared" si="1"/>
        <v>3.3716983280314139E-3</v>
      </c>
      <c r="G63" s="76"/>
      <c r="H63" s="77"/>
      <c r="J63" s="87"/>
      <c r="K63" s="88"/>
      <c r="L63" s="89"/>
      <c r="M63" s="92"/>
    </row>
    <row r="64" spans="1:15" ht="15.75">
      <c r="A64" s="124">
        <v>39533</v>
      </c>
      <c r="B64" s="125">
        <v>47.15</v>
      </c>
      <c r="C64" s="52"/>
      <c r="D64" s="53">
        <v>41214</v>
      </c>
      <c r="E64" s="54">
        <f t="shared" si="0"/>
        <v>47.778181818181814</v>
      </c>
      <c r="F64" s="55">
        <f t="shared" si="1"/>
        <v>-6.403206370656167E-3</v>
      </c>
      <c r="G64" s="81"/>
      <c r="H64" s="55"/>
      <c r="J64" s="87"/>
      <c r="K64" s="88"/>
      <c r="L64" s="89"/>
      <c r="M64" s="92"/>
    </row>
    <row r="65" spans="1:13" ht="15.75">
      <c r="A65" s="124">
        <v>39534</v>
      </c>
      <c r="B65" s="125">
        <v>47.15</v>
      </c>
      <c r="C65" s="52"/>
      <c r="D65" s="53">
        <v>41244</v>
      </c>
      <c r="E65" s="54">
        <f t="shared" si="0"/>
        <v>47.269411764705886</v>
      </c>
      <c r="F65" s="55">
        <f t="shared" si="1"/>
        <v>-1.0648585486405349E-2</v>
      </c>
      <c r="G65" s="76"/>
      <c r="H65" s="77"/>
      <c r="J65" s="87"/>
      <c r="K65" s="88"/>
      <c r="L65" s="89"/>
      <c r="M65" s="92"/>
    </row>
    <row r="66" spans="1:13" ht="15.75">
      <c r="A66" s="124">
        <v>39535</v>
      </c>
      <c r="B66" s="125">
        <v>47.15</v>
      </c>
      <c r="C66" s="52"/>
      <c r="D66" s="53">
        <v>41275</v>
      </c>
      <c r="E66" s="54">
        <f t="shared" si="0"/>
        <v>46.634999999999998</v>
      </c>
      <c r="F66" s="55">
        <f t="shared" si="1"/>
        <v>-1.3421190173971587E-2</v>
      </c>
      <c r="G66" s="76"/>
      <c r="H66" s="77"/>
      <c r="J66" s="95"/>
      <c r="K66" s="88"/>
      <c r="L66" s="96"/>
      <c r="M66" s="92"/>
    </row>
    <row r="67" spans="1:13" ht="15.75">
      <c r="A67" s="124">
        <v>39538</v>
      </c>
      <c r="B67" s="125">
        <v>47.55</v>
      </c>
      <c r="C67" s="52"/>
      <c r="D67" s="53">
        <v>41306</v>
      </c>
      <c r="E67" s="54">
        <f t="shared" si="0"/>
        <v>46.88000000000001</v>
      </c>
      <c r="F67" s="55">
        <f t="shared" si="1"/>
        <v>5.2535649190523781E-3</v>
      </c>
      <c r="G67" s="81"/>
      <c r="H67" s="55"/>
      <c r="J67" s="87"/>
      <c r="K67" s="88"/>
      <c r="L67" s="89"/>
      <c r="M67" s="92"/>
    </row>
    <row r="68" spans="1:13" ht="15.75">
      <c r="A68" s="124">
        <v>39539</v>
      </c>
      <c r="B68" s="125">
        <v>47</v>
      </c>
      <c r="C68" s="52"/>
      <c r="D68" s="53">
        <v>41334</v>
      </c>
      <c r="E68" s="54">
        <f t="shared" si="0"/>
        <v>46.630499999999998</v>
      </c>
      <c r="F68" s="55">
        <f t="shared" si="1"/>
        <v>-5.3220989761094684E-3</v>
      </c>
      <c r="G68" s="76"/>
      <c r="H68" s="77"/>
      <c r="J68" s="87"/>
      <c r="K68" s="88"/>
      <c r="L68" s="89"/>
      <c r="M68" s="92"/>
    </row>
    <row r="69" spans="1:13" ht="15.75">
      <c r="A69" s="124">
        <v>39540</v>
      </c>
      <c r="B69" s="125">
        <v>47.92</v>
      </c>
      <c r="C69" s="52"/>
      <c r="D69" s="53">
        <v>41365</v>
      </c>
      <c r="E69" s="54">
        <f t="shared" si="0"/>
        <v>46.215714285714292</v>
      </c>
      <c r="F69" s="55">
        <f t="shared" si="1"/>
        <v>-8.8951590543894232E-3</v>
      </c>
      <c r="G69" s="76"/>
      <c r="H69" s="77"/>
      <c r="J69" s="87"/>
      <c r="K69" s="88"/>
      <c r="L69" s="89"/>
      <c r="M69" s="92"/>
    </row>
    <row r="70" spans="1:13" ht="15.75">
      <c r="A70" s="124">
        <v>39541</v>
      </c>
      <c r="B70" s="125">
        <v>47</v>
      </c>
      <c r="C70" s="52"/>
      <c r="D70" s="53">
        <v>41395</v>
      </c>
      <c r="E70" s="54">
        <f t="shared" ref="E70:E133" si="2">AVERAGEIFS($B$6:$B$3140,$A$6:$A$3140,"&gt;="&amp;D70,$A$6:$A$3140,"&lt;="&amp;EOMONTH(D70,0))</f>
        <v>46.174545454545459</v>
      </c>
      <c r="F70" s="55">
        <f t="shared" si="1"/>
        <v>-8.9079724948792904E-4</v>
      </c>
      <c r="G70" s="81"/>
      <c r="H70" s="55"/>
      <c r="J70" s="87"/>
      <c r="K70" s="88"/>
      <c r="L70" s="96"/>
      <c r="M70" s="92"/>
    </row>
    <row r="71" spans="1:13" ht="15.75">
      <c r="A71" s="124">
        <v>39542</v>
      </c>
      <c r="B71" s="125">
        <v>47</v>
      </c>
      <c r="C71" s="52"/>
      <c r="D71" s="53">
        <v>41426</v>
      </c>
      <c r="E71" s="54">
        <f t="shared" si="2"/>
        <v>46.771500000000003</v>
      </c>
      <c r="F71" s="55">
        <f t="shared" ref="F71:F134" si="3">E71/E70-1</f>
        <v>1.2928217042053936E-2</v>
      </c>
      <c r="G71" s="76"/>
      <c r="H71" s="77"/>
      <c r="J71" s="95"/>
      <c r="K71" s="88"/>
      <c r="L71" s="89"/>
      <c r="M71" s="92"/>
    </row>
    <row r="72" spans="1:13" ht="15.75">
      <c r="A72" s="124">
        <v>39545</v>
      </c>
      <c r="B72" s="125">
        <v>47.2</v>
      </c>
      <c r="C72" s="52"/>
      <c r="D72" s="53">
        <v>41456</v>
      </c>
      <c r="E72" s="54">
        <f t="shared" si="2"/>
        <v>46.794347826086955</v>
      </c>
      <c r="F72" s="55">
        <f t="shared" si="3"/>
        <v>4.88498895416134E-4</v>
      </c>
      <c r="G72" s="76"/>
      <c r="H72" s="77"/>
      <c r="J72" s="87"/>
      <c r="K72" s="88"/>
      <c r="L72" s="89"/>
      <c r="M72" s="92"/>
    </row>
    <row r="73" spans="1:13" ht="15.75">
      <c r="A73" s="124">
        <v>39546</v>
      </c>
      <c r="B73" s="125">
        <v>47.2</v>
      </c>
      <c r="C73" s="52"/>
      <c r="D73" s="53">
        <v>41487</v>
      </c>
      <c r="E73" s="54">
        <f t="shared" si="2"/>
        <v>44.855454545454542</v>
      </c>
      <c r="F73" s="55">
        <f t="shared" si="3"/>
        <v>-4.1434347751535872E-2</v>
      </c>
      <c r="G73" s="81"/>
      <c r="H73" s="55"/>
      <c r="J73" s="87"/>
      <c r="K73" s="88"/>
      <c r="L73" s="89"/>
      <c r="M73" s="92"/>
    </row>
    <row r="74" spans="1:13" ht="15.75">
      <c r="A74" s="124">
        <v>39547</v>
      </c>
      <c r="B74" s="125">
        <v>47.8</v>
      </c>
      <c r="C74" s="52"/>
      <c r="D74" s="53">
        <v>41518</v>
      </c>
      <c r="E74" s="54">
        <f t="shared" si="2"/>
        <v>45.916666666666664</v>
      </c>
      <c r="F74" s="55">
        <f t="shared" si="3"/>
        <v>2.3658485505630988E-2</v>
      </c>
      <c r="G74" s="76"/>
      <c r="H74" s="77"/>
      <c r="J74" s="87"/>
      <c r="K74" s="88"/>
      <c r="L74" s="96"/>
      <c r="M74" s="92"/>
    </row>
    <row r="75" spans="1:13" ht="15.75">
      <c r="A75" s="124">
        <v>39548</v>
      </c>
      <c r="B75" s="125">
        <v>47.03</v>
      </c>
      <c r="C75" s="52"/>
      <c r="D75" s="53">
        <v>41548</v>
      </c>
      <c r="E75" s="54">
        <f t="shared" si="2"/>
        <v>45.569130434782615</v>
      </c>
      <c r="F75" s="55">
        <f t="shared" si="3"/>
        <v>-7.5688471553695402E-3</v>
      </c>
      <c r="G75" s="76"/>
      <c r="H75" s="77"/>
      <c r="J75" s="87"/>
      <c r="K75" s="88"/>
      <c r="L75" s="89"/>
      <c r="M75" s="92"/>
    </row>
    <row r="76" spans="1:13" ht="15.75">
      <c r="A76" s="124">
        <v>39549</v>
      </c>
      <c r="B76" s="125">
        <v>47.11</v>
      </c>
      <c r="C76" s="52"/>
      <c r="D76" s="53">
        <v>41579</v>
      </c>
      <c r="E76" s="54">
        <f t="shared" si="2"/>
        <v>45.728571428571428</v>
      </c>
      <c r="F76" s="55">
        <f t="shared" si="3"/>
        <v>3.4988816391174904E-3</v>
      </c>
      <c r="G76" s="81"/>
      <c r="H76" s="55"/>
      <c r="J76" s="95"/>
      <c r="K76" s="88"/>
      <c r="L76" s="89"/>
      <c r="M76" s="92"/>
    </row>
    <row r="77" spans="1:13" ht="15.75">
      <c r="A77" s="124">
        <v>39552</v>
      </c>
      <c r="B77" s="125">
        <v>48.02</v>
      </c>
      <c r="C77" s="52"/>
      <c r="D77" s="53">
        <v>41609</v>
      </c>
      <c r="E77" s="54">
        <f t="shared" si="2"/>
        <v>45.967222222222219</v>
      </c>
      <c r="F77" s="55">
        <f t="shared" si="3"/>
        <v>5.218855218855234E-3</v>
      </c>
      <c r="G77" s="76"/>
      <c r="H77" s="77"/>
      <c r="J77" s="87"/>
      <c r="K77" s="88"/>
      <c r="L77" s="89"/>
      <c r="M77" s="92"/>
    </row>
    <row r="78" spans="1:13" ht="15.75">
      <c r="A78" s="124">
        <v>39553</v>
      </c>
      <c r="B78" s="125">
        <v>47.11</v>
      </c>
      <c r="C78" s="52"/>
      <c r="D78" s="53">
        <v>41640</v>
      </c>
      <c r="E78" s="54">
        <f t="shared" si="2"/>
        <v>45.725454545454546</v>
      </c>
      <c r="F78" s="55">
        <f t="shared" si="3"/>
        <v>-5.2595668191320888E-3</v>
      </c>
      <c r="G78" s="76"/>
      <c r="H78" s="77"/>
      <c r="J78" s="87"/>
      <c r="K78" s="88"/>
      <c r="L78" s="96"/>
      <c r="M78" s="92"/>
    </row>
    <row r="79" spans="1:13" ht="15.75">
      <c r="A79" s="124">
        <v>39554</v>
      </c>
      <c r="B79" s="125">
        <v>47.1</v>
      </c>
      <c r="C79" s="52"/>
      <c r="D79" s="53">
        <v>41671</v>
      </c>
      <c r="E79" s="54">
        <f t="shared" si="2"/>
        <v>45.469499999999996</v>
      </c>
      <c r="F79" s="55">
        <f t="shared" si="3"/>
        <v>-5.5976380770608181E-3</v>
      </c>
      <c r="G79" s="81"/>
      <c r="H79" s="55"/>
      <c r="J79" s="87"/>
      <c r="K79" s="88"/>
      <c r="L79" s="89"/>
      <c r="M79" s="92"/>
    </row>
    <row r="80" spans="1:13" ht="15.75">
      <c r="A80" s="124">
        <v>39555</v>
      </c>
      <c r="B80" s="125">
        <v>48.05</v>
      </c>
      <c r="C80" s="52"/>
      <c r="D80" s="53">
        <v>41699</v>
      </c>
      <c r="E80" s="54">
        <f t="shared" si="2"/>
        <v>45.497142857142862</v>
      </c>
      <c r="F80" s="55">
        <f t="shared" si="3"/>
        <v>6.079428439473844E-4</v>
      </c>
      <c r="G80" s="76"/>
      <c r="H80" s="77"/>
      <c r="J80" s="87"/>
      <c r="K80" s="88"/>
      <c r="L80" s="89"/>
      <c r="M80" s="92"/>
    </row>
    <row r="81" spans="1:13" ht="15.75">
      <c r="A81" s="124">
        <v>39556</v>
      </c>
      <c r="B81" s="125">
        <v>47.11</v>
      </c>
      <c r="C81" s="52"/>
      <c r="D81" s="53">
        <v>41730</v>
      </c>
      <c r="E81" s="54">
        <f t="shared" si="2"/>
        <v>45.463999999999999</v>
      </c>
      <c r="F81" s="55">
        <f t="shared" si="3"/>
        <v>-7.2846018588312855E-4</v>
      </c>
      <c r="G81" s="76"/>
      <c r="H81" s="77"/>
      <c r="J81" s="95"/>
      <c r="K81" s="88"/>
      <c r="L81" s="89"/>
      <c r="M81" s="92"/>
    </row>
    <row r="82" spans="1:13" ht="15.75">
      <c r="A82" s="124">
        <v>39559</v>
      </c>
      <c r="B82" s="125">
        <v>47.13</v>
      </c>
      <c r="C82" s="52"/>
      <c r="D82" s="53">
        <v>41760</v>
      </c>
      <c r="E82" s="54">
        <f t="shared" si="2"/>
        <v>45.227142857142859</v>
      </c>
      <c r="F82" s="55">
        <f t="shared" si="3"/>
        <v>-5.2097735099669862E-3</v>
      </c>
      <c r="G82" s="81"/>
      <c r="H82" s="55"/>
      <c r="J82" s="87"/>
      <c r="K82" s="88"/>
      <c r="L82" s="96"/>
      <c r="M82" s="92"/>
    </row>
    <row r="83" spans="1:13" ht="15.75">
      <c r="A83" s="124">
        <v>39560</v>
      </c>
      <c r="B83" s="125">
        <v>47.14</v>
      </c>
      <c r="C83" s="52"/>
      <c r="D83" s="53">
        <v>41791</v>
      </c>
      <c r="E83" s="54">
        <f t="shared" si="2"/>
        <v>45.239999999999995</v>
      </c>
      <c r="F83" s="55">
        <f t="shared" si="3"/>
        <v>2.8427935184294206E-4</v>
      </c>
      <c r="G83" s="76"/>
      <c r="H83" s="77"/>
      <c r="J83" s="87"/>
      <c r="K83" s="88"/>
      <c r="L83" s="89"/>
      <c r="M83" s="92"/>
    </row>
    <row r="84" spans="1:13" ht="15.75">
      <c r="A84" s="124">
        <v>39561</v>
      </c>
      <c r="B84" s="125">
        <v>47.17</v>
      </c>
      <c r="C84" s="52"/>
      <c r="D84" s="53">
        <v>41821</v>
      </c>
      <c r="E84" s="54">
        <f t="shared" si="2"/>
        <v>44.970869565217392</v>
      </c>
      <c r="F84" s="55">
        <f t="shared" si="3"/>
        <v>-5.9489486026216287E-3</v>
      </c>
      <c r="G84" s="76"/>
      <c r="H84" s="77"/>
      <c r="J84" s="87"/>
      <c r="K84" s="88"/>
      <c r="L84" s="89"/>
      <c r="M84" s="92"/>
    </row>
    <row r="85" spans="1:13" ht="15.75">
      <c r="A85" s="124">
        <v>39562</v>
      </c>
      <c r="B85" s="125">
        <v>47.3</v>
      </c>
      <c r="C85" s="52"/>
      <c r="D85" s="53">
        <v>41852</v>
      </c>
      <c r="E85" s="54">
        <f t="shared" si="2"/>
        <v>45.070476190476192</v>
      </c>
      <c r="F85" s="55">
        <f t="shared" si="3"/>
        <v>2.2149143706093888E-3</v>
      </c>
      <c r="G85" s="81"/>
      <c r="H85" s="55"/>
      <c r="J85" s="87"/>
      <c r="K85" s="88"/>
      <c r="L85" s="89"/>
      <c r="M85" s="92"/>
    </row>
    <row r="86" spans="1:13" ht="15.75">
      <c r="A86" s="124">
        <v>39563</v>
      </c>
      <c r="B86" s="125">
        <v>48.08</v>
      </c>
      <c r="C86" s="52"/>
      <c r="D86" s="53">
        <v>41883</v>
      </c>
      <c r="E86" s="54">
        <f t="shared" si="2"/>
        <v>44.950909090909086</v>
      </c>
      <c r="F86" s="55">
        <f t="shared" si="3"/>
        <v>-2.6528918634405318E-3</v>
      </c>
      <c r="G86" s="76"/>
      <c r="H86" s="77"/>
      <c r="J86" s="95"/>
      <c r="K86" s="88"/>
      <c r="L86" s="96"/>
      <c r="M86" s="92"/>
    </row>
    <row r="87" spans="1:13" ht="15.75">
      <c r="A87" s="124">
        <v>39566</v>
      </c>
      <c r="B87" s="125">
        <v>47.2</v>
      </c>
      <c r="C87" s="52"/>
      <c r="D87" s="53">
        <v>41913</v>
      </c>
      <c r="E87" s="54">
        <f t="shared" si="2"/>
        <v>45.08</v>
      </c>
      <c r="F87" s="55">
        <f t="shared" si="3"/>
        <v>2.8718197629737929E-3</v>
      </c>
      <c r="G87" s="76"/>
      <c r="H87" s="77"/>
      <c r="J87" s="87"/>
      <c r="K87" s="88"/>
      <c r="L87" s="89"/>
      <c r="M87" s="92"/>
    </row>
    <row r="88" spans="1:13" ht="15.75">
      <c r="A88" s="124">
        <v>39567</v>
      </c>
      <c r="B88" s="125">
        <v>47.33</v>
      </c>
      <c r="C88" s="52"/>
      <c r="D88" s="53">
        <v>41944</v>
      </c>
      <c r="E88" s="54">
        <f t="shared" si="2"/>
        <v>45.140000000000008</v>
      </c>
      <c r="F88" s="55">
        <f t="shared" si="3"/>
        <v>1.3309671694767822E-3</v>
      </c>
      <c r="G88" s="81"/>
      <c r="H88" s="55"/>
      <c r="J88" s="87"/>
      <c r="K88" s="88"/>
      <c r="L88" s="89"/>
      <c r="M88" s="92"/>
    </row>
    <row r="89" spans="1:13" ht="15.75">
      <c r="A89" s="124">
        <v>39568</v>
      </c>
      <c r="B89" s="125">
        <v>47.33</v>
      </c>
      <c r="C89" s="52"/>
      <c r="D89" s="53">
        <v>41974</v>
      </c>
      <c r="E89" s="54">
        <f t="shared" si="2"/>
        <v>45.543684210526315</v>
      </c>
      <c r="F89" s="55">
        <f t="shared" si="3"/>
        <v>8.9429377608840621E-3</v>
      </c>
      <c r="G89" s="76"/>
      <c r="H89" s="77"/>
      <c r="J89" s="87"/>
      <c r="K89" s="88"/>
      <c r="L89" s="89"/>
      <c r="M89" s="92"/>
    </row>
    <row r="90" spans="1:13" ht="15.75">
      <c r="A90" s="124">
        <v>39570</v>
      </c>
      <c r="B90" s="125">
        <v>47.8</v>
      </c>
      <c r="C90" s="52"/>
      <c r="D90" s="53">
        <v>42005</v>
      </c>
      <c r="E90" s="54">
        <f t="shared" si="2"/>
        <v>45.188095238095251</v>
      </c>
      <c r="F90" s="55">
        <f t="shared" si="3"/>
        <v>-7.8076461883792581E-3</v>
      </c>
      <c r="G90" s="76"/>
      <c r="H90" s="77"/>
      <c r="J90" s="87"/>
      <c r="K90" s="88"/>
      <c r="L90" s="96"/>
      <c r="M90" s="92"/>
    </row>
    <row r="91" spans="1:13" ht="15.75">
      <c r="A91" s="124">
        <v>39573</v>
      </c>
      <c r="B91" s="125">
        <v>48.28</v>
      </c>
      <c r="C91" s="52"/>
      <c r="D91" s="53">
        <v>42036</v>
      </c>
      <c r="E91" s="54">
        <f t="shared" si="2"/>
        <v>45.226500000000001</v>
      </c>
      <c r="F91" s="55">
        <f t="shared" si="3"/>
        <v>8.4988671689734119E-4</v>
      </c>
      <c r="G91" s="81"/>
      <c r="H91" s="55"/>
      <c r="J91" s="95"/>
      <c r="K91" s="88"/>
      <c r="L91" s="89"/>
      <c r="M91" s="92"/>
    </row>
    <row r="92" spans="1:13" ht="15.75">
      <c r="A92" s="124">
        <v>39574</v>
      </c>
      <c r="B92" s="125">
        <v>47.56</v>
      </c>
      <c r="C92" s="52"/>
      <c r="D92" s="53">
        <v>42064</v>
      </c>
      <c r="E92" s="54">
        <f t="shared" si="2"/>
        <v>45.37590909090909</v>
      </c>
      <c r="F92" s="55">
        <f t="shared" si="3"/>
        <v>3.3035740309130812E-3</v>
      </c>
      <c r="G92" s="76"/>
      <c r="H92" s="77"/>
      <c r="J92" s="87"/>
      <c r="K92" s="88"/>
      <c r="L92" s="89"/>
      <c r="M92" s="92"/>
    </row>
    <row r="93" spans="1:13" ht="15.75">
      <c r="A93" s="124">
        <v>39575</v>
      </c>
      <c r="B93" s="125">
        <v>47.61</v>
      </c>
      <c r="C93" s="52"/>
      <c r="D93" s="53">
        <v>42095</v>
      </c>
      <c r="E93" s="54">
        <f t="shared" si="2"/>
        <v>45.245999999999995</v>
      </c>
      <c r="F93" s="55">
        <f t="shared" si="3"/>
        <v>-2.8629529085318906E-3</v>
      </c>
      <c r="G93" s="76"/>
      <c r="H93" s="77"/>
      <c r="J93" s="87"/>
      <c r="K93" s="88"/>
      <c r="L93" s="89"/>
      <c r="M93" s="92"/>
    </row>
    <row r="94" spans="1:13" ht="15.75">
      <c r="A94" s="124">
        <v>39576</v>
      </c>
      <c r="B94" s="125">
        <v>47.75</v>
      </c>
      <c r="C94" s="52"/>
      <c r="D94" s="53">
        <v>42125</v>
      </c>
      <c r="E94" s="54">
        <f t="shared" si="2"/>
        <v>45.472105263157907</v>
      </c>
      <c r="F94" s="55">
        <f t="shared" si="3"/>
        <v>4.9972431410050255E-3</v>
      </c>
      <c r="G94" s="81"/>
      <c r="H94" s="55"/>
      <c r="J94" s="87"/>
      <c r="K94" s="88"/>
      <c r="L94" s="96"/>
      <c r="M94" s="92"/>
    </row>
    <row r="95" spans="1:13" ht="15.75">
      <c r="A95" s="124">
        <v>39577</v>
      </c>
      <c r="B95" s="125">
        <v>47.73</v>
      </c>
      <c r="C95" s="52"/>
      <c r="D95" s="53">
        <v>42156</v>
      </c>
      <c r="E95" s="54">
        <f t="shared" si="2"/>
        <v>45.328181818181811</v>
      </c>
      <c r="F95" s="55">
        <f t="shared" si="3"/>
        <v>-3.1650930640483299E-3</v>
      </c>
      <c r="G95" s="76"/>
      <c r="H95" s="77"/>
      <c r="J95" s="87"/>
      <c r="K95" s="88"/>
      <c r="L95" s="89"/>
      <c r="M95" s="92"/>
    </row>
    <row r="96" spans="1:13" ht="15.75">
      <c r="A96" s="124">
        <v>39580</v>
      </c>
      <c r="B96" s="125">
        <v>47.65</v>
      </c>
      <c r="C96" s="52"/>
      <c r="D96" s="53">
        <v>42186</v>
      </c>
      <c r="E96" s="54">
        <f t="shared" si="2"/>
        <v>45.456086956521737</v>
      </c>
      <c r="F96" s="55">
        <f t="shared" si="3"/>
        <v>2.8217575294100516E-3</v>
      </c>
      <c r="G96" s="76"/>
      <c r="H96" s="77"/>
      <c r="J96" s="95"/>
      <c r="K96" s="88"/>
      <c r="L96" s="89"/>
      <c r="M96" s="92"/>
    </row>
    <row r="97" spans="1:15" ht="15.75">
      <c r="A97" s="124">
        <v>39581</v>
      </c>
      <c r="B97" s="125">
        <v>47.65</v>
      </c>
      <c r="C97" s="52"/>
      <c r="D97" s="53">
        <v>42217</v>
      </c>
      <c r="E97" s="54">
        <f t="shared" si="2"/>
        <v>45.732857142857135</v>
      </c>
      <c r="F97" s="55">
        <f t="shared" si="3"/>
        <v>6.0887376117553238E-3</v>
      </c>
      <c r="G97" s="81"/>
      <c r="H97" s="55"/>
      <c r="J97" s="87"/>
      <c r="K97" s="88"/>
      <c r="L97" s="89"/>
      <c r="M97" s="92"/>
    </row>
    <row r="98" spans="1:15" ht="15.75">
      <c r="A98" s="124">
        <v>39582</v>
      </c>
      <c r="B98" s="125">
        <v>48.2</v>
      </c>
      <c r="C98" s="52"/>
      <c r="D98" s="53">
        <v>42248</v>
      </c>
      <c r="E98" s="54">
        <f t="shared" si="2"/>
        <v>45.390909090909084</v>
      </c>
      <c r="F98" s="55">
        <f t="shared" si="3"/>
        <v>-7.4770760742084441E-3</v>
      </c>
      <c r="G98" s="76"/>
      <c r="H98" s="77"/>
      <c r="J98" s="87"/>
      <c r="K98" s="88"/>
      <c r="L98" s="96"/>
      <c r="M98" s="92"/>
    </row>
    <row r="99" spans="1:15" ht="15.75">
      <c r="A99" s="124">
        <v>39583</v>
      </c>
      <c r="B99" s="125">
        <v>48.07</v>
      </c>
      <c r="C99" s="52"/>
      <c r="D99" s="53">
        <v>42278</v>
      </c>
      <c r="E99" s="54">
        <f t="shared" si="2"/>
        <v>45.652272727272724</v>
      </c>
      <c r="F99" s="55">
        <f t="shared" si="3"/>
        <v>5.7580612858001423E-3</v>
      </c>
      <c r="G99" s="76"/>
      <c r="H99" s="77"/>
      <c r="J99" s="87"/>
      <c r="K99" s="88"/>
      <c r="L99" s="89"/>
      <c r="M99" s="92"/>
    </row>
    <row r="100" spans="1:15" ht="15.75">
      <c r="A100" s="124">
        <v>39584</v>
      </c>
      <c r="B100" s="125">
        <v>47.41</v>
      </c>
      <c r="C100" s="52"/>
      <c r="D100" s="53">
        <v>42309</v>
      </c>
      <c r="E100" s="54">
        <f t="shared" si="2"/>
        <v>45.946666666666658</v>
      </c>
      <c r="F100" s="55">
        <f t="shared" si="3"/>
        <v>6.4486151905875921E-3</v>
      </c>
      <c r="G100" s="81"/>
      <c r="H100" s="55"/>
      <c r="J100" s="87"/>
      <c r="K100" s="88"/>
      <c r="L100" s="89"/>
      <c r="M100" s="92"/>
    </row>
    <row r="101" spans="1:15" ht="15.75">
      <c r="A101" s="124">
        <v>39587</v>
      </c>
      <c r="B101" s="125">
        <v>47.45</v>
      </c>
      <c r="C101" s="52"/>
      <c r="D101" s="53">
        <v>42339</v>
      </c>
      <c r="E101" s="54">
        <f t="shared" si="2"/>
        <v>46.052999999999997</v>
      </c>
      <c r="F101" s="55">
        <f t="shared" si="3"/>
        <v>2.3142774230993091E-3</v>
      </c>
      <c r="G101" s="76"/>
      <c r="H101" s="77"/>
      <c r="J101" s="87"/>
      <c r="K101" s="88"/>
      <c r="L101" s="89"/>
      <c r="M101" s="92"/>
    </row>
    <row r="102" spans="1:15" ht="15.75">
      <c r="A102" s="124">
        <v>39588</v>
      </c>
      <c r="B102" s="125">
        <v>47.5</v>
      </c>
      <c r="C102" s="52"/>
      <c r="D102" s="53">
        <v>42370</v>
      </c>
      <c r="E102" s="54">
        <f t="shared" si="2"/>
        <v>45.565000000000005</v>
      </c>
      <c r="F102" s="55">
        <f t="shared" si="3"/>
        <v>-1.0596486656678006E-2</v>
      </c>
      <c r="G102" s="76"/>
      <c r="H102" s="77"/>
      <c r="J102" s="87"/>
      <c r="K102" s="88"/>
      <c r="L102" s="96"/>
      <c r="M102" s="92"/>
    </row>
    <row r="103" spans="1:15" ht="15.75">
      <c r="A103" s="124">
        <v>39589</v>
      </c>
      <c r="B103" s="125">
        <v>48.2</v>
      </c>
      <c r="C103" s="52"/>
      <c r="D103" s="53">
        <v>42401</v>
      </c>
      <c r="E103" s="54">
        <f t="shared" si="2"/>
        <v>45.826190476190469</v>
      </c>
      <c r="F103" s="55">
        <f t="shared" si="3"/>
        <v>5.7322610817616138E-3</v>
      </c>
      <c r="G103" s="81"/>
      <c r="H103" s="55"/>
      <c r="J103" s="95"/>
      <c r="K103" s="88"/>
      <c r="L103" s="89"/>
      <c r="M103" s="92"/>
    </row>
    <row r="104" spans="1:15" ht="15.75">
      <c r="A104" s="124">
        <v>39590</v>
      </c>
      <c r="B104" s="125">
        <v>47.45</v>
      </c>
      <c r="C104" s="52"/>
      <c r="D104" s="53">
        <v>42430</v>
      </c>
      <c r="E104" s="54">
        <f t="shared" si="2"/>
        <v>46.355714285714285</v>
      </c>
      <c r="F104" s="55">
        <f t="shared" si="3"/>
        <v>1.1555047539876462E-2</v>
      </c>
      <c r="G104" s="76"/>
      <c r="H104" s="77"/>
      <c r="J104" s="87"/>
      <c r="K104" s="88"/>
      <c r="L104" s="89"/>
      <c r="M104" s="92"/>
    </row>
    <row r="105" spans="1:15" ht="15.75">
      <c r="A105" s="124">
        <v>39591</v>
      </c>
      <c r="B105" s="125">
        <v>48.27</v>
      </c>
      <c r="C105" s="52"/>
      <c r="D105" s="53">
        <v>42461</v>
      </c>
      <c r="E105" s="54">
        <f t="shared" si="2"/>
        <v>46.441904761904773</v>
      </c>
      <c r="F105" s="55">
        <f t="shared" si="3"/>
        <v>1.8593279710727995E-3</v>
      </c>
      <c r="G105" s="76"/>
      <c r="H105" s="77"/>
      <c r="J105" s="87"/>
      <c r="K105" s="88"/>
      <c r="L105" s="89"/>
      <c r="M105" s="92"/>
    </row>
    <row r="106" spans="1:15" ht="15.75">
      <c r="A106" s="124">
        <v>39594</v>
      </c>
      <c r="B106" s="125">
        <v>47.52</v>
      </c>
      <c r="C106" s="52"/>
      <c r="D106" s="53">
        <v>42491</v>
      </c>
      <c r="E106" s="54">
        <f t="shared" si="2"/>
        <v>46.226666666666659</v>
      </c>
      <c r="F106" s="55">
        <f t="shared" si="3"/>
        <v>-4.6345664834718248E-3</v>
      </c>
      <c r="G106" s="81"/>
      <c r="H106" s="55"/>
      <c r="J106" s="87"/>
      <c r="K106" s="88"/>
      <c r="L106" s="96"/>
      <c r="M106" s="92"/>
    </row>
    <row r="107" spans="1:15" ht="15.75">
      <c r="A107" s="124">
        <v>39595</v>
      </c>
      <c r="B107" s="125">
        <v>48.23</v>
      </c>
      <c r="C107" s="52"/>
      <c r="D107" s="53">
        <v>42522</v>
      </c>
      <c r="E107" s="54">
        <f t="shared" si="2"/>
        <v>46.36090909090909</v>
      </c>
      <c r="F107" s="55">
        <f t="shared" si="3"/>
        <v>2.9040039856309541E-3</v>
      </c>
      <c r="G107" s="76"/>
      <c r="H107" s="77"/>
      <c r="J107" s="87"/>
      <c r="K107" s="88"/>
      <c r="L107" s="96"/>
      <c r="M107" s="92"/>
    </row>
    <row r="108" spans="1:15" ht="15.75">
      <c r="A108" s="124">
        <v>39596</v>
      </c>
      <c r="B108" s="125">
        <v>47.61</v>
      </c>
      <c r="C108" s="52"/>
      <c r="D108" s="53">
        <v>42552</v>
      </c>
      <c r="E108" s="54">
        <f t="shared" si="2"/>
        <v>46.353333333333325</v>
      </c>
      <c r="F108" s="55">
        <f t="shared" si="3"/>
        <v>-1.6340830506389459E-4</v>
      </c>
      <c r="G108" s="76"/>
      <c r="H108" s="77"/>
      <c r="J108" s="90"/>
      <c r="K108" s="90"/>
      <c r="L108" s="89"/>
      <c r="M108" s="94"/>
    </row>
    <row r="109" spans="1:15" ht="18">
      <c r="A109" s="124">
        <v>39597</v>
      </c>
      <c r="B109" s="125">
        <v>47.52</v>
      </c>
      <c r="C109" s="52"/>
      <c r="D109" s="53">
        <v>42583</v>
      </c>
      <c r="E109" s="54">
        <f t="shared" si="2"/>
        <v>46.603043478260872</v>
      </c>
      <c r="F109" s="55">
        <f t="shared" si="3"/>
        <v>5.387102220499429E-3</v>
      </c>
      <c r="G109" s="81"/>
      <c r="H109" s="55"/>
      <c r="J109" s="33"/>
      <c r="K109" s="33"/>
      <c r="L109" s="90"/>
      <c r="M109" s="90"/>
      <c r="N109" s="90"/>
    </row>
    <row r="110" spans="1:15" ht="18">
      <c r="A110" s="124">
        <v>39598</v>
      </c>
      <c r="B110" s="125">
        <v>47.4</v>
      </c>
      <c r="C110" s="52"/>
      <c r="D110" s="53">
        <v>42614</v>
      </c>
      <c r="E110" s="54">
        <f t="shared" si="2"/>
        <v>46.948181818181823</v>
      </c>
      <c r="F110" s="55">
        <f t="shared" si="3"/>
        <v>7.4059184585648641E-3</v>
      </c>
      <c r="G110" s="76"/>
      <c r="H110" s="77"/>
      <c r="J110" s="95"/>
      <c r="K110" s="88"/>
      <c r="L110" s="91"/>
      <c r="M110" s="33"/>
      <c r="N110" s="33"/>
      <c r="O110" s="33"/>
    </row>
    <row r="111" spans="1:15" ht="15.75">
      <c r="A111" s="124">
        <v>39601</v>
      </c>
      <c r="B111" s="125">
        <v>47.42</v>
      </c>
      <c r="C111" s="52"/>
      <c r="D111" s="53">
        <v>42644</v>
      </c>
      <c r="E111" s="54">
        <f t="shared" si="2"/>
        <v>47.050000000000004</v>
      </c>
      <c r="F111" s="55">
        <f t="shared" si="3"/>
        <v>2.1687353561954392E-3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4">
        <v>39602</v>
      </c>
      <c r="B112" s="125">
        <v>47.42</v>
      </c>
      <c r="C112" s="52"/>
      <c r="D112" s="53">
        <v>42675</v>
      </c>
      <c r="E112" s="54">
        <f t="shared" si="2"/>
        <v>47.18681818181819</v>
      </c>
      <c r="F112" s="55">
        <f t="shared" si="3"/>
        <v>2.9079316008115974E-3</v>
      </c>
      <c r="G112" s="81"/>
      <c r="H112" s="55"/>
      <c r="J112" s="87"/>
      <c r="K112" s="88"/>
      <c r="L112" s="87"/>
      <c r="M112" s="92"/>
    </row>
    <row r="113" spans="1:13" ht="15.75">
      <c r="A113" s="124">
        <v>39603</v>
      </c>
      <c r="B113" s="125">
        <v>47.5</v>
      </c>
      <c r="C113" s="52"/>
      <c r="D113" s="53">
        <v>42705</v>
      </c>
      <c r="E113" s="54">
        <f t="shared" si="2"/>
        <v>47.214761904761907</v>
      </c>
      <c r="F113" s="55">
        <f t="shared" si="3"/>
        <v>5.9219341376337553E-4</v>
      </c>
      <c r="G113" s="76"/>
      <c r="H113" s="77"/>
      <c r="J113" s="87"/>
      <c r="K113" s="88"/>
      <c r="L113" s="87"/>
      <c r="M113" s="92"/>
    </row>
    <row r="114" spans="1:13" ht="15.75">
      <c r="A114" s="124">
        <v>39604</v>
      </c>
      <c r="B114" s="125">
        <v>47.6</v>
      </c>
      <c r="C114" s="52"/>
      <c r="D114" s="53">
        <v>42736</v>
      </c>
      <c r="E114" s="54">
        <f t="shared" si="2"/>
        <v>46.983636363636379</v>
      </c>
      <c r="F114" s="55">
        <f t="shared" si="3"/>
        <v>-4.8951965826226074E-3</v>
      </c>
      <c r="G114" s="76"/>
      <c r="H114" s="77"/>
      <c r="J114" s="95"/>
      <c r="K114" s="88"/>
      <c r="L114" s="87"/>
      <c r="M114" s="92"/>
    </row>
    <row r="115" spans="1:13" ht="15.75">
      <c r="A115" s="124">
        <v>39605</v>
      </c>
      <c r="B115" s="125">
        <v>47.82</v>
      </c>
      <c r="C115" s="52"/>
      <c r="D115" s="53">
        <v>42767</v>
      </c>
      <c r="E115" s="54">
        <f t="shared" si="2"/>
        <v>47.238</v>
      </c>
      <c r="F115" s="55">
        <f t="shared" si="3"/>
        <v>5.4138771719356438E-3</v>
      </c>
      <c r="G115" s="81"/>
      <c r="H115" s="55"/>
      <c r="J115" s="87"/>
      <c r="K115" s="88"/>
      <c r="L115" s="87"/>
      <c r="M115" s="92"/>
    </row>
    <row r="116" spans="1:13" ht="15.75">
      <c r="A116" s="124">
        <v>39608</v>
      </c>
      <c r="B116" s="125">
        <v>47.6</v>
      </c>
      <c r="C116" s="52"/>
      <c r="D116" s="53">
        <v>42795</v>
      </c>
      <c r="E116" s="54">
        <f t="shared" si="2"/>
        <v>47.309999999999995</v>
      </c>
      <c r="F116" s="55">
        <f t="shared" si="3"/>
        <v>1.52419662136416E-3</v>
      </c>
      <c r="G116" s="76"/>
      <c r="H116" s="77"/>
      <c r="J116" s="87"/>
      <c r="K116" s="88"/>
      <c r="L116" s="87"/>
      <c r="M116" s="92"/>
    </row>
    <row r="117" spans="1:13" ht="15.75">
      <c r="A117" s="124">
        <v>39609</v>
      </c>
      <c r="B117" s="125">
        <v>47.6</v>
      </c>
      <c r="C117" s="52"/>
      <c r="D117" s="53">
        <v>42826</v>
      </c>
      <c r="E117" s="54">
        <f t="shared" si="2"/>
        <v>47.330555555555542</v>
      </c>
      <c r="F117" s="55">
        <f t="shared" si="3"/>
        <v>4.3448648394739386E-4</v>
      </c>
      <c r="G117" s="76"/>
      <c r="H117" s="77"/>
      <c r="J117" s="87"/>
      <c r="K117" s="88"/>
      <c r="L117" s="87"/>
      <c r="M117" s="92"/>
    </row>
    <row r="118" spans="1:13" ht="15.75">
      <c r="A118" s="124">
        <v>39610</v>
      </c>
      <c r="B118" s="125">
        <v>47.6</v>
      </c>
      <c r="C118" s="52"/>
      <c r="D118" s="53">
        <v>42856</v>
      </c>
      <c r="E118" s="54">
        <f t="shared" si="2"/>
        <v>47.413636363636357</v>
      </c>
      <c r="F118" s="55">
        <f t="shared" si="3"/>
        <v>1.7553313521387892E-3</v>
      </c>
      <c r="G118" s="81"/>
      <c r="H118" s="55"/>
      <c r="J118" s="95"/>
      <c r="K118" s="88"/>
      <c r="L118" s="87"/>
      <c r="M118" s="92"/>
    </row>
    <row r="119" spans="1:13" ht="15.75">
      <c r="A119" s="124">
        <v>39611</v>
      </c>
      <c r="B119" s="125">
        <v>47.6</v>
      </c>
      <c r="C119" s="52"/>
      <c r="D119" s="53">
        <v>42887</v>
      </c>
      <c r="E119" s="54">
        <f t="shared" si="2"/>
        <v>47.213333333333338</v>
      </c>
      <c r="F119" s="55">
        <f t="shared" si="3"/>
        <v>-4.2245869683312787E-3</v>
      </c>
      <c r="G119" s="76"/>
      <c r="H119" s="77"/>
      <c r="J119" s="87"/>
      <c r="K119" s="88"/>
      <c r="L119" s="87"/>
      <c r="M119" s="92"/>
    </row>
    <row r="120" spans="1:13" ht="15.75">
      <c r="A120" s="124">
        <v>39612</v>
      </c>
      <c r="B120" s="125">
        <v>47.6</v>
      </c>
      <c r="C120" s="52"/>
      <c r="D120" s="53">
        <v>42917</v>
      </c>
      <c r="E120" s="54">
        <f t="shared" si="2"/>
        <v>47.369047619047628</v>
      </c>
      <c r="F120" s="55">
        <f t="shared" si="3"/>
        <v>3.2980998103846471E-3</v>
      </c>
      <c r="G120" s="76"/>
      <c r="H120" s="77"/>
      <c r="J120" s="87"/>
      <c r="K120" s="88"/>
      <c r="L120" s="87"/>
      <c r="M120" s="92"/>
    </row>
    <row r="121" spans="1:13" ht="15.75">
      <c r="A121" s="124">
        <v>39615</v>
      </c>
      <c r="B121" s="125">
        <v>47.94</v>
      </c>
      <c r="C121" s="52"/>
      <c r="D121" s="53">
        <v>42948</v>
      </c>
      <c r="E121" s="54">
        <f t="shared" si="2"/>
        <v>47.463043478260865</v>
      </c>
      <c r="F121" s="55">
        <f t="shared" si="3"/>
        <v>1.9843307800733179E-3</v>
      </c>
      <c r="G121" s="81"/>
      <c r="H121" s="55"/>
      <c r="J121" s="87"/>
      <c r="K121" s="88"/>
      <c r="L121" s="87"/>
      <c r="M121" s="92"/>
    </row>
    <row r="122" spans="1:13" ht="15.75">
      <c r="A122" s="124">
        <v>39616</v>
      </c>
      <c r="B122" s="125">
        <v>47.92</v>
      </c>
      <c r="C122" s="52"/>
      <c r="D122" s="53">
        <v>42979</v>
      </c>
      <c r="E122" s="54">
        <f t="shared" si="2"/>
        <v>47.500952380952391</v>
      </c>
      <c r="F122" s="55">
        <f t="shared" si="3"/>
        <v>7.9870357889899601E-4</v>
      </c>
      <c r="G122" s="76"/>
      <c r="H122" s="77"/>
      <c r="J122" s="95"/>
      <c r="K122" s="88"/>
      <c r="L122" s="87"/>
      <c r="M122" s="92"/>
    </row>
    <row r="123" spans="1:13" ht="15.75">
      <c r="A123" s="124">
        <v>39617</v>
      </c>
      <c r="B123" s="125">
        <v>47.76</v>
      </c>
      <c r="C123" s="52"/>
      <c r="D123" s="53">
        <v>43009</v>
      </c>
      <c r="E123" s="54">
        <f t="shared" si="2"/>
        <v>47.200499999999998</v>
      </c>
      <c r="F123" s="55">
        <f t="shared" si="3"/>
        <v>-6.3251864624270793E-3</v>
      </c>
      <c r="G123" s="76"/>
      <c r="H123" s="77"/>
      <c r="J123" s="95"/>
      <c r="K123" s="88"/>
      <c r="L123" s="87"/>
      <c r="M123" s="92"/>
    </row>
    <row r="124" spans="1:13" ht="15.75">
      <c r="A124" s="124">
        <v>39618</v>
      </c>
      <c r="B124" s="125">
        <v>48.44</v>
      </c>
      <c r="C124" s="52"/>
      <c r="D124" s="53">
        <v>43040</v>
      </c>
      <c r="E124" s="54">
        <f t="shared" si="2"/>
        <v>47.605454545454556</v>
      </c>
      <c r="F124" s="55">
        <f t="shared" si="3"/>
        <v>8.5794545704931391E-3</v>
      </c>
      <c r="G124" s="81"/>
      <c r="H124" s="55"/>
      <c r="J124" s="87"/>
      <c r="K124" s="88"/>
      <c r="L124" s="87"/>
      <c r="M124" s="92"/>
    </row>
    <row r="125" spans="1:13" ht="15.75">
      <c r="A125" s="124">
        <v>39619</v>
      </c>
      <c r="B125" s="125">
        <v>48.03</v>
      </c>
      <c r="C125" s="52"/>
      <c r="D125" s="53">
        <v>43070</v>
      </c>
      <c r="E125" s="54">
        <f t="shared" si="2"/>
        <v>47.211052631578944</v>
      </c>
      <c r="F125" s="55">
        <f t="shared" si="3"/>
        <v>-8.2848051266695144E-3</v>
      </c>
      <c r="G125" s="76"/>
      <c r="H125" s="77"/>
      <c r="J125" s="87"/>
      <c r="K125" s="88"/>
      <c r="L125" s="87"/>
      <c r="M125" s="92"/>
    </row>
    <row r="126" spans="1:13" ht="15.75">
      <c r="A126" s="124">
        <v>39622</v>
      </c>
      <c r="B126" s="125">
        <v>48.36</v>
      </c>
      <c r="C126" s="52"/>
      <c r="D126" s="53">
        <v>43101</v>
      </c>
      <c r="E126" s="54">
        <f t="shared" si="2"/>
        <v>46.68181818181818</v>
      </c>
      <c r="F126" s="55">
        <f t="shared" si="3"/>
        <v>-1.1209969281785637E-2</v>
      </c>
      <c r="G126" s="76"/>
      <c r="H126" s="77"/>
      <c r="J126" s="87"/>
      <c r="K126" s="88"/>
      <c r="L126" s="87"/>
      <c r="M126" s="92"/>
    </row>
    <row r="127" spans="1:13" ht="15.75">
      <c r="A127" s="124">
        <v>39623</v>
      </c>
      <c r="B127" s="125">
        <v>47.94</v>
      </c>
      <c r="C127" s="52"/>
      <c r="D127" s="53">
        <v>43132</v>
      </c>
      <c r="E127" s="54">
        <f t="shared" si="2"/>
        <v>46.872000000000007</v>
      </c>
      <c r="F127" s="55">
        <f t="shared" si="3"/>
        <v>4.0740019474199141E-3</v>
      </c>
      <c r="G127" s="81"/>
      <c r="H127" s="55"/>
      <c r="J127" s="95"/>
      <c r="K127" s="88"/>
      <c r="L127" s="87"/>
      <c r="M127" s="92"/>
    </row>
    <row r="128" spans="1:13" ht="15.75">
      <c r="A128" s="124">
        <v>39624</v>
      </c>
      <c r="B128" s="125">
        <v>47.85</v>
      </c>
      <c r="C128" s="52"/>
      <c r="D128" s="53">
        <v>43160</v>
      </c>
      <c r="E128" s="54">
        <f t="shared" si="2"/>
        <v>47.124285714285712</v>
      </c>
      <c r="F128" s="55">
        <f t="shared" si="3"/>
        <v>5.3824397142367975E-3</v>
      </c>
      <c r="G128" s="76"/>
      <c r="H128" s="77"/>
      <c r="J128" s="87"/>
      <c r="K128" s="88"/>
      <c r="L128" s="87"/>
      <c r="M128" s="92"/>
    </row>
    <row r="129" spans="1:13" ht="15.75">
      <c r="A129" s="124">
        <v>39625</v>
      </c>
      <c r="B129" s="125">
        <v>48.35</v>
      </c>
      <c r="C129" s="52"/>
      <c r="D129" s="53">
        <v>43191</v>
      </c>
      <c r="E129" s="54">
        <f t="shared" si="2"/>
        <v>47.259500000000003</v>
      </c>
      <c r="F129" s="55">
        <f t="shared" si="3"/>
        <v>2.8693121532725741E-3</v>
      </c>
      <c r="G129" s="76"/>
      <c r="H129" s="77"/>
      <c r="J129" s="87"/>
      <c r="K129" s="88"/>
      <c r="L129" s="87"/>
      <c r="M129" s="92"/>
    </row>
    <row r="130" spans="1:13" ht="15.75">
      <c r="A130" s="124">
        <v>39626</v>
      </c>
      <c r="B130" s="125">
        <v>47.96</v>
      </c>
      <c r="C130" s="52"/>
      <c r="D130" s="53">
        <v>43221</v>
      </c>
      <c r="E130" s="54">
        <f t="shared" si="2"/>
        <v>47.219047619047615</v>
      </c>
      <c r="F130" s="55">
        <f t="shared" si="3"/>
        <v>-8.5596294824086261E-4</v>
      </c>
      <c r="G130" s="81"/>
      <c r="H130" s="55"/>
      <c r="J130" s="87"/>
      <c r="K130" s="88"/>
      <c r="L130" s="87"/>
      <c r="M130" s="92"/>
    </row>
    <row r="131" spans="1:13" ht="15.75">
      <c r="A131" s="124">
        <v>39629</v>
      </c>
      <c r="B131" s="125">
        <v>48.28</v>
      </c>
      <c r="C131" s="52"/>
      <c r="D131" s="53">
        <v>43252</v>
      </c>
      <c r="E131" s="54">
        <f t="shared" si="2"/>
        <v>47.524761904761895</v>
      </c>
      <c r="F131" s="55">
        <f t="shared" si="3"/>
        <v>6.4743848325936604E-3</v>
      </c>
      <c r="G131" s="76"/>
      <c r="H131" s="77"/>
      <c r="J131" s="95"/>
      <c r="K131" s="88"/>
      <c r="L131" s="87"/>
      <c r="M131" s="92"/>
    </row>
    <row r="132" spans="1:13" ht="15.75">
      <c r="A132" s="124">
        <v>39630</v>
      </c>
      <c r="B132" s="125">
        <v>47.82</v>
      </c>
      <c r="C132" s="52"/>
      <c r="D132" s="53">
        <v>43282</v>
      </c>
      <c r="E132" s="54">
        <f t="shared" si="2"/>
        <v>47.883181818181811</v>
      </c>
      <c r="F132" s="55">
        <f t="shared" si="3"/>
        <v>7.5417508484982854E-3</v>
      </c>
      <c r="G132" s="76"/>
      <c r="H132" s="77"/>
      <c r="J132" s="87"/>
      <c r="K132" s="88"/>
      <c r="L132" s="87"/>
      <c r="M132" s="92"/>
    </row>
    <row r="133" spans="1:13" ht="15.75">
      <c r="A133" s="124">
        <v>39631</v>
      </c>
      <c r="B133" s="125">
        <v>47.66</v>
      </c>
      <c r="C133" s="52"/>
      <c r="D133" s="53">
        <v>43313</v>
      </c>
      <c r="E133" s="54">
        <f t="shared" si="2"/>
        <v>48.076086956521742</v>
      </c>
      <c r="F133" s="55">
        <f t="shared" si="3"/>
        <v>4.0286616514420004E-3</v>
      </c>
      <c r="G133" s="81"/>
      <c r="H133" s="55"/>
      <c r="J133" s="95"/>
      <c r="K133" s="88"/>
      <c r="L133" s="87"/>
      <c r="M133" s="92"/>
    </row>
    <row r="134" spans="1:13" ht="15.75">
      <c r="A134" s="124">
        <v>39632</v>
      </c>
      <c r="B134" s="125">
        <v>47.6</v>
      </c>
      <c r="C134" s="52"/>
      <c r="D134" s="53">
        <v>43344</v>
      </c>
      <c r="E134" s="54">
        <f t="shared" ref="E134:E150" si="4">AVERAGEIFS($B$6:$B$3140,$A$6:$A$3140,"&gt;="&amp;D134,$A$6:$A$3140,"&lt;="&amp;EOMONTH(D134,0))</f>
        <v>47.576000000000008</v>
      </c>
      <c r="F134" s="55">
        <f t="shared" si="3"/>
        <v>-1.0401989599818973E-2</v>
      </c>
      <c r="G134" s="76"/>
      <c r="H134" s="77"/>
      <c r="J134" s="87"/>
      <c r="K134" s="88"/>
      <c r="L134" s="87"/>
      <c r="M134" s="92"/>
    </row>
    <row r="135" spans="1:13" ht="15.75">
      <c r="A135" s="124">
        <v>39633</v>
      </c>
      <c r="B135" s="125">
        <v>47.51</v>
      </c>
      <c r="C135" s="52"/>
      <c r="D135" s="53">
        <v>43374</v>
      </c>
      <c r="E135" s="54">
        <f t="shared" si="4"/>
        <v>47.432272727272739</v>
      </c>
      <c r="F135" s="55">
        <f t="shared" ref="F135:F150" si="5">E135/E134-1</f>
        <v>-3.0210037146306545E-3</v>
      </c>
      <c r="G135" s="76"/>
      <c r="H135" s="77"/>
      <c r="J135" s="87"/>
      <c r="K135" s="88"/>
      <c r="L135" s="87"/>
      <c r="M135" s="92"/>
    </row>
    <row r="136" spans="1:13" ht="15.75">
      <c r="A136" s="124">
        <v>39636</v>
      </c>
      <c r="B136" s="125">
        <v>47.51</v>
      </c>
      <c r="C136" s="52"/>
      <c r="D136" s="53">
        <v>43405</v>
      </c>
      <c r="E136" s="54">
        <f t="shared" si="4"/>
        <v>47.695454545454545</v>
      </c>
      <c r="F136" s="55">
        <f t="shared" si="5"/>
        <v>5.5485812306539373E-3</v>
      </c>
      <c r="G136" s="81"/>
      <c r="H136" s="55"/>
      <c r="J136" s="87"/>
      <c r="K136" s="88"/>
      <c r="L136" s="87"/>
      <c r="M136" s="92"/>
    </row>
    <row r="137" spans="1:13" ht="15.75">
      <c r="A137" s="124">
        <v>39637</v>
      </c>
      <c r="B137" s="125">
        <v>47.55</v>
      </c>
      <c r="C137" s="52"/>
      <c r="D137" s="53">
        <v>43435</v>
      </c>
      <c r="E137" s="54">
        <f t="shared" si="4"/>
        <v>47.608235294117648</v>
      </c>
      <c r="F137" s="55">
        <f t="shared" si="5"/>
        <v>-1.8286700937879541E-3</v>
      </c>
      <c r="G137" s="76"/>
      <c r="H137" s="77"/>
      <c r="J137" s="95"/>
      <c r="K137" s="88"/>
      <c r="L137" s="87"/>
      <c r="M137" s="92"/>
    </row>
    <row r="138" spans="1:13" ht="15.75">
      <c r="A138" s="124">
        <v>39638</v>
      </c>
      <c r="B138" s="125">
        <v>47.77</v>
      </c>
      <c r="C138" s="52"/>
      <c r="D138" s="53">
        <v>43466</v>
      </c>
      <c r="E138" s="54">
        <f t="shared" si="4"/>
        <v>47.888181818181813</v>
      </c>
      <c r="F138" s="55">
        <f t="shared" si="5"/>
        <v>5.880212159402376E-3</v>
      </c>
      <c r="G138" s="76"/>
      <c r="H138" s="77"/>
      <c r="J138" s="87"/>
      <c r="K138" s="88"/>
      <c r="L138" s="87"/>
      <c r="M138" s="92"/>
    </row>
    <row r="139" spans="1:13" ht="15.75">
      <c r="A139" s="124">
        <v>39639</v>
      </c>
      <c r="B139" s="125">
        <v>47.55</v>
      </c>
      <c r="C139" s="52"/>
      <c r="D139" s="53">
        <v>43497</v>
      </c>
      <c r="E139" s="54">
        <f t="shared" si="4"/>
        <v>48.140500000000003</v>
      </c>
      <c r="F139" s="55">
        <f t="shared" si="5"/>
        <v>5.2689029367656293E-3</v>
      </c>
      <c r="G139" s="81"/>
      <c r="H139" s="55"/>
      <c r="J139" s="95"/>
      <c r="K139" s="88"/>
      <c r="L139" s="87"/>
      <c r="M139" s="92"/>
    </row>
    <row r="140" spans="1:13" ht="15.75">
      <c r="A140" s="124">
        <v>39640</v>
      </c>
      <c r="B140" s="125">
        <v>47.55</v>
      </c>
      <c r="C140" s="52"/>
      <c r="D140" s="53">
        <v>43525</v>
      </c>
      <c r="E140" s="54">
        <f t="shared" si="4"/>
        <v>48.311904761904756</v>
      </c>
      <c r="F140" s="55">
        <f t="shared" si="5"/>
        <v>3.5605106283638221E-3</v>
      </c>
      <c r="G140" s="76"/>
      <c r="H140" s="77"/>
      <c r="J140" s="87"/>
      <c r="K140" s="88"/>
      <c r="L140" s="87"/>
      <c r="M140" s="92"/>
    </row>
    <row r="141" spans="1:13" ht="15.75">
      <c r="A141" s="124">
        <v>39643</v>
      </c>
      <c r="B141" s="125">
        <v>47.7</v>
      </c>
      <c r="C141" s="52"/>
      <c r="D141" s="53">
        <v>43556</v>
      </c>
      <c r="E141" s="54">
        <f t="shared" si="4"/>
        <v>48.173000000000002</v>
      </c>
      <c r="F141" s="55">
        <f t="shared" si="5"/>
        <v>-2.8751663298998142E-3</v>
      </c>
      <c r="G141" s="76"/>
      <c r="H141" s="77"/>
      <c r="J141" s="87"/>
      <c r="K141" s="88"/>
      <c r="L141" s="87"/>
      <c r="M141" s="92"/>
    </row>
    <row r="142" spans="1:13" ht="15.75">
      <c r="A142" s="124">
        <v>39644</v>
      </c>
      <c r="B142" s="125">
        <v>47.55</v>
      </c>
      <c r="C142" s="52"/>
      <c r="D142" s="53">
        <v>43586</v>
      </c>
      <c r="E142" s="54">
        <f t="shared" si="4"/>
        <v>48.151363636363641</v>
      </c>
      <c r="F142" s="55">
        <f t="shared" si="5"/>
        <v>-4.4913880464914069E-4</v>
      </c>
      <c r="G142" s="81"/>
      <c r="H142" s="55"/>
      <c r="J142" s="87"/>
      <c r="K142" s="88"/>
      <c r="L142" s="87"/>
      <c r="M142" s="92"/>
    </row>
    <row r="143" spans="1:13" ht="15.75">
      <c r="A143" s="124">
        <v>39645</v>
      </c>
      <c r="B143" s="125">
        <v>47.42</v>
      </c>
      <c r="C143" s="52"/>
      <c r="D143" s="53">
        <v>43617</v>
      </c>
      <c r="E143" s="54">
        <f t="shared" si="4"/>
        <v>48.085263157894722</v>
      </c>
      <c r="F143" s="55">
        <f t="shared" si="5"/>
        <v>-1.3727644136540817E-3</v>
      </c>
      <c r="G143" s="76"/>
      <c r="H143" s="77"/>
      <c r="J143" s="95"/>
      <c r="K143" s="88"/>
      <c r="L143" s="87"/>
      <c r="M143" s="92"/>
    </row>
    <row r="144" spans="1:13" ht="15.75">
      <c r="A144" s="124">
        <v>39646</v>
      </c>
      <c r="B144" s="125">
        <v>47.75</v>
      </c>
      <c r="C144" s="52"/>
      <c r="D144" s="53">
        <v>43647</v>
      </c>
      <c r="E144" s="54">
        <f t="shared" si="4"/>
        <v>48.228260869565219</v>
      </c>
      <c r="F144" s="55">
        <f t="shared" si="5"/>
        <v>2.9738365203688666E-3</v>
      </c>
      <c r="G144" s="76"/>
      <c r="H144" s="77"/>
      <c r="J144" s="95"/>
      <c r="K144" s="88"/>
      <c r="L144" s="87"/>
      <c r="M144" s="92"/>
    </row>
    <row r="145" spans="1:13" ht="15.75">
      <c r="A145" s="124">
        <v>39647</v>
      </c>
      <c r="B145" s="125">
        <v>47.43</v>
      </c>
      <c r="C145" s="52"/>
      <c r="D145" s="53">
        <v>43678</v>
      </c>
      <c r="E145" s="54">
        <f t="shared" si="4"/>
        <v>48.887272727272723</v>
      </c>
      <c r="F145" s="55">
        <f t="shared" si="5"/>
        <v>1.3664433380457641E-2</v>
      </c>
      <c r="G145" s="81"/>
      <c r="H145" s="55"/>
      <c r="J145" s="87"/>
      <c r="K145" s="88"/>
      <c r="L145" s="87"/>
      <c r="M145" s="92"/>
    </row>
    <row r="146" spans="1:13" ht="15.75">
      <c r="A146" s="124">
        <v>39650</v>
      </c>
      <c r="B146" s="125">
        <v>47.95</v>
      </c>
      <c r="C146" s="52"/>
      <c r="D146" s="53">
        <v>43709</v>
      </c>
      <c r="E146" s="54">
        <f t="shared" si="4"/>
        <v>48.995714285714293</v>
      </c>
      <c r="F146" s="55">
        <f t="shared" si="5"/>
        <v>2.2181961151019891E-3</v>
      </c>
      <c r="G146" s="76"/>
      <c r="H146" s="77"/>
      <c r="J146" s="87"/>
      <c r="K146" s="88"/>
      <c r="L146" s="87"/>
      <c r="M146" s="92"/>
    </row>
    <row r="147" spans="1:13" ht="15.75">
      <c r="A147" s="124">
        <v>39651</v>
      </c>
      <c r="B147" s="125">
        <v>47.98</v>
      </c>
      <c r="C147" s="52"/>
      <c r="D147" s="53">
        <v>43739</v>
      </c>
      <c r="E147" s="54">
        <f t="shared" si="4"/>
        <v>48.993636363636362</v>
      </c>
      <c r="F147" s="55">
        <f t="shared" si="5"/>
        <v>-4.2410282373173125E-5</v>
      </c>
      <c r="G147" s="76"/>
      <c r="H147" s="77"/>
      <c r="J147" s="87"/>
      <c r="K147" s="88"/>
      <c r="L147" s="87"/>
      <c r="M147" s="92"/>
    </row>
    <row r="148" spans="1:13" ht="15.75">
      <c r="A148" s="124">
        <v>39652</v>
      </c>
      <c r="B148" s="125">
        <v>47.59</v>
      </c>
      <c r="C148" s="52"/>
      <c r="D148" s="53">
        <v>43770</v>
      </c>
      <c r="E148" s="54">
        <f t="shared" si="4"/>
        <v>49.55952380952381</v>
      </c>
      <c r="F148" s="55">
        <f t="shared" si="5"/>
        <v>1.1550223414473093E-2</v>
      </c>
      <c r="G148" s="81"/>
      <c r="H148" s="55"/>
      <c r="J148" s="95"/>
      <c r="K148" s="88"/>
      <c r="L148" s="87"/>
      <c r="M148" s="92"/>
    </row>
    <row r="149" spans="1:13" ht="15.75">
      <c r="A149" s="124">
        <v>39653</v>
      </c>
      <c r="B149" s="125">
        <v>47.64</v>
      </c>
      <c r="C149" s="52"/>
      <c r="D149" s="53">
        <v>43800</v>
      </c>
      <c r="E149" s="54">
        <f t="shared" si="4"/>
        <v>49.451111111111111</v>
      </c>
      <c r="F149" s="55">
        <f t="shared" si="5"/>
        <v>-2.1875250220193543E-3</v>
      </c>
      <c r="G149" s="76"/>
      <c r="H149" s="77"/>
      <c r="J149" s="87"/>
      <c r="K149" s="88"/>
      <c r="L149" s="87"/>
      <c r="M149" s="92"/>
    </row>
    <row r="150" spans="1:13" ht="15.75">
      <c r="A150" s="124">
        <v>39654</v>
      </c>
      <c r="B150" s="125">
        <v>47.76</v>
      </c>
      <c r="C150" s="52"/>
      <c r="D150" s="53">
        <v>43831</v>
      </c>
      <c r="E150" s="54">
        <f t="shared" si="4"/>
        <v>49.404545454545449</v>
      </c>
      <c r="F150" s="55">
        <f t="shared" si="5"/>
        <v>-9.416503597065029E-4</v>
      </c>
      <c r="G150" s="76"/>
      <c r="H150" s="77"/>
      <c r="J150" s="87"/>
      <c r="K150" s="88"/>
      <c r="L150" s="87"/>
      <c r="M150" s="92"/>
    </row>
    <row r="151" spans="1:13" ht="15.75">
      <c r="A151" s="124">
        <v>39657</v>
      </c>
      <c r="B151" s="125">
        <v>47.88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4">
        <v>39658</v>
      </c>
      <c r="B152" s="125">
        <v>48.55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4">
        <v>39659</v>
      </c>
      <c r="B153" s="125">
        <v>48.09</v>
      </c>
      <c r="C153" s="52"/>
      <c r="D153" s="211" t="s">
        <v>68</v>
      </c>
      <c r="E153" s="215">
        <f>COUNTIF(F7:F150,"&lt;0")</f>
        <v>58</v>
      </c>
      <c r="G153" s="97" t="s">
        <v>3</v>
      </c>
      <c r="H153" s="216">
        <f>MIN(F7:F150)</f>
        <v>-4.1434347751535872E-2</v>
      </c>
      <c r="J153" s="95"/>
      <c r="K153" s="88"/>
      <c r="L153" s="87"/>
      <c r="M153" s="92"/>
    </row>
    <row r="154" spans="1:13" ht="15.75">
      <c r="A154" s="124">
        <v>39660</v>
      </c>
      <c r="B154" s="125">
        <v>47.8</v>
      </c>
      <c r="C154" s="52"/>
      <c r="D154" s="214" t="s">
        <v>69</v>
      </c>
      <c r="E154" s="215">
        <f>COUNTIF(F7:F150,"&gt;0")</f>
        <v>86</v>
      </c>
      <c r="G154" s="98" t="s">
        <v>4</v>
      </c>
      <c r="H154" s="92">
        <f>MAX(F7:F150)</f>
        <v>2.3658485505630988E-2</v>
      </c>
      <c r="J154" s="87"/>
      <c r="K154" s="88"/>
      <c r="L154" s="87"/>
      <c r="M154" s="92"/>
    </row>
    <row r="155" spans="1:13" ht="15.75">
      <c r="A155" s="124">
        <v>39661</v>
      </c>
      <c r="B155" s="125">
        <v>47.8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4">
        <v>39664</v>
      </c>
      <c r="B156" s="125">
        <v>47.8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4">
        <v>39665</v>
      </c>
      <c r="B157" s="125">
        <v>47.97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4">
        <v>39666</v>
      </c>
      <c r="B158" s="125">
        <v>47.92</v>
      </c>
      <c r="C158" s="52"/>
      <c r="D158" s="95"/>
      <c r="E158" s="52"/>
      <c r="F158" s="52"/>
      <c r="G158" s="52"/>
      <c r="H158" s="52"/>
      <c r="J158" s="87"/>
      <c r="L158" s="87"/>
      <c r="M158" s="92"/>
    </row>
    <row r="159" spans="1:13" ht="15.75">
      <c r="A159" s="124">
        <v>39667</v>
      </c>
      <c r="B159" s="125">
        <v>47.83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4">
        <v>39668</v>
      </c>
      <c r="B160" s="125">
        <v>48</v>
      </c>
      <c r="C160" s="52"/>
      <c r="D160" s="95"/>
      <c r="E160" s="52"/>
      <c r="F160" s="52"/>
      <c r="G160" s="52"/>
      <c r="H160" s="52"/>
    </row>
    <row r="161" spans="1:8" ht="15.75">
      <c r="A161" s="124">
        <v>39671</v>
      </c>
      <c r="B161" s="125">
        <v>48</v>
      </c>
      <c r="C161" s="52"/>
      <c r="D161" s="95"/>
      <c r="E161" s="52"/>
      <c r="F161" s="52"/>
      <c r="G161" s="52"/>
      <c r="H161" s="52"/>
    </row>
    <row r="162" spans="1:8" ht="15.75">
      <c r="A162" s="124">
        <v>39672</v>
      </c>
      <c r="B162" s="125">
        <v>48</v>
      </c>
      <c r="C162" s="52"/>
      <c r="D162" s="95"/>
      <c r="E162" s="52"/>
      <c r="F162" s="52"/>
      <c r="G162" s="52"/>
      <c r="H162" s="52"/>
    </row>
    <row r="163" spans="1:8" ht="15.75">
      <c r="A163" s="124">
        <v>39673</v>
      </c>
      <c r="B163" s="125">
        <v>48.63</v>
      </c>
      <c r="C163" s="52"/>
      <c r="D163" s="95"/>
      <c r="E163" s="52"/>
      <c r="F163" s="52"/>
      <c r="G163" s="52"/>
      <c r="H163" s="52"/>
    </row>
    <row r="164" spans="1:8" ht="15.75">
      <c r="A164" s="124">
        <v>39674</v>
      </c>
      <c r="B164" s="125">
        <v>48.17</v>
      </c>
      <c r="C164" s="52"/>
      <c r="D164" s="52"/>
      <c r="E164" s="52"/>
      <c r="F164" s="52"/>
      <c r="G164" s="52"/>
      <c r="H164" s="52"/>
    </row>
    <row r="165" spans="1:8" ht="15.75">
      <c r="A165" s="124">
        <v>39675</v>
      </c>
      <c r="B165" s="125">
        <v>48.08</v>
      </c>
      <c r="C165" s="52"/>
      <c r="D165" s="52"/>
      <c r="E165" s="52"/>
      <c r="F165" s="52"/>
      <c r="G165" s="52"/>
      <c r="H165" s="52"/>
    </row>
    <row r="166" spans="1:8" ht="15.75">
      <c r="A166" s="124">
        <v>39678</v>
      </c>
      <c r="B166" s="125">
        <v>48.08</v>
      </c>
      <c r="C166" s="52"/>
      <c r="D166" s="52"/>
      <c r="E166" s="52"/>
      <c r="F166" s="52"/>
      <c r="G166" s="52"/>
      <c r="H166" s="52"/>
    </row>
    <row r="167" spans="1:8" ht="15.75">
      <c r="A167" s="124">
        <v>39679</v>
      </c>
      <c r="B167" s="125">
        <v>48.1</v>
      </c>
      <c r="C167" s="52"/>
      <c r="D167" s="52"/>
      <c r="E167" s="52"/>
      <c r="F167" s="52"/>
      <c r="G167" s="52"/>
      <c r="H167" s="52"/>
    </row>
    <row r="168" spans="1:8" ht="15.75">
      <c r="A168" s="124">
        <v>39680</v>
      </c>
      <c r="B168" s="125">
        <v>48.11</v>
      </c>
      <c r="C168" s="52"/>
      <c r="D168" s="52"/>
      <c r="E168" s="52"/>
      <c r="F168" s="52"/>
      <c r="G168" s="52"/>
      <c r="H168" s="52"/>
    </row>
    <row r="169" spans="1:8" ht="15.75">
      <c r="A169" s="124">
        <v>39681</v>
      </c>
      <c r="B169" s="125">
        <v>48.08</v>
      </c>
      <c r="C169" s="52"/>
      <c r="D169" s="52"/>
      <c r="E169" s="52"/>
      <c r="F169" s="52"/>
      <c r="G169" s="52"/>
      <c r="H169" s="52"/>
    </row>
    <row r="170" spans="1:8" ht="15.75">
      <c r="A170" s="124">
        <v>39682</v>
      </c>
      <c r="B170" s="125">
        <v>48.13</v>
      </c>
      <c r="C170" s="52"/>
      <c r="D170" s="52"/>
      <c r="E170" s="52"/>
      <c r="F170" s="52"/>
      <c r="G170" s="52"/>
      <c r="H170" s="52"/>
    </row>
    <row r="171" spans="1:8" ht="15.75">
      <c r="A171" s="124">
        <v>39685</v>
      </c>
      <c r="B171" s="125">
        <v>48.08</v>
      </c>
      <c r="C171" s="52"/>
      <c r="D171" s="52"/>
      <c r="E171" s="52"/>
      <c r="F171" s="52"/>
      <c r="G171" s="52"/>
      <c r="H171" s="52"/>
    </row>
    <row r="172" spans="1:8" ht="15.75">
      <c r="A172" s="124">
        <v>39686</v>
      </c>
      <c r="B172" s="125">
        <v>48.71</v>
      </c>
      <c r="C172" s="52"/>
      <c r="D172" s="52"/>
      <c r="E172" s="52"/>
      <c r="F172" s="52"/>
      <c r="G172" s="52"/>
      <c r="H172" s="52"/>
    </row>
    <row r="173" spans="1:8" ht="15.75">
      <c r="A173" s="124">
        <v>39687</v>
      </c>
      <c r="B173" s="125">
        <v>48.08</v>
      </c>
      <c r="C173" s="52"/>
      <c r="D173" s="52"/>
      <c r="E173" s="52"/>
      <c r="F173" s="52"/>
      <c r="G173" s="52"/>
      <c r="H173" s="52"/>
    </row>
    <row r="174" spans="1:8" ht="15.75">
      <c r="A174" s="124">
        <v>39688</v>
      </c>
      <c r="B174" s="125">
        <v>48.17</v>
      </c>
      <c r="C174" s="52"/>
      <c r="D174" s="52"/>
      <c r="E174" s="52"/>
      <c r="F174" s="52"/>
      <c r="G174" s="52"/>
      <c r="H174" s="52"/>
    </row>
    <row r="175" spans="1:8" ht="15.75">
      <c r="A175" s="124">
        <v>39689</v>
      </c>
      <c r="B175" s="125">
        <v>48.2</v>
      </c>
      <c r="C175" s="52"/>
      <c r="D175" s="52"/>
      <c r="E175" s="52"/>
      <c r="F175" s="52"/>
      <c r="G175" s="52"/>
      <c r="H175" s="52"/>
    </row>
    <row r="176" spans="1:8" ht="15.75">
      <c r="A176" s="124">
        <v>39692</v>
      </c>
      <c r="B176" s="125">
        <v>48.2</v>
      </c>
      <c r="C176" s="52"/>
      <c r="D176" s="52"/>
      <c r="E176" s="52"/>
      <c r="F176" s="52"/>
      <c r="G176" s="52"/>
      <c r="H176" s="52"/>
    </row>
    <row r="177" spans="1:8" ht="15.75">
      <c r="A177" s="124">
        <v>39693</v>
      </c>
      <c r="B177" s="125">
        <v>48.65</v>
      </c>
      <c r="C177" s="52"/>
      <c r="D177" s="52"/>
      <c r="E177" s="52"/>
      <c r="F177" s="52"/>
      <c r="G177" s="52"/>
      <c r="H177" s="52"/>
    </row>
    <row r="178" spans="1:8" ht="15.75">
      <c r="A178" s="124">
        <v>39694</v>
      </c>
      <c r="B178" s="125">
        <v>48.2</v>
      </c>
      <c r="C178" s="52"/>
      <c r="D178" s="52"/>
      <c r="E178" s="52"/>
      <c r="F178" s="52"/>
      <c r="G178" s="52"/>
      <c r="H178" s="52"/>
    </row>
    <row r="179" spans="1:8" ht="15.75">
      <c r="A179" s="124">
        <v>39695</v>
      </c>
      <c r="B179" s="125">
        <v>48.5</v>
      </c>
      <c r="C179" s="52"/>
      <c r="D179" s="52"/>
      <c r="E179" s="52"/>
      <c r="F179" s="52"/>
      <c r="G179" s="52"/>
      <c r="H179" s="52"/>
    </row>
    <row r="180" spans="1:8" ht="15.75">
      <c r="A180" s="124">
        <v>39696</v>
      </c>
      <c r="B180" s="125">
        <v>48.2</v>
      </c>
      <c r="C180" s="52"/>
      <c r="D180" s="52"/>
      <c r="E180" s="52"/>
      <c r="F180" s="52"/>
      <c r="G180" s="52"/>
      <c r="H180" s="52"/>
    </row>
    <row r="181" spans="1:8" ht="15.75">
      <c r="A181" s="124">
        <v>39699</v>
      </c>
      <c r="B181" s="125">
        <v>48.25</v>
      </c>
      <c r="C181" s="52"/>
      <c r="D181" s="52"/>
      <c r="E181" s="52"/>
      <c r="F181" s="52"/>
      <c r="G181" s="52"/>
      <c r="H181" s="52"/>
    </row>
    <row r="182" spans="1:8" ht="15.75">
      <c r="A182" s="124">
        <v>39700</v>
      </c>
      <c r="B182" s="125">
        <v>48.64</v>
      </c>
      <c r="C182" s="52"/>
      <c r="D182" s="52"/>
      <c r="E182" s="52"/>
      <c r="F182" s="52"/>
      <c r="G182" s="52"/>
      <c r="H182" s="52"/>
    </row>
    <row r="183" spans="1:8" ht="15.75">
      <c r="A183" s="124">
        <v>39701</v>
      </c>
      <c r="B183" s="125">
        <v>48.33</v>
      </c>
      <c r="C183" s="52"/>
      <c r="D183" s="52"/>
      <c r="E183" s="52"/>
      <c r="F183" s="52"/>
      <c r="G183" s="52"/>
      <c r="H183" s="52"/>
    </row>
    <row r="184" spans="1:8" ht="15.75">
      <c r="A184" s="124">
        <v>39702</v>
      </c>
      <c r="B184" s="125">
        <v>48.5</v>
      </c>
      <c r="C184" s="52"/>
      <c r="D184" s="52"/>
      <c r="E184" s="52"/>
      <c r="F184" s="52"/>
      <c r="G184" s="52"/>
      <c r="H184" s="52"/>
    </row>
    <row r="185" spans="1:8" ht="15.75">
      <c r="A185" s="124">
        <v>39703</v>
      </c>
      <c r="B185" s="125">
        <v>48.37</v>
      </c>
      <c r="C185" s="52"/>
      <c r="D185" s="52"/>
      <c r="E185" s="52"/>
      <c r="F185" s="52"/>
      <c r="G185" s="52"/>
      <c r="H185" s="52"/>
    </row>
    <row r="186" spans="1:8" ht="15.75">
      <c r="A186" s="124">
        <v>39706</v>
      </c>
      <c r="B186" s="125">
        <v>48.25</v>
      </c>
      <c r="C186" s="52"/>
      <c r="D186" s="52"/>
      <c r="E186" s="52"/>
      <c r="F186" s="52"/>
      <c r="G186" s="52"/>
      <c r="H186" s="52"/>
    </row>
    <row r="187" spans="1:8" ht="15.75">
      <c r="A187" s="124">
        <v>39707</v>
      </c>
      <c r="B187" s="125">
        <v>48.25</v>
      </c>
      <c r="C187" s="52"/>
      <c r="D187" s="52"/>
      <c r="E187" s="52"/>
      <c r="F187" s="52"/>
      <c r="G187" s="52"/>
      <c r="H187" s="52"/>
    </row>
    <row r="188" spans="1:8" ht="15.75">
      <c r="A188" s="124">
        <v>39708</v>
      </c>
      <c r="B188" s="125">
        <v>48.26</v>
      </c>
      <c r="C188" s="52"/>
      <c r="D188" s="52"/>
      <c r="E188" s="52"/>
      <c r="F188" s="52"/>
      <c r="G188" s="52"/>
      <c r="H188" s="52"/>
    </row>
    <row r="189" spans="1:8" ht="15.75">
      <c r="A189" s="124">
        <v>39709</v>
      </c>
      <c r="B189" s="125">
        <v>48.3</v>
      </c>
      <c r="C189" s="52"/>
      <c r="D189" s="52"/>
      <c r="E189" s="52"/>
      <c r="F189" s="52"/>
      <c r="G189" s="52"/>
      <c r="H189" s="52"/>
    </row>
    <row r="190" spans="1:8" ht="15.75">
      <c r="A190" s="124">
        <v>39710</v>
      </c>
      <c r="B190" s="125">
        <v>48.26</v>
      </c>
      <c r="C190" s="52"/>
      <c r="D190" s="52"/>
      <c r="E190" s="52"/>
      <c r="F190" s="52"/>
      <c r="G190" s="52"/>
      <c r="H190" s="52"/>
    </row>
    <row r="191" spans="1:8" ht="15.75">
      <c r="A191" s="124">
        <v>39713</v>
      </c>
      <c r="B191" s="125">
        <v>48.26</v>
      </c>
      <c r="C191" s="52"/>
      <c r="D191" s="52"/>
      <c r="E191" s="52"/>
      <c r="F191" s="52"/>
      <c r="G191" s="52"/>
      <c r="H191" s="52"/>
    </row>
    <row r="192" spans="1:8" ht="15.75">
      <c r="A192" s="124">
        <v>39714</v>
      </c>
      <c r="B192" s="125">
        <v>48.29</v>
      </c>
      <c r="C192" s="52"/>
      <c r="D192" s="52"/>
      <c r="E192" s="52"/>
      <c r="F192" s="52"/>
      <c r="G192" s="52"/>
      <c r="H192" s="52"/>
    </row>
    <row r="193" spans="1:8" ht="15.75">
      <c r="A193" s="124">
        <v>39715</v>
      </c>
      <c r="B193" s="125">
        <v>48.32</v>
      </c>
      <c r="C193" s="52"/>
      <c r="D193" s="52"/>
      <c r="E193" s="52"/>
      <c r="F193" s="52"/>
      <c r="G193" s="52"/>
      <c r="H193" s="52"/>
    </row>
    <row r="194" spans="1:8" ht="15.75">
      <c r="A194" s="124">
        <v>39716</v>
      </c>
      <c r="B194" s="125">
        <v>48.31</v>
      </c>
      <c r="C194" s="52"/>
      <c r="D194" s="52"/>
      <c r="E194" s="52"/>
      <c r="F194" s="52"/>
      <c r="G194" s="52"/>
      <c r="H194" s="52"/>
    </row>
    <row r="195" spans="1:8" ht="15.75">
      <c r="A195" s="124">
        <v>39717</v>
      </c>
      <c r="B195" s="125">
        <v>48.35</v>
      </c>
      <c r="C195" s="52"/>
      <c r="D195" s="52"/>
      <c r="E195" s="52"/>
      <c r="F195" s="52"/>
      <c r="G195" s="52"/>
      <c r="H195" s="52"/>
    </row>
    <row r="196" spans="1:8" ht="15.75">
      <c r="A196" s="124">
        <v>39720</v>
      </c>
      <c r="B196" s="125">
        <v>48.6</v>
      </c>
      <c r="C196" s="52"/>
      <c r="D196" s="52"/>
      <c r="E196" s="52"/>
      <c r="F196" s="52"/>
      <c r="G196" s="52"/>
      <c r="H196" s="52"/>
    </row>
    <row r="197" spans="1:8" ht="15.75">
      <c r="A197" s="124">
        <v>39721</v>
      </c>
      <c r="B197" s="125">
        <v>48.5</v>
      </c>
      <c r="C197" s="52"/>
      <c r="D197" s="52"/>
      <c r="E197" s="52"/>
      <c r="F197" s="52"/>
      <c r="G197" s="52"/>
      <c r="H197" s="52"/>
    </row>
    <row r="198" spans="1:8" ht="15.75">
      <c r="A198" s="124">
        <v>39722</v>
      </c>
      <c r="B198" s="125">
        <v>48.35</v>
      </c>
      <c r="C198" s="52"/>
      <c r="D198" s="52"/>
      <c r="E198" s="52"/>
      <c r="F198" s="52"/>
      <c r="G198" s="52"/>
      <c r="H198" s="52"/>
    </row>
    <row r="199" spans="1:8" ht="15.75">
      <c r="A199" s="124">
        <v>39723</v>
      </c>
      <c r="B199" s="125">
        <v>48.53</v>
      </c>
      <c r="C199" s="52"/>
      <c r="D199" s="52"/>
      <c r="E199" s="52"/>
      <c r="F199" s="52"/>
      <c r="G199" s="52"/>
      <c r="H199" s="52"/>
    </row>
    <row r="200" spans="1:8" ht="15.75">
      <c r="A200" s="124">
        <v>39724</v>
      </c>
      <c r="B200" s="125">
        <v>48.48</v>
      </c>
      <c r="C200" s="52"/>
      <c r="D200" s="52"/>
      <c r="E200" s="52"/>
      <c r="F200" s="52"/>
      <c r="G200" s="52"/>
      <c r="H200" s="52"/>
    </row>
    <row r="201" spans="1:8" ht="15.75">
      <c r="A201" s="124">
        <v>39727</v>
      </c>
      <c r="B201" s="125">
        <v>48</v>
      </c>
      <c r="C201" s="52"/>
      <c r="D201" s="52"/>
      <c r="E201" s="52"/>
      <c r="F201" s="52"/>
      <c r="G201" s="52"/>
      <c r="H201" s="52"/>
    </row>
    <row r="202" spans="1:8" ht="15.75">
      <c r="A202" s="124">
        <v>39728</v>
      </c>
      <c r="B202" s="125">
        <v>48.01</v>
      </c>
      <c r="C202" s="52"/>
      <c r="D202" s="52"/>
      <c r="E202" s="52"/>
      <c r="F202" s="52"/>
      <c r="G202" s="52"/>
      <c r="H202" s="52"/>
    </row>
    <row r="203" spans="1:8" ht="15.75">
      <c r="A203" s="124">
        <v>39729</v>
      </c>
      <c r="B203" s="125">
        <v>48.2</v>
      </c>
      <c r="C203" s="52"/>
      <c r="D203" s="52"/>
      <c r="E203" s="52"/>
      <c r="F203" s="52"/>
      <c r="G203" s="52"/>
      <c r="H203" s="52"/>
    </row>
    <row r="204" spans="1:8" ht="15.75">
      <c r="A204" s="124">
        <v>39730</v>
      </c>
      <c r="B204" s="125">
        <v>47.69</v>
      </c>
      <c r="C204" s="52"/>
      <c r="D204" s="52"/>
      <c r="E204" s="52"/>
      <c r="F204" s="52"/>
      <c r="G204" s="52"/>
      <c r="H204" s="52"/>
    </row>
    <row r="205" spans="1:8" ht="15.75">
      <c r="A205" s="124">
        <v>39731</v>
      </c>
      <c r="B205" s="125">
        <v>48.05</v>
      </c>
      <c r="C205" s="52"/>
      <c r="D205" s="52"/>
      <c r="E205" s="52"/>
      <c r="F205" s="52"/>
      <c r="G205" s="52"/>
      <c r="H205" s="52"/>
    </row>
    <row r="206" spans="1:8" ht="15.75">
      <c r="A206" s="124">
        <v>39734</v>
      </c>
      <c r="B206" s="125">
        <v>48.24</v>
      </c>
      <c r="C206" s="52"/>
      <c r="D206" s="52"/>
      <c r="E206" s="52"/>
      <c r="F206" s="52"/>
      <c r="G206" s="52"/>
      <c r="H206" s="52"/>
    </row>
    <row r="207" spans="1:8" ht="15.75">
      <c r="A207" s="124">
        <v>39735</v>
      </c>
      <c r="B207" s="125">
        <v>48.07</v>
      </c>
      <c r="C207" s="52"/>
      <c r="D207" s="52"/>
      <c r="E207" s="52"/>
      <c r="F207" s="52"/>
      <c r="G207" s="52"/>
      <c r="H207" s="52"/>
    </row>
    <row r="208" spans="1:8" ht="15.75">
      <c r="A208" s="124">
        <v>39736</v>
      </c>
      <c r="B208" s="125">
        <v>48.05</v>
      </c>
      <c r="C208" s="52"/>
      <c r="D208" s="52"/>
      <c r="E208" s="52"/>
      <c r="F208" s="52"/>
      <c r="G208" s="52"/>
      <c r="H208" s="52"/>
    </row>
    <row r="209" spans="1:8" ht="15.75">
      <c r="A209" s="124">
        <v>39737</v>
      </c>
      <c r="B209" s="125">
        <v>48.05</v>
      </c>
      <c r="C209" s="52"/>
      <c r="D209" s="52"/>
      <c r="E209" s="52"/>
      <c r="F209" s="52"/>
      <c r="G209" s="52"/>
      <c r="H209" s="52"/>
    </row>
    <row r="210" spans="1:8" ht="15.75">
      <c r="A210" s="124">
        <v>39738</v>
      </c>
      <c r="B210" s="125">
        <v>48.15</v>
      </c>
      <c r="C210" s="52"/>
      <c r="D210" s="52"/>
      <c r="E210" s="52"/>
      <c r="F210" s="52"/>
      <c r="G210" s="52"/>
      <c r="H210" s="52"/>
    </row>
    <row r="211" spans="1:8" ht="15.75">
      <c r="A211" s="124">
        <v>39741</v>
      </c>
      <c r="B211" s="125">
        <v>48.15</v>
      </c>
      <c r="C211" s="52"/>
      <c r="D211" s="52"/>
      <c r="E211" s="52"/>
      <c r="F211" s="52"/>
      <c r="G211" s="52"/>
      <c r="H211" s="52"/>
    </row>
    <row r="212" spans="1:8" ht="15.75">
      <c r="A212" s="124">
        <v>39742</v>
      </c>
      <c r="B212" s="125">
        <v>48.15</v>
      </c>
      <c r="C212" s="52"/>
      <c r="D212" s="52"/>
      <c r="E212" s="52"/>
      <c r="F212" s="52"/>
      <c r="G212" s="52"/>
      <c r="H212" s="52"/>
    </row>
    <row r="213" spans="1:8" ht="15.75">
      <c r="A213" s="124">
        <v>39743</v>
      </c>
      <c r="B213" s="125">
        <v>48.15</v>
      </c>
      <c r="C213" s="52"/>
      <c r="D213" s="52"/>
      <c r="E213" s="52"/>
      <c r="F213" s="52"/>
      <c r="G213" s="52"/>
      <c r="H213" s="52"/>
    </row>
    <row r="214" spans="1:8" ht="15.75">
      <c r="A214" s="124">
        <v>39744</v>
      </c>
      <c r="B214" s="125">
        <v>48.35</v>
      </c>
      <c r="C214" s="52"/>
      <c r="D214" s="52"/>
      <c r="E214" s="52"/>
      <c r="F214" s="52"/>
      <c r="G214" s="52"/>
      <c r="H214" s="52"/>
    </row>
    <row r="215" spans="1:8" ht="15.75">
      <c r="A215" s="124">
        <v>39745</v>
      </c>
      <c r="B215" s="125">
        <v>48.03</v>
      </c>
      <c r="C215" s="52"/>
      <c r="D215" s="52"/>
      <c r="E215" s="52"/>
      <c r="F215" s="52"/>
      <c r="G215" s="52"/>
      <c r="H215" s="52"/>
    </row>
    <row r="216" spans="1:8" ht="15.75">
      <c r="A216" s="124">
        <v>39748</v>
      </c>
      <c r="B216" s="125">
        <v>48.06</v>
      </c>
      <c r="C216" s="52"/>
      <c r="D216" s="52"/>
      <c r="E216" s="52"/>
      <c r="F216" s="52"/>
      <c r="G216" s="52"/>
      <c r="H216" s="52"/>
    </row>
    <row r="217" spans="1:8" ht="15.75">
      <c r="A217" s="124">
        <v>39749</v>
      </c>
      <c r="B217" s="125">
        <v>48.5</v>
      </c>
      <c r="C217" s="52"/>
      <c r="D217" s="52"/>
      <c r="E217" s="52"/>
      <c r="F217" s="52"/>
      <c r="G217" s="52"/>
      <c r="H217" s="52"/>
    </row>
    <row r="218" spans="1:8" ht="15.75">
      <c r="A218" s="124">
        <v>39750</v>
      </c>
      <c r="B218" s="125">
        <v>48</v>
      </c>
      <c r="C218" s="52"/>
      <c r="D218" s="52"/>
      <c r="E218" s="52"/>
      <c r="F218" s="52"/>
      <c r="G218" s="52"/>
      <c r="H218" s="52"/>
    </row>
    <row r="219" spans="1:8" ht="15.75">
      <c r="A219" s="124">
        <v>39751</v>
      </c>
      <c r="B219" s="125">
        <v>48</v>
      </c>
      <c r="C219" s="52"/>
      <c r="D219" s="52"/>
      <c r="E219" s="52"/>
      <c r="F219" s="52"/>
      <c r="G219" s="52"/>
      <c r="H219" s="52"/>
    </row>
    <row r="220" spans="1:8" ht="15.75">
      <c r="A220" s="124">
        <v>39752</v>
      </c>
      <c r="B220" s="125">
        <v>45</v>
      </c>
      <c r="C220" s="52"/>
      <c r="D220" s="52"/>
      <c r="E220" s="52"/>
      <c r="F220" s="52"/>
      <c r="G220" s="52"/>
      <c r="H220" s="52"/>
    </row>
    <row r="221" spans="1:8" ht="15.75">
      <c r="A221" s="124">
        <v>39755</v>
      </c>
      <c r="B221" s="125">
        <v>46.1</v>
      </c>
      <c r="C221" s="52"/>
      <c r="D221" s="52"/>
      <c r="E221" s="52"/>
      <c r="F221" s="52"/>
      <c r="G221" s="52"/>
      <c r="H221" s="52"/>
    </row>
    <row r="222" spans="1:8" ht="15.75">
      <c r="A222" s="124">
        <v>39756</v>
      </c>
      <c r="B222" s="125">
        <v>46.1</v>
      </c>
      <c r="C222" s="52"/>
      <c r="D222" s="52"/>
      <c r="E222" s="52"/>
      <c r="F222" s="52"/>
      <c r="G222" s="52"/>
      <c r="H222" s="52"/>
    </row>
    <row r="223" spans="1:8" ht="15.75">
      <c r="A223" s="124">
        <v>39757</v>
      </c>
      <c r="B223" s="125">
        <v>47.35</v>
      </c>
      <c r="C223" s="52"/>
      <c r="D223" s="52"/>
      <c r="E223" s="52"/>
      <c r="F223" s="52"/>
      <c r="G223" s="52"/>
      <c r="H223" s="52"/>
    </row>
    <row r="224" spans="1:8" ht="15.75">
      <c r="A224" s="124">
        <v>39758</v>
      </c>
      <c r="B224" s="125">
        <v>46.8</v>
      </c>
      <c r="C224" s="52"/>
      <c r="D224" s="52"/>
      <c r="E224" s="52"/>
      <c r="F224" s="52"/>
      <c r="G224" s="52"/>
      <c r="H224" s="52"/>
    </row>
    <row r="225" spans="1:8" ht="15.75">
      <c r="A225" s="124">
        <v>39759</v>
      </c>
      <c r="B225" s="125">
        <v>47.35</v>
      </c>
      <c r="C225" s="52"/>
      <c r="D225" s="52"/>
      <c r="E225" s="52"/>
      <c r="F225" s="52"/>
      <c r="G225" s="52"/>
      <c r="H225" s="52"/>
    </row>
    <row r="226" spans="1:8" ht="15.75">
      <c r="A226" s="124">
        <v>39762</v>
      </c>
      <c r="B226" s="125">
        <v>48.5</v>
      </c>
      <c r="C226" s="52"/>
      <c r="D226" s="52"/>
      <c r="E226" s="52"/>
      <c r="F226" s="52"/>
      <c r="G226" s="52"/>
      <c r="H226" s="52"/>
    </row>
    <row r="227" spans="1:8" ht="15.75">
      <c r="A227" s="124">
        <v>39763</v>
      </c>
      <c r="B227" s="125">
        <v>47.25</v>
      </c>
      <c r="C227" s="52"/>
      <c r="D227" s="52"/>
      <c r="E227" s="52"/>
      <c r="F227" s="52"/>
      <c r="G227" s="52"/>
      <c r="H227" s="52"/>
    </row>
    <row r="228" spans="1:8" ht="15.75">
      <c r="A228" s="124">
        <v>39764</v>
      </c>
      <c r="B228" s="125">
        <v>47.5</v>
      </c>
      <c r="C228" s="52"/>
      <c r="D228" s="52"/>
      <c r="E228" s="52"/>
      <c r="F228" s="52"/>
      <c r="G228" s="52"/>
      <c r="H228" s="52"/>
    </row>
    <row r="229" spans="1:8" ht="15.75">
      <c r="A229" s="124">
        <v>39765</v>
      </c>
      <c r="B229" s="125">
        <v>47.77</v>
      </c>
      <c r="C229" s="52"/>
      <c r="D229" s="52"/>
      <c r="E229" s="52"/>
      <c r="F229" s="52"/>
      <c r="G229" s="52"/>
      <c r="H229" s="52"/>
    </row>
    <row r="230" spans="1:8" ht="15.75">
      <c r="A230" s="124">
        <v>39766</v>
      </c>
      <c r="B230" s="125">
        <v>48.14</v>
      </c>
      <c r="C230" s="52"/>
      <c r="D230" s="52"/>
      <c r="E230" s="52"/>
      <c r="F230" s="52"/>
      <c r="G230" s="52"/>
      <c r="H230" s="52"/>
    </row>
    <row r="231" spans="1:8" ht="15.75">
      <c r="A231" s="124">
        <v>39769</v>
      </c>
      <c r="B231" s="125">
        <v>48.05</v>
      </c>
      <c r="C231" s="52"/>
      <c r="D231" s="52"/>
      <c r="E231" s="52"/>
      <c r="F231" s="52"/>
      <c r="G231" s="52"/>
      <c r="H231" s="52"/>
    </row>
    <row r="232" spans="1:8" ht="15.75">
      <c r="A232" s="124">
        <v>39770</v>
      </c>
      <c r="B232" s="125">
        <v>48.5</v>
      </c>
      <c r="C232" s="52"/>
      <c r="D232" s="52"/>
      <c r="E232" s="52"/>
      <c r="F232" s="52"/>
      <c r="G232" s="52"/>
      <c r="H232" s="52"/>
    </row>
    <row r="233" spans="1:8" ht="15.75">
      <c r="A233" s="124">
        <v>39771</v>
      </c>
      <c r="B233" s="125">
        <v>48.3</v>
      </c>
      <c r="C233" s="52"/>
      <c r="D233" s="52"/>
      <c r="E233" s="52"/>
      <c r="F233" s="52"/>
      <c r="G233" s="52"/>
      <c r="H233" s="52"/>
    </row>
    <row r="234" spans="1:8" ht="15.75">
      <c r="A234" s="124">
        <v>39772</v>
      </c>
      <c r="B234" s="125">
        <v>48.4</v>
      </c>
      <c r="C234" s="52"/>
      <c r="D234" s="52"/>
      <c r="E234" s="52"/>
      <c r="F234" s="52"/>
      <c r="G234" s="52"/>
      <c r="H234" s="52"/>
    </row>
    <row r="235" spans="1:8" ht="15.75">
      <c r="A235" s="124">
        <v>39773</v>
      </c>
      <c r="B235" s="125">
        <v>47.76</v>
      </c>
      <c r="C235" s="52"/>
      <c r="D235" s="52"/>
      <c r="E235" s="52"/>
      <c r="F235" s="52"/>
      <c r="G235" s="52"/>
      <c r="H235" s="52"/>
    </row>
    <row r="236" spans="1:8" ht="15.75">
      <c r="A236" s="124">
        <v>39776</v>
      </c>
      <c r="B236" s="125"/>
      <c r="C236" s="52"/>
      <c r="D236" s="52"/>
      <c r="E236" s="52"/>
      <c r="F236" s="52"/>
      <c r="G236" s="52"/>
      <c r="H236" s="52"/>
    </row>
    <row r="237" spans="1:8" ht="15.75">
      <c r="A237" s="124">
        <v>39777</v>
      </c>
      <c r="B237" s="125">
        <v>48.45</v>
      </c>
      <c r="C237" s="52"/>
      <c r="D237" s="52"/>
      <c r="E237" s="52"/>
      <c r="F237" s="52"/>
      <c r="G237" s="52"/>
      <c r="H237" s="52"/>
    </row>
    <row r="238" spans="1:8" ht="15.75">
      <c r="A238" s="124">
        <v>39778</v>
      </c>
      <c r="B238" s="125">
        <v>48.45</v>
      </c>
      <c r="C238" s="52"/>
      <c r="D238" s="52"/>
      <c r="E238" s="52"/>
      <c r="F238" s="52"/>
      <c r="G238" s="52"/>
      <c r="H238" s="52"/>
    </row>
    <row r="239" spans="1:8" ht="15.75">
      <c r="A239" s="124">
        <v>39779</v>
      </c>
      <c r="B239" s="125">
        <v>48.23</v>
      </c>
      <c r="C239" s="52"/>
      <c r="D239" s="52"/>
      <c r="E239" s="52"/>
      <c r="F239" s="52"/>
      <c r="G239" s="52"/>
      <c r="H239" s="52"/>
    </row>
    <row r="240" spans="1:8" ht="15.75">
      <c r="A240" s="124">
        <v>39780</v>
      </c>
      <c r="B240" s="125">
        <v>48.23</v>
      </c>
      <c r="C240" s="52"/>
      <c r="D240" s="52"/>
      <c r="E240" s="52"/>
      <c r="F240" s="52"/>
      <c r="G240" s="52"/>
      <c r="H240" s="52"/>
    </row>
    <row r="241" spans="1:8" ht="15.75">
      <c r="A241" s="124">
        <v>39783</v>
      </c>
      <c r="B241" s="125">
        <v>48.55</v>
      </c>
      <c r="C241" s="52"/>
      <c r="D241" s="52"/>
      <c r="E241" s="52"/>
      <c r="F241" s="52"/>
      <c r="G241" s="52"/>
      <c r="H241" s="52"/>
    </row>
    <row r="242" spans="1:8" ht="15.75">
      <c r="A242" s="124">
        <v>39784</v>
      </c>
      <c r="B242" s="125">
        <v>48.29</v>
      </c>
      <c r="C242" s="52"/>
      <c r="D242" s="52"/>
      <c r="E242" s="52"/>
      <c r="F242" s="52"/>
      <c r="G242" s="52"/>
      <c r="H242" s="52"/>
    </row>
    <row r="243" spans="1:8" ht="15.75">
      <c r="A243" s="124">
        <v>39785</v>
      </c>
      <c r="B243" s="125">
        <v>48.36</v>
      </c>
      <c r="C243" s="52"/>
      <c r="D243" s="52"/>
      <c r="E243" s="52"/>
      <c r="F243" s="52"/>
      <c r="G243" s="52"/>
      <c r="H243" s="52"/>
    </row>
    <row r="244" spans="1:8" ht="15.75">
      <c r="A244" s="124">
        <v>39786</v>
      </c>
      <c r="B244" s="125">
        <v>48.32</v>
      </c>
      <c r="C244" s="52"/>
      <c r="D244" s="52"/>
      <c r="E244" s="52"/>
      <c r="F244" s="52"/>
      <c r="G244" s="52"/>
      <c r="H244" s="52"/>
    </row>
    <row r="245" spans="1:8" ht="15.75">
      <c r="A245" s="124">
        <v>39787</v>
      </c>
      <c r="B245" s="125">
        <v>48.31</v>
      </c>
      <c r="C245" s="52"/>
      <c r="D245" s="52"/>
      <c r="E245" s="52"/>
      <c r="F245" s="52"/>
      <c r="G245" s="52"/>
      <c r="H245" s="52"/>
    </row>
    <row r="246" spans="1:8" ht="15.75">
      <c r="A246" s="124">
        <v>39790</v>
      </c>
      <c r="B246" s="125">
        <v>48.55</v>
      </c>
      <c r="C246" s="52"/>
      <c r="D246" s="52"/>
      <c r="E246" s="52"/>
      <c r="F246" s="52"/>
      <c r="G246" s="52"/>
      <c r="H246" s="52"/>
    </row>
    <row r="247" spans="1:8" ht="15.75">
      <c r="A247" s="124">
        <v>39791</v>
      </c>
      <c r="B247" s="125">
        <v>48.35</v>
      </c>
      <c r="C247" s="52"/>
      <c r="D247" s="52"/>
      <c r="E247" s="52"/>
      <c r="F247" s="52"/>
      <c r="G247" s="52"/>
      <c r="H247" s="52"/>
    </row>
    <row r="248" spans="1:8" ht="15.75">
      <c r="A248" s="124">
        <v>39792</v>
      </c>
      <c r="B248" s="125">
        <v>48.32</v>
      </c>
      <c r="C248" s="52"/>
      <c r="D248" s="52"/>
      <c r="E248" s="52"/>
      <c r="F248" s="52"/>
      <c r="G248" s="52"/>
      <c r="H248" s="52"/>
    </row>
    <row r="249" spans="1:8" ht="15.75">
      <c r="A249" s="124">
        <v>39793</v>
      </c>
      <c r="B249" s="125">
        <v>48.34</v>
      </c>
      <c r="C249" s="52"/>
      <c r="D249" s="52"/>
      <c r="E249" s="52"/>
      <c r="F249" s="52"/>
      <c r="G249" s="52"/>
      <c r="H249" s="52"/>
    </row>
    <row r="250" spans="1:8" ht="15.75">
      <c r="A250" s="124">
        <v>39794</v>
      </c>
      <c r="B250" s="125">
        <v>48.18</v>
      </c>
      <c r="C250" s="52"/>
      <c r="D250" s="52"/>
      <c r="E250" s="52"/>
      <c r="F250" s="52"/>
      <c r="G250" s="52"/>
      <c r="H250" s="52"/>
    </row>
    <row r="251" spans="1:8" ht="15.75">
      <c r="A251" s="124">
        <v>39797</v>
      </c>
      <c r="B251" s="125">
        <v>48.42</v>
      </c>
      <c r="C251" s="52"/>
      <c r="D251" s="52"/>
      <c r="E251" s="52"/>
      <c r="F251" s="52"/>
      <c r="G251" s="52"/>
      <c r="H251" s="52"/>
    </row>
    <row r="252" spans="1:8" ht="15.75">
      <c r="A252" s="124">
        <v>39798</v>
      </c>
      <c r="B252" s="125">
        <v>48.2</v>
      </c>
      <c r="C252" s="52"/>
      <c r="D252" s="52"/>
      <c r="E252" s="52"/>
      <c r="F252" s="52"/>
      <c r="G252" s="52"/>
      <c r="H252" s="52"/>
    </row>
    <row r="253" spans="1:8" ht="15.75">
      <c r="A253" s="124">
        <v>39799</v>
      </c>
      <c r="B253" s="125">
        <v>48.45</v>
      </c>
      <c r="C253" s="52"/>
      <c r="D253" s="52"/>
      <c r="E253" s="52"/>
      <c r="F253" s="52"/>
      <c r="G253" s="52"/>
      <c r="H253" s="52"/>
    </row>
    <row r="254" spans="1:8" ht="15.75">
      <c r="A254" s="124">
        <v>39800</v>
      </c>
      <c r="B254" s="125">
        <v>48.47</v>
      </c>
      <c r="C254" s="52"/>
      <c r="D254" s="52"/>
      <c r="E254" s="52"/>
      <c r="F254" s="52"/>
      <c r="G254" s="52"/>
      <c r="H254" s="52"/>
    </row>
    <row r="255" spans="1:8" ht="15.75">
      <c r="A255" s="124">
        <v>39801</v>
      </c>
      <c r="B255" s="125">
        <v>48.47</v>
      </c>
      <c r="C255" s="52"/>
      <c r="D255" s="52"/>
      <c r="E255" s="52"/>
      <c r="F255" s="52"/>
      <c r="G255" s="52"/>
      <c r="H255" s="52"/>
    </row>
    <row r="256" spans="1:8" ht="15.75">
      <c r="A256" s="124">
        <v>39804</v>
      </c>
      <c r="B256" s="125">
        <v>48.28</v>
      </c>
      <c r="C256" s="52"/>
      <c r="D256" s="52"/>
      <c r="E256" s="52"/>
      <c r="F256" s="52"/>
      <c r="G256" s="52"/>
      <c r="H256" s="52"/>
    </row>
    <row r="257" spans="1:8" ht="15.75">
      <c r="A257" s="124">
        <v>39805</v>
      </c>
      <c r="B257" s="125">
        <v>48.98</v>
      </c>
      <c r="C257" s="52"/>
      <c r="D257" s="52"/>
      <c r="E257" s="52"/>
      <c r="F257" s="52"/>
      <c r="G257" s="52"/>
      <c r="H257" s="52"/>
    </row>
    <row r="258" spans="1:8" ht="15.75">
      <c r="A258" s="124">
        <v>39811</v>
      </c>
      <c r="B258" s="125">
        <v>49.23</v>
      </c>
      <c r="C258" s="52"/>
      <c r="D258" s="52"/>
      <c r="E258" s="52"/>
      <c r="F258" s="52"/>
      <c r="G258" s="52"/>
      <c r="H258" s="52"/>
    </row>
    <row r="259" spans="1:8" ht="15.75">
      <c r="A259" s="124">
        <v>39812</v>
      </c>
      <c r="B259" s="125">
        <v>49.45</v>
      </c>
      <c r="C259" s="52"/>
      <c r="D259" s="52"/>
      <c r="E259" s="52"/>
      <c r="F259" s="52"/>
      <c r="G259" s="52"/>
      <c r="H259" s="52"/>
    </row>
    <row r="260" spans="1:8" ht="15.75">
      <c r="A260" s="124">
        <v>39815</v>
      </c>
      <c r="B260" s="125">
        <v>48.84</v>
      </c>
      <c r="C260" s="52"/>
      <c r="D260" s="52"/>
      <c r="E260" s="52"/>
      <c r="F260" s="52"/>
      <c r="G260" s="52"/>
      <c r="H260" s="52"/>
    </row>
    <row r="261" spans="1:8" ht="15.75">
      <c r="A261" s="124">
        <v>39818</v>
      </c>
      <c r="B261" s="125">
        <v>49.05</v>
      </c>
      <c r="C261" s="52"/>
      <c r="D261" s="52"/>
      <c r="E261" s="52"/>
      <c r="F261" s="52"/>
      <c r="G261" s="52"/>
      <c r="H261" s="52"/>
    </row>
    <row r="262" spans="1:8" ht="15.75">
      <c r="A262" s="124">
        <v>39819</v>
      </c>
      <c r="B262" s="125">
        <v>48.59</v>
      </c>
      <c r="C262" s="52"/>
      <c r="D262" s="52"/>
      <c r="E262" s="52"/>
      <c r="F262" s="52"/>
      <c r="G262" s="52"/>
      <c r="H262" s="52"/>
    </row>
    <row r="263" spans="1:8" ht="15.75">
      <c r="A263" s="124">
        <v>39820</v>
      </c>
      <c r="B263" s="125">
        <v>46.5</v>
      </c>
      <c r="C263" s="52"/>
      <c r="D263" s="52"/>
      <c r="E263" s="52"/>
      <c r="F263" s="52"/>
      <c r="G263" s="52"/>
      <c r="H263" s="52"/>
    </row>
    <row r="264" spans="1:8" ht="15.75">
      <c r="A264" s="124">
        <v>39821</v>
      </c>
      <c r="B264" s="125">
        <v>46.85</v>
      </c>
      <c r="C264" s="52"/>
      <c r="D264" s="52"/>
      <c r="E264" s="52"/>
      <c r="F264" s="52"/>
      <c r="G264" s="52"/>
      <c r="H264" s="52"/>
    </row>
    <row r="265" spans="1:8" ht="15.75">
      <c r="A265" s="124">
        <v>39822</v>
      </c>
      <c r="B265" s="125">
        <v>46.9</v>
      </c>
      <c r="C265" s="52"/>
      <c r="D265" s="52"/>
      <c r="E265" s="52"/>
      <c r="F265" s="52"/>
      <c r="G265" s="52"/>
      <c r="H265" s="52"/>
    </row>
    <row r="266" spans="1:8" ht="15.75">
      <c r="A266" s="124">
        <v>39825</v>
      </c>
      <c r="B266" s="125">
        <v>46.85</v>
      </c>
      <c r="C266" s="52"/>
      <c r="D266" s="52"/>
      <c r="E266" s="52"/>
      <c r="F266" s="52"/>
      <c r="G266" s="52"/>
      <c r="H266" s="52"/>
    </row>
    <row r="267" spans="1:8" ht="15.75">
      <c r="A267" s="124">
        <v>39826</v>
      </c>
      <c r="B267" s="125">
        <v>46.86</v>
      </c>
      <c r="C267" s="52"/>
      <c r="D267" s="52"/>
      <c r="E267" s="52"/>
      <c r="F267" s="52"/>
      <c r="G267" s="52"/>
      <c r="H267" s="52"/>
    </row>
    <row r="268" spans="1:8" ht="15.75">
      <c r="A268" s="124">
        <v>39827</v>
      </c>
      <c r="B268" s="125">
        <v>46.83</v>
      </c>
      <c r="C268" s="52"/>
      <c r="D268" s="52"/>
      <c r="E268" s="52"/>
      <c r="F268" s="52"/>
      <c r="G268" s="52"/>
      <c r="H268" s="52"/>
    </row>
    <row r="269" spans="1:8" ht="15.75">
      <c r="A269" s="124">
        <v>39828</v>
      </c>
      <c r="B269" s="125">
        <v>46.71</v>
      </c>
      <c r="C269" s="52"/>
      <c r="D269" s="52"/>
      <c r="E269" s="52"/>
      <c r="F269" s="52"/>
      <c r="G269" s="52"/>
      <c r="H269" s="52"/>
    </row>
    <row r="270" spans="1:8" ht="15.75">
      <c r="A270" s="124">
        <v>39829</v>
      </c>
      <c r="B270" s="125">
        <v>46.76</v>
      </c>
      <c r="C270" s="52"/>
      <c r="D270" s="52"/>
      <c r="E270" s="52"/>
      <c r="F270" s="52"/>
      <c r="G270" s="52"/>
      <c r="H270" s="52"/>
    </row>
    <row r="271" spans="1:8" ht="15.75">
      <c r="A271" s="124">
        <v>39832</v>
      </c>
      <c r="B271" s="125">
        <v>46.5</v>
      </c>
      <c r="C271" s="52"/>
      <c r="D271" s="52"/>
      <c r="E271" s="52"/>
      <c r="F271" s="52"/>
      <c r="G271" s="52"/>
      <c r="H271" s="52"/>
    </row>
    <row r="272" spans="1:8" ht="15.75">
      <c r="A272" s="124">
        <v>39833</v>
      </c>
      <c r="B272" s="125">
        <v>46.72</v>
      </c>
      <c r="C272" s="52"/>
      <c r="D272" s="52"/>
      <c r="E272" s="52"/>
      <c r="F272" s="52"/>
      <c r="G272" s="52"/>
      <c r="H272" s="52"/>
    </row>
    <row r="273" spans="1:8" ht="15.75">
      <c r="A273" s="124">
        <v>39834</v>
      </c>
      <c r="B273" s="125">
        <v>46.7</v>
      </c>
      <c r="C273" s="52"/>
      <c r="D273" s="52"/>
      <c r="E273" s="52"/>
      <c r="F273" s="52"/>
      <c r="G273" s="52"/>
      <c r="H273" s="52"/>
    </row>
    <row r="274" spans="1:8" ht="15.75">
      <c r="A274" s="124">
        <v>39835</v>
      </c>
      <c r="B274" s="125">
        <v>46.75</v>
      </c>
      <c r="C274" s="52"/>
      <c r="D274" s="52"/>
      <c r="E274" s="52"/>
      <c r="F274" s="52"/>
      <c r="G274" s="52"/>
      <c r="H274" s="52"/>
    </row>
    <row r="275" spans="1:8" ht="15.75">
      <c r="A275" s="124">
        <v>39836</v>
      </c>
      <c r="B275" s="125">
        <v>46.71</v>
      </c>
      <c r="C275" s="52"/>
      <c r="D275" s="52"/>
      <c r="E275" s="52"/>
      <c r="F275" s="52"/>
      <c r="G275" s="52"/>
      <c r="H275" s="52"/>
    </row>
    <row r="276" spans="1:8" ht="15.75">
      <c r="A276" s="124">
        <v>39839</v>
      </c>
      <c r="B276" s="125">
        <v>46.88</v>
      </c>
      <c r="C276" s="52"/>
      <c r="D276" s="52"/>
      <c r="E276" s="52"/>
      <c r="F276" s="52"/>
      <c r="G276" s="52"/>
      <c r="H276" s="52"/>
    </row>
    <row r="277" spans="1:8" ht="15.75">
      <c r="A277" s="124">
        <v>39840</v>
      </c>
      <c r="B277" s="125">
        <v>47.07</v>
      </c>
      <c r="C277" s="52"/>
      <c r="D277" s="52"/>
      <c r="E277" s="52"/>
      <c r="F277" s="52"/>
      <c r="G277" s="52"/>
      <c r="H277" s="52"/>
    </row>
    <row r="278" spans="1:8" ht="15.75">
      <c r="A278" s="124">
        <v>39841</v>
      </c>
      <c r="B278" s="125">
        <v>47.2</v>
      </c>
      <c r="C278" s="52"/>
      <c r="D278" s="52"/>
      <c r="E278" s="52"/>
      <c r="F278" s="52"/>
      <c r="G278" s="52"/>
      <c r="H278" s="52"/>
    </row>
    <row r="279" spans="1:8" ht="15.75">
      <c r="A279" s="124">
        <v>39842</v>
      </c>
      <c r="B279" s="125">
        <v>47.21</v>
      </c>
      <c r="C279" s="52"/>
      <c r="D279" s="52"/>
      <c r="E279" s="52"/>
      <c r="F279" s="52"/>
      <c r="G279" s="52"/>
      <c r="H279" s="52"/>
    </row>
    <row r="280" spans="1:8" ht="15.75">
      <c r="A280" s="124">
        <v>39843</v>
      </c>
      <c r="B280" s="125">
        <v>47.39</v>
      </c>
      <c r="C280" s="52"/>
      <c r="D280" s="52"/>
      <c r="E280" s="52"/>
      <c r="F280" s="52"/>
      <c r="G280" s="52"/>
      <c r="H280" s="52"/>
    </row>
    <row r="281" spans="1:8" ht="15.75">
      <c r="A281" s="124">
        <v>39846</v>
      </c>
      <c r="B281" s="125">
        <v>47.35</v>
      </c>
      <c r="C281" s="52"/>
      <c r="D281" s="52"/>
      <c r="E281" s="52"/>
      <c r="F281" s="52"/>
      <c r="G281" s="52"/>
      <c r="H281" s="52"/>
    </row>
    <row r="282" spans="1:8" ht="15.75">
      <c r="A282" s="124">
        <v>39847</v>
      </c>
      <c r="B282" s="125">
        <v>47.49</v>
      </c>
      <c r="C282" s="52"/>
      <c r="D282" s="52"/>
      <c r="E282" s="52"/>
      <c r="F282" s="52"/>
      <c r="G282" s="52"/>
      <c r="H282" s="52"/>
    </row>
    <row r="283" spans="1:8" ht="15.75">
      <c r="A283" s="124">
        <v>39848</v>
      </c>
      <c r="B283" s="125">
        <v>47.55</v>
      </c>
      <c r="C283" s="52"/>
      <c r="D283" s="52"/>
      <c r="E283" s="52"/>
      <c r="F283" s="52"/>
      <c r="G283" s="52"/>
      <c r="H283" s="52"/>
    </row>
    <row r="284" spans="1:8" ht="15.75">
      <c r="A284" s="124">
        <v>39849</v>
      </c>
      <c r="B284" s="125">
        <v>47.59</v>
      </c>
      <c r="C284" s="52"/>
      <c r="D284" s="52"/>
      <c r="E284" s="52"/>
      <c r="F284" s="52"/>
      <c r="G284" s="52"/>
      <c r="H284" s="52"/>
    </row>
    <row r="285" spans="1:8" ht="15.75">
      <c r="A285" s="124">
        <v>39850</v>
      </c>
      <c r="B285" s="125">
        <v>47.3</v>
      </c>
      <c r="C285" s="52"/>
      <c r="D285" s="52"/>
      <c r="E285" s="52"/>
      <c r="F285" s="52"/>
      <c r="G285" s="52"/>
      <c r="H285" s="52"/>
    </row>
    <row r="286" spans="1:8" ht="15.75">
      <c r="A286" s="124">
        <v>39853</v>
      </c>
      <c r="B286" s="125">
        <v>47.1</v>
      </c>
      <c r="C286" s="52"/>
      <c r="D286" s="52"/>
      <c r="E286" s="52"/>
      <c r="F286" s="52"/>
      <c r="G286" s="52"/>
      <c r="H286" s="52"/>
    </row>
    <row r="287" spans="1:8" ht="15.75">
      <c r="A287" s="124">
        <v>39854</v>
      </c>
      <c r="B287" s="125">
        <v>47.4</v>
      </c>
      <c r="C287" s="52"/>
      <c r="D287" s="52"/>
      <c r="E287" s="52"/>
      <c r="F287" s="52"/>
      <c r="G287" s="52"/>
      <c r="H287" s="52"/>
    </row>
    <row r="288" spans="1:8" ht="15.75">
      <c r="A288" s="124">
        <v>39855</v>
      </c>
      <c r="B288" s="125">
        <v>46.76</v>
      </c>
      <c r="C288" s="52"/>
      <c r="D288" s="52"/>
      <c r="E288" s="52"/>
      <c r="F288" s="52"/>
      <c r="G288" s="52"/>
      <c r="H288" s="52"/>
    </row>
    <row r="289" spans="1:8" ht="15.75">
      <c r="A289" s="124">
        <v>39856</v>
      </c>
      <c r="B289" s="125">
        <v>46.9</v>
      </c>
      <c r="C289" s="52"/>
      <c r="D289" s="52"/>
      <c r="E289" s="52"/>
      <c r="F289" s="52"/>
      <c r="G289" s="52"/>
      <c r="H289" s="52"/>
    </row>
    <row r="290" spans="1:8" ht="15.75">
      <c r="A290" s="124">
        <v>39857</v>
      </c>
      <c r="B290" s="125">
        <v>46.77</v>
      </c>
      <c r="C290" s="52"/>
      <c r="D290" s="52"/>
      <c r="E290" s="52"/>
      <c r="F290" s="52"/>
      <c r="G290" s="52"/>
      <c r="H290" s="52"/>
    </row>
    <row r="291" spans="1:8" ht="15.75">
      <c r="A291" s="124">
        <v>39860</v>
      </c>
      <c r="B291" s="125">
        <v>46.95</v>
      </c>
      <c r="C291" s="52"/>
      <c r="D291" s="52"/>
      <c r="E291" s="52"/>
      <c r="F291" s="52"/>
      <c r="G291" s="52"/>
      <c r="H291" s="52"/>
    </row>
    <row r="292" spans="1:8" ht="15.75">
      <c r="A292" s="124">
        <v>39861</v>
      </c>
      <c r="B292" s="125">
        <v>46.79</v>
      </c>
      <c r="C292" s="52"/>
      <c r="D292" s="52"/>
      <c r="E292" s="52"/>
      <c r="F292" s="52"/>
      <c r="G292" s="52"/>
      <c r="H292" s="52"/>
    </row>
    <row r="293" spans="1:8" ht="15.75">
      <c r="A293" s="124">
        <v>39862</v>
      </c>
      <c r="B293" s="125">
        <v>46.79</v>
      </c>
      <c r="C293" s="52"/>
      <c r="D293" s="52"/>
      <c r="E293" s="52"/>
      <c r="F293" s="52"/>
      <c r="G293" s="52"/>
      <c r="H293" s="52"/>
    </row>
    <row r="294" spans="1:8" ht="15.75">
      <c r="A294" s="124">
        <v>39863</v>
      </c>
      <c r="B294" s="125">
        <v>46.8</v>
      </c>
      <c r="C294" s="52"/>
      <c r="D294" s="52"/>
      <c r="E294" s="52"/>
      <c r="F294" s="52"/>
      <c r="G294" s="52"/>
      <c r="H294" s="52"/>
    </row>
    <row r="295" spans="1:8" ht="15.75">
      <c r="A295" s="124">
        <v>39864</v>
      </c>
      <c r="B295" s="125">
        <v>46.78</v>
      </c>
      <c r="C295" s="52"/>
      <c r="D295" s="52"/>
      <c r="E295" s="52"/>
      <c r="F295" s="52"/>
      <c r="G295" s="52"/>
      <c r="H295" s="52"/>
    </row>
    <row r="296" spans="1:8" ht="15.75">
      <c r="A296" s="124">
        <v>39867</v>
      </c>
      <c r="B296" s="125">
        <v>46.8</v>
      </c>
      <c r="C296" s="52"/>
      <c r="D296" s="52"/>
      <c r="E296" s="52"/>
      <c r="F296" s="52"/>
      <c r="G296" s="52"/>
      <c r="H296" s="52"/>
    </row>
    <row r="297" spans="1:8" ht="15.75">
      <c r="A297" s="124">
        <v>39868</v>
      </c>
      <c r="B297" s="125">
        <v>46.8</v>
      </c>
      <c r="C297" s="52"/>
      <c r="D297" s="52"/>
      <c r="E297" s="52"/>
      <c r="F297" s="52"/>
      <c r="G297" s="52"/>
      <c r="H297" s="52"/>
    </row>
    <row r="298" spans="1:8" ht="15.75">
      <c r="A298" s="124">
        <v>39869</v>
      </c>
      <c r="B298" s="125">
        <v>47.03</v>
      </c>
      <c r="C298" s="52"/>
      <c r="D298" s="52"/>
      <c r="E298" s="52"/>
      <c r="F298" s="52"/>
      <c r="G298" s="52"/>
      <c r="H298" s="52"/>
    </row>
    <row r="299" spans="1:8" ht="15.75">
      <c r="A299" s="124">
        <v>39870</v>
      </c>
      <c r="B299" s="125">
        <v>46.93</v>
      </c>
      <c r="C299" s="52"/>
      <c r="D299" s="52"/>
      <c r="E299" s="52"/>
      <c r="F299" s="52"/>
      <c r="G299" s="52"/>
      <c r="H299" s="52"/>
    </row>
    <row r="300" spans="1:8" ht="15.75">
      <c r="A300" s="124">
        <v>39871</v>
      </c>
      <c r="B300" s="125">
        <v>47.06</v>
      </c>
      <c r="C300" s="52"/>
      <c r="D300" s="52"/>
      <c r="E300" s="52"/>
      <c r="F300" s="52"/>
      <c r="G300" s="52"/>
      <c r="H300" s="52"/>
    </row>
    <row r="301" spans="1:8" ht="15.75">
      <c r="A301" s="124">
        <v>39874</v>
      </c>
      <c r="B301" s="125">
        <v>47.04</v>
      </c>
      <c r="C301" s="52"/>
      <c r="D301" s="52"/>
      <c r="E301" s="52"/>
      <c r="F301" s="52"/>
      <c r="G301" s="52"/>
      <c r="H301" s="52"/>
    </row>
    <row r="302" spans="1:8" ht="15.75">
      <c r="A302" s="124">
        <v>39875</v>
      </c>
      <c r="B302" s="125">
        <v>46.98</v>
      </c>
      <c r="C302" s="52"/>
      <c r="D302" s="52"/>
      <c r="E302" s="52"/>
      <c r="F302" s="52"/>
      <c r="G302" s="52"/>
      <c r="H302" s="52"/>
    </row>
    <row r="303" spans="1:8" ht="15.75">
      <c r="A303" s="124">
        <v>39876</v>
      </c>
      <c r="B303" s="125">
        <v>46.84</v>
      </c>
      <c r="C303" s="52"/>
      <c r="D303" s="52"/>
      <c r="E303" s="52"/>
      <c r="F303" s="52"/>
      <c r="G303" s="52"/>
      <c r="H303" s="52"/>
    </row>
    <row r="304" spans="1:8" ht="15.75">
      <c r="A304" s="124">
        <v>39877</v>
      </c>
      <c r="B304" s="125">
        <v>46.97</v>
      </c>
      <c r="C304" s="52"/>
      <c r="D304" s="52"/>
      <c r="E304" s="52"/>
      <c r="F304" s="52"/>
      <c r="G304" s="52"/>
      <c r="H304" s="52"/>
    </row>
    <row r="305" spans="1:8" ht="15.75">
      <c r="A305" s="124">
        <v>39878</v>
      </c>
      <c r="B305" s="125">
        <v>46.78</v>
      </c>
      <c r="C305" s="52"/>
      <c r="D305" s="52"/>
      <c r="E305" s="52"/>
      <c r="F305" s="52"/>
      <c r="G305" s="52"/>
      <c r="H305" s="52"/>
    </row>
    <row r="306" spans="1:8" ht="15.75">
      <c r="A306" s="124">
        <v>39881</v>
      </c>
      <c r="B306" s="125">
        <v>47.11</v>
      </c>
      <c r="C306" s="52"/>
      <c r="D306" s="52"/>
      <c r="E306" s="52"/>
      <c r="F306" s="52"/>
      <c r="G306" s="52"/>
      <c r="H306" s="52"/>
    </row>
    <row r="307" spans="1:8" ht="15.75">
      <c r="A307" s="124">
        <v>39882</v>
      </c>
      <c r="B307" s="125">
        <v>46.8</v>
      </c>
      <c r="C307" s="52"/>
      <c r="D307" s="52"/>
      <c r="E307" s="52"/>
      <c r="F307" s="52"/>
      <c r="G307" s="52"/>
      <c r="H307" s="52"/>
    </row>
    <row r="308" spans="1:8" ht="15.75">
      <c r="A308" s="124">
        <v>39883</v>
      </c>
      <c r="B308" s="125">
        <v>46.88</v>
      </c>
      <c r="C308" s="52"/>
      <c r="D308" s="52"/>
      <c r="E308" s="52"/>
      <c r="F308" s="52"/>
      <c r="G308" s="52"/>
      <c r="H308" s="52"/>
    </row>
    <row r="309" spans="1:8" ht="15.75">
      <c r="A309" s="124">
        <v>39884</v>
      </c>
      <c r="B309" s="125">
        <v>46.63</v>
      </c>
      <c r="C309" s="52"/>
      <c r="D309" s="52"/>
      <c r="E309" s="52"/>
      <c r="F309" s="52"/>
      <c r="G309" s="52"/>
      <c r="H309" s="52"/>
    </row>
    <row r="310" spans="1:8" ht="15.75">
      <c r="A310" s="124">
        <v>39885</v>
      </c>
      <c r="B310" s="125">
        <v>47.06</v>
      </c>
      <c r="C310" s="52"/>
      <c r="D310" s="52"/>
      <c r="E310" s="52"/>
      <c r="F310" s="52"/>
      <c r="G310" s="52"/>
      <c r="H310" s="52"/>
    </row>
    <row r="311" spans="1:8" ht="15.75">
      <c r="A311" s="124">
        <v>39888</v>
      </c>
      <c r="B311" s="125">
        <v>47.04</v>
      </c>
      <c r="C311" s="52"/>
      <c r="D311" s="52"/>
      <c r="E311" s="52"/>
      <c r="F311" s="52"/>
      <c r="G311" s="52"/>
      <c r="H311" s="52"/>
    </row>
    <row r="312" spans="1:8" ht="15.75">
      <c r="A312" s="124">
        <v>39889</v>
      </c>
      <c r="B312" s="125">
        <v>46.98</v>
      </c>
      <c r="C312" s="52"/>
      <c r="D312" s="52"/>
      <c r="E312" s="52"/>
      <c r="F312" s="52"/>
      <c r="G312" s="52"/>
      <c r="H312" s="52"/>
    </row>
    <row r="313" spans="1:8" ht="15.75">
      <c r="A313" s="124">
        <v>39890</v>
      </c>
      <c r="B313" s="125">
        <v>46.85</v>
      </c>
      <c r="C313" s="52"/>
      <c r="D313" s="52"/>
      <c r="E313" s="52"/>
      <c r="F313" s="52"/>
      <c r="G313" s="52"/>
      <c r="H313" s="52"/>
    </row>
    <row r="314" spans="1:8" ht="15.75">
      <c r="A314" s="124">
        <v>39891</v>
      </c>
      <c r="B314" s="125">
        <v>46.64</v>
      </c>
      <c r="C314" s="52"/>
      <c r="D314" s="52"/>
      <c r="E314" s="52"/>
      <c r="F314" s="52"/>
      <c r="G314" s="52"/>
      <c r="H314" s="52"/>
    </row>
    <row r="315" spans="1:8" ht="15.75">
      <c r="A315" s="124">
        <v>39892</v>
      </c>
      <c r="B315" s="125">
        <v>46.89</v>
      </c>
      <c r="C315" s="52"/>
      <c r="D315" s="52"/>
      <c r="E315" s="52"/>
      <c r="F315" s="52"/>
      <c r="G315" s="52"/>
      <c r="H315" s="52"/>
    </row>
    <row r="316" spans="1:8" ht="15.75">
      <c r="A316" s="124">
        <v>39895</v>
      </c>
      <c r="B316" s="125">
        <v>46.89</v>
      </c>
      <c r="C316" s="52"/>
      <c r="D316" s="52"/>
      <c r="E316" s="52"/>
      <c r="F316" s="52"/>
      <c r="G316" s="52"/>
      <c r="H316" s="52"/>
    </row>
    <row r="317" spans="1:8" ht="15.75">
      <c r="A317" s="124">
        <v>39896</v>
      </c>
      <c r="B317" s="125">
        <v>46.86</v>
      </c>
      <c r="C317" s="52"/>
      <c r="D317" s="52"/>
      <c r="E317" s="52"/>
      <c r="F317" s="52"/>
      <c r="G317" s="52"/>
      <c r="H317" s="52"/>
    </row>
    <row r="318" spans="1:8" ht="15.75">
      <c r="A318" s="124">
        <v>39897</v>
      </c>
      <c r="B318" s="125">
        <v>46.93</v>
      </c>
      <c r="C318" s="52"/>
      <c r="D318" s="52"/>
      <c r="E318" s="52"/>
      <c r="F318" s="52"/>
      <c r="G318" s="52"/>
      <c r="H318" s="52"/>
    </row>
    <row r="319" spans="1:8" ht="15.75">
      <c r="A319" s="124">
        <v>39898</v>
      </c>
      <c r="B319" s="125">
        <v>47.1</v>
      </c>
      <c r="C319" s="52"/>
      <c r="D319" s="52"/>
      <c r="E319" s="52"/>
      <c r="F319" s="52"/>
      <c r="G319" s="52"/>
      <c r="H319" s="52"/>
    </row>
    <row r="320" spans="1:8" ht="15.75">
      <c r="A320" s="124">
        <v>39899</v>
      </c>
      <c r="B320" s="125">
        <v>46.92</v>
      </c>
      <c r="C320" s="52"/>
      <c r="D320" s="52"/>
      <c r="E320" s="52"/>
      <c r="F320" s="52"/>
      <c r="G320" s="52"/>
      <c r="H320" s="52"/>
    </row>
    <row r="321" spans="1:8" ht="15.75">
      <c r="A321" s="124">
        <v>39902</v>
      </c>
      <c r="B321" s="125">
        <v>46.9</v>
      </c>
      <c r="C321" s="52"/>
      <c r="D321" s="52"/>
      <c r="E321" s="52"/>
      <c r="F321" s="52"/>
      <c r="G321" s="52"/>
      <c r="H321" s="52"/>
    </row>
    <row r="322" spans="1:8" ht="15.75">
      <c r="A322" s="124">
        <v>39903</v>
      </c>
      <c r="B322" s="125">
        <v>46.84</v>
      </c>
      <c r="C322" s="52"/>
      <c r="D322" s="52"/>
      <c r="E322" s="52"/>
      <c r="F322" s="52"/>
      <c r="G322" s="52"/>
      <c r="H322" s="52"/>
    </row>
    <row r="323" spans="1:8" ht="15.75">
      <c r="A323" s="124">
        <v>39904</v>
      </c>
      <c r="B323" s="125">
        <v>47.01</v>
      </c>
      <c r="C323" s="52"/>
      <c r="D323" s="52"/>
      <c r="E323" s="52"/>
      <c r="F323" s="52"/>
      <c r="G323" s="52"/>
      <c r="H323" s="52"/>
    </row>
    <row r="324" spans="1:8" ht="15.75">
      <c r="A324" s="124">
        <v>39905</v>
      </c>
      <c r="B324" s="125">
        <v>47.07</v>
      </c>
      <c r="C324" s="52"/>
      <c r="D324" s="52"/>
      <c r="E324" s="52"/>
      <c r="F324" s="52"/>
      <c r="G324" s="52"/>
      <c r="H324" s="52"/>
    </row>
    <row r="325" spans="1:8" ht="15.75">
      <c r="A325" s="124">
        <v>39906</v>
      </c>
      <c r="B325" s="125">
        <v>47.07</v>
      </c>
      <c r="C325" s="52"/>
      <c r="D325" s="52"/>
      <c r="E325" s="52"/>
      <c r="F325" s="52"/>
      <c r="G325" s="52"/>
      <c r="H325" s="52"/>
    </row>
    <row r="326" spans="1:8" ht="15.75">
      <c r="A326" s="124">
        <v>39909</v>
      </c>
      <c r="B326" s="125">
        <v>46.84</v>
      </c>
      <c r="C326" s="52"/>
      <c r="D326" s="52"/>
      <c r="E326" s="52"/>
      <c r="F326" s="52"/>
      <c r="G326" s="52"/>
      <c r="H326" s="52"/>
    </row>
    <row r="327" spans="1:8" ht="15.75">
      <c r="A327" s="124">
        <v>39910</v>
      </c>
      <c r="B327" s="125">
        <v>47.07</v>
      </c>
      <c r="C327" s="52"/>
      <c r="D327" s="52"/>
      <c r="E327" s="52"/>
      <c r="F327" s="52"/>
      <c r="G327" s="52"/>
      <c r="H327" s="52"/>
    </row>
    <row r="328" spans="1:8" ht="15.75">
      <c r="A328" s="124">
        <v>39911</v>
      </c>
      <c r="B328" s="125">
        <v>47.08</v>
      </c>
      <c r="C328" s="52"/>
      <c r="D328" s="52"/>
      <c r="E328" s="52"/>
      <c r="F328" s="52"/>
      <c r="G328" s="52"/>
      <c r="H328" s="52"/>
    </row>
    <row r="329" spans="1:8" ht="15.75">
      <c r="A329" s="124">
        <v>39912</v>
      </c>
      <c r="B329" s="125">
        <v>47.23</v>
      </c>
      <c r="C329" s="52"/>
      <c r="D329" s="52"/>
      <c r="E329" s="52"/>
      <c r="F329" s="52"/>
      <c r="G329" s="52"/>
      <c r="H329" s="52"/>
    </row>
    <row r="330" spans="1:8" ht="15.75">
      <c r="A330" s="124">
        <v>39917</v>
      </c>
      <c r="B330" s="125">
        <v>47.26</v>
      </c>
      <c r="C330" s="52"/>
      <c r="D330" s="52"/>
      <c r="E330" s="52"/>
      <c r="F330" s="52"/>
      <c r="G330" s="52"/>
      <c r="H330" s="52"/>
    </row>
    <row r="331" spans="1:8" ht="15.75">
      <c r="A331" s="124">
        <v>39918</v>
      </c>
      <c r="B331" s="125">
        <v>47.11</v>
      </c>
      <c r="C331" s="52"/>
      <c r="D331" s="52"/>
      <c r="E331" s="52"/>
      <c r="F331" s="52"/>
      <c r="G331" s="52"/>
      <c r="H331" s="52"/>
    </row>
    <row r="332" spans="1:8" ht="15.75">
      <c r="A332" s="124">
        <v>39919</v>
      </c>
      <c r="B332" s="125">
        <v>47.05</v>
      </c>
      <c r="C332" s="52"/>
      <c r="D332" s="52"/>
      <c r="E332" s="52"/>
      <c r="F332" s="52"/>
      <c r="G332" s="52"/>
      <c r="H332" s="52"/>
    </row>
    <row r="333" spans="1:8" ht="15.75">
      <c r="A333" s="124">
        <v>39920</v>
      </c>
      <c r="B333" s="125">
        <v>46.85</v>
      </c>
      <c r="C333" s="52"/>
      <c r="D333" s="52"/>
      <c r="E333" s="52"/>
      <c r="F333" s="52"/>
      <c r="G333" s="52"/>
      <c r="H333" s="52"/>
    </row>
    <row r="334" spans="1:8" ht="15.75">
      <c r="A334" s="124">
        <v>39923</v>
      </c>
      <c r="B334" s="125">
        <v>46.85</v>
      </c>
      <c r="C334" s="52"/>
      <c r="D334" s="52"/>
      <c r="E334" s="52"/>
      <c r="F334" s="52"/>
      <c r="G334" s="52"/>
      <c r="H334" s="52"/>
    </row>
    <row r="335" spans="1:8" ht="15.75">
      <c r="A335" s="124">
        <v>39924</v>
      </c>
      <c r="B335" s="125">
        <v>46.9</v>
      </c>
      <c r="C335" s="52"/>
      <c r="D335" s="52"/>
      <c r="E335" s="52"/>
      <c r="F335" s="52"/>
      <c r="G335" s="52"/>
      <c r="H335" s="52"/>
    </row>
    <row r="336" spans="1:8" ht="15.75">
      <c r="A336" s="124">
        <v>39925</v>
      </c>
      <c r="B336" s="125">
        <v>47</v>
      </c>
      <c r="C336" s="52"/>
      <c r="D336" s="52"/>
      <c r="E336" s="52"/>
      <c r="F336" s="52"/>
      <c r="G336" s="52"/>
      <c r="H336" s="52"/>
    </row>
    <row r="337" spans="1:8" ht="15.75">
      <c r="A337" s="124">
        <v>39926</v>
      </c>
      <c r="B337" s="125">
        <v>47.03</v>
      </c>
      <c r="C337" s="52"/>
      <c r="D337" s="52"/>
      <c r="E337" s="52"/>
      <c r="F337" s="52"/>
      <c r="G337" s="52"/>
      <c r="H337" s="52"/>
    </row>
    <row r="338" spans="1:8" ht="15.75">
      <c r="A338" s="124">
        <v>39927</v>
      </c>
      <c r="B338" s="125">
        <v>47.07</v>
      </c>
      <c r="C338" s="52"/>
      <c r="D338" s="52"/>
      <c r="E338" s="52"/>
      <c r="F338" s="52"/>
      <c r="G338" s="52"/>
      <c r="H338" s="52"/>
    </row>
    <row r="339" spans="1:8" ht="15.75">
      <c r="A339" s="124">
        <v>39930</v>
      </c>
      <c r="B339" s="125">
        <v>46.9</v>
      </c>
      <c r="C339" s="52"/>
      <c r="D339" s="52"/>
      <c r="E339" s="52"/>
      <c r="F339" s="52"/>
      <c r="G339" s="52"/>
      <c r="H339" s="52"/>
    </row>
    <row r="340" spans="1:8" ht="15.75">
      <c r="A340" s="124">
        <v>39931</v>
      </c>
      <c r="B340" s="125">
        <v>46.86</v>
      </c>
      <c r="C340" s="52"/>
      <c r="D340" s="52"/>
      <c r="E340" s="52"/>
      <c r="F340" s="52"/>
      <c r="G340" s="52"/>
      <c r="H340" s="52"/>
    </row>
    <row r="341" spans="1:8" ht="15.75">
      <c r="A341" s="124">
        <v>39932</v>
      </c>
      <c r="B341" s="125">
        <v>46.86</v>
      </c>
      <c r="C341" s="52"/>
      <c r="D341" s="52"/>
      <c r="E341" s="52"/>
      <c r="F341" s="52"/>
      <c r="G341" s="52"/>
      <c r="H341" s="52"/>
    </row>
    <row r="342" spans="1:8" ht="15.75">
      <c r="A342" s="124">
        <v>39933</v>
      </c>
      <c r="B342" s="125">
        <v>46.87</v>
      </c>
      <c r="C342" s="52"/>
      <c r="D342" s="52"/>
      <c r="E342" s="52"/>
      <c r="F342" s="52"/>
      <c r="G342" s="52"/>
      <c r="H342" s="52"/>
    </row>
    <row r="343" spans="1:8" ht="15.75">
      <c r="A343" s="124">
        <v>39937</v>
      </c>
      <c r="B343" s="125">
        <v>47.01</v>
      </c>
      <c r="C343" s="52"/>
      <c r="D343" s="52"/>
      <c r="E343" s="52"/>
      <c r="F343" s="52"/>
      <c r="G343" s="52"/>
      <c r="H343" s="52"/>
    </row>
    <row r="344" spans="1:8" ht="15.75">
      <c r="A344" s="124">
        <v>39938</v>
      </c>
      <c r="B344" s="125">
        <v>46.89</v>
      </c>
      <c r="C344" s="52"/>
      <c r="D344" s="52"/>
      <c r="E344" s="52"/>
      <c r="F344" s="52"/>
      <c r="G344" s="52"/>
      <c r="H344" s="52"/>
    </row>
    <row r="345" spans="1:8" ht="15.75">
      <c r="A345" s="124">
        <v>39939</v>
      </c>
      <c r="B345" s="125">
        <v>46.9</v>
      </c>
      <c r="C345" s="52"/>
      <c r="D345" s="52"/>
      <c r="E345" s="52"/>
      <c r="F345" s="52"/>
      <c r="G345" s="52"/>
      <c r="H345" s="52"/>
    </row>
    <row r="346" spans="1:8" ht="15.75">
      <c r="A346" s="124">
        <v>39940</v>
      </c>
      <c r="B346" s="125">
        <v>47.12</v>
      </c>
      <c r="C346" s="52"/>
      <c r="D346" s="52"/>
      <c r="E346" s="52"/>
      <c r="F346" s="52"/>
      <c r="G346" s="52"/>
      <c r="H346" s="52"/>
    </row>
    <row r="347" spans="1:8" ht="15.75">
      <c r="A347" s="124">
        <v>39941</v>
      </c>
      <c r="B347" s="125">
        <v>47.12</v>
      </c>
      <c r="C347" s="52"/>
      <c r="D347" s="52"/>
      <c r="E347" s="52"/>
      <c r="F347" s="52"/>
      <c r="G347" s="52"/>
      <c r="H347" s="52"/>
    </row>
    <row r="348" spans="1:8" ht="15.75">
      <c r="A348" s="124">
        <v>39944</v>
      </c>
      <c r="B348" s="125">
        <v>46.91</v>
      </c>
      <c r="C348" s="52"/>
      <c r="D348" s="52"/>
      <c r="E348" s="52"/>
      <c r="F348" s="52"/>
      <c r="G348" s="52"/>
      <c r="H348" s="52"/>
    </row>
    <row r="349" spans="1:8" ht="15.75">
      <c r="A349" s="124">
        <v>39945</v>
      </c>
      <c r="B349" s="125">
        <v>47.14</v>
      </c>
      <c r="C349" s="52"/>
      <c r="D349" s="52"/>
      <c r="E349" s="52"/>
      <c r="F349" s="52"/>
      <c r="G349" s="52"/>
      <c r="H349" s="52"/>
    </row>
    <row r="350" spans="1:8" ht="15.75">
      <c r="A350" s="124">
        <v>39946</v>
      </c>
      <c r="B350" s="125">
        <v>47.06</v>
      </c>
      <c r="C350" s="52"/>
      <c r="D350" s="52"/>
      <c r="E350" s="52"/>
      <c r="F350" s="52"/>
      <c r="G350" s="52"/>
      <c r="H350" s="52"/>
    </row>
    <row r="351" spans="1:8" ht="15.75">
      <c r="A351" s="124">
        <v>39947</v>
      </c>
      <c r="B351" s="125">
        <v>47.31</v>
      </c>
      <c r="C351" s="52"/>
      <c r="D351" s="52"/>
      <c r="E351" s="52"/>
      <c r="F351" s="52"/>
      <c r="G351" s="52"/>
      <c r="H351" s="52"/>
    </row>
    <row r="352" spans="1:8" ht="15.75">
      <c r="A352" s="124">
        <v>39948</v>
      </c>
      <c r="B352" s="125">
        <v>47.05</v>
      </c>
      <c r="C352" s="52"/>
      <c r="D352" s="52"/>
      <c r="E352" s="52"/>
      <c r="F352" s="52"/>
      <c r="G352" s="52"/>
      <c r="H352" s="52"/>
    </row>
    <row r="353" spans="1:8" ht="15.75">
      <c r="A353" s="124">
        <v>39951</v>
      </c>
      <c r="B353" s="125">
        <v>47.15</v>
      </c>
      <c r="C353" s="52"/>
      <c r="D353" s="52"/>
      <c r="E353" s="52"/>
      <c r="F353" s="52"/>
      <c r="G353" s="52"/>
      <c r="H353" s="52"/>
    </row>
    <row r="354" spans="1:8" ht="15.75">
      <c r="A354" s="124">
        <v>39952</v>
      </c>
      <c r="B354" s="125">
        <v>47.1</v>
      </c>
      <c r="C354" s="52"/>
      <c r="D354" s="52"/>
      <c r="E354" s="52"/>
      <c r="F354" s="52"/>
      <c r="G354" s="52"/>
      <c r="H354" s="52"/>
    </row>
    <row r="355" spans="1:8" ht="15.75">
      <c r="A355" s="124">
        <v>39953</v>
      </c>
      <c r="B355" s="125">
        <v>47.27</v>
      </c>
      <c r="C355" s="52"/>
      <c r="D355" s="52"/>
      <c r="E355" s="52"/>
      <c r="F355" s="52"/>
      <c r="G355" s="52"/>
      <c r="H355" s="52"/>
    </row>
    <row r="356" spans="1:8" ht="15.75">
      <c r="A356" s="124">
        <v>39954</v>
      </c>
      <c r="B356" s="125">
        <v>47.18</v>
      </c>
      <c r="C356" s="52"/>
      <c r="D356" s="52"/>
      <c r="E356" s="52"/>
      <c r="F356" s="52"/>
      <c r="G356" s="52"/>
      <c r="H356" s="52"/>
    </row>
    <row r="357" spans="1:8" ht="15.75">
      <c r="A357" s="124">
        <v>39955</v>
      </c>
      <c r="B357" s="125">
        <v>47.39</v>
      </c>
      <c r="C357" s="52"/>
      <c r="D357" s="52"/>
      <c r="E357" s="52"/>
      <c r="F357" s="52"/>
      <c r="G357" s="52"/>
      <c r="H357" s="52"/>
    </row>
    <row r="358" spans="1:8" ht="15.75">
      <c r="A358" s="124">
        <v>39958</v>
      </c>
      <c r="B358" s="125">
        <v>47.4</v>
      </c>
      <c r="C358" s="52"/>
      <c r="D358" s="52"/>
      <c r="E358" s="52"/>
      <c r="F358" s="52"/>
      <c r="G358" s="52"/>
      <c r="H358" s="52"/>
    </row>
    <row r="359" spans="1:8" ht="15.75">
      <c r="A359" s="124">
        <v>39959</v>
      </c>
      <c r="B359" s="125">
        <v>47.1</v>
      </c>
      <c r="C359" s="52"/>
      <c r="D359" s="52"/>
      <c r="E359" s="52"/>
      <c r="F359" s="52"/>
      <c r="G359" s="52"/>
      <c r="H359" s="52"/>
    </row>
    <row r="360" spans="1:8" ht="15.75">
      <c r="A360" s="124">
        <v>39960</v>
      </c>
      <c r="B360" s="125">
        <v>47.15</v>
      </c>
      <c r="C360" s="52"/>
      <c r="D360" s="52"/>
      <c r="E360" s="52"/>
      <c r="F360" s="52"/>
      <c r="G360" s="52"/>
      <c r="H360" s="52"/>
    </row>
    <row r="361" spans="1:8" ht="15.75">
      <c r="A361" s="124">
        <v>39961</v>
      </c>
      <c r="B361" s="125">
        <v>47.2</v>
      </c>
      <c r="C361" s="52"/>
      <c r="D361" s="52"/>
      <c r="E361" s="52"/>
      <c r="F361" s="52"/>
      <c r="G361" s="52"/>
      <c r="H361" s="52"/>
    </row>
    <row r="362" spans="1:8" ht="15.75">
      <c r="A362" s="124">
        <v>39962</v>
      </c>
      <c r="B362" s="125">
        <v>47.2</v>
      </c>
      <c r="C362" s="52"/>
      <c r="D362" s="52"/>
      <c r="E362" s="52"/>
      <c r="F362" s="52"/>
      <c r="G362" s="52"/>
      <c r="H362" s="52"/>
    </row>
    <row r="363" spans="1:8" ht="15.75">
      <c r="A363" s="124">
        <v>39965</v>
      </c>
      <c r="B363" s="125">
        <v>46.99</v>
      </c>
      <c r="C363" s="52"/>
      <c r="D363" s="52"/>
      <c r="E363" s="52"/>
      <c r="F363" s="52"/>
      <c r="G363" s="52"/>
      <c r="H363" s="52"/>
    </row>
    <row r="364" spans="1:8" ht="15.75">
      <c r="A364" s="124">
        <v>39966</v>
      </c>
      <c r="B364" s="125">
        <v>47.17</v>
      </c>
      <c r="C364" s="52"/>
      <c r="D364" s="52"/>
      <c r="E364" s="52"/>
      <c r="F364" s="52"/>
      <c r="G364" s="52"/>
      <c r="H364" s="52"/>
    </row>
    <row r="365" spans="1:8" ht="15.75">
      <c r="A365" s="124">
        <v>39967</v>
      </c>
      <c r="B365" s="125">
        <v>47.15</v>
      </c>
      <c r="C365" s="52"/>
      <c r="D365" s="52"/>
      <c r="E365" s="52"/>
      <c r="F365" s="52"/>
      <c r="G365" s="52"/>
      <c r="H365" s="52"/>
    </row>
    <row r="366" spans="1:8" ht="15.75">
      <c r="A366" s="124">
        <v>39968</v>
      </c>
      <c r="B366" s="125">
        <v>47.22</v>
      </c>
      <c r="C366" s="52"/>
      <c r="D366" s="52"/>
      <c r="E366" s="52"/>
      <c r="F366" s="52"/>
      <c r="G366" s="52"/>
      <c r="H366" s="52"/>
    </row>
    <row r="367" spans="1:8" ht="15.75">
      <c r="A367" s="124">
        <v>39969</v>
      </c>
      <c r="B367" s="125">
        <v>47.19</v>
      </c>
      <c r="C367" s="52"/>
      <c r="D367" s="52"/>
      <c r="E367" s="52"/>
      <c r="F367" s="52"/>
      <c r="G367" s="52"/>
      <c r="H367" s="52"/>
    </row>
    <row r="368" spans="1:8" ht="15.75">
      <c r="A368" s="124">
        <v>39972</v>
      </c>
      <c r="B368" s="125">
        <v>47.29</v>
      </c>
      <c r="C368" s="52"/>
      <c r="D368" s="52"/>
      <c r="E368" s="52"/>
      <c r="F368" s="52"/>
      <c r="G368" s="52"/>
      <c r="H368" s="52"/>
    </row>
    <row r="369" spans="1:8" ht="15.75">
      <c r="A369" s="124">
        <v>39973</v>
      </c>
      <c r="B369" s="125">
        <v>47.16</v>
      </c>
      <c r="C369" s="52"/>
      <c r="D369" s="52"/>
      <c r="E369" s="52"/>
      <c r="F369" s="52"/>
      <c r="G369" s="52"/>
      <c r="H369" s="52"/>
    </row>
    <row r="370" spans="1:8" ht="15.75">
      <c r="A370" s="124">
        <v>39974</v>
      </c>
      <c r="B370" s="125">
        <v>47.26</v>
      </c>
      <c r="C370" s="52"/>
      <c r="D370" s="52"/>
      <c r="E370" s="52"/>
      <c r="F370" s="52"/>
      <c r="G370" s="52"/>
      <c r="H370" s="52"/>
    </row>
    <row r="371" spans="1:8" ht="15.75">
      <c r="A371" s="124">
        <v>39975</v>
      </c>
      <c r="B371" s="125">
        <v>47.27</v>
      </c>
      <c r="C371" s="52"/>
      <c r="D371" s="52"/>
      <c r="E371" s="52"/>
      <c r="F371" s="52"/>
      <c r="G371" s="52"/>
      <c r="H371" s="52"/>
    </row>
    <row r="372" spans="1:8" ht="15.75">
      <c r="A372" s="124">
        <v>39976</v>
      </c>
      <c r="B372" s="125">
        <v>47.45</v>
      </c>
      <c r="C372" s="52"/>
      <c r="D372" s="52"/>
      <c r="E372" s="52"/>
      <c r="F372" s="52"/>
      <c r="G372" s="52"/>
      <c r="H372" s="52"/>
    </row>
    <row r="373" spans="1:8" ht="15.75">
      <c r="A373" s="124">
        <v>39979</v>
      </c>
      <c r="B373" s="125">
        <v>47.17</v>
      </c>
      <c r="C373" s="52"/>
      <c r="D373" s="52"/>
      <c r="E373" s="52"/>
      <c r="F373" s="52"/>
      <c r="G373" s="52"/>
      <c r="H373" s="52"/>
    </row>
    <row r="374" spans="1:8" ht="15.75">
      <c r="A374" s="124">
        <v>39980</v>
      </c>
      <c r="B374" s="125">
        <v>47.29</v>
      </c>
      <c r="C374" s="52"/>
      <c r="D374" s="52"/>
      <c r="E374" s="52"/>
      <c r="F374" s="52"/>
      <c r="G374" s="52"/>
      <c r="H374" s="52"/>
    </row>
    <row r="375" spans="1:8" ht="15.75">
      <c r="A375" s="124">
        <v>39981</v>
      </c>
      <c r="B375" s="125">
        <v>47.29</v>
      </c>
      <c r="C375" s="52"/>
      <c r="D375" s="52"/>
      <c r="E375" s="52"/>
      <c r="F375" s="52"/>
      <c r="G375" s="52"/>
      <c r="H375" s="52"/>
    </row>
    <row r="376" spans="1:8" ht="15.75">
      <c r="A376" s="124">
        <v>39982</v>
      </c>
      <c r="B376" s="125">
        <v>47.4</v>
      </c>
      <c r="C376" s="52"/>
      <c r="D376" s="52"/>
      <c r="E376" s="52"/>
      <c r="F376" s="52"/>
      <c r="G376" s="52"/>
      <c r="H376" s="52"/>
    </row>
    <row r="377" spans="1:8" ht="15.75">
      <c r="A377" s="124">
        <v>39983</v>
      </c>
      <c r="B377" s="125">
        <v>47.17</v>
      </c>
      <c r="C377" s="52"/>
      <c r="D377" s="52"/>
      <c r="E377" s="52"/>
      <c r="F377" s="52"/>
      <c r="G377" s="52"/>
      <c r="H377" s="52"/>
    </row>
    <row r="378" spans="1:8" ht="15.75">
      <c r="A378" s="124">
        <v>39986</v>
      </c>
      <c r="B378" s="125">
        <v>47.3</v>
      </c>
      <c r="C378" s="52"/>
      <c r="D378" s="52"/>
      <c r="E378" s="52"/>
      <c r="F378" s="52"/>
      <c r="G378" s="52"/>
      <c r="H378" s="52"/>
    </row>
    <row r="379" spans="1:8" ht="15.75">
      <c r="A379" s="124">
        <v>39987</v>
      </c>
      <c r="B379" s="125">
        <v>47.42</v>
      </c>
      <c r="C379" s="52"/>
      <c r="D379" s="52"/>
      <c r="E379" s="52"/>
      <c r="F379" s="52"/>
      <c r="G379" s="52"/>
      <c r="H379" s="52"/>
    </row>
    <row r="380" spans="1:8" ht="15.75">
      <c r="A380" s="124">
        <v>39988</v>
      </c>
      <c r="B380" s="125">
        <v>47.3</v>
      </c>
      <c r="C380" s="52"/>
      <c r="D380" s="52"/>
      <c r="E380" s="52"/>
      <c r="F380" s="52"/>
      <c r="G380" s="52"/>
      <c r="H380" s="52"/>
    </row>
    <row r="381" spans="1:8" ht="15.75">
      <c r="A381" s="124">
        <v>39989</v>
      </c>
      <c r="B381" s="125">
        <v>47.48</v>
      </c>
      <c r="C381" s="52"/>
      <c r="D381" s="52"/>
      <c r="E381" s="52"/>
      <c r="F381" s="52"/>
      <c r="G381" s="52"/>
      <c r="H381" s="52"/>
    </row>
    <row r="382" spans="1:8" ht="15.75">
      <c r="A382" s="124">
        <v>39990</v>
      </c>
      <c r="B382" s="125">
        <v>47.68</v>
      </c>
      <c r="C382" s="52"/>
      <c r="D382" s="52"/>
      <c r="E382" s="52"/>
      <c r="F382" s="52"/>
      <c r="G382" s="52"/>
      <c r="H382" s="52"/>
    </row>
    <row r="383" spans="1:8" ht="15.75">
      <c r="A383" s="124">
        <v>39993</v>
      </c>
      <c r="B383" s="125">
        <v>47.44</v>
      </c>
      <c r="C383" s="52"/>
      <c r="D383" s="52"/>
      <c r="E383" s="52"/>
      <c r="F383" s="52"/>
      <c r="G383" s="52"/>
      <c r="H383" s="52"/>
    </row>
    <row r="384" spans="1:8" ht="15.75">
      <c r="A384" s="124">
        <v>39994</v>
      </c>
      <c r="B384" s="125">
        <v>47.12</v>
      </c>
      <c r="C384" s="52"/>
      <c r="D384" s="52"/>
      <c r="E384" s="52"/>
      <c r="F384" s="52"/>
      <c r="G384" s="52"/>
      <c r="H384" s="52"/>
    </row>
    <row r="385" spans="1:8" ht="15.75">
      <c r="A385" s="124">
        <v>39995</v>
      </c>
      <c r="B385" s="125">
        <v>47.21</v>
      </c>
      <c r="C385" s="52"/>
      <c r="D385" s="52"/>
      <c r="E385" s="52"/>
      <c r="F385" s="52"/>
      <c r="G385" s="52"/>
      <c r="H385" s="52"/>
    </row>
    <row r="386" spans="1:8" ht="15.75">
      <c r="A386" s="124">
        <v>39996</v>
      </c>
      <c r="B386" s="125">
        <v>47.2</v>
      </c>
      <c r="C386" s="52"/>
      <c r="D386" s="52"/>
      <c r="E386" s="52"/>
      <c r="F386" s="52"/>
      <c r="G386" s="52"/>
      <c r="H386" s="52"/>
    </row>
    <row r="387" spans="1:8" ht="15.75">
      <c r="A387" s="124">
        <v>39997</v>
      </c>
      <c r="B387" s="125">
        <v>47.35</v>
      </c>
      <c r="C387" s="52"/>
      <c r="D387" s="52"/>
      <c r="E387" s="52"/>
      <c r="F387" s="52"/>
      <c r="G387" s="52"/>
      <c r="H387" s="52"/>
    </row>
    <row r="388" spans="1:8" ht="15.75">
      <c r="A388" s="124">
        <v>40000</v>
      </c>
      <c r="B388" s="125">
        <v>47.12</v>
      </c>
      <c r="C388" s="52"/>
      <c r="D388" s="52"/>
      <c r="E388" s="52"/>
      <c r="F388" s="52"/>
      <c r="G388" s="52"/>
      <c r="H388" s="52"/>
    </row>
    <row r="389" spans="1:8" ht="15.75">
      <c r="A389" s="124">
        <v>40001</v>
      </c>
      <c r="B389" s="125">
        <v>47.13</v>
      </c>
      <c r="C389" s="52"/>
      <c r="D389" s="52"/>
      <c r="E389" s="52"/>
      <c r="F389" s="52"/>
      <c r="G389" s="52"/>
      <c r="H389" s="52"/>
    </row>
    <row r="390" spans="1:8" ht="15.75">
      <c r="A390" s="124">
        <v>40002</v>
      </c>
      <c r="B390" s="125">
        <v>47.39</v>
      </c>
      <c r="C390" s="52"/>
      <c r="D390" s="52"/>
      <c r="E390" s="52"/>
      <c r="F390" s="52"/>
      <c r="G390" s="52"/>
      <c r="H390" s="52"/>
    </row>
    <row r="391" spans="1:8" ht="15.75">
      <c r="A391" s="124">
        <v>40003</v>
      </c>
      <c r="B391" s="125">
        <v>47.29</v>
      </c>
      <c r="C391" s="52"/>
      <c r="D391" s="52"/>
      <c r="E391" s="52"/>
      <c r="F391" s="52"/>
      <c r="G391" s="52"/>
      <c r="H391" s="52"/>
    </row>
    <row r="392" spans="1:8" ht="15.75">
      <c r="A392" s="124">
        <v>40004</v>
      </c>
      <c r="B392" s="125">
        <v>47.47</v>
      </c>
      <c r="C392" s="52"/>
      <c r="D392" s="52"/>
      <c r="E392" s="52"/>
      <c r="F392" s="52"/>
      <c r="G392" s="52"/>
      <c r="H392" s="52"/>
    </row>
    <row r="393" spans="1:8" ht="15.75">
      <c r="A393" s="124">
        <v>40007</v>
      </c>
      <c r="B393" s="125">
        <v>47.36</v>
      </c>
      <c r="C393" s="52"/>
      <c r="D393" s="52"/>
      <c r="E393" s="52"/>
      <c r="F393" s="52"/>
      <c r="G393" s="52"/>
      <c r="H393" s="52"/>
    </row>
    <row r="394" spans="1:8" ht="15.75">
      <c r="A394" s="124">
        <v>40008</v>
      </c>
      <c r="B394" s="125">
        <v>47.48</v>
      </c>
      <c r="C394" s="52"/>
      <c r="D394" s="52"/>
      <c r="E394" s="52"/>
      <c r="F394" s="52"/>
      <c r="G394" s="52"/>
      <c r="H394" s="52"/>
    </row>
    <row r="395" spans="1:8" ht="15.75">
      <c r="A395" s="124">
        <v>40009</v>
      </c>
      <c r="B395" s="125">
        <v>47.59</v>
      </c>
      <c r="C395" s="52"/>
      <c r="D395" s="52"/>
      <c r="E395" s="52"/>
      <c r="F395" s="52"/>
      <c r="G395" s="52"/>
      <c r="H395" s="52"/>
    </row>
    <row r="396" spans="1:8" ht="15.75">
      <c r="A396" s="124">
        <v>40010</v>
      </c>
      <c r="B396" s="125">
        <v>47.3</v>
      </c>
      <c r="C396" s="52"/>
      <c r="D396" s="52"/>
      <c r="E396" s="52"/>
      <c r="F396" s="52"/>
      <c r="G396" s="52"/>
      <c r="H396" s="52"/>
    </row>
    <row r="397" spans="1:8" ht="15.75">
      <c r="A397" s="124">
        <v>40011</v>
      </c>
      <c r="B397" s="125">
        <v>47.36</v>
      </c>
      <c r="C397" s="52"/>
      <c r="D397" s="52"/>
      <c r="E397" s="52"/>
      <c r="F397" s="52"/>
      <c r="G397" s="52"/>
      <c r="H397" s="52"/>
    </row>
    <row r="398" spans="1:8" ht="15.75">
      <c r="A398" s="124">
        <v>40014</v>
      </c>
      <c r="B398" s="125">
        <v>47.38</v>
      </c>
      <c r="C398" s="52"/>
      <c r="D398" s="52"/>
      <c r="E398" s="52"/>
      <c r="F398" s="52"/>
      <c r="G398" s="52"/>
      <c r="H398" s="52"/>
    </row>
    <row r="399" spans="1:8" ht="15.75">
      <c r="A399" s="124">
        <v>40015</v>
      </c>
      <c r="B399" s="125">
        <v>47.55</v>
      </c>
      <c r="C399" s="52"/>
      <c r="D399" s="52"/>
      <c r="E399" s="52"/>
      <c r="F399" s="52"/>
      <c r="G399" s="52"/>
      <c r="H399" s="52"/>
    </row>
    <row r="400" spans="1:8" ht="15.75">
      <c r="A400" s="124">
        <v>40016</v>
      </c>
      <c r="B400" s="125">
        <v>47.4</v>
      </c>
      <c r="C400" s="52"/>
      <c r="D400" s="52"/>
      <c r="E400" s="52"/>
      <c r="F400" s="52"/>
      <c r="G400" s="52"/>
      <c r="H400" s="52"/>
    </row>
    <row r="401" spans="1:8" ht="15.75">
      <c r="A401" s="124">
        <v>40017</v>
      </c>
      <c r="B401" s="125">
        <v>47.61</v>
      </c>
      <c r="C401" s="52"/>
      <c r="D401" s="52"/>
      <c r="E401" s="52"/>
      <c r="F401" s="52"/>
      <c r="G401" s="52"/>
      <c r="H401" s="52"/>
    </row>
    <row r="402" spans="1:8" ht="15.75">
      <c r="A402" s="124">
        <v>40018</v>
      </c>
      <c r="B402" s="125">
        <v>47.82</v>
      </c>
      <c r="C402" s="52"/>
      <c r="D402" s="52"/>
      <c r="E402" s="52"/>
      <c r="F402" s="52"/>
      <c r="G402" s="52"/>
      <c r="H402" s="52"/>
    </row>
    <row r="403" spans="1:8" ht="15.75">
      <c r="A403" s="124">
        <v>40021</v>
      </c>
      <c r="B403" s="125">
        <v>47.59</v>
      </c>
      <c r="C403" s="52"/>
      <c r="D403" s="52"/>
      <c r="E403" s="52"/>
      <c r="F403" s="52"/>
      <c r="G403" s="52"/>
      <c r="H403" s="52"/>
    </row>
    <row r="404" spans="1:8" ht="15.75">
      <c r="A404" s="124">
        <v>40022</v>
      </c>
      <c r="B404" s="125">
        <v>47.78</v>
      </c>
      <c r="C404" s="52"/>
      <c r="D404" s="52"/>
      <c r="E404" s="52"/>
      <c r="F404" s="52"/>
      <c r="G404" s="52"/>
      <c r="H404" s="52"/>
    </row>
    <row r="405" spans="1:8" ht="15.75">
      <c r="A405" s="124">
        <v>40023</v>
      </c>
      <c r="B405" s="125">
        <v>47.78</v>
      </c>
      <c r="C405" s="52"/>
      <c r="D405" s="52"/>
      <c r="E405" s="52"/>
      <c r="F405" s="52"/>
      <c r="G405" s="52"/>
      <c r="H405" s="52"/>
    </row>
    <row r="406" spans="1:8" ht="15.75">
      <c r="A406" s="124">
        <v>40024</v>
      </c>
      <c r="B406" s="125">
        <v>47.68</v>
      </c>
      <c r="C406" s="52"/>
      <c r="D406" s="52"/>
      <c r="E406" s="52"/>
      <c r="F406" s="52"/>
      <c r="G406" s="52"/>
      <c r="H406" s="52"/>
    </row>
    <row r="407" spans="1:8" ht="15.75">
      <c r="A407" s="124">
        <v>40025</v>
      </c>
      <c r="B407" s="125">
        <v>47.73</v>
      </c>
      <c r="C407" s="52"/>
      <c r="D407" s="52"/>
      <c r="E407" s="52"/>
      <c r="F407" s="52"/>
      <c r="G407" s="52"/>
      <c r="H407" s="52"/>
    </row>
    <row r="408" spans="1:8" ht="15.75">
      <c r="A408" s="124">
        <v>40028</v>
      </c>
      <c r="B408" s="125">
        <v>48.16</v>
      </c>
      <c r="C408" s="52"/>
      <c r="D408" s="52"/>
      <c r="E408" s="52"/>
      <c r="F408" s="52"/>
      <c r="G408" s="52"/>
      <c r="H408" s="52"/>
    </row>
    <row r="409" spans="1:8" ht="15.75">
      <c r="A409" s="124">
        <v>40029</v>
      </c>
      <c r="B409" s="125">
        <v>48.05</v>
      </c>
      <c r="C409" s="52"/>
      <c r="D409" s="52"/>
      <c r="E409" s="52"/>
      <c r="F409" s="52"/>
      <c r="G409" s="52"/>
      <c r="H409" s="52"/>
    </row>
    <row r="410" spans="1:8" ht="15.75">
      <c r="A410" s="124">
        <v>40030</v>
      </c>
      <c r="B410" s="125">
        <v>48.16</v>
      </c>
      <c r="C410" s="52"/>
      <c r="D410" s="52"/>
      <c r="E410" s="52"/>
      <c r="F410" s="52"/>
      <c r="G410" s="52"/>
      <c r="H410" s="52"/>
    </row>
    <row r="411" spans="1:8" ht="15.75">
      <c r="A411" s="124">
        <v>40031</v>
      </c>
      <c r="B411" s="125">
        <v>48.29</v>
      </c>
      <c r="C411" s="52"/>
      <c r="D411" s="52"/>
      <c r="E411" s="52"/>
      <c r="F411" s="52"/>
      <c r="G411" s="52"/>
      <c r="H411" s="52"/>
    </row>
    <row r="412" spans="1:8" ht="15.75">
      <c r="A412" s="124">
        <v>40032</v>
      </c>
      <c r="B412" s="125">
        <v>48.26</v>
      </c>
      <c r="C412" s="52"/>
      <c r="D412" s="52"/>
      <c r="E412" s="52"/>
      <c r="F412" s="52"/>
      <c r="G412" s="52"/>
      <c r="H412" s="52"/>
    </row>
    <row r="413" spans="1:8" ht="15.75">
      <c r="A413" s="124">
        <v>40035</v>
      </c>
      <c r="B413" s="125">
        <v>48.23</v>
      </c>
      <c r="C413" s="52"/>
      <c r="D413" s="52"/>
      <c r="E413" s="52"/>
      <c r="F413" s="52"/>
      <c r="G413" s="52"/>
      <c r="H413" s="52"/>
    </row>
    <row r="414" spans="1:8" ht="15.75">
      <c r="A414" s="124">
        <v>40036</v>
      </c>
      <c r="B414" s="125">
        <v>48.5</v>
      </c>
      <c r="C414" s="52"/>
      <c r="D414" s="52"/>
      <c r="E414" s="52"/>
      <c r="F414" s="52"/>
      <c r="G414" s="52"/>
      <c r="H414" s="52"/>
    </row>
    <row r="415" spans="1:8" ht="15.75">
      <c r="A415" s="124">
        <v>40037</v>
      </c>
      <c r="B415" s="125">
        <v>48.58</v>
      </c>
      <c r="C415" s="52"/>
      <c r="D415" s="52"/>
      <c r="E415" s="52"/>
      <c r="F415" s="52"/>
      <c r="G415" s="52"/>
      <c r="H415" s="52"/>
    </row>
    <row r="416" spans="1:8" ht="15.75">
      <c r="A416" s="124">
        <v>40038</v>
      </c>
      <c r="B416" s="125">
        <v>48.34</v>
      </c>
      <c r="C416" s="52"/>
      <c r="D416" s="52"/>
      <c r="E416" s="52"/>
      <c r="F416" s="52"/>
      <c r="G416" s="52"/>
      <c r="H416" s="52"/>
    </row>
    <row r="417" spans="1:8" ht="15.75">
      <c r="A417" s="124">
        <v>40039</v>
      </c>
      <c r="B417" s="125">
        <v>48.29</v>
      </c>
      <c r="C417" s="52"/>
      <c r="D417" s="52"/>
      <c r="E417" s="52"/>
      <c r="F417" s="52"/>
      <c r="G417" s="52"/>
      <c r="H417" s="52"/>
    </row>
    <row r="418" spans="1:8" ht="15.75">
      <c r="A418" s="124">
        <v>40042</v>
      </c>
      <c r="B418" s="125">
        <v>48.49</v>
      </c>
      <c r="C418" s="52"/>
      <c r="D418" s="52"/>
      <c r="E418" s="52"/>
      <c r="F418" s="52"/>
      <c r="G418" s="52"/>
      <c r="H418" s="52"/>
    </row>
    <row r="419" spans="1:8" ht="15.75">
      <c r="A419" s="124">
        <v>40043</v>
      </c>
      <c r="B419" s="125">
        <v>48.56</v>
      </c>
      <c r="C419" s="52"/>
      <c r="D419" s="52"/>
      <c r="E419" s="52"/>
      <c r="F419" s="52"/>
      <c r="G419" s="52"/>
      <c r="H419" s="52"/>
    </row>
    <row r="420" spans="1:8" ht="15.75">
      <c r="A420" s="124">
        <v>40044</v>
      </c>
      <c r="B420" s="125">
        <v>48.33</v>
      </c>
      <c r="C420" s="52"/>
      <c r="D420" s="52"/>
      <c r="E420" s="52"/>
      <c r="F420" s="52"/>
      <c r="G420" s="52"/>
      <c r="H420" s="52"/>
    </row>
    <row r="421" spans="1:8" ht="15.75">
      <c r="A421" s="124">
        <v>40045</v>
      </c>
      <c r="B421" s="125">
        <v>48.33</v>
      </c>
      <c r="C421" s="52"/>
      <c r="D421" s="52"/>
      <c r="E421" s="52"/>
      <c r="F421" s="52"/>
      <c r="G421" s="52"/>
      <c r="H421" s="52"/>
    </row>
    <row r="422" spans="1:8" ht="15.75">
      <c r="A422" s="124">
        <v>40046</v>
      </c>
      <c r="B422" s="125">
        <v>48.33</v>
      </c>
      <c r="C422" s="52"/>
      <c r="D422" s="52"/>
      <c r="E422" s="52"/>
      <c r="F422" s="52"/>
      <c r="G422" s="52"/>
      <c r="H422" s="52"/>
    </row>
    <row r="423" spans="1:8" ht="15.75">
      <c r="A423" s="124">
        <v>40049</v>
      </c>
      <c r="B423" s="125">
        <v>48.34</v>
      </c>
      <c r="C423" s="52"/>
      <c r="D423" s="52"/>
      <c r="E423" s="52"/>
      <c r="F423" s="52"/>
      <c r="G423" s="52"/>
      <c r="H423" s="52"/>
    </row>
    <row r="424" spans="1:8" ht="15.75">
      <c r="A424" s="124">
        <v>40050</v>
      </c>
      <c r="B424" s="125">
        <v>48.35</v>
      </c>
      <c r="C424" s="52"/>
      <c r="D424" s="52"/>
      <c r="E424" s="52"/>
      <c r="F424" s="52"/>
      <c r="G424" s="52"/>
      <c r="H424" s="52"/>
    </row>
    <row r="425" spans="1:8" ht="15.75">
      <c r="A425" s="124">
        <v>40051</v>
      </c>
      <c r="B425" s="125">
        <v>48.15</v>
      </c>
      <c r="C425" s="52"/>
      <c r="D425" s="52"/>
      <c r="E425" s="52"/>
      <c r="F425" s="52"/>
      <c r="G425" s="52"/>
      <c r="H425" s="52"/>
    </row>
    <row r="426" spans="1:8" ht="15.75">
      <c r="A426" s="124">
        <v>40052</v>
      </c>
      <c r="B426" s="125">
        <v>48.05</v>
      </c>
      <c r="C426" s="52"/>
      <c r="D426" s="52"/>
      <c r="E426" s="52"/>
      <c r="F426" s="52"/>
      <c r="G426" s="52"/>
      <c r="H426" s="52"/>
    </row>
    <row r="427" spans="1:8" ht="15.75">
      <c r="A427" s="124">
        <v>40053</v>
      </c>
      <c r="B427" s="125">
        <v>47.98</v>
      </c>
      <c r="C427" s="52"/>
      <c r="D427" s="52"/>
      <c r="E427" s="52"/>
      <c r="F427" s="52"/>
      <c r="G427" s="52"/>
      <c r="H427" s="52"/>
    </row>
    <row r="428" spans="1:8" ht="15.75">
      <c r="A428" s="124">
        <v>40056</v>
      </c>
      <c r="B428" s="125">
        <v>47.94</v>
      </c>
      <c r="C428" s="52"/>
      <c r="D428" s="52"/>
      <c r="E428" s="52"/>
      <c r="F428" s="52"/>
      <c r="G428" s="52"/>
      <c r="H428" s="52"/>
    </row>
    <row r="429" spans="1:8" ht="15.75">
      <c r="A429" s="124">
        <v>40057</v>
      </c>
      <c r="B429" s="125">
        <v>47.76</v>
      </c>
      <c r="C429" s="52"/>
      <c r="D429" s="52"/>
      <c r="E429" s="52"/>
      <c r="F429" s="52"/>
      <c r="G429" s="52"/>
      <c r="H429" s="52"/>
    </row>
    <row r="430" spans="1:8" ht="15.75">
      <c r="A430" s="124">
        <v>40058</v>
      </c>
      <c r="B430" s="125">
        <v>47.69</v>
      </c>
      <c r="C430" s="52"/>
      <c r="D430" s="52"/>
      <c r="E430" s="52"/>
      <c r="F430" s="52"/>
      <c r="G430" s="52"/>
      <c r="H430" s="52"/>
    </row>
    <row r="431" spans="1:8" ht="15.75">
      <c r="A431" s="124">
        <v>40059</v>
      </c>
      <c r="B431" s="125">
        <v>47.85</v>
      </c>
      <c r="C431" s="52"/>
      <c r="D431" s="52"/>
      <c r="E431" s="52"/>
      <c r="F431" s="52"/>
      <c r="G431" s="52"/>
      <c r="H431" s="52"/>
    </row>
    <row r="432" spans="1:8" ht="15.75">
      <c r="A432" s="124">
        <v>40060</v>
      </c>
      <c r="B432" s="125">
        <v>48</v>
      </c>
      <c r="C432" s="52"/>
      <c r="D432" s="52"/>
      <c r="E432" s="52"/>
      <c r="F432" s="52"/>
      <c r="G432" s="52"/>
      <c r="H432" s="52"/>
    </row>
    <row r="433" spans="1:8" ht="15.75">
      <c r="A433" s="124">
        <v>40063</v>
      </c>
      <c r="B433" s="125">
        <v>47.9</v>
      </c>
      <c r="C433" s="52"/>
      <c r="D433" s="52"/>
      <c r="E433" s="52"/>
      <c r="F433" s="52"/>
      <c r="G433" s="52"/>
      <c r="H433" s="52"/>
    </row>
    <row r="434" spans="1:8" ht="15.75">
      <c r="A434" s="124">
        <v>40064</v>
      </c>
      <c r="B434" s="125">
        <v>48</v>
      </c>
      <c r="C434" s="52"/>
      <c r="D434" s="52"/>
      <c r="E434" s="52"/>
      <c r="F434" s="52"/>
      <c r="G434" s="52"/>
      <c r="H434" s="52"/>
    </row>
    <row r="435" spans="1:8" ht="15.75">
      <c r="A435" s="124">
        <v>40065</v>
      </c>
      <c r="B435" s="125">
        <v>47.91</v>
      </c>
      <c r="C435" s="52"/>
      <c r="D435" s="52"/>
      <c r="E435" s="52"/>
      <c r="F435" s="52"/>
      <c r="G435" s="52"/>
      <c r="H435" s="52"/>
    </row>
    <row r="436" spans="1:8" ht="15.75">
      <c r="A436" s="124">
        <v>40066</v>
      </c>
      <c r="B436" s="125">
        <v>47.81</v>
      </c>
      <c r="C436" s="52"/>
      <c r="D436" s="52"/>
      <c r="E436" s="52"/>
      <c r="F436" s="52"/>
      <c r="G436" s="52"/>
      <c r="H436" s="52"/>
    </row>
    <row r="437" spans="1:8" ht="15.75">
      <c r="A437" s="124">
        <v>40067</v>
      </c>
      <c r="B437" s="125">
        <v>47.81</v>
      </c>
      <c r="C437" s="52"/>
      <c r="D437" s="52"/>
      <c r="E437" s="52"/>
      <c r="F437" s="52"/>
      <c r="G437" s="52"/>
      <c r="H437" s="52"/>
    </row>
    <row r="438" spans="1:8" ht="15.75">
      <c r="A438" s="124">
        <v>40070</v>
      </c>
      <c r="B438" s="125">
        <v>47.6</v>
      </c>
      <c r="C438" s="52"/>
      <c r="D438" s="52"/>
      <c r="E438" s="52"/>
      <c r="F438" s="52"/>
      <c r="G438" s="52"/>
      <c r="H438" s="52"/>
    </row>
    <row r="439" spans="1:8" ht="15.75">
      <c r="A439" s="124">
        <v>40071</v>
      </c>
      <c r="B439" s="125">
        <v>47.82</v>
      </c>
      <c r="C439" s="52"/>
      <c r="D439" s="52"/>
      <c r="E439" s="52"/>
      <c r="F439" s="52"/>
      <c r="G439" s="52"/>
      <c r="H439" s="52"/>
    </row>
    <row r="440" spans="1:8" ht="15.75">
      <c r="A440" s="124">
        <v>40072</v>
      </c>
      <c r="B440" s="125">
        <v>47.83</v>
      </c>
      <c r="C440" s="52"/>
      <c r="D440" s="52"/>
      <c r="E440" s="52"/>
      <c r="F440" s="52"/>
      <c r="G440" s="52"/>
      <c r="H440" s="52"/>
    </row>
    <row r="441" spans="1:8" ht="15.75">
      <c r="A441" s="124">
        <v>40073</v>
      </c>
      <c r="B441" s="125">
        <v>47.73</v>
      </c>
      <c r="C441" s="52"/>
      <c r="D441" s="52"/>
      <c r="E441" s="52"/>
      <c r="F441" s="52"/>
      <c r="G441" s="52"/>
      <c r="H441" s="52"/>
    </row>
    <row r="442" spans="1:8" ht="15.75">
      <c r="A442" s="124">
        <v>40074</v>
      </c>
      <c r="B442" s="125">
        <v>47.59</v>
      </c>
      <c r="C442" s="52"/>
      <c r="D442" s="52"/>
      <c r="E442" s="52"/>
      <c r="F442" s="52"/>
      <c r="G442" s="52"/>
      <c r="H442" s="52"/>
    </row>
    <row r="443" spans="1:8" ht="15.75">
      <c r="A443" s="124">
        <v>40077</v>
      </c>
      <c r="B443" s="125">
        <v>47.58</v>
      </c>
      <c r="C443" s="52"/>
      <c r="D443" s="52"/>
      <c r="E443" s="52"/>
      <c r="F443" s="52"/>
      <c r="G443" s="52"/>
      <c r="H443" s="52"/>
    </row>
    <row r="444" spans="1:8" ht="15.75">
      <c r="A444" s="124">
        <v>40078</v>
      </c>
      <c r="B444" s="125">
        <v>47.73</v>
      </c>
      <c r="C444" s="52"/>
      <c r="D444" s="52"/>
      <c r="E444" s="52"/>
      <c r="F444" s="52"/>
      <c r="G444" s="52"/>
      <c r="H444" s="52"/>
    </row>
    <row r="445" spans="1:8" ht="15.75">
      <c r="A445" s="124">
        <v>40079</v>
      </c>
      <c r="B445" s="125">
        <v>47.9</v>
      </c>
      <c r="C445" s="52"/>
      <c r="D445" s="52"/>
      <c r="E445" s="52"/>
      <c r="F445" s="52"/>
      <c r="G445" s="52"/>
      <c r="H445" s="52"/>
    </row>
    <row r="446" spans="1:8" ht="15.75">
      <c r="A446" s="124">
        <v>40080</v>
      </c>
      <c r="B446" s="125">
        <v>47.76</v>
      </c>
      <c r="C446" s="52"/>
      <c r="D446" s="52"/>
      <c r="E446" s="52"/>
      <c r="F446" s="52"/>
      <c r="G446" s="52"/>
      <c r="H446" s="52"/>
    </row>
    <row r="447" spans="1:8" ht="15.75">
      <c r="A447" s="124">
        <v>40081</v>
      </c>
      <c r="B447" s="125">
        <v>47.66</v>
      </c>
      <c r="C447" s="52"/>
      <c r="D447" s="52"/>
      <c r="E447" s="52"/>
      <c r="F447" s="52"/>
      <c r="G447" s="52"/>
      <c r="H447" s="52"/>
    </row>
    <row r="448" spans="1:8" ht="15.75">
      <c r="A448" s="124">
        <v>40084</v>
      </c>
      <c r="B448" s="125">
        <v>47.66</v>
      </c>
      <c r="C448" s="52"/>
      <c r="D448" s="52"/>
      <c r="E448" s="52"/>
      <c r="F448" s="52"/>
      <c r="G448" s="52"/>
      <c r="H448" s="52"/>
    </row>
    <row r="449" spans="1:8" ht="15.75">
      <c r="A449" s="124">
        <v>40085</v>
      </c>
      <c r="B449" s="125">
        <v>47.49</v>
      </c>
      <c r="C449" s="52"/>
      <c r="D449" s="52"/>
      <c r="E449" s="52"/>
      <c r="F449" s="52"/>
      <c r="G449" s="52"/>
      <c r="H449" s="52"/>
    </row>
    <row r="450" spans="1:8" ht="15.75">
      <c r="A450" s="124">
        <v>40086</v>
      </c>
      <c r="B450" s="125">
        <v>47.4</v>
      </c>
      <c r="C450" s="52"/>
      <c r="D450" s="52"/>
      <c r="E450" s="52"/>
      <c r="F450" s="52"/>
      <c r="G450" s="52"/>
      <c r="H450" s="52"/>
    </row>
    <row r="451" spans="1:8" ht="15.75">
      <c r="A451" s="124">
        <v>40087</v>
      </c>
      <c r="B451" s="125">
        <v>47.78</v>
      </c>
      <c r="C451" s="52"/>
      <c r="D451" s="52"/>
      <c r="E451" s="52"/>
      <c r="F451" s="52"/>
      <c r="G451" s="52"/>
      <c r="H451" s="52"/>
    </row>
    <row r="452" spans="1:8" ht="15.75">
      <c r="A452" s="124">
        <v>40088</v>
      </c>
      <c r="B452" s="125">
        <v>47.85</v>
      </c>
      <c r="C452" s="52"/>
      <c r="D452" s="52"/>
      <c r="E452" s="52"/>
      <c r="F452" s="52"/>
      <c r="G452" s="52"/>
      <c r="H452" s="52"/>
    </row>
    <row r="453" spans="1:8" ht="15.75">
      <c r="A453" s="124">
        <v>40091</v>
      </c>
      <c r="B453" s="125">
        <v>47.63</v>
      </c>
      <c r="C453" s="52"/>
      <c r="D453" s="52"/>
      <c r="E453" s="52"/>
      <c r="F453" s="52"/>
      <c r="G453" s="52"/>
      <c r="H453" s="52"/>
    </row>
    <row r="454" spans="1:8" ht="15.75">
      <c r="A454" s="124">
        <v>40092</v>
      </c>
      <c r="B454" s="125">
        <v>47.53</v>
      </c>
      <c r="C454" s="52"/>
      <c r="D454" s="52"/>
      <c r="E454" s="52"/>
      <c r="F454" s="52"/>
      <c r="G454" s="52"/>
      <c r="H454" s="52"/>
    </row>
    <row r="455" spans="1:8" ht="15.75">
      <c r="A455" s="124">
        <v>40093</v>
      </c>
      <c r="B455" s="125">
        <v>47.71</v>
      </c>
      <c r="C455" s="52"/>
      <c r="D455" s="52"/>
      <c r="E455" s="52"/>
      <c r="F455" s="52"/>
      <c r="G455" s="52"/>
      <c r="H455" s="52"/>
    </row>
    <row r="456" spans="1:8" ht="15.75">
      <c r="A456" s="124">
        <v>40094</v>
      </c>
      <c r="B456" s="125">
        <v>47.57</v>
      </c>
      <c r="C456" s="52"/>
      <c r="D456" s="52"/>
      <c r="E456" s="52"/>
      <c r="F456" s="52"/>
      <c r="G456" s="52"/>
      <c r="H456" s="52"/>
    </row>
    <row r="457" spans="1:8" ht="15.75">
      <c r="A457" s="124">
        <v>40095</v>
      </c>
      <c r="B457" s="125">
        <v>47.61</v>
      </c>
      <c r="C457" s="52"/>
      <c r="D457" s="52"/>
      <c r="E457" s="52"/>
      <c r="F457" s="52"/>
      <c r="G457" s="52"/>
      <c r="H457" s="52"/>
    </row>
    <row r="458" spans="1:8" ht="15.75">
      <c r="A458" s="124">
        <v>40098</v>
      </c>
      <c r="B458" s="125">
        <v>47.44</v>
      </c>
      <c r="C458" s="52"/>
      <c r="D458" s="52"/>
      <c r="E458" s="52"/>
      <c r="F458" s="52"/>
      <c r="G458" s="52"/>
      <c r="H458" s="52"/>
    </row>
    <row r="459" spans="1:8" ht="15.75">
      <c r="A459" s="124">
        <v>40099</v>
      </c>
      <c r="B459" s="125">
        <v>47.45</v>
      </c>
      <c r="C459" s="52"/>
      <c r="D459" s="52"/>
      <c r="E459" s="52"/>
      <c r="F459" s="52"/>
      <c r="G459" s="52"/>
      <c r="H459" s="52"/>
    </row>
    <row r="460" spans="1:8" ht="15.75">
      <c r="A460" s="124">
        <v>40100</v>
      </c>
      <c r="B460" s="125">
        <v>47.36</v>
      </c>
      <c r="C460" s="52"/>
      <c r="D460" s="52"/>
      <c r="E460" s="52"/>
      <c r="F460" s="52"/>
      <c r="G460" s="52"/>
      <c r="H460" s="52"/>
    </row>
    <row r="461" spans="1:8" ht="15.75">
      <c r="A461" s="124">
        <v>40101</v>
      </c>
      <c r="B461" s="125">
        <v>47.49</v>
      </c>
      <c r="C461" s="52"/>
      <c r="D461" s="52"/>
      <c r="E461" s="52"/>
      <c r="F461" s="52"/>
      <c r="G461" s="52"/>
      <c r="H461" s="52"/>
    </row>
    <row r="462" spans="1:8" ht="15.75">
      <c r="A462" s="124">
        <v>40102</v>
      </c>
      <c r="B462" s="125">
        <v>47.49</v>
      </c>
      <c r="C462" s="52"/>
      <c r="D462" s="52"/>
      <c r="E462" s="52"/>
      <c r="F462" s="52"/>
      <c r="G462" s="52"/>
      <c r="H462" s="52"/>
    </row>
    <row r="463" spans="1:8" ht="15.75">
      <c r="A463" s="124">
        <v>40105</v>
      </c>
      <c r="B463" s="125">
        <v>47.28</v>
      </c>
      <c r="C463" s="52"/>
      <c r="D463" s="52"/>
      <c r="E463" s="52"/>
      <c r="F463" s="52"/>
      <c r="G463" s="52"/>
      <c r="H463" s="52"/>
    </row>
    <row r="464" spans="1:8" ht="15.75">
      <c r="A464" s="124">
        <v>40106</v>
      </c>
      <c r="B464" s="125">
        <v>47.62</v>
      </c>
      <c r="C464" s="52"/>
      <c r="D464" s="52"/>
      <c r="E464" s="52"/>
      <c r="F464" s="52"/>
      <c r="G464" s="52"/>
      <c r="H464" s="52"/>
    </row>
    <row r="465" spans="1:8" ht="15.75">
      <c r="A465" s="124">
        <v>40107</v>
      </c>
      <c r="B465" s="125">
        <v>47.52</v>
      </c>
      <c r="C465" s="52"/>
      <c r="D465" s="52"/>
      <c r="E465" s="52"/>
      <c r="F465" s="52"/>
      <c r="G465" s="52"/>
      <c r="H465" s="52"/>
    </row>
    <row r="466" spans="1:8" ht="15.75">
      <c r="A466" s="124">
        <v>40108</v>
      </c>
      <c r="B466" s="125">
        <v>47.74</v>
      </c>
      <c r="C466" s="52"/>
      <c r="D466" s="52"/>
      <c r="E466" s="52"/>
      <c r="F466" s="52"/>
      <c r="G466" s="52"/>
      <c r="H466" s="52"/>
    </row>
    <row r="467" spans="1:8" ht="15.75">
      <c r="A467" s="124">
        <v>40109</v>
      </c>
      <c r="B467" s="125">
        <v>47.53</v>
      </c>
      <c r="C467" s="52"/>
      <c r="D467" s="52"/>
      <c r="E467" s="52"/>
      <c r="F467" s="52"/>
      <c r="G467" s="52"/>
      <c r="H467" s="52"/>
    </row>
    <row r="468" spans="1:8" ht="15.75">
      <c r="A468" s="124">
        <v>40112</v>
      </c>
      <c r="B468" s="125">
        <v>47.65</v>
      </c>
      <c r="C468" s="52"/>
      <c r="D468" s="52"/>
      <c r="E468" s="52"/>
      <c r="F468" s="52"/>
      <c r="G468" s="52"/>
      <c r="H468" s="52"/>
    </row>
    <row r="469" spans="1:8" ht="15.75">
      <c r="A469" s="124">
        <v>40113</v>
      </c>
      <c r="B469" s="125">
        <v>47.61</v>
      </c>
      <c r="C469" s="52"/>
      <c r="D469" s="52"/>
      <c r="E469" s="52"/>
      <c r="F469" s="52"/>
      <c r="G469" s="52"/>
      <c r="H469" s="52"/>
    </row>
    <row r="470" spans="1:8" ht="15.75">
      <c r="A470" s="124">
        <v>40114</v>
      </c>
      <c r="B470" s="125">
        <v>47.76</v>
      </c>
      <c r="C470" s="52"/>
      <c r="D470" s="52"/>
      <c r="E470" s="52"/>
      <c r="F470" s="52"/>
      <c r="G470" s="52"/>
      <c r="H470" s="52"/>
    </row>
    <row r="471" spans="1:8" ht="15.75">
      <c r="A471" s="124">
        <v>40115</v>
      </c>
      <c r="B471" s="125">
        <v>47.76</v>
      </c>
      <c r="C471" s="52"/>
      <c r="D471" s="52"/>
      <c r="E471" s="52"/>
      <c r="F471" s="52"/>
      <c r="G471" s="52"/>
      <c r="H471" s="52"/>
    </row>
    <row r="472" spans="1:8" ht="15.75">
      <c r="A472" s="124">
        <v>40116</v>
      </c>
      <c r="B472" s="125">
        <v>47.77</v>
      </c>
      <c r="C472" s="52"/>
      <c r="D472" s="52"/>
      <c r="E472" s="52"/>
      <c r="F472" s="52"/>
      <c r="G472" s="52"/>
      <c r="H472" s="52"/>
    </row>
    <row r="473" spans="1:8" ht="15.75">
      <c r="A473" s="124">
        <v>40119</v>
      </c>
      <c r="B473" s="125">
        <v>47.87</v>
      </c>
      <c r="C473" s="52"/>
      <c r="D473" s="52"/>
      <c r="E473" s="52"/>
      <c r="F473" s="52"/>
      <c r="G473" s="52"/>
      <c r="H473" s="52"/>
    </row>
    <row r="474" spans="1:8" ht="15.75">
      <c r="A474" s="124">
        <v>40120</v>
      </c>
      <c r="B474" s="125">
        <v>47.77</v>
      </c>
      <c r="C474" s="52"/>
      <c r="D474" s="52"/>
      <c r="E474" s="52"/>
      <c r="F474" s="52"/>
      <c r="G474" s="52"/>
      <c r="H474" s="52"/>
    </row>
    <row r="475" spans="1:8" ht="15.75">
      <c r="A475" s="124">
        <v>40121</v>
      </c>
      <c r="B475" s="125">
        <v>47.82</v>
      </c>
      <c r="C475" s="52"/>
      <c r="D475" s="52"/>
      <c r="E475" s="52"/>
      <c r="F475" s="52"/>
      <c r="G475" s="52"/>
      <c r="H475" s="52"/>
    </row>
    <row r="476" spans="1:8" ht="15.75">
      <c r="A476" s="124">
        <v>40122</v>
      </c>
      <c r="B476" s="125">
        <v>47.93</v>
      </c>
      <c r="C476" s="52"/>
      <c r="D476" s="52"/>
      <c r="E476" s="52"/>
      <c r="F476" s="52"/>
      <c r="G476" s="52"/>
      <c r="H476" s="52"/>
    </row>
    <row r="477" spans="1:8" ht="15.75">
      <c r="A477" s="124">
        <v>40123</v>
      </c>
      <c r="B477" s="125">
        <v>47.99</v>
      </c>
      <c r="C477" s="52"/>
      <c r="D477" s="52"/>
      <c r="E477" s="52"/>
      <c r="F477" s="52"/>
      <c r="G477" s="52"/>
      <c r="H477" s="52"/>
    </row>
    <row r="478" spans="1:8" ht="15.75">
      <c r="A478" s="124">
        <v>40126</v>
      </c>
      <c r="B478" s="125">
        <v>47.9</v>
      </c>
      <c r="C478" s="52"/>
      <c r="D478" s="52"/>
      <c r="E478" s="52"/>
      <c r="F478" s="52"/>
      <c r="G478" s="52"/>
      <c r="H478" s="52"/>
    </row>
    <row r="479" spans="1:8" ht="15.75">
      <c r="A479" s="124">
        <v>40127</v>
      </c>
      <c r="B479" s="125">
        <v>48</v>
      </c>
      <c r="C479" s="52"/>
      <c r="D479" s="52"/>
      <c r="E479" s="52"/>
      <c r="F479" s="52"/>
      <c r="G479" s="52"/>
      <c r="H479" s="52"/>
    </row>
    <row r="480" spans="1:8" ht="15.75">
      <c r="A480" s="124">
        <v>40128</v>
      </c>
      <c r="B480" s="125">
        <v>47.61</v>
      </c>
      <c r="C480" s="52"/>
      <c r="D480" s="52"/>
      <c r="E480" s="52"/>
      <c r="F480" s="52"/>
      <c r="G480" s="52"/>
      <c r="H480" s="52"/>
    </row>
    <row r="481" spans="1:8" ht="15.75">
      <c r="A481" s="124">
        <v>40129</v>
      </c>
      <c r="B481" s="125">
        <v>47.71</v>
      </c>
      <c r="C481" s="52"/>
      <c r="D481" s="52"/>
      <c r="E481" s="52"/>
      <c r="F481" s="52"/>
      <c r="G481" s="52"/>
      <c r="H481" s="52"/>
    </row>
    <row r="482" spans="1:8" ht="15.75">
      <c r="A482" s="124">
        <v>40130</v>
      </c>
      <c r="B482" s="125">
        <v>47.99</v>
      </c>
      <c r="C482" s="52"/>
      <c r="D482" s="52"/>
      <c r="E482" s="52"/>
      <c r="F482" s="52"/>
      <c r="G482" s="52"/>
      <c r="H482" s="52"/>
    </row>
    <row r="483" spans="1:8" ht="15.75">
      <c r="A483" s="124">
        <v>40133</v>
      </c>
      <c r="B483" s="125">
        <v>48.23</v>
      </c>
      <c r="C483" s="52"/>
      <c r="D483" s="52"/>
      <c r="E483" s="52"/>
      <c r="F483" s="52"/>
      <c r="G483" s="52"/>
      <c r="H483" s="52"/>
    </row>
    <row r="484" spans="1:8" ht="15.75">
      <c r="A484" s="124">
        <v>40134</v>
      </c>
      <c r="B484" s="125">
        <v>48.04</v>
      </c>
      <c r="C484" s="52"/>
      <c r="D484" s="52"/>
      <c r="E484" s="52"/>
      <c r="F484" s="52"/>
      <c r="G484" s="52"/>
      <c r="H484" s="52"/>
    </row>
    <row r="485" spans="1:8" ht="15.75">
      <c r="A485" s="124">
        <v>40135</v>
      </c>
      <c r="B485" s="125">
        <v>48.39</v>
      </c>
      <c r="C485" s="52"/>
      <c r="D485" s="52"/>
      <c r="E485" s="52"/>
      <c r="F485" s="52"/>
      <c r="G485" s="52"/>
      <c r="H485" s="52"/>
    </row>
    <row r="486" spans="1:8" ht="15.75">
      <c r="A486" s="124">
        <v>40136</v>
      </c>
      <c r="B486" s="125">
        <v>48.23</v>
      </c>
      <c r="C486" s="52"/>
      <c r="D486" s="52"/>
      <c r="E486" s="52"/>
      <c r="F486" s="52"/>
      <c r="G486" s="52"/>
      <c r="H486" s="52"/>
    </row>
    <row r="487" spans="1:8" ht="15.75">
      <c r="A487" s="124">
        <v>40137</v>
      </c>
      <c r="B487" s="125">
        <v>48.14</v>
      </c>
      <c r="C487" s="52"/>
      <c r="D487" s="52"/>
      <c r="E487" s="52"/>
      <c r="F487" s="52"/>
      <c r="G487" s="52"/>
      <c r="H487" s="52"/>
    </row>
    <row r="488" spans="1:8" ht="15.75">
      <c r="A488" s="124">
        <v>40140</v>
      </c>
      <c r="B488" s="125">
        <v>48.53</v>
      </c>
      <c r="C488" s="52"/>
      <c r="D488" s="52"/>
      <c r="E488" s="52"/>
      <c r="F488" s="52"/>
      <c r="G488" s="52"/>
      <c r="H488" s="52"/>
    </row>
    <row r="489" spans="1:8" ht="15.75">
      <c r="A489" s="124">
        <v>40141</v>
      </c>
      <c r="B489" s="125">
        <v>48.53</v>
      </c>
      <c r="C489" s="52"/>
      <c r="D489" s="52"/>
      <c r="E489" s="52"/>
      <c r="F489" s="52"/>
      <c r="G489" s="52"/>
      <c r="H489" s="52"/>
    </row>
    <row r="490" spans="1:8" ht="15.75">
      <c r="A490" s="124">
        <v>40142</v>
      </c>
      <c r="B490" s="125">
        <v>48.42</v>
      </c>
      <c r="C490" s="52"/>
      <c r="D490" s="52"/>
      <c r="E490" s="52"/>
      <c r="F490" s="52"/>
      <c r="G490" s="52"/>
      <c r="H490" s="52"/>
    </row>
    <row r="491" spans="1:8" ht="15.75">
      <c r="A491" s="124">
        <v>40143</v>
      </c>
      <c r="B491" s="125">
        <v>48.33</v>
      </c>
      <c r="C491" s="52"/>
      <c r="D491" s="52"/>
      <c r="E491" s="52"/>
      <c r="F491" s="52"/>
      <c r="G491" s="52"/>
      <c r="H491" s="52"/>
    </row>
    <row r="492" spans="1:8" ht="15.75">
      <c r="A492" s="124">
        <v>40144</v>
      </c>
      <c r="B492" s="125">
        <v>48.03</v>
      </c>
      <c r="C492" s="52"/>
      <c r="D492" s="52"/>
      <c r="E492" s="52"/>
      <c r="F492" s="52"/>
      <c r="G492" s="52"/>
      <c r="H492" s="52"/>
    </row>
    <row r="493" spans="1:8" ht="15.75">
      <c r="A493" s="124">
        <v>40147</v>
      </c>
      <c r="B493" s="125">
        <v>48.09</v>
      </c>
      <c r="C493" s="52"/>
      <c r="D493" s="52"/>
      <c r="E493" s="52"/>
      <c r="F493" s="52"/>
      <c r="G493" s="52"/>
      <c r="H493" s="52"/>
    </row>
    <row r="494" spans="1:8" ht="15.75">
      <c r="A494" s="124">
        <v>40148</v>
      </c>
      <c r="B494" s="125">
        <v>48.16</v>
      </c>
      <c r="C494" s="52"/>
      <c r="D494" s="52"/>
      <c r="E494" s="52"/>
      <c r="F494" s="52"/>
      <c r="G494" s="52"/>
      <c r="H494" s="52"/>
    </row>
    <row r="495" spans="1:8" ht="15.75">
      <c r="A495" s="124">
        <v>40149</v>
      </c>
      <c r="B495" s="125">
        <v>48.27</v>
      </c>
      <c r="C495" s="52"/>
      <c r="D495" s="52"/>
      <c r="E495" s="52"/>
      <c r="F495" s="52"/>
      <c r="G495" s="52"/>
      <c r="H495" s="52"/>
    </row>
    <row r="496" spans="1:8" ht="15.75">
      <c r="A496" s="124">
        <v>40150</v>
      </c>
      <c r="B496" s="125">
        <v>48.22</v>
      </c>
      <c r="C496" s="52"/>
      <c r="D496" s="52"/>
      <c r="E496" s="52"/>
      <c r="F496" s="52"/>
      <c r="G496" s="52"/>
      <c r="H496" s="52"/>
    </row>
    <row r="497" spans="1:8" ht="15.75">
      <c r="A497" s="124">
        <v>40151</v>
      </c>
      <c r="B497" s="125">
        <v>48.11</v>
      </c>
      <c r="C497" s="52"/>
      <c r="D497" s="52"/>
      <c r="E497" s="52"/>
      <c r="F497" s="52"/>
      <c r="G497" s="52"/>
      <c r="H497" s="52"/>
    </row>
    <row r="498" spans="1:8" ht="15.75">
      <c r="A498" s="124">
        <v>40154</v>
      </c>
      <c r="B498" s="125">
        <v>48.21</v>
      </c>
      <c r="C498" s="52"/>
      <c r="D498" s="52"/>
      <c r="E498" s="52"/>
      <c r="F498" s="52"/>
      <c r="G498" s="52"/>
      <c r="H498" s="52"/>
    </row>
    <row r="499" spans="1:8" ht="15.75">
      <c r="A499" s="124">
        <v>40155</v>
      </c>
      <c r="B499" s="125">
        <v>48.5</v>
      </c>
      <c r="C499" s="52"/>
      <c r="D499" s="52"/>
      <c r="E499" s="52"/>
      <c r="F499" s="52"/>
      <c r="G499" s="52"/>
      <c r="H499" s="52"/>
    </row>
    <row r="500" spans="1:8" ht="15.75">
      <c r="A500" s="124">
        <v>40156</v>
      </c>
      <c r="B500" s="125">
        <v>48.5</v>
      </c>
      <c r="C500" s="52"/>
      <c r="D500" s="52"/>
      <c r="E500" s="52"/>
      <c r="F500" s="52"/>
      <c r="G500" s="52"/>
      <c r="H500" s="52"/>
    </row>
    <row r="501" spans="1:8" ht="15.75">
      <c r="A501" s="124">
        <v>40157</v>
      </c>
      <c r="B501" s="125">
        <v>48.27</v>
      </c>
      <c r="C501" s="52"/>
      <c r="D501" s="52"/>
      <c r="E501" s="52"/>
      <c r="F501" s="52"/>
      <c r="G501" s="52"/>
      <c r="H501" s="52"/>
    </row>
    <row r="502" spans="1:8" ht="15.75">
      <c r="A502" s="124">
        <v>40158</v>
      </c>
      <c r="B502" s="125">
        <v>48.31</v>
      </c>
      <c r="C502" s="52"/>
      <c r="D502" s="52"/>
      <c r="E502" s="52"/>
      <c r="F502" s="52"/>
      <c r="G502" s="52"/>
      <c r="H502" s="52"/>
    </row>
    <row r="503" spans="1:8" ht="15.75">
      <c r="A503" s="124">
        <v>40161</v>
      </c>
      <c r="B503" s="125">
        <v>48.37</v>
      </c>
      <c r="C503" s="52"/>
      <c r="D503" s="52"/>
      <c r="E503" s="52"/>
      <c r="F503" s="52"/>
      <c r="G503" s="52"/>
      <c r="H503" s="52"/>
    </row>
    <row r="504" spans="1:8" ht="15.75">
      <c r="A504" s="124">
        <v>40162</v>
      </c>
      <c r="B504" s="125">
        <v>48.67</v>
      </c>
      <c r="C504" s="52"/>
      <c r="D504" s="52"/>
      <c r="E504" s="52"/>
      <c r="F504" s="52"/>
      <c r="G504" s="52"/>
      <c r="H504" s="52"/>
    </row>
    <row r="505" spans="1:8" ht="15.75">
      <c r="A505" s="124">
        <v>40163</v>
      </c>
      <c r="B505" s="125">
        <v>48.48</v>
      </c>
      <c r="C505" s="52"/>
      <c r="D505" s="52"/>
      <c r="E505" s="52"/>
      <c r="F505" s="52"/>
      <c r="G505" s="52"/>
      <c r="H505" s="52"/>
    </row>
    <row r="506" spans="1:8" ht="15.75">
      <c r="A506" s="124">
        <v>40164</v>
      </c>
      <c r="B506" s="125">
        <v>48.83</v>
      </c>
      <c r="C506" s="52"/>
      <c r="D506" s="52"/>
      <c r="E506" s="52"/>
      <c r="F506" s="52"/>
      <c r="G506" s="52"/>
      <c r="H506" s="52"/>
    </row>
    <row r="507" spans="1:8" ht="15.75">
      <c r="A507" s="124">
        <v>40165</v>
      </c>
      <c r="B507" s="125">
        <v>48.77</v>
      </c>
      <c r="C507" s="52"/>
      <c r="D507" s="52"/>
      <c r="E507" s="52"/>
      <c r="F507" s="52"/>
      <c r="G507" s="52"/>
      <c r="H507" s="52"/>
    </row>
    <row r="508" spans="1:8" ht="15.75">
      <c r="A508" s="124">
        <v>40168</v>
      </c>
      <c r="B508" s="125">
        <v>48.4</v>
      </c>
      <c r="C508" s="52"/>
      <c r="D508" s="52"/>
      <c r="E508" s="52"/>
      <c r="F508" s="52"/>
      <c r="G508" s="52"/>
      <c r="H508" s="52"/>
    </row>
    <row r="509" spans="1:8" ht="15.75">
      <c r="A509" s="124">
        <v>40169</v>
      </c>
      <c r="B509" s="125">
        <v>48.68</v>
      </c>
      <c r="C509" s="52"/>
      <c r="D509" s="52"/>
      <c r="E509" s="52"/>
      <c r="F509" s="52"/>
      <c r="G509" s="52"/>
      <c r="H509" s="52"/>
    </row>
    <row r="510" spans="1:8" ht="15.75">
      <c r="A510" s="124">
        <v>40170</v>
      </c>
      <c r="B510" s="125">
        <v>48.55</v>
      </c>
      <c r="C510" s="52"/>
      <c r="D510" s="52"/>
      <c r="E510" s="52"/>
      <c r="F510" s="52"/>
      <c r="G510" s="52"/>
      <c r="H510" s="52"/>
    </row>
    <row r="511" spans="1:8" ht="15.75">
      <c r="A511" s="124">
        <v>40175</v>
      </c>
      <c r="B511" s="125">
        <v>48.4</v>
      </c>
      <c r="C511" s="52"/>
      <c r="D511" s="52"/>
      <c r="E511" s="52"/>
      <c r="F511" s="52"/>
      <c r="G511" s="52"/>
      <c r="H511" s="52"/>
    </row>
    <row r="512" spans="1:8" ht="15.75">
      <c r="A512" s="124">
        <v>40176</v>
      </c>
      <c r="B512" s="125">
        <v>48.27</v>
      </c>
      <c r="C512" s="52"/>
      <c r="D512" s="52"/>
      <c r="E512" s="52"/>
      <c r="F512" s="52"/>
      <c r="G512" s="52"/>
      <c r="H512" s="52"/>
    </row>
    <row r="513" spans="1:8" ht="15.75">
      <c r="A513" s="124">
        <v>40177</v>
      </c>
      <c r="B513" s="125">
        <v>48.42</v>
      </c>
      <c r="C513" s="52"/>
      <c r="D513" s="52"/>
      <c r="E513" s="52"/>
      <c r="F513" s="52"/>
      <c r="G513" s="52"/>
      <c r="H513" s="52"/>
    </row>
    <row r="514" spans="1:8" ht="15.75">
      <c r="A514" s="124">
        <v>40182</v>
      </c>
      <c r="B514" s="125">
        <v>48.67</v>
      </c>
      <c r="C514" s="52"/>
      <c r="D514" s="52"/>
      <c r="E514" s="52"/>
      <c r="F514" s="52"/>
      <c r="G514" s="52"/>
      <c r="H514" s="52"/>
    </row>
    <row r="515" spans="1:8" ht="15.75">
      <c r="A515" s="124">
        <v>40183</v>
      </c>
      <c r="B515" s="125">
        <v>48.79</v>
      </c>
      <c r="C515" s="52"/>
      <c r="D515" s="52"/>
      <c r="E515" s="52"/>
      <c r="F515" s="52"/>
      <c r="G515" s="52"/>
      <c r="H515" s="52"/>
    </row>
    <row r="516" spans="1:8" ht="15.75">
      <c r="A516" s="124">
        <v>40184</v>
      </c>
      <c r="B516" s="125">
        <v>48.44</v>
      </c>
      <c r="C516" s="52"/>
      <c r="D516" s="52"/>
      <c r="E516" s="52"/>
      <c r="F516" s="52"/>
      <c r="G516" s="52"/>
      <c r="H516" s="52"/>
    </row>
    <row r="517" spans="1:8" ht="15.75">
      <c r="A517" s="124">
        <v>40185</v>
      </c>
      <c r="B517" s="125">
        <v>47.21</v>
      </c>
      <c r="C517" s="52"/>
      <c r="D517" s="52"/>
      <c r="E517" s="52"/>
      <c r="F517" s="52"/>
      <c r="G517" s="52"/>
      <c r="H517" s="52"/>
    </row>
    <row r="518" spans="1:8" ht="15.75">
      <c r="A518" s="124">
        <v>40186</v>
      </c>
      <c r="B518" s="125">
        <v>47.56</v>
      </c>
      <c r="C518" s="52"/>
      <c r="D518" s="52"/>
      <c r="E518" s="52"/>
      <c r="F518" s="52"/>
      <c r="G518" s="52"/>
      <c r="H518" s="52"/>
    </row>
    <row r="519" spans="1:8" ht="15.75">
      <c r="A519" s="124">
        <v>40189</v>
      </c>
      <c r="B519" s="125">
        <v>47.72</v>
      </c>
      <c r="C519" s="52"/>
      <c r="D519" s="52"/>
      <c r="E519" s="52"/>
      <c r="F519" s="52"/>
      <c r="G519" s="52"/>
      <c r="H519" s="52"/>
    </row>
    <row r="520" spans="1:8" ht="15.75">
      <c r="A520" s="124">
        <v>40190</v>
      </c>
      <c r="B520" s="125">
        <v>47.68</v>
      </c>
      <c r="C520" s="52"/>
      <c r="D520" s="52"/>
      <c r="E520" s="52"/>
      <c r="F520" s="52"/>
      <c r="G520" s="52"/>
      <c r="H520" s="52"/>
    </row>
    <row r="521" spans="1:8" ht="15.75">
      <c r="A521" s="124">
        <v>40191</v>
      </c>
      <c r="B521" s="125">
        <v>47.53</v>
      </c>
      <c r="C521" s="52"/>
      <c r="D521" s="52"/>
      <c r="E521" s="52"/>
      <c r="F521" s="52"/>
      <c r="G521" s="52"/>
      <c r="H521" s="52"/>
    </row>
    <row r="522" spans="1:8" ht="15.75">
      <c r="A522" s="124">
        <v>40192</v>
      </c>
      <c r="B522" s="125">
        <v>47.83</v>
      </c>
      <c r="C522" s="52"/>
      <c r="D522" s="52"/>
      <c r="E522" s="52"/>
      <c r="F522" s="52"/>
      <c r="G522" s="52"/>
      <c r="H522" s="52"/>
    </row>
    <row r="523" spans="1:8" ht="15.75">
      <c r="A523" s="124">
        <v>40193</v>
      </c>
      <c r="B523" s="125">
        <v>47.64</v>
      </c>
      <c r="C523" s="52"/>
      <c r="D523" s="52"/>
      <c r="E523" s="52"/>
      <c r="F523" s="52"/>
      <c r="G523" s="52"/>
      <c r="H523" s="52"/>
    </row>
    <row r="524" spans="1:8" ht="15.75">
      <c r="A524" s="124">
        <v>40196</v>
      </c>
      <c r="B524" s="125">
        <v>47.74</v>
      </c>
      <c r="C524" s="52"/>
      <c r="D524" s="52"/>
      <c r="E524" s="52"/>
      <c r="F524" s="52"/>
      <c r="G524" s="52"/>
      <c r="H524" s="52"/>
    </row>
    <row r="525" spans="1:8" ht="15.75">
      <c r="A525" s="124">
        <v>40197</v>
      </c>
      <c r="B525" s="125">
        <v>48.01</v>
      </c>
      <c r="C525" s="52"/>
      <c r="D525" s="52"/>
      <c r="E525" s="52"/>
      <c r="F525" s="52"/>
      <c r="G525" s="52"/>
      <c r="H525" s="52"/>
    </row>
    <row r="526" spans="1:8" ht="15.75">
      <c r="A526" s="124">
        <v>40198</v>
      </c>
      <c r="B526" s="125">
        <v>47.92</v>
      </c>
      <c r="C526" s="52"/>
      <c r="D526" s="52"/>
      <c r="E526" s="52"/>
      <c r="F526" s="52"/>
      <c r="G526" s="52"/>
      <c r="H526" s="52"/>
    </row>
    <row r="527" spans="1:8" ht="15.75">
      <c r="A527" s="124">
        <v>40199</v>
      </c>
      <c r="B527" s="125">
        <v>47.81</v>
      </c>
      <c r="C527" s="52"/>
      <c r="D527" s="52"/>
      <c r="E527" s="52"/>
      <c r="F527" s="52"/>
      <c r="G527" s="52"/>
      <c r="H527" s="52"/>
    </row>
    <row r="528" spans="1:8" ht="15.75">
      <c r="A528" s="124">
        <v>40200</v>
      </c>
      <c r="B528" s="125">
        <v>48.22</v>
      </c>
      <c r="C528" s="52"/>
      <c r="D528" s="52"/>
      <c r="E528" s="52"/>
      <c r="F528" s="52"/>
      <c r="G528" s="52"/>
      <c r="H528" s="52"/>
    </row>
    <row r="529" spans="1:8" ht="15.75">
      <c r="A529" s="124">
        <v>40203</v>
      </c>
      <c r="B529" s="125">
        <v>48.47</v>
      </c>
      <c r="C529" s="52"/>
      <c r="D529" s="52"/>
      <c r="E529" s="52"/>
      <c r="F529" s="52"/>
      <c r="G529" s="52"/>
      <c r="H529" s="52"/>
    </row>
    <row r="530" spans="1:8" ht="15.75">
      <c r="A530" s="124">
        <v>40204</v>
      </c>
      <c r="B530" s="125">
        <v>47.97</v>
      </c>
      <c r="C530" s="52"/>
      <c r="D530" s="52"/>
      <c r="E530" s="52"/>
      <c r="F530" s="52"/>
      <c r="G530" s="52"/>
      <c r="H530" s="52"/>
    </row>
    <row r="531" spans="1:8" ht="15.75">
      <c r="A531" s="124">
        <v>40205</v>
      </c>
      <c r="B531" s="125">
        <v>48.1</v>
      </c>
      <c r="C531" s="52"/>
      <c r="D531" s="52"/>
      <c r="E531" s="52"/>
      <c r="F531" s="52"/>
      <c r="G531" s="52"/>
      <c r="H531" s="52"/>
    </row>
    <row r="532" spans="1:8" ht="15.75">
      <c r="A532" s="124">
        <v>40206</v>
      </c>
      <c r="B532" s="125">
        <v>48.18</v>
      </c>
      <c r="C532" s="52"/>
      <c r="D532" s="52"/>
      <c r="E532" s="52"/>
      <c r="F532" s="52"/>
      <c r="G532" s="52"/>
      <c r="H532" s="52"/>
    </row>
    <row r="533" spans="1:8" ht="15.75">
      <c r="A533" s="124">
        <v>40207</v>
      </c>
      <c r="B533" s="125">
        <v>48.3</v>
      </c>
      <c r="C533" s="52"/>
      <c r="D533" s="52"/>
      <c r="E533" s="52"/>
      <c r="F533" s="52"/>
      <c r="G533" s="52"/>
      <c r="H533" s="52"/>
    </row>
    <row r="534" spans="1:8" ht="15.75">
      <c r="A534" s="124">
        <v>40210</v>
      </c>
      <c r="B534" s="125">
        <v>48</v>
      </c>
      <c r="C534" s="52"/>
      <c r="D534" s="52"/>
      <c r="E534" s="52"/>
      <c r="F534" s="52"/>
      <c r="G534" s="52"/>
      <c r="H534" s="52"/>
    </row>
    <row r="535" spans="1:8" ht="15.75">
      <c r="A535" s="124">
        <v>40211</v>
      </c>
      <c r="B535" s="125">
        <v>48.05</v>
      </c>
      <c r="C535" s="52"/>
      <c r="D535" s="52"/>
      <c r="E535" s="52"/>
      <c r="F535" s="52"/>
      <c r="G535" s="52"/>
      <c r="H535" s="52"/>
    </row>
    <row r="536" spans="1:8" ht="15.75">
      <c r="A536" s="124">
        <v>40212</v>
      </c>
      <c r="B536" s="125">
        <v>47.95</v>
      </c>
      <c r="C536" s="52"/>
      <c r="D536" s="52"/>
      <c r="E536" s="52"/>
      <c r="F536" s="52"/>
      <c r="G536" s="52"/>
      <c r="H536" s="52"/>
    </row>
    <row r="537" spans="1:8" ht="15.75">
      <c r="A537" s="124">
        <v>40213</v>
      </c>
      <c r="B537" s="125">
        <v>47.91</v>
      </c>
      <c r="C537" s="52"/>
      <c r="D537" s="52"/>
      <c r="E537" s="52"/>
      <c r="F537" s="52"/>
      <c r="G537" s="52"/>
      <c r="H537" s="52"/>
    </row>
    <row r="538" spans="1:8" ht="15.75">
      <c r="A538" s="124">
        <v>40214</v>
      </c>
      <c r="B538" s="125">
        <v>47.96</v>
      </c>
      <c r="C538" s="52"/>
      <c r="D538" s="52"/>
      <c r="E538" s="52"/>
      <c r="F538" s="52"/>
      <c r="G538" s="52"/>
      <c r="H538" s="52"/>
    </row>
    <row r="539" spans="1:8" ht="15.75">
      <c r="A539" s="124">
        <v>40217</v>
      </c>
      <c r="B539" s="125">
        <v>47.82</v>
      </c>
      <c r="C539" s="52"/>
      <c r="D539" s="52"/>
      <c r="E539" s="52"/>
      <c r="F539" s="52"/>
      <c r="G539" s="52"/>
      <c r="H539" s="52"/>
    </row>
    <row r="540" spans="1:8" ht="15.75">
      <c r="A540" s="124">
        <v>40218</v>
      </c>
      <c r="B540" s="125">
        <v>47.88</v>
      </c>
      <c r="C540" s="52"/>
      <c r="D540" s="52"/>
      <c r="E540" s="52"/>
      <c r="F540" s="52"/>
      <c r="G540" s="52"/>
      <c r="H540" s="52"/>
    </row>
    <row r="541" spans="1:8" ht="15.75">
      <c r="A541" s="124">
        <v>40219</v>
      </c>
      <c r="B541" s="125">
        <v>47.73</v>
      </c>
      <c r="C541" s="52"/>
      <c r="D541" s="52"/>
      <c r="E541" s="52"/>
      <c r="F541" s="52"/>
      <c r="G541" s="52"/>
      <c r="H541" s="52"/>
    </row>
    <row r="542" spans="1:8" ht="15.75">
      <c r="A542" s="124">
        <v>40220</v>
      </c>
      <c r="B542" s="125">
        <v>47.78</v>
      </c>
      <c r="C542" s="52"/>
      <c r="D542" s="52"/>
      <c r="E542" s="52"/>
      <c r="F542" s="52"/>
      <c r="G542" s="52"/>
      <c r="H542" s="52"/>
    </row>
    <row r="543" spans="1:8" ht="15.75">
      <c r="A543" s="124">
        <v>40221</v>
      </c>
      <c r="B543" s="125">
        <v>47.78</v>
      </c>
      <c r="C543" s="52"/>
      <c r="D543" s="52"/>
      <c r="E543" s="52"/>
      <c r="F543" s="52"/>
      <c r="G543" s="52"/>
      <c r="H543" s="52"/>
    </row>
    <row r="544" spans="1:8" ht="15.75">
      <c r="A544" s="124">
        <v>40224</v>
      </c>
      <c r="B544" s="125">
        <v>47.86</v>
      </c>
      <c r="C544" s="52"/>
      <c r="D544" s="52"/>
      <c r="E544" s="52"/>
      <c r="F544" s="52"/>
      <c r="G544" s="52"/>
      <c r="H544" s="52"/>
    </row>
    <row r="545" spans="1:8" ht="15.75">
      <c r="A545" s="124">
        <v>40225</v>
      </c>
      <c r="B545" s="125">
        <v>47.76</v>
      </c>
      <c r="C545" s="52"/>
      <c r="D545" s="52"/>
      <c r="E545" s="52"/>
      <c r="F545" s="52"/>
      <c r="G545" s="52"/>
      <c r="H545" s="52"/>
    </row>
    <row r="546" spans="1:8" ht="15.75">
      <c r="A546" s="124">
        <v>40226</v>
      </c>
      <c r="B546" s="125">
        <v>47.94</v>
      </c>
      <c r="C546" s="52"/>
      <c r="D546" s="52"/>
      <c r="E546" s="52"/>
      <c r="F546" s="52"/>
      <c r="G546" s="52"/>
      <c r="H546" s="52"/>
    </row>
    <row r="547" spans="1:8" ht="15.75">
      <c r="A547" s="124">
        <v>40227</v>
      </c>
      <c r="B547" s="125">
        <v>47.5</v>
      </c>
      <c r="C547" s="52"/>
      <c r="D547" s="52"/>
      <c r="E547" s="52"/>
      <c r="F547" s="52"/>
      <c r="G547" s="52"/>
      <c r="H547" s="52"/>
    </row>
    <row r="548" spans="1:8" ht="15.75">
      <c r="A548" s="124">
        <v>40228</v>
      </c>
      <c r="B548" s="125">
        <v>47.67</v>
      </c>
      <c r="C548" s="52"/>
      <c r="D548" s="52"/>
      <c r="E548" s="52"/>
      <c r="F548" s="52"/>
      <c r="G548" s="52"/>
      <c r="H548" s="52"/>
    </row>
    <row r="549" spans="1:8" ht="15.75">
      <c r="A549" s="124">
        <v>40231</v>
      </c>
      <c r="B549" s="125">
        <v>47.59</v>
      </c>
      <c r="C549" s="52"/>
      <c r="D549" s="52"/>
      <c r="E549" s="52"/>
      <c r="F549" s="52"/>
      <c r="G549" s="52"/>
      <c r="H549" s="52"/>
    </row>
    <row r="550" spans="1:8" ht="15.75">
      <c r="A550" s="124">
        <v>40232</v>
      </c>
      <c r="B550" s="125">
        <v>47.38</v>
      </c>
      <c r="C550" s="52"/>
      <c r="D550" s="52"/>
      <c r="E550" s="52"/>
      <c r="F550" s="52"/>
      <c r="G550" s="52"/>
      <c r="H550" s="52"/>
    </row>
    <row r="551" spans="1:8" ht="15.75">
      <c r="A551" s="124">
        <v>40233</v>
      </c>
      <c r="B551" s="125">
        <v>47.33</v>
      </c>
      <c r="C551" s="52"/>
      <c r="D551" s="52"/>
      <c r="E551" s="52"/>
      <c r="F551" s="52"/>
      <c r="G551" s="52"/>
      <c r="H551" s="52"/>
    </row>
    <row r="552" spans="1:8" ht="15.75">
      <c r="A552" s="124">
        <v>40234</v>
      </c>
      <c r="B552" s="125">
        <v>47.33</v>
      </c>
      <c r="C552" s="52"/>
      <c r="D552" s="52"/>
      <c r="E552" s="52"/>
      <c r="F552" s="52"/>
      <c r="G552" s="52"/>
      <c r="H552" s="52"/>
    </row>
    <row r="553" spans="1:8" ht="15.75">
      <c r="A553" s="124">
        <v>40235</v>
      </c>
      <c r="B553" s="125">
        <v>47.34</v>
      </c>
      <c r="C553" s="52"/>
      <c r="D553" s="52"/>
      <c r="E553" s="52"/>
      <c r="F553" s="52"/>
      <c r="G553" s="52"/>
      <c r="H553" s="52"/>
    </row>
    <row r="554" spans="1:8" ht="15.75">
      <c r="A554" s="124">
        <v>40238</v>
      </c>
      <c r="B554" s="125">
        <v>47.53</v>
      </c>
      <c r="C554" s="52"/>
      <c r="D554" s="52"/>
      <c r="E554" s="52"/>
      <c r="F554" s="52"/>
      <c r="G554" s="52"/>
      <c r="H554" s="52"/>
    </row>
    <row r="555" spans="1:8" ht="15.75">
      <c r="A555" s="124">
        <v>40239</v>
      </c>
      <c r="B555" s="125">
        <v>47.2</v>
      </c>
      <c r="C555" s="52"/>
      <c r="D555" s="52"/>
      <c r="E555" s="52"/>
      <c r="F555" s="52"/>
      <c r="G555" s="52"/>
      <c r="H555" s="52"/>
    </row>
    <row r="556" spans="1:8" ht="15.75">
      <c r="A556" s="124">
        <v>40240</v>
      </c>
      <c r="B556" s="125">
        <v>47.3</v>
      </c>
      <c r="C556" s="52"/>
      <c r="D556" s="52"/>
      <c r="E556" s="52"/>
      <c r="F556" s="52"/>
      <c r="G556" s="52"/>
      <c r="H556" s="52"/>
    </row>
    <row r="557" spans="1:8" ht="15.75">
      <c r="A557" s="124">
        <v>40241</v>
      </c>
      <c r="B557" s="125">
        <v>47.01</v>
      </c>
      <c r="C557" s="52"/>
      <c r="D557" s="52"/>
      <c r="E557" s="52"/>
      <c r="F557" s="52"/>
      <c r="G557" s="52"/>
      <c r="H557" s="52"/>
    </row>
    <row r="558" spans="1:8" ht="15.75">
      <c r="A558" s="124">
        <v>40242</v>
      </c>
      <c r="B558" s="125">
        <v>47.31</v>
      </c>
      <c r="C558" s="52"/>
      <c r="D558" s="52"/>
      <c r="E558" s="52"/>
      <c r="F558" s="52"/>
      <c r="G558" s="52"/>
      <c r="H558" s="52"/>
    </row>
    <row r="559" spans="1:8" ht="15.75">
      <c r="A559" s="124">
        <v>40245</v>
      </c>
      <c r="B559" s="125">
        <v>47.07</v>
      </c>
      <c r="C559" s="52"/>
      <c r="D559" s="52"/>
      <c r="E559" s="52"/>
      <c r="F559" s="52"/>
      <c r="G559" s="52"/>
      <c r="H559" s="52"/>
    </row>
    <row r="560" spans="1:8" ht="15.75">
      <c r="A560" s="124">
        <v>40246</v>
      </c>
      <c r="B560" s="125">
        <v>47.03</v>
      </c>
      <c r="C560" s="52"/>
      <c r="D560" s="52"/>
      <c r="E560" s="52"/>
      <c r="F560" s="52"/>
      <c r="G560" s="52"/>
      <c r="H560" s="52"/>
    </row>
    <row r="561" spans="1:8" ht="15.75">
      <c r="A561" s="124">
        <v>40247</v>
      </c>
      <c r="B561" s="125">
        <v>47.25</v>
      </c>
      <c r="C561" s="52"/>
      <c r="D561" s="52"/>
      <c r="E561" s="52"/>
      <c r="F561" s="52"/>
      <c r="G561" s="52"/>
      <c r="H561" s="52"/>
    </row>
    <row r="562" spans="1:8" ht="15.75">
      <c r="A562" s="124">
        <v>40248</v>
      </c>
      <c r="B562" s="125">
        <v>47.21</v>
      </c>
      <c r="C562" s="52"/>
      <c r="D562" s="52"/>
      <c r="E562" s="52"/>
      <c r="F562" s="52"/>
      <c r="G562" s="52"/>
      <c r="H562" s="52"/>
    </row>
    <row r="563" spans="1:8" ht="15.75">
      <c r="A563" s="124">
        <v>40249</v>
      </c>
      <c r="B563" s="125">
        <v>47.03</v>
      </c>
      <c r="C563" s="52"/>
      <c r="D563" s="52"/>
      <c r="E563" s="52"/>
      <c r="F563" s="52"/>
      <c r="G563" s="52"/>
      <c r="H563" s="52"/>
    </row>
    <row r="564" spans="1:8" ht="15.75">
      <c r="A564" s="124">
        <v>40252</v>
      </c>
      <c r="B564" s="125">
        <v>46.74</v>
      </c>
      <c r="C564" s="52"/>
      <c r="D564" s="52"/>
      <c r="E564" s="52"/>
      <c r="F564" s="52"/>
      <c r="G564" s="52"/>
      <c r="H564" s="52"/>
    </row>
    <row r="565" spans="1:8" ht="15.75">
      <c r="A565" s="124">
        <v>40253</v>
      </c>
      <c r="B565" s="125">
        <v>46.98</v>
      </c>
      <c r="C565" s="52"/>
      <c r="D565" s="52"/>
      <c r="E565" s="52"/>
      <c r="F565" s="52"/>
      <c r="G565" s="52"/>
      <c r="H565" s="52"/>
    </row>
    <row r="566" spans="1:8" ht="15.75">
      <c r="A566" s="124">
        <v>40254</v>
      </c>
      <c r="B566" s="125">
        <v>46.8</v>
      </c>
      <c r="C566" s="52"/>
      <c r="D566" s="52"/>
      <c r="E566" s="52"/>
      <c r="F566" s="52"/>
      <c r="G566" s="52"/>
      <c r="H566" s="52"/>
    </row>
    <row r="567" spans="1:8" ht="15.75">
      <c r="A567" s="124">
        <v>40255</v>
      </c>
      <c r="B567" s="125">
        <v>46.81</v>
      </c>
      <c r="C567" s="52"/>
      <c r="D567" s="52"/>
      <c r="E567" s="52"/>
      <c r="F567" s="52"/>
      <c r="G567" s="52"/>
      <c r="H567" s="52"/>
    </row>
    <row r="568" spans="1:8" ht="15.75">
      <c r="A568" s="124">
        <v>40256</v>
      </c>
      <c r="B568" s="125">
        <v>46.87</v>
      </c>
      <c r="C568" s="52"/>
      <c r="D568" s="52"/>
      <c r="E568" s="52"/>
      <c r="F568" s="52"/>
      <c r="G568" s="52"/>
      <c r="H568" s="52"/>
    </row>
    <row r="569" spans="1:8" ht="15.75">
      <c r="A569" s="124">
        <v>40259</v>
      </c>
      <c r="B569" s="125">
        <v>46.66</v>
      </c>
      <c r="C569" s="52"/>
      <c r="D569" s="52"/>
      <c r="E569" s="52"/>
      <c r="F569" s="52"/>
      <c r="G569" s="52"/>
      <c r="H569" s="52"/>
    </row>
    <row r="570" spans="1:8" ht="15.75">
      <c r="A570" s="124">
        <v>40260</v>
      </c>
      <c r="B570" s="125">
        <v>46.74</v>
      </c>
      <c r="C570" s="52"/>
      <c r="D570" s="52"/>
      <c r="E570" s="52"/>
      <c r="F570" s="52"/>
      <c r="G570" s="52"/>
      <c r="H570" s="52"/>
    </row>
    <row r="571" spans="1:8" ht="15.75">
      <c r="A571" s="124">
        <v>40261</v>
      </c>
      <c r="B571" s="125">
        <v>46.83</v>
      </c>
      <c r="C571" s="52"/>
      <c r="D571" s="52"/>
      <c r="E571" s="52"/>
      <c r="F571" s="52"/>
      <c r="G571" s="52"/>
      <c r="H571" s="52"/>
    </row>
    <row r="572" spans="1:8" ht="15.75">
      <c r="A572" s="124">
        <v>40262</v>
      </c>
      <c r="B572" s="125">
        <v>46.82</v>
      </c>
      <c r="C572" s="52"/>
      <c r="D572" s="52"/>
      <c r="E572" s="52"/>
      <c r="F572" s="52"/>
      <c r="G572" s="52"/>
      <c r="H572" s="52"/>
    </row>
    <row r="573" spans="1:8" ht="15.75">
      <c r="A573" s="124">
        <v>40263</v>
      </c>
      <c r="B573" s="125">
        <v>46.92</v>
      </c>
      <c r="C573" s="52"/>
      <c r="D573" s="52"/>
      <c r="E573" s="52"/>
      <c r="F573" s="52"/>
      <c r="G573" s="52"/>
      <c r="H573" s="52"/>
    </row>
    <row r="574" spans="1:8" ht="15.75">
      <c r="A574" s="124">
        <v>40266</v>
      </c>
      <c r="B574" s="125">
        <v>46.68</v>
      </c>
      <c r="C574" s="52"/>
      <c r="D574" s="52"/>
      <c r="E574" s="52"/>
      <c r="F574" s="52"/>
      <c r="G574" s="52"/>
      <c r="H574" s="52"/>
    </row>
    <row r="575" spans="1:8" ht="15.75">
      <c r="A575" s="124">
        <v>40267</v>
      </c>
      <c r="B575" s="125">
        <v>47</v>
      </c>
      <c r="C575" s="52"/>
      <c r="D575" s="52"/>
      <c r="E575" s="52"/>
      <c r="F575" s="52"/>
      <c r="G575" s="52"/>
      <c r="H575" s="52"/>
    </row>
    <row r="576" spans="1:8" ht="15.75">
      <c r="A576" s="124">
        <v>40268</v>
      </c>
      <c r="B576" s="125">
        <v>46.79</v>
      </c>
      <c r="C576" s="52"/>
      <c r="D576" s="52"/>
      <c r="E576" s="52"/>
      <c r="F576" s="52"/>
      <c r="G576" s="52"/>
      <c r="H576" s="52"/>
    </row>
    <row r="577" spans="1:8" ht="15.75">
      <c r="A577" s="124">
        <v>40269</v>
      </c>
      <c r="B577" s="125">
        <v>46.68</v>
      </c>
      <c r="C577" s="52"/>
      <c r="D577" s="52"/>
      <c r="E577" s="52"/>
      <c r="F577" s="52"/>
      <c r="G577" s="52"/>
      <c r="H577" s="52"/>
    </row>
    <row r="578" spans="1:8" ht="15.75">
      <c r="A578" s="124">
        <v>40274</v>
      </c>
      <c r="B578" s="125">
        <v>46.8</v>
      </c>
      <c r="C578" s="52"/>
      <c r="D578" s="52"/>
      <c r="E578" s="52"/>
      <c r="F578" s="52"/>
      <c r="G578" s="52"/>
      <c r="H578" s="52"/>
    </row>
    <row r="579" spans="1:8" ht="15.75">
      <c r="A579" s="124">
        <v>40275</v>
      </c>
      <c r="B579" s="125">
        <v>46.77</v>
      </c>
      <c r="C579" s="52"/>
      <c r="D579" s="52"/>
      <c r="E579" s="52"/>
      <c r="F579" s="52"/>
      <c r="G579" s="52"/>
      <c r="H579" s="52"/>
    </row>
    <row r="580" spans="1:8" ht="15.75">
      <c r="A580" s="124">
        <v>40276</v>
      </c>
      <c r="B580" s="125">
        <v>47.14</v>
      </c>
      <c r="C580" s="52"/>
      <c r="D580" s="52"/>
      <c r="E580" s="52"/>
      <c r="F580" s="52"/>
      <c r="G580" s="52"/>
      <c r="H580" s="52"/>
    </row>
    <row r="581" spans="1:8" ht="15.75">
      <c r="A581" s="124">
        <v>40277</v>
      </c>
      <c r="B581" s="125">
        <v>47.44</v>
      </c>
      <c r="C581" s="52"/>
      <c r="D581" s="52"/>
      <c r="E581" s="52"/>
      <c r="F581" s="52"/>
      <c r="G581" s="52"/>
      <c r="H581" s="52"/>
    </row>
    <row r="582" spans="1:8" ht="15.75">
      <c r="A582" s="124">
        <v>40280</v>
      </c>
      <c r="B582" s="125">
        <v>47.18</v>
      </c>
      <c r="C582" s="52"/>
      <c r="D582" s="52"/>
      <c r="E582" s="52"/>
      <c r="F582" s="52"/>
      <c r="G582" s="52"/>
      <c r="H582" s="52"/>
    </row>
    <row r="583" spans="1:8" ht="15.75">
      <c r="A583" s="124">
        <v>40281</v>
      </c>
      <c r="B583" s="125">
        <v>47.18</v>
      </c>
      <c r="C583" s="52"/>
      <c r="D583" s="52"/>
      <c r="E583" s="52"/>
      <c r="F583" s="52"/>
      <c r="G583" s="52"/>
      <c r="H583" s="52"/>
    </row>
    <row r="584" spans="1:8" ht="15.75">
      <c r="A584" s="124">
        <v>40282</v>
      </c>
      <c r="B584" s="125">
        <v>47.03</v>
      </c>
      <c r="C584" s="52"/>
      <c r="D584" s="52"/>
      <c r="E584" s="52"/>
      <c r="F584" s="52"/>
      <c r="G584" s="52"/>
      <c r="H584" s="52"/>
    </row>
    <row r="585" spans="1:8" ht="15.75">
      <c r="A585" s="124">
        <v>40283</v>
      </c>
      <c r="B585" s="125">
        <v>47.23</v>
      </c>
      <c r="C585" s="52"/>
      <c r="D585" s="52"/>
      <c r="E585" s="52"/>
      <c r="F585" s="52"/>
      <c r="G585" s="52"/>
      <c r="H585" s="52"/>
    </row>
    <row r="586" spans="1:8" ht="15.75">
      <c r="A586" s="124">
        <v>40284</v>
      </c>
      <c r="B586" s="125">
        <v>47.03</v>
      </c>
      <c r="C586" s="52"/>
      <c r="D586" s="52"/>
      <c r="E586" s="52"/>
      <c r="F586" s="52"/>
      <c r="G586" s="52"/>
      <c r="H586" s="52"/>
    </row>
    <row r="587" spans="1:8" ht="15.75">
      <c r="A587" s="124">
        <v>40287</v>
      </c>
      <c r="B587" s="125">
        <v>46.94</v>
      </c>
      <c r="C587" s="52"/>
      <c r="D587" s="52"/>
      <c r="E587" s="52"/>
      <c r="F587" s="52"/>
      <c r="G587" s="52"/>
      <c r="H587" s="52"/>
    </row>
    <row r="588" spans="1:8" ht="15.75">
      <c r="A588" s="124">
        <v>40288</v>
      </c>
      <c r="B588" s="125">
        <v>46.96</v>
      </c>
      <c r="C588" s="52"/>
      <c r="D588" s="52"/>
      <c r="E588" s="52"/>
      <c r="F588" s="52"/>
      <c r="G588" s="52"/>
      <c r="H588" s="52"/>
    </row>
    <row r="589" spans="1:8" ht="15.75">
      <c r="A589" s="124">
        <v>40289</v>
      </c>
      <c r="B589" s="125">
        <v>46.8</v>
      </c>
      <c r="C589" s="52"/>
      <c r="D589" s="52"/>
      <c r="E589" s="52"/>
      <c r="F589" s="52"/>
      <c r="G589" s="52"/>
      <c r="H589" s="52"/>
    </row>
    <row r="590" spans="1:8" ht="15.75">
      <c r="A590" s="124">
        <v>40290</v>
      </c>
      <c r="B590" s="125">
        <v>46.9</v>
      </c>
      <c r="C590" s="52"/>
      <c r="D590" s="52"/>
      <c r="E590" s="52"/>
      <c r="F590" s="52"/>
      <c r="G590" s="52"/>
      <c r="H590" s="52"/>
    </row>
    <row r="591" spans="1:8" ht="15.75">
      <c r="A591" s="124">
        <v>40291</v>
      </c>
      <c r="B591" s="125">
        <v>46.95</v>
      </c>
      <c r="C591" s="52"/>
      <c r="D591" s="52"/>
      <c r="E591" s="52"/>
      <c r="F591" s="52"/>
      <c r="G591" s="52"/>
      <c r="H591" s="52"/>
    </row>
    <row r="592" spans="1:8" ht="15.75">
      <c r="A592" s="124">
        <v>40294</v>
      </c>
      <c r="B592" s="125">
        <v>47.05</v>
      </c>
      <c r="C592" s="52"/>
      <c r="D592" s="52"/>
      <c r="E592" s="52"/>
      <c r="F592" s="52"/>
      <c r="G592" s="52"/>
      <c r="H592" s="52"/>
    </row>
    <row r="593" spans="1:8" ht="15.75">
      <c r="A593" s="124">
        <v>40295</v>
      </c>
      <c r="B593" s="125">
        <v>47.1</v>
      </c>
      <c r="C593" s="52"/>
      <c r="D593" s="52"/>
      <c r="E593" s="52"/>
      <c r="F593" s="52"/>
      <c r="G593" s="52"/>
      <c r="H593" s="52"/>
    </row>
    <row r="594" spans="1:8" ht="15.75">
      <c r="A594" s="124">
        <v>40296</v>
      </c>
      <c r="B594" s="125">
        <v>47.17</v>
      </c>
      <c r="C594" s="52"/>
      <c r="D594" s="52"/>
      <c r="E594" s="52"/>
      <c r="F594" s="52"/>
      <c r="G594" s="52"/>
      <c r="H594" s="52"/>
    </row>
    <row r="595" spans="1:8" ht="15.75">
      <c r="A595" s="124">
        <v>40297</v>
      </c>
      <c r="B595" s="125">
        <v>47.11</v>
      </c>
      <c r="C595" s="52"/>
      <c r="D595" s="52"/>
      <c r="E595" s="52"/>
      <c r="F595" s="52"/>
      <c r="G595" s="52"/>
      <c r="H595" s="52"/>
    </row>
    <row r="596" spans="1:8" ht="15.75">
      <c r="A596" s="124">
        <v>40298</v>
      </c>
      <c r="B596" s="125">
        <v>47.07</v>
      </c>
      <c r="C596" s="52"/>
      <c r="D596" s="52"/>
      <c r="E596" s="52"/>
      <c r="F596" s="52"/>
      <c r="G596" s="52"/>
      <c r="H596" s="52"/>
    </row>
    <row r="597" spans="1:8" ht="15.75">
      <c r="A597" s="124">
        <v>40301</v>
      </c>
      <c r="B597" s="125">
        <v>46.88</v>
      </c>
      <c r="C597" s="52"/>
      <c r="D597" s="52"/>
      <c r="E597" s="52"/>
      <c r="F597" s="52"/>
      <c r="G597" s="52"/>
      <c r="H597" s="52"/>
    </row>
    <row r="598" spans="1:8" ht="15.75">
      <c r="A598" s="124">
        <v>40302</v>
      </c>
      <c r="B598" s="125">
        <v>46.88</v>
      </c>
      <c r="C598" s="52"/>
      <c r="D598" s="52"/>
      <c r="E598" s="52"/>
      <c r="F598" s="52"/>
      <c r="G598" s="52"/>
      <c r="H598" s="52"/>
    </row>
    <row r="599" spans="1:8" ht="15.75">
      <c r="A599" s="124">
        <v>40303</v>
      </c>
      <c r="B599" s="125">
        <v>46.9</v>
      </c>
      <c r="C599" s="52"/>
      <c r="D599" s="52"/>
      <c r="E599" s="52"/>
      <c r="F599" s="52"/>
      <c r="G599" s="52"/>
      <c r="H599" s="52"/>
    </row>
    <row r="600" spans="1:8" ht="15.75">
      <c r="A600" s="124">
        <v>40304</v>
      </c>
      <c r="B600" s="125">
        <v>46.9</v>
      </c>
      <c r="C600" s="52"/>
      <c r="D600" s="52"/>
      <c r="E600" s="52"/>
      <c r="F600" s="52"/>
      <c r="G600" s="52"/>
      <c r="H600" s="52"/>
    </row>
    <row r="601" spans="1:8" ht="15.75">
      <c r="A601" s="124">
        <v>40305</v>
      </c>
      <c r="B601" s="125">
        <v>46.8</v>
      </c>
      <c r="C601" s="52"/>
      <c r="D601" s="52"/>
      <c r="E601" s="52"/>
      <c r="F601" s="52"/>
      <c r="G601" s="52"/>
      <c r="H601" s="52"/>
    </row>
    <row r="602" spans="1:8" ht="15.75">
      <c r="A602" s="124">
        <v>40308</v>
      </c>
      <c r="B602" s="125">
        <v>47.13</v>
      </c>
      <c r="C602" s="52"/>
      <c r="D602" s="52"/>
      <c r="E602" s="52"/>
      <c r="F602" s="52"/>
      <c r="G602" s="52"/>
      <c r="H602" s="52"/>
    </row>
    <row r="603" spans="1:8" ht="15.75">
      <c r="A603" s="124">
        <v>40309</v>
      </c>
      <c r="B603" s="125">
        <v>46.92</v>
      </c>
      <c r="C603" s="52"/>
      <c r="D603" s="52"/>
      <c r="E603" s="52"/>
      <c r="F603" s="52"/>
      <c r="G603" s="52"/>
      <c r="H603" s="52"/>
    </row>
    <row r="604" spans="1:8" ht="15.75">
      <c r="A604" s="124">
        <v>40310</v>
      </c>
      <c r="B604" s="125">
        <v>47.02</v>
      </c>
      <c r="C604" s="52"/>
      <c r="D604" s="52"/>
      <c r="E604" s="52"/>
      <c r="F604" s="52"/>
      <c r="G604" s="52"/>
      <c r="H604" s="52"/>
    </row>
    <row r="605" spans="1:8" ht="15.75">
      <c r="A605" s="124">
        <v>40311</v>
      </c>
      <c r="B605" s="125">
        <v>47</v>
      </c>
      <c r="C605" s="52"/>
      <c r="D605" s="52"/>
      <c r="E605" s="52"/>
      <c r="F605" s="52"/>
      <c r="G605" s="52"/>
      <c r="H605" s="52"/>
    </row>
    <row r="606" spans="1:8" ht="15.75">
      <c r="A606" s="124">
        <v>40312</v>
      </c>
      <c r="B606" s="125">
        <v>46.92</v>
      </c>
      <c r="C606" s="52"/>
      <c r="D606" s="52"/>
      <c r="E606" s="52"/>
      <c r="F606" s="52"/>
      <c r="G606" s="52"/>
      <c r="H606" s="52"/>
    </row>
    <row r="607" spans="1:8" ht="15.75">
      <c r="A607" s="124">
        <v>40315</v>
      </c>
      <c r="B607" s="125">
        <v>47.27</v>
      </c>
      <c r="C607" s="52"/>
      <c r="D607" s="52"/>
      <c r="E607" s="52"/>
      <c r="F607" s="52"/>
      <c r="G607" s="52"/>
      <c r="H607" s="52"/>
    </row>
    <row r="608" spans="1:8" ht="15.75">
      <c r="A608" s="124">
        <v>40316</v>
      </c>
      <c r="B608" s="125">
        <v>47.01</v>
      </c>
      <c r="C608" s="52"/>
      <c r="D608" s="52"/>
      <c r="E608" s="52"/>
      <c r="F608" s="52"/>
      <c r="G608" s="52"/>
      <c r="H608" s="52"/>
    </row>
    <row r="609" spans="1:8" ht="15.75">
      <c r="A609" s="124">
        <v>40317</v>
      </c>
      <c r="B609" s="125">
        <v>47.02</v>
      </c>
      <c r="C609" s="52"/>
      <c r="D609" s="52"/>
      <c r="E609" s="52"/>
      <c r="F609" s="52"/>
      <c r="G609" s="52"/>
      <c r="H609" s="52"/>
    </row>
    <row r="610" spans="1:8" ht="15.75">
      <c r="A610" s="124">
        <v>40318</v>
      </c>
      <c r="B610" s="125">
        <v>47.1</v>
      </c>
      <c r="C610" s="52"/>
      <c r="D610" s="52"/>
      <c r="E610" s="52"/>
      <c r="F610" s="52"/>
      <c r="G610" s="52"/>
      <c r="H610" s="52"/>
    </row>
    <row r="611" spans="1:8" ht="15.75">
      <c r="A611" s="124">
        <v>40319</v>
      </c>
      <c r="B611" s="125">
        <v>47.11</v>
      </c>
      <c r="C611" s="52"/>
      <c r="D611" s="52"/>
      <c r="E611" s="52"/>
      <c r="F611" s="52"/>
      <c r="G611" s="52"/>
      <c r="H611" s="52"/>
    </row>
    <row r="612" spans="1:8" ht="15.75">
      <c r="A612" s="124">
        <v>40322</v>
      </c>
      <c r="B612" s="125">
        <v>47.1</v>
      </c>
      <c r="C612" s="52"/>
      <c r="D612" s="52"/>
      <c r="E612" s="52"/>
      <c r="F612" s="52"/>
      <c r="G612" s="52"/>
      <c r="H612" s="52"/>
    </row>
    <row r="613" spans="1:8" ht="15.75">
      <c r="A613" s="124">
        <v>40323</v>
      </c>
      <c r="B613" s="125">
        <v>46.91</v>
      </c>
      <c r="C613" s="52"/>
      <c r="D613" s="52"/>
      <c r="E613" s="52"/>
      <c r="F613" s="52"/>
      <c r="G613" s="52"/>
      <c r="H613" s="52"/>
    </row>
    <row r="614" spans="1:8" ht="15.75">
      <c r="A614" s="124">
        <v>40324</v>
      </c>
      <c r="B614" s="125">
        <v>47.01</v>
      </c>
      <c r="C614" s="52"/>
      <c r="D614" s="52"/>
      <c r="E614" s="52"/>
      <c r="F614" s="52"/>
      <c r="G614" s="52"/>
      <c r="H614" s="52"/>
    </row>
    <row r="615" spans="1:8" ht="15.75">
      <c r="A615" s="124">
        <v>40325</v>
      </c>
      <c r="B615" s="125">
        <v>47.16</v>
      </c>
      <c r="C615" s="52"/>
      <c r="D615" s="52"/>
      <c r="E615" s="52"/>
      <c r="F615" s="52"/>
      <c r="G615" s="52"/>
      <c r="H615" s="52"/>
    </row>
    <row r="616" spans="1:8" ht="15.75">
      <c r="A616" s="124">
        <v>40326</v>
      </c>
      <c r="B616" s="125">
        <v>47.23</v>
      </c>
      <c r="C616" s="52"/>
      <c r="D616" s="52"/>
      <c r="E616" s="52"/>
      <c r="F616" s="52"/>
      <c r="G616" s="52"/>
      <c r="H616" s="52"/>
    </row>
    <row r="617" spans="1:8" ht="15.75">
      <c r="A617" s="124">
        <v>40329</v>
      </c>
      <c r="B617" s="125">
        <v>47.02</v>
      </c>
      <c r="C617" s="52"/>
      <c r="D617" s="52"/>
      <c r="E617" s="52"/>
      <c r="F617" s="52"/>
      <c r="G617" s="52"/>
      <c r="H617" s="52"/>
    </row>
    <row r="618" spans="1:8" ht="15.75">
      <c r="A618" s="124">
        <v>40330</v>
      </c>
      <c r="B618" s="125">
        <v>46.98</v>
      </c>
      <c r="C618" s="52"/>
      <c r="D618" s="52"/>
      <c r="E618" s="52"/>
      <c r="F618" s="52"/>
      <c r="G618" s="52"/>
      <c r="H618" s="52"/>
    </row>
    <row r="619" spans="1:8" ht="15.75">
      <c r="A619" s="124">
        <v>40331</v>
      </c>
      <c r="B619" s="125">
        <v>47.18</v>
      </c>
      <c r="C619" s="52"/>
      <c r="D619" s="52"/>
      <c r="E619" s="52"/>
      <c r="F619" s="52"/>
      <c r="G619" s="52"/>
      <c r="H619" s="52"/>
    </row>
    <row r="620" spans="1:8" ht="15.75">
      <c r="A620" s="124">
        <v>40332</v>
      </c>
      <c r="B620" s="125">
        <v>47.03</v>
      </c>
      <c r="C620" s="52"/>
      <c r="D620" s="52"/>
      <c r="E620" s="52"/>
      <c r="F620" s="52"/>
      <c r="G620" s="52"/>
      <c r="H620" s="52"/>
    </row>
    <row r="621" spans="1:8" ht="15.75">
      <c r="A621" s="124">
        <v>40333</v>
      </c>
      <c r="B621" s="125">
        <v>47.05</v>
      </c>
      <c r="C621" s="52"/>
      <c r="D621" s="52"/>
      <c r="E621" s="52"/>
      <c r="F621" s="52"/>
      <c r="G621" s="52"/>
      <c r="H621" s="52"/>
    </row>
    <row r="622" spans="1:8" ht="15.75">
      <c r="A622" s="124">
        <v>40336</v>
      </c>
      <c r="B622" s="125">
        <v>47.04</v>
      </c>
      <c r="C622" s="52"/>
      <c r="D622" s="52"/>
      <c r="E622" s="52"/>
      <c r="F622" s="52"/>
      <c r="G622" s="52"/>
      <c r="H622" s="52"/>
    </row>
    <row r="623" spans="1:8" ht="15.75">
      <c r="A623" s="124">
        <v>40337</v>
      </c>
      <c r="B623" s="125">
        <v>47.27</v>
      </c>
      <c r="C623" s="52"/>
      <c r="D623" s="52"/>
      <c r="E623" s="52"/>
      <c r="F623" s="52"/>
      <c r="G623" s="52"/>
      <c r="H623" s="52"/>
    </row>
    <row r="624" spans="1:8" ht="15.75">
      <c r="A624" s="124">
        <v>40338</v>
      </c>
      <c r="B624" s="125">
        <v>47.2</v>
      </c>
      <c r="C624" s="52"/>
      <c r="D624" s="52"/>
      <c r="E624" s="52"/>
      <c r="F624" s="52"/>
      <c r="G624" s="52"/>
      <c r="H624" s="52"/>
    </row>
    <row r="625" spans="1:8" ht="15.75">
      <c r="A625" s="124">
        <v>40339</v>
      </c>
      <c r="B625" s="125">
        <v>47.3</v>
      </c>
      <c r="C625" s="52"/>
      <c r="D625" s="52"/>
      <c r="E625" s="52"/>
      <c r="F625" s="52"/>
      <c r="G625" s="52"/>
      <c r="H625" s="52"/>
    </row>
    <row r="626" spans="1:8" ht="15.75">
      <c r="A626" s="124">
        <v>40340</v>
      </c>
      <c r="B626" s="125">
        <v>47.31</v>
      </c>
      <c r="C626" s="52"/>
      <c r="D626" s="52"/>
      <c r="E626" s="52"/>
      <c r="F626" s="52"/>
      <c r="G626" s="52"/>
      <c r="H626" s="52"/>
    </row>
    <row r="627" spans="1:8" ht="15.75">
      <c r="A627" s="124">
        <v>40343</v>
      </c>
      <c r="B627" s="125">
        <v>47.32</v>
      </c>
      <c r="C627" s="52"/>
      <c r="D627" s="52"/>
      <c r="E627" s="52"/>
      <c r="F627" s="52"/>
      <c r="G627" s="52"/>
      <c r="H627" s="52"/>
    </row>
    <row r="628" spans="1:8" ht="15.75">
      <c r="A628" s="124">
        <v>40344</v>
      </c>
      <c r="B628" s="125">
        <v>47.35</v>
      </c>
      <c r="C628" s="52"/>
      <c r="D628" s="52"/>
      <c r="E628" s="52"/>
      <c r="F628" s="52"/>
      <c r="G628" s="52"/>
      <c r="H628" s="52"/>
    </row>
    <row r="629" spans="1:8" ht="15.75">
      <c r="A629" s="124">
        <v>40345</v>
      </c>
      <c r="B629" s="125">
        <v>47.2</v>
      </c>
      <c r="C629" s="52"/>
      <c r="D629" s="52"/>
      <c r="E629" s="52"/>
      <c r="F629" s="52"/>
      <c r="G629" s="52"/>
      <c r="H629" s="52"/>
    </row>
    <row r="630" spans="1:8" ht="15.75">
      <c r="A630" s="124">
        <v>40346</v>
      </c>
      <c r="B630" s="125">
        <v>47.15</v>
      </c>
      <c r="C630" s="52"/>
      <c r="D630" s="52"/>
      <c r="E630" s="52"/>
      <c r="F630" s="52"/>
      <c r="G630" s="52"/>
      <c r="H630" s="52"/>
    </row>
    <row r="631" spans="1:8" ht="15.75">
      <c r="A631" s="124">
        <v>40347</v>
      </c>
      <c r="B631" s="125">
        <v>47.27</v>
      </c>
      <c r="C631" s="52"/>
      <c r="D631" s="52"/>
      <c r="E631" s="52"/>
      <c r="F631" s="52"/>
      <c r="G631" s="52"/>
      <c r="H631" s="52"/>
    </row>
    <row r="632" spans="1:8" ht="15.75">
      <c r="A632" s="124">
        <v>40350</v>
      </c>
      <c r="B632" s="125">
        <v>47.46</v>
      </c>
      <c r="C632" s="52"/>
      <c r="D632" s="52"/>
      <c r="E632" s="52"/>
      <c r="F632" s="52"/>
      <c r="G632" s="52"/>
      <c r="H632" s="52"/>
    </row>
    <row r="633" spans="1:8" ht="15.75">
      <c r="A633" s="124">
        <v>40351</v>
      </c>
      <c r="B633" s="125">
        <v>47.74</v>
      </c>
      <c r="C633" s="52"/>
      <c r="D633" s="52"/>
      <c r="E633" s="52"/>
      <c r="F633" s="52"/>
      <c r="G633" s="52"/>
      <c r="H633" s="52"/>
    </row>
    <row r="634" spans="1:8" ht="15.75">
      <c r="A634" s="124">
        <v>40352</v>
      </c>
      <c r="B634" s="125">
        <v>47.66</v>
      </c>
      <c r="C634" s="52"/>
      <c r="D634" s="52"/>
      <c r="E634" s="52"/>
      <c r="F634" s="52"/>
      <c r="G634" s="52"/>
      <c r="H634" s="52"/>
    </row>
    <row r="635" spans="1:8" ht="15.75">
      <c r="A635" s="124">
        <v>40353</v>
      </c>
      <c r="B635" s="125">
        <v>47.46</v>
      </c>
      <c r="C635" s="52"/>
      <c r="D635" s="52"/>
      <c r="E635" s="52"/>
      <c r="F635" s="52"/>
      <c r="G635" s="52"/>
      <c r="H635" s="52"/>
    </row>
    <row r="636" spans="1:8" ht="15.75">
      <c r="A636" s="124">
        <v>40354</v>
      </c>
      <c r="B636" s="125">
        <v>47.61</v>
      </c>
      <c r="C636" s="52"/>
      <c r="D636" s="52"/>
      <c r="E636" s="52"/>
      <c r="F636" s="52"/>
      <c r="G636" s="52"/>
      <c r="H636" s="52"/>
    </row>
    <row r="637" spans="1:8" ht="15.75">
      <c r="A637" s="124">
        <v>40357</v>
      </c>
      <c r="B637" s="125">
        <v>47.82</v>
      </c>
      <c r="C637" s="52"/>
      <c r="D637" s="52"/>
      <c r="E637" s="52"/>
      <c r="F637" s="52"/>
      <c r="G637" s="52"/>
      <c r="H637" s="52"/>
    </row>
    <row r="638" spans="1:8" ht="15.75">
      <c r="A638" s="124">
        <v>40358</v>
      </c>
      <c r="B638" s="125">
        <v>47.3</v>
      </c>
      <c r="C638" s="52"/>
      <c r="D638" s="52"/>
      <c r="E638" s="52"/>
      <c r="F638" s="52"/>
      <c r="G638" s="52"/>
      <c r="H638" s="52"/>
    </row>
    <row r="639" spans="1:8" ht="15.75">
      <c r="A639" s="124">
        <v>40359</v>
      </c>
      <c r="B639" s="125">
        <v>47.43</v>
      </c>
      <c r="C639" s="52"/>
      <c r="D639" s="52"/>
      <c r="E639" s="52"/>
      <c r="F639" s="52"/>
      <c r="G639" s="52"/>
      <c r="H639" s="52"/>
    </row>
    <row r="640" spans="1:8" ht="15.75">
      <c r="A640" s="124">
        <v>40360</v>
      </c>
      <c r="B640" s="125">
        <v>47.7</v>
      </c>
      <c r="C640" s="52"/>
      <c r="D640" s="52"/>
      <c r="E640" s="52"/>
      <c r="F640" s="52"/>
      <c r="G640" s="52"/>
      <c r="H640" s="52"/>
    </row>
    <row r="641" spans="1:8" ht="15.75">
      <c r="A641" s="124">
        <v>40361</v>
      </c>
      <c r="B641" s="125">
        <v>47.51</v>
      </c>
      <c r="C641" s="52"/>
      <c r="D641" s="52"/>
      <c r="E641" s="52"/>
      <c r="F641" s="52"/>
      <c r="G641" s="52"/>
      <c r="H641" s="52"/>
    </row>
    <row r="642" spans="1:8" ht="15.75">
      <c r="A642" s="124">
        <v>40364</v>
      </c>
      <c r="B642" s="125">
        <v>47.74</v>
      </c>
      <c r="C642" s="52"/>
      <c r="D642" s="52"/>
      <c r="E642" s="52"/>
      <c r="F642" s="52"/>
      <c r="G642" s="52"/>
      <c r="H642" s="52"/>
    </row>
    <row r="643" spans="1:8" ht="15.75">
      <c r="A643" s="124">
        <v>40365</v>
      </c>
      <c r="B643" s="125">
        <v>47.69</v>
      </c>
      <c r="C643" s="52"/>
      <c r="D643" s="52"/>
      <c r="E643" s="52"/>
      <c r="F643" s="52"/>
      <c r="G643" s="52"/>
      <c r="H643" s="52"/>
    </row>
    <row r="644" spans="1:8" ht="15.75">
      <c r="A644" s="124">
        <v>40366</v>
      </c>
      <c r="B644" s="125">
        <v>47.47</v>
      </c>
      <c r="C644" s="52"/>
      <c r="D644" s="52"/>
      <c r="E644" s="52"/>
      <c r="F644" s="52"/>
      <c r="G644" s="52"/>
      <c r="H644" s="52"/>
    </row>
    <row r="645" spans="1:8" ht="15.75">
      <c r="A645" s="124">
        <v>40367</v>
      </c>
      <c r="B645" s="125">
        <v>47.57</v>
      </c>
      <c r="C645" s="52"/>
      <c r="D645" s="52"/>
      <c r="E645" s="52"/>
      <c r="F645" s="52"/>
      <c r="G645" s="52"/>
      <c r="H645" s="52"/>
    </row>
    <row r="646" spans="1:8" ht="15.75">
      <c r="A646" s="124">
        <v>40368</v>
      </c>
      <c r="B646" s="125">
        <v>47.57</v>
      </c>
      <c r="C646" s="52"/>
      <c r="D646" s="52"/>
      <c r="E646" s="52"/>
      <c r="F646" s="52"/>
      <c r="G646" s="52"/>
      <c r="H646" s="52"/>
    </row>
    <row r="647" spans="1:8" ht="15.75">
      <c r="A647" s="124">
        <v>40371</v>
      </c>
      <c r="B647" s="125">
        <v>47.64</v>
      </c>
      <c r="C647" s="52"/>
      <c r="D647" s="52"/>
      <c r="E647" s="52"/>
      <c r="F647" s="52"/>
      <c r="G647" s="52"/>
      <c r="H647" s="52"/>
    </row>
    <row r="648" spans="1:8" ht="15.75">
      <c r="A648" s="124">
        <v>40372</v>
      </c>
      <c r="B648" s="125">
        <v>47.52</v>
      </c>
      <c r="C648" s="52"/>
      <c r="D648" s="52"/>
      <c r="E648" s="52"/>
      <c r="F648" s="52"/>
      <c r="G648" s="52"/>
      <c r="H648" s="52"/>
    </row>
    <row r="649" spans="1:8" ht="15.75">
      <c r="A649" s="124">
        <v>40373</v>
      </c>
      <c r="B649" s="125">
        <v>47.57</v>
      </c>
      <c r="C649" s="52"/>
      <c r="D649" s="52"/>
      <c r="E649" s="52"/>
      <c r="F649" s="52"/>
      <c r="G649" s="52"/>
      <c r="H649" s="52"/>
    </row>
    <row r="650" spans="1:8" ht="15.75">
      <c r="A650" s="124">
        <v>40374</v>
      </c>
      <c r="B650" s="125">
        <v>47.52</v>
      </c>
      <c r="C650" s="52"/>
      <c r="D650" s="52"/>
      <c r="E650" s="52"/>
      <c r="F650" s="52"/>
      <c r="G650" s="52"/>
      <c r="H650" s="52"/>
    </row>
    <row r="651" spans="1:8" ht="15.75">
      <c r="A651" s="124">
        <v>40375</v>
      </c>
      <c r="B651" s="125">
        <v>47.55</v>
      </c>
      <c r="C651" s="52"/>
      <c r="D651" s="52"/>
      <c r="E651" s="52"/>
      <c r="F651" s="52"/>
      <c r="G651" s="52"/>
      <c r="H651" s="52"/>
    </row>
    <row r="652" spans="1:8" ht="15.75">
      <c r="A652" s="124">
        <v>40378</v>
      </c>
      <c r="B652" s="125">
        <v>47.54</v>
      </c>
      <c r="C652" s="52"/>
      <c r="D652" s="52"/>
      <c r="E652" s="52"/>
      <c r="F652" s="52"/>
      <c r="G652" s="52"/>
      <c r="H652" s="52"/>
    </row>
    <row r="653" spans="1:8" ht="15.75">
      <c r="A653" s="124">
        <v>40379</v>
      </c>
      <c r="B653" s="125">
        <v>47.47</v>
      </c>
      <c r="C653" s="52"/>
      <c r="D653" s="52"/>
      <c r="E653" s="52"/>
      <c r="F653" s="52"/>
      <c r="G653" s="52"/>
      <c r="H653" s="52"/>
    </row>
    <row r="654" spans="1:8" ht="15.75">
      <c r="A654" s="124">
        <v>40380</v>
      </c>
      <c r="B654" s="125">
        <v>47.58</v>
      </c>
      <c r="C654" s="52"/>
      <c r="D654" s="52"/>
      <c r="E654" s="52"/>
      <c r="F654" s="52"/>
      <c r="G654" s="52"/>
      <c r="H654" s="52"/>
    </row>
    <row r="655" spans="1:8" ht="15.75">
      <c r="A655" s="124">
        <v>40381</v>
      </c>
      <c r="B655" s="125">
        <v>47.6</v>
      </c>
      <c r="C655" s="52"/>
      <c r="D655" s="52"/>
      <c r="E655" s="52"/>
      <c r="F655" s="52"/>
      <c r="G655" s="52"/>
      <c r="H655" s="52"/>
    </row>
    <row r="656" spans="1:8" ht="15.75">
      <c r="A656" s="124">
        <v>40382</v>
      </c>
      <c r="B656" s="125">
        <v>47.61</v>
      </c>
      <c r="C656" s="52"/>
      <c r="D656" s="52"/>
      <c r="E656" s="52"/>
      <c r="F656" s="52"/>
      <c r="G656" s="52"/>
      <c r="H656" s="52"/>
    </row>
    <row r="657" spans="1:8" ht="15.75">
      <c r="A657" s="124">
        <v>40385</v>
      </c>
      <c r="B657" s="125">
        <v>47.65</v>
      </c>
      <c r="C657" s="52"/>
      <c r="D657" s="52"/>
      <c r="E657" s="52"/>
      <c r="F657" s="52"/>
      <c r="G657" s="52"/>
      <c r="H657" s="52"/>
    </row>
    <row r="658" spans="1:8" ht="15.75">
      <c r="A658" s="124">
        <v>40386</v>
      </c>
      <c r="B658" s="125">
        <v>47.65</v>
      </c>
      <c r="C658" s="52"/>
      <c r="D658" s="52"/>
      <c r="E658" s="52"/>
      <c r="F658" s="52"/>
      <c r="G658" s="52"/>
      <c r="H658" s="52"/>
    </row>
    <row r="659" spans="1:8" ht="15.75">
      <c r="A659" s="124">
        <v>40387</v>
      </c>
      <c r="B659" s="125">
        <v>47.66</v>
      </c>
      <c r="C659" s="52"/>
      <c r="D659" s="52"/>
      <c r="E659" s="52"/>
      <c r="F659" s="52"/>
      <c r="G659" s="52"/>
      <c r="H659" s="52"/>
    </row>
    <row r="660" spans="1:8" ht="15.75">
      <c r="A660" s="124">
        <v>40388</v>
      </c>
      <c r="B660" s="125">
        <v>47.77</v>
      </c>
      <c r="C660" s="52"/>
      <c r="D660" s="52"/>
      <c r="E660" s="52"/>
      <c r="F660" s="52"/>
      <c r="G660" s="52"/>
      <c r="H660" s="52"/>
    </row>
    <row r="661" spans="1:8" ht="15.75">
      <c r="A661" s="124">
        <v>40389</v>
      </c>
      <c r="B661" s="125">
        <v>47.78</v>
      </c>
      <c r="C661" s="52"/>
      <c r="D661" s="52"/>
      <c r="E661" s="52"/>
      <c r="F661" s="52"/>
      <c r="G661" s="52"/>
      <c r="H661" s="52"/>
    </row>
    <row r="662" spans="1:8" ht="15.75">
      <c r="A662" s="124">
        <v>40392</v>
      </c>
      <c r="B662" s="125">
        <v>48.03</v>
      </c>
      <c r="C662" s="52"/>
      <c r="D662" s="52"/>
      <c r="E662" s="52"/>
      <c r="F662" s="52"/>
      <c r="G662" s="52"/>
      <c r="H662" s="52"/>
    </row>
    <row r="663" spans="1:8" ht="15.75">
      <c r="A663" s="124">
        <v>40393</v>
      </c>
      <c r="B663" s="125">
        <v>47.97</v>
      </c>
      <c r="C663" s="52"/>
      <c r="D663" s="52"/>
      <c r="E663" s="52"/>
      <c r="F663" s="52"/>
      <c r="G663" s="52"/>
      <c r="H663" s="52"/>
    </row>
    <row r="664" spans="1:8" ht="15.75">
      <c r="A664" s="124">
        <v>40394</v>
      </c>
      <c r="B664" s="125">
        <v>47.97</v>
      </c>
      <c r="C664" s="52"/>
      <c r="D664" s="52"/>
      <c r="E664" s="52"/>
      <c r="F664" s="52"/>
      <c r="G664" s="52"/>
      <c r="H664" s="52"/>
    </row>
    <row r="665" spans="1:8" ht="15.75">
      <c r="A665" s="124">
        <v>40395</v>
      </c>
      <c r="B665" s="125">
        <v>47.83</v>
      </c>
      <c r="C665" s="52"/>
      <c r="D665" s="52"/>
      <c r="E665" s="52"/>
      <c r="F665" s="52"/>
      <c r="G665" s="52"/>
      <c r="H665" s="52"/>
    </row>
    <row r="666" spans="1:8" ht="15.75">
      <c r="A666" s="124">
        <v>40396</v>
      </c>
      <c r="B666" s="125">
        <v>47.77</v>
      </c>
      <c r="C666" s="52"/>
      <c r="D666" s="52"/>
      <c r="E666" s="52"/>
      <c r="F666" s="52"/>
      <c r="G666" s="52"/>
      <c r="H666" s="52"/>
    </row>
    <row r="667" spans="1:8" ht="15.75">
      <c r="A667" s="124">
        <v>40399</v>
      </c>
      <c r="B667" s="125">
        <v>47.76</v>
      </c>
      <c r="C667" s="52"/>
      <c r="D667" s="52"/>
      <c r="E667" s="52"/>
      <c r="F667" s="52"/>
      <c r="G667" s="52"/>
      <c r="H667" s="52"/>
    </row>
    <row r="668" spans="1:8" ht="15.75">
      <c r="A668" s="124">
        <v>40400</v>
      </c>
      <c r="B668" s="125">
        <v>47.77</v>
      </c>
      <c r="C668" s="52"/>
      <c r="D668" s="52"/>
      <c r="E668" s="52"/>
      <c r="F668" s="52"/>
      <c r="G668" s="52"/>
      <c r="H668" s="52"/>
    </row>
    <row r="669" spans="1:8" ht="15.75">
      <c r="A669" s="124">
        <v>40401</v>
      </c>
      <c r="B669" s="125">
        <v>47.88</v>
      </c>
      <c r="C669" s="52"/>
      <c r="D669" s="52"/>
      <c r="E669" s="52"/>
      <c r="F669" s="52"/>
      <c r="G669" s="52"/>
      <c r="H669" s="52"/>
    </row>
    <row r="670" spans="1:8" ht="15.75">
      <c r="A670" s="124">
        <v>40402</v>
      </c>
      <c r="B670" s="125">
        <v>47.8</v>
      </c>
      <c r="C670" s="52"/>
      <c r="D670" s="52"/>
      <c r="E670" s="52"/>
      <c r="F670" s="52"/>
      <c r="G670" s="52"/>
      <c r="H670" s="52"/>
    </row>
    <row r="671" spans="1:8" ht="15.75">
      <c r="A671" s="124">
        <v>40403</v>
      </c>
      <c r="B671" s="125">
        <v>47.8</v>
      </c>
      <c r="C671" s="52"/>
      <c r="D671" s="52"/>
      <c r="E671" s="52"/>
      <c r="F671" s="52"/>
      <c r="G671" s="52"/>
      <c r="H671" s="52"/>
    </row>
    <row r="672" spans="1:8" ht="15.75">
      <c r="A672" s="124">
        <v>40406</v>
      </c>
      <c r="B672" s="125">
        <v>47.65</v>
      </c>
      <c r="C672" s="52"/>
      <c r="D672" s="52"/>
      <c r="E672" s="52"/>
      <c r="F672" s="52"/>
      <c r="G672" s="52"/>
      <c r="H672" s="52"/>
    </row>
    <row r="673" spans="1:8" ht="15.75">
      <c r="A673" s="124">
        <v>40407</v>
      </c>
      <c r="B673" s="125">
        <v>48.09</v>
      </c>
      <c r="C673" s="52"/>
      <c r="D673" s="52"/>
      <c r="E673" s="52"/>
      <c r="F673" s="52"/>
      <c r="G673" s="52"/>
      <c r="H673" s="52"/>
    </row>
    <row r="674" spans="1:8" ht="15.75">
      <c r="A674" s="124">
        <v>40408</v>
      </c>
      <c r="B674" s="125">
        <v>47.72</v>
      </c>
      <c r="C674" s="52"/>
      <c r="D674" s="52"/>
      <c r="E674" s="52"/>
      <c r="F674" s="52"/>
      <c r="G674" s="52"/>
      <c r="H674" s="52"/>
    </row>
    <row r="675" spans="1:8" ht="15.75">
      <c r="A675" s="124">
        <v>40409</v>
      </c>
      <c r="B675" s="125">
        <v>47.77</v>
      </c>
      <c r="C675" s="52"/>
      <c r="D675" s="52"/>
      <c r="E675" s="52"/>
      <c r="F675" s="52"/>
      <c r="G675" s="52"/>
      <c r="H675" s="52"/>
    </row>
    <row r="676" spans="1:8" ht="15.75">
      <c r="A676" s="124">
        <v>40410</v>
      </c>
      <c r="B676" s="125">
        <v>47.77</v>
      </c>
      <c r="C676" s="52"/>
      <c r="D676" s="52"/>
      <c r="E676" s="52"/>
      <c r="F676" s="52"/>
      <c r="G676" s="52"/>
      <c r="H676" s="52"/>
    </row>
    <row r="677" spans="1:8" ht="15.75">
      <c r="A677" s="124">
        <v>40413</v>
      </c>
      <c r="B677" s="125">
        <v>47.8</v>
      </c>
      <c r="C677" s="52"/>
      <c r="D677" s="52"/>
      <c r="E677" s="52"/>
      <c r="F677" s="52"/>
      <c r="G677" s="52"/>
      <c r="H677" s="52"/>
    </row>
    <row r="678" spans="1:8" ht="15.75">
      <c r="A678" s="124">
        <v>40414</v>
      </c>
      <c r="B678" s="125">
        <v>47.59</v>
      </c>
      <c r="C678" s="52"/>
      <c r="D678" s="52"/>
      <c r="E678" s="52"/>
      <c r="F678" s="52"/>
      <c r="G678" s="52"/>
      <c r="H678" s="52"/>
    </row>
    <row r="679" spans="1:8" ht="15.75">
      <c r="A679" s="124">
        <v>40415</v>
      </c>
      <c r="B679" s="125">
        <v>47.65</v>
      </c>
      <c r="C679" s="52"/>
      <c r="D679" s="52"/>
      <c r="E679" s="52"/>
      <c r="F679" s="52"/>
      <c r="G679" s="52"/>
      <c r="H679" s="52"/>
    </row>
    <row r="680" spans="1:8" ht="15.75">
      <c r="A680" s="124">
        <v>40416</v>
      </c>
      <c r="B680" s="125">
        <v>47.59</v>
      </c>
      <c r="C680" s="52"/>
      <c r="D680" s="52"/>
      <c r="E680" s="52"/>
      <c r="F680" s="52"/>
      <c r="G680" s="52"/>
      <c r="H680" s="52"/>
    </row>
    <row r="681" spans="1:8" ht="15.75">
      <c r="A681" s="124">
        <v>40417</v>
      </c>
      <c r="B681" s="125">
        <v>47.59</v>
      </c>
      <c r="C681" s="52"/>
      <c r="D681" s="52"/>
      <c r="E681" s="52"/>
      <c r="F681" s="52"/>
      <c r="G681" s="52"/>
      <c r="H681" s="52"/>
    </row>
    <row r="682" spans="1:8" ht="15.75">
      <c r="A682" s="124">
        <v>40420</v>
      </c>
      <c r="B682" s="125">
        <v>47.45</v>
      </c>
      <c r="C682" s="52"/>
      <c r="D682" s="52"/>
      <c r="E682" s="52"/>
      <c r="F682" s="52"/>
      <c r="G682" s="52"/>
      <c r="H682" s="52"/>
    </row>
    <row r="683" spans="1:8" ht="15.75">
      <c r="A683" s="124">
        <v>40421</v>
      </c>
      <c r="B683" s="125">
        <v>47.5</v>
      </c>
      <c r="C683" s="52"/>
      <c r="D683" s="52"/>
      <c r="E683" s="52"/>
      <c r="F683" s="52"/>
      <c r="G683" s="52"/>
      <c r="H683" s="52"/>
    </row>
    <row r="684" spans="1:8" ht="15.75">
      <c r="A684" s="124">
        <v>40422</v>
      </c>
      <c r="B684" s="125">
        <v>47.73</v>
      </c>
      <c r="C684" s="52"/>
      <c r="D684" s="52"/>
      <c r="E684" s="52"/>
      <c r="F684" s="52"/>
      <c r="G684" s="52"/>
      <c r="H684" s="52"/>
    </row>
    <row r="685" spans="1:8" ht="15.75">
      <c r="A685" s="124">
        <v>40423</v>
      </c>
      <c r="B685" s="125">
        <v>47.76</v>
      </c>
      <c r="C685" s="52"/>
      <c r="D685" s="52"/>
      <c r="E685" s="52"/>
      <c r="F685" s="52"/>
      <c r="G685" s="52"/>
      <c r="H685" s="52"/>
    </row>
    <row r="686" spans="1:8" ht="15.75">
      <c r="A686" s="124">
        <v>40424</v>
      </c>
      <c r="B686" s="125">
        <v>47.66</v>
      </c>
      <c r="C686" s="52"/>
      <c r="D686" s="52"/>
      <c r="E686" s="52"/>
      <c r="F686" s="52"/>
      <c r="G686" s="52"/>
      <c r="H686" s="52"/>
    </row>
    <row r="687" spans="1:8" ht="15.75">
      <c r="A687" s="124">
        <v>40427</v>
      </c>
      <c r="B687" s="125">
        <v>47.73</v>
      </c>
      <c r="C687" s="52"/>
      <c r="D687" s="52"/>
      <c r="E687" s="52"/>
      <c r="F687" s="52"/>
      <c r="G687" s="52"/>
      <c r="H687" s="52"/>
    </row>
    <row r="688" spans="1:8" ht="15.75">
      <c r="A688" s="124">
        <v>40428</v>
      </c>
      <c r="B688" s="125">
        <v>47.79</v>
      </c>
      <c r="C688" s="52"/>
      <c r="D688" s="52"/>
      <c r="E688" s="52"/>
      <c r="F688" s="52"/>
      <c r="G688" s="52"/>
      <c r="H688" s="52"/>
    </row>
    <row r="689" spans="1:8" ht="15.75">
      <c r="A689" s="124">
        <v>40429</v>
      </c>
      <c r="B689" s="125">
        <v>47.7</v>
      </c>
      <c r="C689" s="52"/>
      <c r="D689" s="52"/>
      <c r="E689" s="52"/>
      <c r="F689" s="52"/>
      <c r="G689" s="52"/>
      <c r="H689" s="52"/>
    </row>
    <row r="690" spans="1:8" ht="15.75">
      <c r="A690" s="124">
        <v>40430</v>
      </c>
      <c r="B690" s="125">
        <v>47.58</v>
      </c>
      <c r="C690" s="52"/>
      <c r="D690" s="52"/>
      <c r="E690" s="52"/>
      <c r="F690" s="52"/>
      <c r="G690" s="52"/>
      <c r="H690" s="52"/>
    </row>
    <row r="691" spans="1:8" ht="15.75">
      <c r="A691" s="124">
        <v>40431</v>
      </c>
      <c r="B691" s="125">
        <v>48.09</v>
      </c>
      <c r="C691" s="52"/>
      <c r="D691" s="52"/>
      <c r="E691" s="52"/>
      <c r="F691" s="52"/>
      <c r="G691" s="52"/>
      <c r="H691" s="52"/>
    </row>
    <row r="692" spans="1:8" ht="15.75">
      <c r="A692" s="124">
        <v>40434</v>
      </c>
      <c r="B692" s="125">
        <v>48.02</v>
      </c>
      <c r="C692" s="52"/>
      <c r="D692" s="52"/>
      <c r="E692" s="52"/>
      <c r="F692" s="52"/>
      <c r="G692" s="52"/>
      <c r="H692" s="52"/>
    </row>
    <row r="693" spans="1:8" ht="15.75">
      <c r="A693" s="124">
        <v>40435</v>
      </c>
      <c r="B693" s="125">
        <v>47.85</v>
      </c>
      <c r="C693" s="52"/>
      <c r="D693" s="52"/>
      <c r="E693" s="52"/>
      <c r="F693" s="52"/>
      <c r="G693" s="52"/>
      <c r="H693" s="52"/>
    </row>
    <row r="694" spans="1:8" ht="15.75">
      <c r="A694" s="124">
        <v>40436</v>
      </c>
      <c r="B694" s="125">
        <v>47.99</v>
      </c>
      <c r="C694" s="52"/>
      <c r="D694" s="52"/>
      <c r="E694" s="52"/>
      <c r="F694" s="52"/>
      <c r="G694" s="52"/>
      <c r="H694" s="52"/>
    </row>
    <row r="695" spans="1:8" ht="15.75">
      <c r="A695" s="124">
        <v>40437</v>
      </c>
      <c r="B695" s="125">
        <v>47.72</v>
      </c>
      <c r="C695" s="52"/>
      <c r="D695" s="52"/>
      <c r="E695" s="52"/>
      <c r="F695" s="52"/>
      <c r="G695" s="52"/>
      <c r="H695" s="52"/>
    </row>
    <row r="696" spans="1:8" ht="15.75">
      <c r="A696" s="124">
        <v>40438</v>
      </c>
      <c r="B696" s="125">
        <v>47.6</v>
      </c>
      <c r="C696" s="52"/>
      <c r="D696" s="52"/>
      <c r="E696" s="52"/>
      <c r="F696" s="52"/>
      <c r="G696" s="52"/>
      <c r="H696" s="52"/>
    </row>
    <row r="697" spans="1:8" ht="15.75">
      <c r="A697" s="124">
        <v>40441</v>
      </c>
      <c r="B697" s="125">
        <v>47.96</v>
      </c>
      <c r="C697" s="52"/>
      <c r="D697" s="52"/>
      <c r="E697" s="52"/>
      <c r="F697" s="52"/>
      <c r="G697" s="52"/>
      <c r="H697" s="52"/>
    </row>
    <row r="698" spans="1:8" ht="15.75">
      <c r="A698" s="124">
        <v>40442</v>
      </c>
      <c r="B698" s="125">
        <v>47.8</v>
      </c>
      <c r="C698" s="52"/>
      <c r="D698" s="52"/>
      <c r="E698" s="52"/>
      <c r="F698" s="52"/>
      <c r="G698" s="52"/>
      <c r="H698" s="52"/>
    </row>
    <row r="699" spans="1:8" ht="15.75">
      <c r="A699" s="124">
        <v>40443</v>
      </c>
      <c r="B699" s="125">
        <v>47.96</v>
      </c>
      <c r="C699" s="52"/>
      <c r="D699" s="52"/>
      <c r="E699" s="52"/>
      <c r="F699" s="52"/>
      <c r="G699" s="52"/>
      <c r="H699" s="52"/>
    </row>
    <row r="700" spans="1:8" ht="15.75">
      <c r="A700" s="124">
        <v>40444</v>
      </c>
      <c r="B700" s="125">
        <v>47.89</v>
      </c>
      <c r="C700" s="52"/>
      <c r="D700" s="52"/>
      <c r="E700" s="52"/>
      <c r="F700" s="52"/>
      <c r="G700" s="52"/>
      <c r="H700" s="52"/>
    </row>
    <row r="701" spans="1:8" ht="15.75">
      <c r="A701" s="124">
        <v>40445</v>
      </c>
      <c r="B701" s="125">
        <v>48.02</v>
      </c>
      <c r="C701" s="52"/>
      <c r="D701" s="52"/>
      <c r="E701" s="52"/>
      <c r="F701" s="52"/>
      <c r="G701" s="52"/>
      <c r="H701" s="52"/>
    </row>
    <row r="702" spans="1:8" ht="15.75">
      <c r="A702" s="124">
        <v>40448</v>
      </c>
      <c r="B702" s="125">
        <v>47.97</v>
      </c>
      <c r="C702" s="52"/>
      <c r="D702" s="52"/>
      <c r="E702" s="52"/>
      <c r="F702" s="52"/>
      <c r="G702" s="52"/>
      <c r="H702" s="52"/>
    </row>
    <row r="703" spans="1:8" ht="15.75">
      <c r="A703" s="124">
        <v>40449</v>
      </c>
      <c r="B703" s="125">
        <v>47.84</v>
      </c>
      <c r="C703" s="52"/>
      <c r="D703" s="52"/>
      <c r="E703" s="52"/>
      <c r="F703" s="52"/>
      <c r="G703" s="52"/>
      <c r="H703" s="52"/>
    </row>
    <row r="704" spans="1:8" ht="15.75">
      <c r="A704" s="124">
        <v>40450</v>
      </c>
      <c r="B704" s="125">
        <v>47.97</v>
      </c>
      <c r="C704" s="52"/>
      <c r="D704" s="52"/>
      <c r="E704" s="52"/>
      <c r="F704" s="52"/>
      <c r="G704" s="52"/>
      <c r="H704" s="52"/>
    </row>
    <row r="705" spans="1:8" ht="15.75">
      <c r="A705" s="124">
        <v>40451</v>
      </c>
      <c r="B705" s="125">
        <v>47.95</v>
      </c>
      <c r="C705" s="52"/>
      <c r="D705" s="52"/>
      <c r="E705" s="52"/>
      <c r="F705" s="52"/>
      <c r="G705" s="52"/>
      <c r="H705" s="52"/>
    </row>
    <row r="706" spans="1:8" ht="15.75">
      <c r="A706" s="124">
        <v>40452</v>
      </c>
      <c r="B706" s="125">
        <v>47.84</v>
      </c>
      <c r="C706" s="52"/>
      <c r="D706" s="52"/>
      <c r="E706" s="52"/>
      <c r="F706" s="52"/>
      <c r="G706" s="52"/>
      <c r="H706" s="52"/>
    </row>
    <row r="707" spans="1:8" ht="15.75">
      <c r="A707" s="124">
        <v>40455</v>
      </c>
      <c r="B707" s="125">
        <v>48</v>
      </c>
      <c r="C707" s="52"/>
      <c r="D707" s="52"/>
      <c r="E707" s="52"/>
      <c r="F707" s="52"/>
      <c r="G707" s="52"/>
      <c r="H707" s="52"/>
    </row>
    <row r="708" spans="1:8" ht="15.75">
      <c r="A708" s="124">
        <v>40456</v>
      </c>
      <c r="B708" s="125">
        <v>47.9</v>
      </c>
      <c r="C708" s="52"/>
      <c r="D708" s="52"/>
      <c r="E708" s="52"/>
      <c r="F708" s="52"/>
      <c r="G708" s="52"/>
      <c r="H708" s="52"/>
    </row>
    <row r="709" spans="1:8" ht="15.75">
      <c r="A709" s="124">
        <v>40457</v>
      </c>
      <c r="B709" s="125">
        <v>48.11</v>
      </c>
      <c r="C709" s="52"/>
      <c r="D709" s="52"/>
      <c r="E709" s="52"/>
      <c r="F709" s="52"/>
      <c r="G709" s="52"/>
      <c r="H709" s="52"/>
    </row>
    <row r="710" spans="1:8" ht="15.75">
      <c r="A710" s="124">
        <v>40458</v>
      </c>
      <c r="B710" s="125">
        <v>48.24</v>
      </c>
      <c r="C710" s="52"/>
      <c r="D710" s="52"/>
      <c r="E710" s="52"/>
      <c r="F710" s="52"/>
      <c r="G710" s="52"/>
      <c r="H710" s="52"/>
    </row>
    <row r="711" spans="1:8" ht="15.75">
      <c r="A711" s="124">
        <v>40459</v>
      </c>
      <c r="B711" s="125">
        <v>48.07</v>
      </c>
      <c r="C711" s="52"/>
      <c r="D711" s="52"/>
      <c r="E711" s="52"/>
      <c r="F711" s="52"/>
      <c r="G711" s="52"/>
      <c r="H711" s="52"/>
    </row>
    <row r="712" spans="1:8" ht="15.75">
      <c r="A712" s="124">
        <v>40462</v>
      </c>
      <c r="B712" s="125">
        <v>48.04</v>
      </c>
      <c r="C712" s="52"/>
      <c r="D712" s="52"/>
      <c r="E712" s="52"/>
      <c r="F712" s="52"/>
      <c r="G712" s="52"/>
      <c r="H712" s="52"/>
    </row>
    <row r="713" spans="1:8" ht="15.75">
      <c r="A713" s="124">
        <v>40463</v>
      </c>
      <c r="B713" s="125">
        <v>48.02</v>
      </c>
      <c r="C713" s="52"/>
      <c r="D713" s="52"/>
      <c r="E713" s="52"/>
      <c r="F713" s="52"/>
      <c r="G713" s="52"/>
      <c r="H713" s="52"/>
    </row>
    <row r="714" spans="1:8" ht="15.75">
      <c r="A714" s="124">
        <v>40464</v>
      </c>
      <c r="B714" s="125">
        <v>48.03</v>
      </c>
      <c r="C714" s="52"/>
      <c r="D714" s="52"/>
      <c r="E714" s="52"/>
      <c r="F714" s="52"/>
      <c r="G714" s="52"/>
      <c r="H714" s="52"/>
    </row>
    <row r="715" spans="1:8" ht="15.75">
      <c r="A715" s="124">
        <v>40465</v>
      </c>
      <c r="B715" s="125">
        <v>48.08</v>
      </c>
      <c r="C715" s="52"/>
      <c r="D715" s="52"/>
      <c r="E715" s="52"/>
      <c r="F715" s="52"/>
      <c r="G715" s="52"/>
      <c r="H715" s="52"/>
    </row>
    <row r="716" spans="1:8" ht="15.75">
      <c r="A716" s="124">
        <v>40466</v>
      </c>
      <c r="B716" s="125">
        <v>48.07</v>
      </c>
      <c r="C716" s="52"/>
      <c r="D716" s="52"/>
      <c r="E716" s="52"/>
      <c r="F716" s="52"/>
      <c r="G716" s="52"/>
      <c r="H716" s="52"/>
    </row>
    <row r="717" spans="1:8" ht="15.75">
      <c r="A717" s="124">
        <v>40469</v>
      </c>
      <c r="B717" s="125">
        <v>48.12</v>
      </c>
      <c r="C717" s="52"/>
      <c r="D717" s="52"/>
      <c r="E717" s="52"/>
      <c r="F717" s="52"/>
      <c r="G717" s="52"/>
      <c r="H717" s="52"/>
    </row>
    <row r="718" spans="1:8" ht="15.75">
      <c r="A718" s="124">
        <v>40470</v>
      </c>
      <c r="B718" s="125">
        <v>47.95</v>
      </c>
      <c r="C718" s="52"/>
      <c r="D718" s="52"/>
      <c r="E718" s="52"/>
      <c r="F718" s="52"/>
      <c r="G718" s="52"/>
      <c r="H718" s="52"/>
    </row>
    <row r="719" spans="1:8" ht="15.75">
      <c r="A719" s="124">
        <v>40471</v>
      </c>
      <c r="B719" s="125">
        <v>47.72</v>
      </c>
      <c r="C719" s="52"/>
      <c r="D719" s="52"/>
      <c r="E719" s="52"/>
      <c r="F719" s="52"/>
      <c r="G719" s="52"/>
      <c r="H719" s="52"/>
    </row>
    <row r="720" spans="1:8" ht="15.75">
      <c r="A720" s="124">
        <v>40472</v>
      </c>
      <c r="B720" s="125">
        <v>47.88</v>
      </c>
      <c r="C720" s="52"/>
      <c r="D720" s="52"/>
      <c r="E720" s="52"/>
      <c r="F720" s="52"/>
      <c r="G720" s="52"/>
      <c r="H720" s="52"/>
    </row>
    <row r="721" spans="1:8" ht="15.75">
      <c r="A721" s="124">
        <v>40473</v>
      </c>
      <c r="B721" s="125">
        <v>48.01</v>
      </c>
      <c r="C721" s="52"/>
      <c r="D721" s="52"/>
      <c r="E721" s="52"/>
      <c r="F721" s="52"/>
      <c r="G721" s="52"/>
      <c r="H721" s="52"/>
    </row>
    <row r="722" spans="1:8" ht="15.75">
      <c r="A722" s="124">
        <v>40476</v>
      </c>
      <c r="B722" s="125">
        <v>47.95</v>
      </c>
      <c r="C722" s="52"/>
      <c r="D722" s="52"/>
      <c r="E722" s="52"/>
      <c r="F722" s="52"/>
      <c r="G722" s="52"/>
      <c r="H722" s="52"/>
    </row>
    <row r="723" spans="1:8" ht="15.75">
      <c r="A723" s="124">
        <v>40477</v>
      </c>
      <c r="B723" s="125">
        <v>48.09</v>
      </c>
      <c r="C723" s="52"/>
      <c r="D723" s="52"/>
      <c r="E723" s="52"/>
      <c r="F723" s="52"/>
      <c r="G723" s="52"/>
      <c r="H723" s="52"/>
    </row>
    <row r="724" spans="1:8" ht="15.75">
      <c r="A724" s="124">
        <v>40478</v>
      </c>
      <c r="B724" s="125">
        <v>47.99</v>
      </c>
      <c r="C724" s="52"/>
      <c r="D724" s="52"/>
      <c r="E724" s="52"/>
      <c r="F724" s="52"/>
      <c r="G724" s="52"/>
      <c r="H724" s="52"/>
    </row>
    <row r="725" spans="1:8" ht="15.75">
      <c r="A725" s="124">
        <v>40479</v>
      </c>
      <c r="B725" s="125">
        <v>47.96</v>
      </c>
      <c r="C725" s="52"/>
      <c r="D725" s="52"/>
      <c r="E725" s="52"/>
      <c r="F725" s="52"/>
      <c r="G725" s="52"/>
      <c r="H725" s="52"/>
    </row>
    <row r="726" spans="1:8" ht="15.75">
      <c r="A726" s="124">
        <v>40480</v>
      </c>
      <c r="B726" s="125">
        <v>47.56</v>
      </c>
      <c r="C726" s="52"/>
      <c r="D726" s="52"/>
      <c r="E726" s="52"/>
      <c r="F726" s="52"/>
      <c r="G726" s="52"/>
      <c r="H726" s="52"/>
    </row>
    <row r="727" spans="1:8" ht="15.75">
      <c r="A727" s="124">
        <v>40483</v>
      </c>
      <c r="B727" s="125">
        <v>47.57</v>
      </c>
      <c r="C727" s="52"/>
      <c r="D727" s="52"/>
      <c r="E727" s="52"/>
      <c r="F727" s="52"/>
      <c r="G727" s="52"/>
      <c r="H727" s="52"/>
    </row>
    <row r="728" spans="1:8" ht="15.75">
      <c r="A728" s="124">
        <v>40484</v>
      </c>
      <c r="B728" s="125">
        <v>47.83</v>
      </c>
      <c r="C728" s="52"/>
      <c r="D728" s="52"/>
      <c r="E728" s="52"/>
      <c r="F728" s="52"/>
      <c r="G728" s="52"/>
      <c r="H728" s="52"/>
    </row>
    <row r="729" spans="1:8" ht="15.75">
      <c r="A729" s="124">
        <v>40485</v>
      </c>
      <c r="B729" s="125">
        <v>47.84</v>
      </c>
      <c r="C729" s="52"/>
      <c r="D729" s="52"/>
      <c r="E729" s="52"/>
      <c r="F729" s="52"/>
      <c r="G729" s="52"/>
      <c r="H729" s="52"/>
    </row>
    <row r="730" spans="1:8" ht="15.75">
      <c r="A730" s="124">
        <v>40486</v>
      </c>
      <c r="B730" s="125">
        <v>47.97</v>
      </c>
      <c r="C730" s="52"/>
      <c r="D730" s="52"/>
      <c r="E730" s="52"/>
      <c r="F730" s="52"/>
      <c r="G730" s="52"/>
      <c r="H730" s="52"/>
    </row>
    <row r="731" spans="1:8" ht="15.75">
      <c r="A731" s="124">
        <v>40487</v>
      </c>
      <c r="B731" s="125">
        <v>47.83</v>
      </c>
      <c r="C731" s="52"/>
      <c r="D731" s="52"/>
      <c r="E731" s="52"/>
      <c r="F731" s="52"/>
      <c r="G731" s="52"/>
      <c r="H731" s="52"/>
    </row>
    <row r="732" spans="1:8" ht="15.75">
      <c r="A732" s="124">
        <v>40490</v>
      </c>
      <c r="B732" s="125">
        <v>47.83</v>
      </c>
      <c r="C732" s="52"/>
      <c r="D732" s="52"/>
      <c r="E732" s="52"/>
      <c r="F732" s="52"/>
      <c r="G732" s="52"/>
      <c r="H732" s="52"/>
    </row>
    <row r="733" spans="1:8" ht="15.75">
      <c r="A733" s="124">
        <v>40491</v>
      </c>
      <c r="B733" s="125">
        <v>47.51</v>
      </c>
      <c r="C733" s="52"/>
      <c r="D733" s="52"/>
      <c r="E733" s="52"/>
      <c r="F733" s="52"/>
      <c r="G733" s="52"/>
      <c r="H733" s="52"/>
    </row>
    <row r="734" spans="1:8" ht="15.75">
      <c r="A734" s="124">
        <v>40492</v>
      </c>
      <c r="B734" s="125">
        <v>47.67</v>
      </c>
      <c r="C734" s="52"/>
      <c r="D734" s="52"/>
      <c r="E734" s="52"/>
      <c r="F734" s="52"/>
      <c r="G734" s="52"/>
      <c r="H734" s="52"/>
    </row>
    <row r="735" spans="1:8" ht="15.75">
      <c r="A735" s="124">
        <v>40493</v>
      </c>
      <c r="B735" s="125">
        <v>47.63</v>
      </c>
      <c r="C735" s="52"/>
      <c r="D735" s="52"/>
      <c r="E735" s="52"/>
      <c r="F735" s="52"/>
      <c r="G735" s="52"/>
      <c r="H735" s="52"/>
    </row>
    <row r="736" spans="1:8" ht="15.75">
      <c r="A736" s="124">
        <v>40494</v>
      </c>
      <c r="B736" s="125">
        <v>47.43</v>
      </c>
      <c r="C736" s="52"/>
      <c r="D736" s="52"/>
      <c r="E736" s="52"/>
      <c r="F736" s="52"/>
      <c r="G736" s="52"/>
      <c r="H736" s="52"/>
    </row>
    <row r="737" spans="1:8" ht="15.75">
      <c r="A737" s="124">
        <v>40497</v>
      </c>
      <c r="B737" s="125">
        <v>47.68</v>
      </c>
      <c r="C737" s="52"/>
      <c r="D737" s="52"/>
      <c r="E737" s="52"/>
      <c r="F737" s="52"/>
      <c r="G737" s="52"/>
      <c r="H737" s="52"/>
    </row>
    <row r="738" spans="1:8" ht="15.75">
      <c r="A738" s="124">
        <v>40498</v>
      </c>
      <c r="B738" s="125">
        <v>47.64</v>
      </c>
      <c r="C738" s="52"/>
      <c r="D738" s="52"/>
      <c r="E738" s="52"/>
      <c r="F738" s="52"/>
      <c r="G738" s="52"/>
      <c r="H738" s="52"/>
    </row>
    <row r="739" spans="1:8" ht="15.75">
      <c r="A739" s="124">
        <v>40499</v>
      </c>
      <c r="B739" s="125">
        <v>47.78</v>
      </c>
      <c r="C739" s="52"/>
      <c r="D739" s="52"/>
      <c r="E739" s="52"/>
      <c r="F739" s="52"/>
      <c r="G739" s="52"/>
      <c r="H739" s="52"/>
    </row>
    <row r="740" spans="1:8" ht="15.75">
      <c r="A740" s="124">
        <v>40500</v>
      </c>
      <c r="B740" s="125">
        <v>47.89</v>
      </c>
      <c r="C740" s="52"/>
      <c r="D740" s="52"/>
      <c r="E740" s="52"/>
      <c r="F740" s="52"/>
      <c r="G740" s="52"/>
      <c r="H740" s="52"/>
    </row>
    <row r="741" spans="1:8" ht="15.75">
      <c r="A741" s="124">
        <v>40501</v>
      </c>
      <c r="B741" s="125">
        <v>47.9</v>
      </c>
      <c r="C741" s="52"/>
      <c r="D741" s="52"/>
      <c r="E741" s="52"/>
      <c r="F741" s="52"/>
      <c r="G741" s="52"/>
      <c r="H741" s="52"/>
    </row>
    <row r="742" spans="1:8" ht="15.75">
      <c r="A742" s="124">
        <v>40504</v>
      </c>
      <c r="B742" s="125">
        <v>47.81</v>
      </c>
      <c r="C742" s="52"/>
      <c r="D742" s="52"/>
      <c r="E742" s="52"/>
      <c r="F742" s="52"/>
      <c r="G742" s="52"/>
      <c r="H742" s="52"/>
    </row>
    <row r="743" spans="1:8" ht="15.75">
      <c r="A743" s="124">
        <v>40505</v>
      </c>
      <c r="B743" s="125">
        <v>47.46</v>
      </c>
      <c r="C743" s="52"/>
      <c r="D743" s="52"/>
      <c r="E743" s="52"/>
      <c r="F743" s="52"/>
      <c r="G743" s="52"/>
      <c r="H743" s="52"/>
    </row>
    <row r="744" spans="1:8" ht="15.75">
      <c r="A744" s="124">
        <v>40506</v>
      </c>
      <c r="B744" s="125">
        <v>47.57</v>
      </c>
      <c r="C744" s="52"/>
      <c r="D744" s="52"/>
      <c r="E744" s="52"/>
      <c r="F744" s="52"/>
      <c r="G744" s="52"/>
      <c r="H744" s="52"/>
    </row>
    <row r="745" spans="1:8" ht="15.75">
      <c r="A745" s="124">
        <v>40507</v>
      </c>
      <c r="B745" s="125">
        <v>47.58</v>
      </c>
      <c r="C745" s="52"/>
      <c r="D745" s="52"/>
      <c r="E745" s="52"/>
      <c r="F745" s="52"/>
      <c r="G745" s="52"/>
      <c r="H745" s="52"/>
    </row>
    <row r="746" spans="1:8" ht="15.75">
      <c r="A746" s="124">
        <v>40508</v>
      </c>
      <c r="B746" s="125">
        <v>47.7</v>
      </c>
      <c r="C746" s="52"/>
      <c r="D746" s="52"/>
      <c r="E746" s="52"/>
      <c r="F746" s="52"/>
      <c r="G746" s="52"/>
      <c r="H746" s="52"/>
    </row>
    <row r="747" spans="1:8" ht="15.75">
      <c r="A747" s="124">
        <v>40511</v>
      </c>
      <c r="B747" s="125">
        <v>47.69</v>
      </c>
      <c r="C747" s="52"/>
      <c r="D747" s="52"/>
      <c r="E747" s="52"/>
      <c r="F747" s="52"/>
      <c r="G747" s="52"/>
      <c r="H747" s="52"/>
    </row>
    <row r="748" spans="1:8" ht="15.75">
      <c r="A748" s="124">
        <v>40512</v>
      </c>
      <c r="B748" s="125">
        <v>47.5</v>
      </c>
      <c r="C748" s="52"/>
      <c r="D748" s="52"/>
      <c r="E748" s="52"/>
      <c r="F748" s="52"/>
      <c r="G748" s="52"/>
      <c r="H748" s="52"/>
    </row>
    <row r="749" spans="1:8" ht="15.75">
      <c r="A749" s="124">
        <v>40513</v>
      </c>
      <c r="B749" s="125">
        <v>47.8</v>
      </c>
      <c r="C749" s="52"/>
      <c r="D749" s="52"/>
      <c r="E749" s="52"/>
      <c r="F749" s="52"/>
      <c r="G749" s="52"/>
      <c r="H749" s="52"/>
    </row>
    <row r="750" spans="1:8" ht="15.75">
      <c r="A750" s="124">
        <v>40514</v>
      </c>
      <c r="B750" s="125">
        <v>47.96</v>
      </c>
      <c r="C750" s="52"/>
      <c r="D750" s="52"/>
      <c r="E750" s="52"/>
      <c r="F750" s="52"/>
      <c r="G750" s="52"/>
      <c r="H750" s="52"/>
    </row>
    <row r="751" spans="1:8" ht="15.75">
      <c r="A751" s="124">
        <v>40515</v>
      </c>
      <c r="B751" s="125">
        <v>48</v>
      </c>
      <c r="C751" s="52"/>
      <c r="D751" s="52"/>
      <c r="E751" s="52"/>
      <c r="F751" s="52"/>
      <c r="G751" s="52"/>
      <c r="H751" s="52"/>
    </row>
    <row r="752" spans="1:8" ht="15.75">
      <c r="A752" s="124">
        <v>40518</v>
      </c>
      <c r="B752" s="125">
        <v>48.45</v>
      </c>
      <c r="C752" s="52"/>
      <c r="D752" s="52"/>
      <c r="E752" s="52"/>
      <c r="F752" s="52"/>
      <c r="G752" s="52"/>
      <c r="H752" s="52"/>
    </row>
    <row r="753" spans="1:8" ht="15.75">
      <c r="A753" s="124">
        <v>40519</v>
      </c>
      <c r="B753" s="125">
        <v>47.92</v>
      </c>
      <c r="C753" s="52"/>
      <c r="D753" s="52"/>
      <c r="E753" s="52"/>
      <c r="F753" s="52"/>
      <c r="G753" s="52"/>
      <c r="H753" s="52"/>
    </row>
    <row r="754" spans="1:8" ht="15.75">
      <c r="A754" s="124">
        <v>40520</v>
      </c>
      <c r="B754" s="125">
        <v>47.52</v>
      </c>
      <c r="C754" s="52"/>
      <c r="D754" s="52"/>
      <c r="E754" s="52"/>
      <c r="F754" s="52"/>
      <c r="G754" s="52"/>
      <c r="H754" s="52"/>
    </row>
    <row r="755" spans="1:8" ht="15.75">
      <c r="A755" s="124">
        <v>40521</v>
      </c>
      <c r="B755" s="125">
        <v>48.11</v>
      </c>
      <c r="C755" s="52"/>
      <c r="D755" s="52"/>
      <c r="E755" s="52"/>
      <c r="F755" s="52"/>
      <c r="G755" s="52"/>
      <c r="H755" s="52"/>
    </row>
    <row r="756" spans="1:8" ht="15.75">
      <c r="A756" s="124">
        <v>40522</v>
      </c>
      <c r="B756" s="125">
        <v>47.9</v>
      </c>
      <c r="C756" s="52"/>
      <c r="D756" s="52"/>
      <c r="E756" s="52"/>
      <c r="F756" s="52"/>
      <c r="G756" s="52"/>
      <c r="H756" s="52"/>
    </row>
    <row r="757" spans="1:8" ht="15.75">
      <c r="A757" s="124">
        <v>40525</v>
      </c>
      <c r="B757" s="125">
        <v>47.94</v>
      </c>
      <c r="C757" s="52"/>
      <c r="D757" s="52"/>
      <c r="E757" s="52"/>
      <c r="F757" s="52"/>
      <c r="G757" s="52"/>
      <c r="H757" s="52"/>
    </row>
    <row r="758" spans="1:8" ht="15.75">
      <c r="A758" s="124">
        <v>40526</v>
      </c>
      <c r="B758" s="125">
        <v>47.9</v>
      </c>
      <c r="C758" s="52"/>
      <c r="D758" s="52"/>
      <c r="E758" s="52"/>
      <c r="F758" s="52"/>
      <c r="G758" s="52"/>
      <c r="H758" s="52"/>
    </row>
    <row r="759" spans="1:8" ht="15.75">
      <c r="A759" s="124">
        <v>40527</v>
      </c>
      <c r="B759" s="125">
        <v>47.79</v>
      </c>
      <c r="C759" s="52"/>
      <c r="D759" s="52"/>
      <c r="E759" s="52"/>
      <c r="F759" s="52"/>
      <c r="G759" s="52"/>
      <c r="H759" s="52"/>
    </row>
    <row r="760" spans="1:8" ht="15.75">
      <c r="A760" s="124">
        <v>40528</v>
      </c>
      <c r="B760" s="125">
        <v>47.98</v>
      </c>
      <c r="C760" s="52"/>
      <c r="D760" s="52"/>
      <c r="E760" s="52"/>
      <c r="F760" s="52"/>
      <c r="G760" s="52"/>
      <c r="H760" s="52"/>
    </row>
    <row r="761" spans="1:8" ht="15.75">
      <c r="A761" s="124">
        <v>40529</v>
      </c>
      <c r="B761" s="125">
        <v>48.03</v>
      </c>
      <c r="C761" s="52"/>
      <c r="D761" s="52"/>
      <c r="E761" s="52"/>
      <c r="F761" s="52"/>
      <c r="G761" s="52"/>
      <c r="H761" s="52"/>
    </row>
    <row r="762" spans="1:8" ht="15.75">
      <c r="A762" s="124">
        <v>40532</v>
      </c>
      <c r="B762" s="125">
        <v>48.01</v>
      </c>
      <c r="C762" s="52"/>
      <c r="D762" s="52"/>
      <c r="E762" s="52"/>
      <c r="F762" s="52"/>
      <c r="G762" s="52"/>
      <c r="H762" s="52"/>
    </row>
    <row r="763" spans="1:8" ht="15.75">
      <c r="A763" s="124">
        <v>40533</v>
      </c>
      <c r="B763" s="125">
        <v>48.1</v>
      </c>
      <c r="C763" s="52"/>
      <c r="D763" s="52"/>
      <c r="E763" s="52"/>
      <c r="F763" s="52"/>
      <c r="G763" s="52"/>
      <c r="H763" s="52"/>
    </row>
    <row r="764" spans="1:8" ht="15.75">
      <c r="A764" s="124">
        <v>40534</v>
      </c>
      <c r="B764" s="125">
        <v>48.1</v>
      </c>
      <c r="C764" s="52"/>
      <c r="D764" s="52"/>
      <c r="E764" s="52"/>
      <c r="F764" s="52"/>
      <c r="G764" s="52"/>
      <c r="H764" s="52"/>
    </row>
    <row r="765" spans="1:8" ht="15.75">
      <c r="A765" s="124">
        <v>40535</v>
      </c>
      <c r="B765" s="125">
        <v>48.1</v>
      </c>
      <c r="C765" s="52"/>
      <c r="D765" s="52"/>
      <c r="E765" s="52"/>
      <c r="F765" s="52"/>
      <c r="G765" s="52"/>
      <c r="H765" s="52"/>
    </row>
    <row r="766" spans="1:8" ht="15.75">
      <c r="A766" s="124">
        <v>40539</v>
      </c>
      <c r="B766" s="125">
        <v>48.03</v>
      </c>
      <c r="C766" s="52"/>
      <c r="D766" s="52"/>
      <c r="E766" s="52"/>
      <c r="F766" s="52"/>
      <c r="G766" s="52"/>
      <c r="H766" s="52"/>
    </row>
    <row r="767" spans="1:8" ht="15.75">
      <c r="A767" s="124">
        <v>40540</v>
      </c>
      <c r="B767" s="125">
        <v>48.05</v>
      </c>
      <c r="C767" s="52"/>
      <c r="D767" s="52"/>
      <c r="E767" s="52"/>
      <c r="F767" s="52"/>
      <c r="G767" s="52"/>
      <c r="H767" s="52"/>
    </row>
    <row r="768" spans="1:8" ht="15.75">
      <c r="A768" s="124">
        <v>40541</v>
      </c>
      <c r="B768" s="125">
        <v>47.9</v>
      </c>
      <c r="C768" s="52"/>
      <c r="D768" s="52"/>
      <c r="E768" s="52"/>
      <c r="F768" s="52"/>
      <c r="G768" s="52"/>
      <c r="H768" s="52"/>
    </row>
    <row r="769" spans="1:8" ht="15.75">
      <c r="A769" s="124">
        <v>40542</v>
      </c>
      <c r="B769" s="125">
        <v>48</v>
      </c>
      <c r="C769" s="52"/>
      <c r="D769" s="52"/>
      <c r="E769" s="52"/>
      <c r="F769" s="52"/>
      <c r="G769" s="52"/>
      <c r="H769" s="52"/>
    </row>
    <row r="770" spans="1:8" ht="15.75">
      <c r="A770" s="124">
        <v>40546</v>
      </c>
      <c r="B770" s="125">
        <v>47.98</v>
      </c>
      <c r="C770" s="52"/>
      <c r="D770" s="52"/>
      <c r="E770" s="52"/>
      <c r="F770" s="52"/>
      <c r="G770" s="52"/>
      <c r="H770" s="52"/>
    </row>
    <row r="771" spans="1:8" ht="15.75">
      <c r="A771" s="124">
        <v>40547</v>
      </c>
      <c r="B771" s="125">
        <v>47.99</v>
      </c>
      <c r="C771" s="52"/>
      <c r="D771" s="52"/>
      <c r="E771" s="52"/>
      <c r="F771" s="52"/>
      <c r="G771" s="52"/>
      <c r="H771" s="52"/>
    </row>
    <row r="772" spans="1:8" ht="15.75">
      <c r="A772" s="124">
        <v>40548</v>
      </c>
      <c r="B772" s="125">
        <v>47.69</v>
      </c>
      <c r="C772" s="52"/>
      <c r="D772" s="52"/>
      <c r="E772" s="52"/>
      <c r="F772" s="52"/>
      <c r="G772" s="52"/>
      <c r="H772" s="52"/>
    </row>
    <row r="773" spans="1:8" ht="15.75">
      <c r="A773" s="124">
        <v>40549</v>
      </c>
      <c r="B773" s="125">
        <v>46.59</v>
      </c>
      <c r="C773" s="52"/>
      <c r="D773" s="52"/>
      <c r="E773" s="52"/>
      <c r="F773" s="52"/>
      <c r="G773" s="52"/>
      <c r="H773" s="52"/>
    </row>
    <row r="774" spans="1:8" ht="15.75">
      <c r="A774" s="124">
        <v>40550</v>
      </c>
      <c r="B774" s="125">
        <v>46.29</v>
      </c>
      <c r="C774" s="52"/>
      <c r="D774" s="52"/>
      <c r="E774" s="52"/>
      <c r="F774" s="52"/>
      <c r="G774" s="52"/>
      <c r="H774" s="52"/>
    </row>
    <row r="775" spans="1:8" ht="15.75">
      <c r="A775" s="124">
        <v>40553</v>
      </c>
      <c r="B775" s="125">
        <v>46.83</v>
      </c>
      <c r="C775" s="52"/>
      <c r="D775" s="52"/>
      <c r="E775" s="52"/>
      <c r="F775" s="52"/>
      <c r="G775" s="52"/>
      <c r="H775" s="52"/>
    </row>
    <row r="776" spans="1:8" ht="15.75">
      <c r="A776" s="124">
        <v>40554</v>
      </c>
      <c r="B776" s="125">
        <v>46.8</v>
      </c>
      <c r="C776" s="52"/>
      <c r="D776" s="52"/>
      <c r="E776" s="52"/>
      <c r="F776" s="52"/>
      <c r="G776" s="52"/>
      <c r="H776" s="52"/>
    </row>
    <row r="777" spans="1:8" ht="15.75">
      <c r="A777" s="124">
        <v>40555</v>
      </c>
      <c r="B777" s="125">
        <v>46.81</v>
      </c>
      <c r="C777" s="52"/>
      <c r="D777" s="52"/>
      <c r="E777" s="52"/>
      <c r="F777" s="52"/>
      <c r="G777" s="52"/>
      <c r="H777" s="52"/>
    </row>
    <row r="778" spans="1:8" ht="15.75">
      <c r="A778" s="124">
        <v>40556</v>
      </c>
      <c r="B778" s="125">
        <v>46.81</v>
      </c>
      <c r="C778" s="52"/>
      <c r="D778" s="52"/>
      <c r="E778" s="52"/>
      <c r="F778" s="52"/>
      <c r="G778" s="52"/>
      <c r="H778" s="52"/>
    </row>
    <row r="779" spans="1:8" ht="15.75">
      <c r="A779" s="124">
        <v>40557</v>
      </c>
      <c r="B779" s="125">
        <v>46.97</v>
      </c>
      <c r="C779" s="52"/>
      <c r="D779" s="52"/>
      <c r="E779" s="52"/>
      <c r="F779" s="52"/>
      <c r="G779" s="52"/>
      <c r="H779" s="52"/>
    </row>
    <row r="780" spans="1:8" ht="15.75">
      <c r="A780" s="124">
        <v>40560</v>
      </c>
      <c r="B780" s="125">
        <v>46.98</v>
      </c>
      <c r="C780" s="52"/>
      <c r="D780" s="52"/>
      <c r="E780" s="52"/>
      <c r="F780" s="52"/>
      <c r="G780" s="52"/>
      <c r="H780" s="52"/>
    </row>
    <row r="781" spans="1:8" ht="15.75">
      <c r="A781" s="124">
        <v>40561</v>
      </c>
      <c r="B781" s="125">
        <v>47.07</v>
      </c>
      <c r="C781" s="52"/>
      <c r="D781" s="52"/>
      <c r="E781" s="52"/>
      <c r="F781" s="52"/>
      <c r="G781" s="52"/>
      <c r="H781" s="52"/>
    </row>
    <row r="782" spans="1:8" ht="15.75">
      <c r="A782" s="124">
        <v>40562</v>
      </c>
      <c r="B782" s="125">
        <v>46.84</v>
      </c>
      <c r="C782" s="52"/>
      <c r="D782" s="52"/>
      <c r="E782" s="52"/>
      <c r="F782" s="52"/>
      <c r="G782" s="52"/>
      <c r="H782" s="52"/>
    </row>
    <row r="783" spans="1:8" ht="15.75">
      <c r="A783" s="124">
        <v>40563</v>
      </c>
      <c r="B783" s="125">
        <v>46.94</v>
      </c>
      <c r="C783" s="52"/>
      <c r="D783" s="52"/>
      <c r="E783" s="52"/>
      <c r="F783" s="52"/>
      <c r="G783" s="52"/>
      <c r="H783" s="52"/>
    </row>
    <row r="784" spans="1:8" ht="15.75">
      <c r="A784" s="124">
        <v>40564</v>
      </c>
      <c r="B784" s="125">
        <v>46.74</v>
      </c>
      <c r="C784" s="52"/>
      <c r="D784" s="52"/>
      <c r="E784" s="52"/>
      <c r="F784" s="52"/>
      <c r="G784" s="52"/>
      <c r="H784" s="52"/>
    </row>
    <row r="785" spans="1:8" ht="15.75">
      <c r="A785" s="124">
        <v>40567</v>
      </c>
      <c r="B785" s="125">
        <v>46.85</v>
      </c>
      <c r="C785" s="52"/>
      <c r="D785" s="52"/>
      <c r="E785" s="52"/>
      <c r="F785" s="52"/>
      <c r="G785" s="52"/>
      <c r="H785" s="52"/>
    </row>
    <row r="786" spans="1:8" ht="15.75">
      <c r="A786" s="124">
        <v>40568</v>
      </c>
      <c r="B786" s="125">
        <v>46.85</v>
      </c>
      <c r="C786" s="52"/>
      <c r="D786" s="52"/>
      <c r="E786" s="52"/>
      <c r="F786" s="52"/>
      <c r="G786" s="52"/>
      <c r="H786" s="52"/>
    </row>
    <row r="787" spans="1:8" ht="15.75">
      <c r="A787" s="124">
        <v>40569</v>
      </c>
      <c r="B787" s="125">
        <v>46.82</v>
      </c>
      <c r="C787" s="52"/>
      <c r="D787" s="52"/>
      <c r="E787" s="52"/>
      <c r="F787" s="52"/>
      <c r="G787" s="52"/>
      <c r="H787" s="52"/>
    </row>
    <row r="788" spans="1:8" ht="15.75">
      <c r="A788" s="124">
        <v>40570</v>
      </c>
      <c r="B788" s="125">
        <v>46.81</v>
      </c>
      <c r="C788" s="52"/>
      <c r="D788" s="52"/>
      <c r="E788" s="52"/>
      <c r="F788" s="52"/>
      <c r="G788" s="52"/>
      <c r="H788" s="52"/>
    </row>
    <row r="789" spans="1:8" ht="15.75">
      <c r="A789" s="124">
        <v>40571</v>
      </c>
      <c r="B789" s="125">
        <v>46.96</v>
      </c>
      <c r="C789" s="52"/>
      <c r="D789" s="52"/>
      <c r="E789" s="52"/>
      <c r="F789" s="52"/>
      <c r="G789" s="52"/>
      <c r="H789" s="52"/>
    </row>
    <row r="790" spans="1:8" ht="15.75">
      <c r="A790" s="124">
        <v>40574</v>
      </c>
      <c r="B790" s="125">
        <v>46.37</v>
      </c>
      <c r="C790" s="52"/>
      <c r="D790" s="52"/>
      <c r="E790" s="52"/>
      <c r="F790" s="52"/>
      <c r="G790" s="52"/>
      <c r="H790" s="52"/>
    </row>
    <row r="791" spans="1:8" ht="15.75">
      <c r="A791" s="124">
        <v>40575</v>
      </c>
      <c r="B791" s="125">
        <v>46.78</v>
      </c>
      <c r="C791" s="52"/>
      <c r="D791" s="52"/>
      <c r="E791" s="52"/>
      <c r="F791" s="52"/>
      <c r="G791" s="52"/>
      <c r="H791" s="52"/>
    </row>
    <row r="792" spans="1:8" ht="15.75">
      <c r="A792" s="124">
        <v>40576</v>
      </c>
      <c r="B792" s="125">
        <v>46.39</v>
      </c>
      <c r="C792" s="52"/>
      <c r="D792" s="52"/>
      <c r="E792" s="52"/>
      <c r="F792" s="52"/>
      <c r="G792" s="52"/>
      <c r="H792" s="52"/>
    </row>
    <row r="793" spans="1:8" ht="15.75">
      <c r="A793" s="124">
        <v>40577</v>
      </c>
      <c r="B793" s="125">
        <v>46.89</v>
      </c>
      <c r="C793" s="52"/>
      <c r="D793" s="52"/>
      <c r="E793" s="52"/>
      <c r="F793" s="52"/>
      <c r="G793" s="52"/>
      <c r="H793" s="52"/>
    </row>
    <row r="794" spans="1:8" ht="15.75">
      <c r="A794" s="124">
        <v>40578</v>
      </c>
      <c r="B794" s="125">
        <v>46.4</v>
      </c>
      <c r="C794" s="52"/>
      <c r="D794" s="52"/>
      <c r="E794" s="52"/>
      <c r="F794" s="52"/>
      <c r="G794" s="52"/>
      <c r="H794" s="52"/>
    </row>
    <row r="795" spans="1:8" ht="15.75">
      <c r="A795" s="124">
        <v>40581</v>
      </c>
      <c r="B795" s="125">
        <v>46.91</v>
      </c>
      <c r="C795" s="52"/>
      <c r="D795" s="52"/>
      <c r="E795" s="52"/>
      <c r="F795" s="52"/>
      <c r="G795" s="52"/>
      <c r="H795" s="52"/>
    </row>
    <row r="796" spans="1:8" ht="15.75">
      <c r="A796" s="124">
        <v>40582</v>
      </c>
      <c r="B796" s="125">
        <v>46.92</v>
      </c>
      <c r="C796" s="52"/>
      <c r="D796" s="52"/>
      <c r="E796" s="52"/>
      <c r="F796" s="52"/>
      <c r="G796" s="52"/>
      <c r="H796" s="52"/>
    </row>
    <row r="797" spans="1:8" ht="15.75">
      <c r="A797" s="124">
        <v>40583</v>
      </c>
      <c r="B797" s="125">
        <v>46.8</v>
      </c>
      <c r="C797" s="52"/>
      <c r="D797" s="52"/>
      <c r="E797" s="52"/>
      <c r="F797" s="52"/>
      <c r="G797" s="52"/>
      <c r="H797" s="52"/>
    </row>
    <row r="798" spans="1:8" ht="15.75">
      <c r="A798" s="124">
        <v>40584</v>
      </c>
      <c r="B798" s="125">
        <v>46.92</v>
      </c>
      <c r="C798" s="52"/>
      <c r="D798" s="52"/>
      <c r="E798" s="52"/>
      <c r="F798" s="52"/>
      <c r="G798" s="52"/>
      <c r="H798" s="52"/>
    </row>
    <row r="799" spans="1:8" ht="15.75">
      <c r="A799" s="124">
        <v>40585</v>
      </c>
      <c r="B799" s="125">
        <v>47.12</v>
      </c>
      <c r="C799" s="52"/>
      <c r="D799" s="52"/>
      <c r="E799" s="52"/>
      <c r="F799" s="52"/>
      <c r="G799" s="52"/>
      <c r="H799" s="52"/>
    </row>
    <row r="800" spans="1:8" ht="15.75">
      <c r="A800" s="124">
        <v>40588</v>
      </c>
      <c r="B800" s="125">
        <v>46.9</v>
      </c>
      <c r="C800" s="52"/>
      <c r="D800" s="52"/>
      <c r="E800" s="52"/>
      <c r="F800" s="52"/>
      <c r="G800" s="52"/>
      <c r="H800" s="52"/>
    </row>
    <row r="801" spans="1:8" ht="15.75">
      <c r="A801" s="124">
        <v>40589</v>
      </c>
      <c r="B801" s="125">
        <v>47</v>
      </c>
      <c r="C801" s="52"/>
      <c r="D801" s="52"/>
      <c r="E801" s="52"/>
      <c r="F801" s="52"/>
      <c r="G801" s="52"/>
      <c r="H801" s="52"/>
    </row>
    <row r="802" spans="1:8" ht="15.75">
      <c r="A802" s="124">
        <v>40590</v>
      </c>
      <c r="B802" s="125">
        <v>46.91</v>
      </c>
      <c r="C802" s="52"/>
      <c r="D802" s="52"/>
      <c r="E802" s="52"/>
      <c r="F802" s="52"/>
      <c r="G802" s="52"/>
      <c r="H802" s="52"/>
    </row>
    <row r="803" spans="1:8" ht="15.75">
      <c r="A803" s="124">
        <v>40591</v>
      </c>
      <c r="B803" s="125">
        <v>46.87</v>
      </c>
      <c r="C803" s="52"/>
      <c r="D803" s="52"/>
      <c r="E803" s="52"/>
      <c r="F803" s="52"/>
      <c r="G803" s="52"/>
      <c r="H803" s="52"/>
    </row>
    <row r="804" spans="1:8" ht="15.75">
      <c r="A804" s="124">
        <v>40592</v>
      </c>
      <c r="B804" s="125">
        <v>46.77</v>
      </c>
      <c r="C804" s="52"/>
      <c r="D804" s="52"/>
      <c r="E804" s="52"/>
      <c r="F804" s="52"/>
      <c r="G804" s="52"/>
      <c r="H804" s="52"/>
    </row>
    <row r="805" spans="1:8" ht="15.75">
      <c r="A805" s="124">
        <v>40595</v>
      </c>
      <c r="B805" s="125">
        <v>46.72</v>
      </c>
      <c r="C805" s="52"/>
      <c r="D805" s="52"/>
      <c r="E805" s="52"/>
      <c r="F805" s="52"/>
      <c r="G805" s="52"/>
      <c r="H805" s="52"/>
    </row>
    <row r="806" spans="1:8" ht="15.75">
      <c r="A806" s="124">
        <v>40596</v>
      </c>
      <c r="B806" s="125">
        <v>46.73</v>
      </c>
      <c r="C806" s="52"/>
      <c r="D806" s="52"/>
      <c r="E806" s="52"/>
      <c r="F806" s="52"/>
      <c r="G806" s="52"/>
      <c r="H806" s="52"/>
    </row>
    <row r="807" spans="1:8" ht="15.75">
      <c r="A807" s="124">
        <v>40597</v>
      </c>
      <c r="B807" s="125">
        <v>46.98</v>
      </c>
      <c r="C807" s="52"/>
      <c r="D807" s="52"/>
      <c r="E807" s="52"/>
      <c r="F807" s="52"/>
      <c r="G807" s="52"/>
      <c r="H807" s="52"/>
    </row>
    <row r="808" spans="1:8" ht="15.75">
      <c r="A808" s="124">
        <v>40598</v>
      </c>
      <c r="B808" s="125">
        <v>46.7</v>
      </c>
      <c r="C808" s="52"/>
      <c r="D808" s="52"/>
      <c r="E808" s="52"/>
      <c r="F808" s="52"/>
      <c r="G808" s="52"/>
      <c r="H808" s="52"/>
    </row>
    <row r="809" spans="1:8" ht="15.75">
      <c r="A809" s="124">
        <v>40599</v>
      </c>
      <c r="B809" s="125">
        <v>46.99</v>
      </c>
      <c r="C809" s="52"/>
      <c r="D809" s="52"/>
      <c r="E809" s="52"/>
      <c r="F809" s="52"/>
      <c r="G809" s="52"/>
      <c r="H809" s="52"/>
    </row>
    <row r="810" spans="1:8" ht="15.75">
      <c r="A810" s="124">
        <v>40602</v>
      </c>
      <c r="B810" s="125">
        <v>46.99</v>
      </c>
      <c r="C810" s="52"/>
      <c r="D810" s="52"/>
      <c r="E810" s="52"/>
      <c r="F810" s="52"/>
      <c r="G810" s="52"/>
      <c r="H810" s="52"/>
    </row>
    <row r="811" spans="1:8" ht="15.75">
      <c r="A811" s="124">
        <v>40603</v>
      </c>
      <c r="B811" s="125">
        <v>46.61</v>
      </c>
      <c r="C811" s="52"/>
      <c r="D811" s="52"/>
      <c r="E811" s="52"/>
      <c r="F811" s="52"/>
      <c r="G811" s="52"/>
      <c r="H811" s="52"/>
    </row>
    <row r="812" spans="1:8" ht="15.75">
      <c r="A812" s="124">
        <v>40604</v>
      </c>
      <c r="B812" s="125">
        <v>46.7</v>
      </c>
      <c r="C812" s="52"/>
      <c r="D812" s="52"/>
      <c r="E812" s="52"/>
      <c r="F812" s="52"/>
      <c r="G812" s="52"/>
      <c r="H812" s="52"/>
    </row>
    <row r="813" spans="1:8" ht="15.75">
      <c r="A813" s="124">
        <v>40605</v>
      </c>
      <c r="B813" s="125">
        <v>46.61</v>
      </c>
      <c r="C813" s="52"/>
      <c r="D813" s="52"/>
      <c r="E813" s="52"/>
      <c r="F813" s="52"/>
      <c r="G813" s="52"/>
      <c r="H813" s="52"/>
    </row>
    <row r="814" spans="1:8" ht="15.75">
      <c r="A814" s="124">
        <v>40606</v>
      </c>
      <c r="B814" s="125">
        <v>46.61</v>
      </c>
      <c r="C814" s="52"/>
      <c r="D814" s="52"/>
      <c r="E814" s="52"/>
      <c r="F814" s="52"/>
      <c r="G814" s="52"/>
      <c r="H814" s="52"/>
    </row>
    <row r="815" spans="1:8" ht="15.75">
      <c r="A815" s="124">
        <v>40609</v>
      </c>
      <c r="B815" s="125">
        <v>46.87</v>
      </c>
      <c r="C815" s="52"/>
      <c r="D815" s="52"/>
      <c r="E815" s="52"/>
      <c r="F815" s="52"/>
      <c r="G815" s="52"/>
      <c r="H815" s="52"/>
    </row>
    <row r="816" spans="1:8" ht="15.75">
      <c r="A816" s="124">
        <v>40610</v>
      </c>
      <c r="B816" s="125">
        <v>46.92</v>
      </c>
      <c r="C816" s="52"/>
      <c r="D816" s="52"/>
      <c r="E816" s="52"/>
      <c r="F816" s="52"/>
      <c r="G816" s="52"/>
      <c r="H816" s="52"/>
    </row>
    <row r="817" spans="1:8" ht="15.75">
      <c r="A817" s="124">
        <v>40611</v>
      </c>
      <c r="B817" s="125">
        <v>46.92</v>
      </c>
      <c r="C817" s="52"/>
      <c r="D817" s="52"/>
      <c r="E817" s="52"/>
      <c r="F817" s="52"/>
      <c r="G817" s="52"/>
      <c r="H817" s="52"/>
    </row>
    <row r="818" spans="1:8" ht="15.75">
      <c r="A818" s="124">
        <v>40612</v>
      </c>
      <c r="B818" s="125">
        <v>46.83</v>
      </c>
      <c r="C818" s="52"/>
      <c r="D818" s="52"/>
      <c r="E818" s="52"/>
      <c r="F818" s="52"/>
      <c r="G818" s="52"/>
      <c r="H818" s="52"/>
    </row>
    <row r="819" spans="1:8" ht="15.75">
      <c r="A819" s="124">
        <v>40613</v>
      </c>
      <c r="B819" s="125">
        <v>46.93</v>
      </c>
      <c r="C819" s="52"/>
      <c r="D819" s="52"/>
      <c r="E819" s="52"/>
      <c r="F819" s="52"/>
      <c r="G819" s="52"/>
      <c r="H819" s="52"/>
    </row>
    <row r="820" spans="1:8" ht="15.75">
      <c r="A820" s="124">
        <v>40616</v>
      </c>
      <c r="B820" s="125">
        <v>46.81</v>
      </c>
      <c r="C820" s="52"/>
      <c r="D820" s="52"/>
      <c r="E820" s="52"/>
      <c r="F820" s="52"/>
      <c r="G820" s="52"/>
      <c r="H820" s="52"/>
    </row>
    <row r="821" spans="1:8" ht="15.75">
      <c r="A821" s="124">
        <v>40617</v>
      </c>
      <c r="B821" s="125">
        <v>46.81</v>
      </c>
      <c r="C821" s="52"/>
      <c r="D821" s="52"/>
      <c r="E821" s="52"/>
      <c r="F821" s="52"/>
      <c r="G821" s="52"/>
      <c r="H821" s="52"/>
    </row>
    <row r="822" spans="1:8" ht="15.75">
      <c r="A822" s="124">
        <v>40618</v>
      </c>
      <c r="B822" s="125">
        <v>46.76</v>
      </c>
      <c r="C822" s="52"/>
      <c r="D822" s="52"/>
      <c r="E822" s="52"/>
      <c r="F822" s="52"/>
      <c r="G822" s="52"/>
      <c r="H822" s="52"/>
    </row>
    <row r="823" spans="1:8" ht="15.75">
      <c r="A823" s="124">
        <v>40619</v>
      </c>
      <c r="B823" s="125">
        <v>46.76</v>
      </c>
      <c r="C823" s="52"/>
      <c r="D823" s="52"/>
      <c r="E823" s="52"/>
      <c r="F823" s="52"/>
      <c r="G823" s="52"/>
      <c r="H823" s="52"/>
    </row>
    <row r="824" spans="1:8" ht="15.75">
      <c r="A824" s="124">
        <v>40620</v>
      </c>
      <c r="B824" s="125">
        <v>46.56</v>
      </c>
      <c r="C824" s="52"/>
      <c r="D824" s="52"/>
      <c r="E824" s="52"/>
      <c r="F824" s="52"/>
      <c r="G824" s="52"/>
      <c r="H824" s="52"/>
    </row>
    <row r="825" spans="1:8" ht="15.75">
      <c r="A825" s="124">
        <v>40623</v>
      </c>
      <c r="B825" s="125">
        <v>46.57</v>
      </c>
      <c r="C825" s="52"/>
      <c r="D825" s="52"/>
      <c r="E825" s="52"/>
      <c r="F825" s="52"/>
      <c r="G825" s="52"/>
      <c r="H825" s="52"/>
    </row>
    <row r="826" spans="1:8" ht="15.75">
      <c r="A826" s="124">
        <v>40624</v>
      </c>
      <c r="B826" s="125">
        <v>46.58</v>
      </c>
      <c r="C826" s="52"/>
      <c r="D826" s="52"/>
      <c r="E826" s="52"/>
      <c r="F826" s="52"/>
      <c r="G826" s="52"/>
      <c r="H826" s="52"/>
    </row>
    <row r="827" spans="1:8" ht="15.75">
      <c r="A827" s="124">
        <v>40625</v>
      </c>
      <c r="B827" s="125">
        <v>46.58</v>
      </c>
      <c r="C827" s="52"/>
      <c r="D827" s="52"/>
      <c r="E827" s="52"/>
      <c r="F827" s="52"/>
      <c r="G827" s="52"/>
      <c r="H827" s="52"/>
    </row>
    <row r="828" spans="1:8" ht="15.75">
      <c r="A828" s="124">
        <v>40626</v>
      </c>
      <c r="B828" s="125">
        <v>46.65</v>
      </c>
      <c r="C828" s="52"/>
      <c r="D828" s="52"/>
      <c r="E828" s="52"/>
      <c r="F828" s="52"/>
      <c r="G828" s="52"/>
      <c r="H828" s="52"/>
    </row>
    <row r="829" spans="1:8" ht="15.75">
      <c r="A829" s="124">
        <v>40627</v>
      </c>
      <c r="B829" s="125">
        <v>46.65</v>
      </c>
      <c r="C829" s="52"/>
      <c r="D829" s="52"/>
      <c r="E829" s="52"/>
      <c r="F829" s="52"/>
      <c r="G829" s="52"/>
      <c r="H829" s="52"/>
    </row>
    <row r="830" spans="1:8" ht="15.75">
      <c r="A830" s="124">
        <v>40630</v>
      </c>
      <c r="B830" s="125">
        <v>46.95</v>
      </c>
      <c r="C830" s="52"/>
      <c r="D830" s="52"/>
      <c r="E830" s="52"/>
      <c r="F830" s="52"/>
      <c r="G830" s="52"/>
      <c r="H830" s="52"/>
    </row>
    <row r="831" spans="1:8" ht="15.75">
      <c r="A831" s="124">
        <v>40631</v>
      </c>
      <c r="B831" s="125">
        <v>46.8</v>
      </c>
      <c r="C831" s="52"/>
      <c r="D831" s="52"/>
      <c r="E831" s="52"/>
      <c r="F831" s="52"/>
      <c r="G831" s="52"/>
      <c r="H831" s="52"/>
    </row>
    <row r="832" spans="1:8" ht="15.75">
      <c r="A832" s="124">
        <v>40632</v>
      </c>
      <c r="B832" s="125">
        <v>47.34</v>
      </c>
      <c r="C832" s="52"/>
      <c r="D832" s="52"/>
      <c r="E832" s="52"/>
      <c r="F832" s="52"/>
      <c r="G832" s="52"/>
      <c r="H832" s="52"/>
    </row>
    <row r="833" spans="1:8" ht="15.75">
      <c r="A833" s="124">
        <v>40633</v>
      </c>
      <c r="B833" s="125">
        <v>46.95</v>
      </c>
      <c r="C833" s="52"/>
      <c r="D833" s="52"/>
      <c r="E833" s="52"/>
      <c r="F833" s="52"/>
      <c r="G833" s="52"/>
      <c r="H833" s="52"/>
    </row>
    <row r="834" spans="1:8" ht="15.75">
      <c r="A834" s="124">
        <v>40634</v>
      </c>
      <c r="B834" s="125">
        <v>46.98</v>
      </c>
      <c r="C834" s="52"/>
      <c r="D834" s="52"/>
      <c r="E834" s="52"/>
      <c r="F834" s="52"/>
      <c r="G834" s="52"/>
      <c r="H834" s="52"/>
    </row>
    <row r="835" spans="1:8" ht="15.75">
      <c r="A835" s="124">
        <v>40637</v>
      </c>
      <c r="B835" s="125">
        <v>47.01</v>
      </c>
      <c r="C835" s="52"/>
      <c r="D835" s="52"/>
      <c r="E835" s="52"/>
      <c r="F835" s="52"/>
      <c r="G835" s="52"/>
      <c r="H835" s="52"/>
    </row>
    <row r="836" spans="1:8" ht="15.75">
      <c r="A836" s="124">
        <v>40638</v>
      </c>
      <c r="B836" s="125">
        <v>47.06</v>
      </c>
      <c r="C836" s="52"/>
      <c r="D836" s="52"/>
      <c r="E836" s="52"/>
      <c r="F836" s="52"/>
      <c r="G836" s="52"/>
      <c r="H836" s="52"/>
    </row>
    <row r="837" spans="1:8" ht="15.75">
      <c r="A837" s="124">
        <v>40639</v>
      </c>
      <c r="B837" s="125">
        <v>47.02</v>
      </c>
      <c r="C837" s="52"/>
      <c r="D837" s="52"/>
      <c r="E837" s="52"/>
      <c r="F837" s="52"/>
      <c r="G837" s="52"/>
      <c r="H837" s="52"/>
    </row>
    <row r="838" spans="1:8" ht="15.75">
      <c r="A838" s="124">
        <v>40640</v>
      </c>
      <c r="B838" s="125">
        <v>47.02</v>
      </c>
      <c r="C838" s="52"/>
      <c r="D838" s="52"/>
      <c r="E838" s="52"/>
      <c r="F838" s="52"/>
      <c r="G838" s="52"/>
      <c r="H838" s="52"/>
    </row>
    <row r="839" spans="1:8" ht="15.75">
      <c r="A839" s="124">
        <v>40641</v>
      </c>
      <c r="B839" s="125">
        <v>47.06</v>
      </c>
      <c r="C839" s="52"/>
      <c r="D839" s="52"/>
      <c r="E839" s="52"/>
      <c r="F839" s="52"/>
      <c r="G839" s="52"/>
      <c r="H839" s="52"/>
    </row>
    <row r="840" spans="1:8" ht="15.75">
      <c r="A840" s="124">
        <v>40644</v>
      </c>
      <c r="B840" s="125">
        <v>47.03</v>
      </c>
      <c r="C840" s="52"/>
      <c r="D840" s="52"/>
      <c r="E840" s="52"/>
      <c r="F840" s="52"/>
      <c r="G840" s="52"/>
      <c r="H840" s="52"/>
    </row>
    <row r="841" spans="1:8" ht="15.75">
      <c r="A841" s="124">
        <v>40645</v>
      </c>
      <c r="B841" s="125">
        <v>47.23</v>
      </c>
      <c r="C841" s="52"/>
      <c r="D841" s="52"/>
      <c r="E841" s="52"/>
      <c r="F841" s="52"/>
      <c r="G841" s="52"/>
      <c r="H841" s="52"/>
    </row>
    <row r="842" spans="1:8" ht="15.75">
      <c r="A842" s="124">
        <v>40646</v>
      </c>
      <c r="B842" s="125">
        <v>47.31</v>
      </c>
      <c r="C842" s="52"/>
      <c r="D842" s="52"/>
      <c r="E842" s="52"/>
      <c r="F842" s="52"/>
      <c r="G842" s="52"/>
      <c r="H842" s="52"/>
    </row>
    <row r="843" spans="1:8" ht="15.75">
      <c r="A843" s="124">
        <v>40647</v>
      </c>
      <c r="B843" s="125">
        <v>47.28</v>
      </c>
      <c r="C843" s="52"/>
      <c r="D843" s="52"/>
      <c r="E843" s="52"/>
      <c r="F843" s="52"/>
      <c r="G843" s="52"/>
      <c r="H843" s="52"/>
    </row>
    <row r="844" spans="1:8" ht="15.75">
      <c r="A844" s="124">
        <v>40648</v>
      </c>
      <c r="B844" s="125">
        <v>47.32</v>
      </c>
      <c r="C844" s="52"/>
      <c r="D844" s="52"/>
      <c r="E844" s="52"/>
      <c r="F844" s="52"/>
      <c r="G844" s="52"/>
      <c r="H844" s="52"/>
    </row>
    <row r="845" spans="1:8" ht="15.75">
      <c r="A845" s="124">
        <v>40651</v>
      </c>
      <c r="B845" s="125">
        <v>47.46</v>
      </c>
      <c r="C845" s="52"/>
      <c r="D845" s="52"/>
      <c r="E845" s="52"/>
      <c r="F845" s="52"/>
      <c r="G845" s="52"/>
      <c r="H845" s="52"/>
    </row>
    <row r="846" spans="1:8" ht="15.75">
      <c r="A846" s="124">
        <v>40652</v>
      </c>
      <c r="B846" s="125">
        <v>47.3</v>
      </c>
      <c r="C846" s="52"/>
      <c r="D846" s="52"/>
      <c r="E846" s="52"/>
      <c r="F846" s="52"/>
      <c r="G846" s="52"/>
      <c r="H846" s="52"/>
    </row>
    <row r="847" spans="1:8" ht="15.75">
      <c r="A847" s="124">
        <v>40653</v>
      </c>
      <c r="B847" s="125">
        <v>47.53</v>
      </c>
      <c r="C847" s="52"/>
      <c r="D847" s="52"/>
      <c r="E847" s="52"/>
      <c r="F847" s="52"/>
      <c r="G847" s="52"/>
      <c r="H847" s="52"/>
    </row>
    <row r="848" spans="1:8" ht="15.75">
      <c r="A848" s="124">
        <v>40654</v>
      </c>
      <c r="B848" s="125">
        <v>47.38</v>
      </c>
      <c r="C848" s="52"/>
      <c r="D848" s="52"/>
      <c r="E848" s="52"/>
      <c r="F848" s="52"/>
      <c r="G848" s="52"/>
      <c r="H848" s="52"/>
    </row>
    <row r="849" spans="1:8" ht="15.75">
      <c r="A849" s="124">
        <v>40659</v>
      </c>
      <c r="B849" s="125">
        <v>47.49</v>
      </c>
      <c r="C849" s="52"/>
      <c r="D849" s="52"/>
      <c r="E849" s="52"/>
      <c r="F849" s="52"/>
      <c r="G849" s="52"/>
      <c r="H849" s="52"/>
    </row>
    <row r="850" spans="1:8" ht="15.75">
      <c r="A850" s="124">
        <v>40660</v>
      </c>
      <c r="B850" s="125">
        <v>47.37</v>
      </c>
      <c r="C850" s="52"/>
      <c r="D850" s="52"/>
      <c r="E850" s="52"/>
      <c r="F850" s="52"/>
      <c r="G850" s="52"/>
      <c r="H850" s="52"/>
    </row>
    <row r="851" spans="1:8" ht="15.75">
      <c r="A851" s="124">
        <v>40661</v>
      </c>
      <c r="B851" s="125">
        <v>47.38</v>
      </c>
      <c r="C851" s="52"/>
      <c r="D851" s="52"/>
      <c r="E851" s="52"/>
      <c r="F851" s="52"/>
      <c r="G851" s="52"/>
      <c r="H851" s="52"/>
    </row>
    <row r="852" spans="1:8" ht="15.75">
      <c r="A852" s="124">
        <v>40662</v>
      </c>
      <c r="B852" s="125">
        <v>47.38</v>
      </c>
      <c r="C852" s="52"/>
      <c r="D852" s="52"/>
      <c r="E852" s="52"/>
      <c r="F852" s="52"/>
      <c r="G852" s="52"/>
      <c r="H852" s="52"/>
    </row>
    <row r="853" spans="1:8" ht="15.75">
      <c r="A853" s="124">
        <v>40665</v>
      </c>
      <c r="B853" s="125">
        <v>47.72</v>
      </c>
      <c r="C853" s="52"/>
      <c r="D853" s="52"/>
      <c r="E853" s="52"/>
      <c r="F853" s="52"/>
      <c r="G853" s="52"/>
      <c r="H853" s="52"/>
    </row>
    <row r="854" spans="1:8" ht="15.75">
      <c r="A854" s="124">
        <v>40666</v>
      </c>
      <c r="B854" s="125">
        <v>47.4</v>
      </c>
      <c r="C854" s="52"/>
      <c r="D854" s="52"/>
      <c r="E854" s="52"/>
      <c r="F854" s="52"/>
      <c r="G854" s="52"/>
      <c r="H854" s="52"/>
    </row>
    <row r="855" spans="1:8" ht="15.75">
      <c r="A855" s="124">
        <v>40667</v>
      </c>
      <c r="B855" s="125">
        <v>47.45</v>
      </c>
      <c r="C855" s="52"/>
      <c r="D855" s="52"/>
      <c r="E855" s="52"/>
      <c r="F855" s="52"/>
      <c r="G855" s="52"/>
      <c r="H855" s="52"/>
    </row>
    <row r="856" spans="1:8" ht="15.75">
      <c r="A856" s="124">
        <v>40668</v>
      </c>
      <c r="B856" s="125">
        <v>47.47</v>
      </c>
      <c r="C856" s="52"/>
      <c r="D856" s="52"/>
      <c r="E856" s="52"/>
      <c r="F856" s="52"/>
      <c r="G856" s="52"/>
      <c r="H856" s="52"/>
    </row>
    <row r="857" spans="1:8" ht="15.75">
      <c r="A857" s="124">
        <v>40669</v>
      </c>
      <c r="B857" s="125">
        <v>47.45</v>
      </c>
      <c r="C857" s="52"/>
      <c r="D857" s="52"/>
      <c r="E857" s="52"/>
      <c r="F857" s="52"/>
      <c r="G857" s="52"/>
      <c r="H857" s="52"/>
    </row>
    <row r="858" spans="1:8" ht="15.75">
      <c r="A858" s="124">
        <v>40672</v>
      </c>
      <c r="B858" s="125">
        <v>47.38</v>
      </c>
      <c r="C858" s="52"/>
      <c r="D858" s="52"/>
      <c r="E858" s="52"/>
      <c r="F858" s="52"/>
      <c r="G858" s="52"/>
      <c r="H858" s="52"/>
    </row>
    <row r="859" spans="1:8" ht="15.75">
      <c r="A859" s="124">
        <v>40673</v>
      </c>
      <c r="B859" s="125">
        <v>47.6</v>
      </c>
      <c r="C859" s="52"/>
      <c r="D859" s="52"/>
      <c r="E859" s="52"/>
      <c r="F859" s="52"/>
      <c r="G859" s="52"/>
      <c r="H859" s="52"/>
    </row>
    <row r="860" spans="1:8" ht="15.75">
      <c r="A860" s="124">
        <v>40674</v>
      </c>
      <c r="B860" s="125">
        <v>47.43</v>
      </c>
      <c r="C860" s="52"/>
      <c r="D860" s="52"/>
      <c r="E860" s="52"/>
      <c r="F860" s="52"/>
      <c r="G860" s="52"/>
      <c r="H860" s="52"/>
    </row>
    <row r="861" spans="1:8" ht="15.75">
      <c r="A861" s="124">
        <v>40675</v>
      </c>
      <c r="B861" s="125">
        <v>47.37</v>
      </c>
      <c r="C861" s="52"/>
      <c r="D861" s="52"/>
      <c r="E861" s="52"/>
      <c r="F861" s="52"/>
      <c r="G861" s="52"/>
      <c r="H861" s="52"/>
    </row>
    <row r="862" spans="1:8" ht="15.75">
      <c r="A862" s="124">
        <v>40676</v>
      </c>
      <c r="B862" s="125">
        <v>47.23</v>
      </c>
      <c r="C862" s="52"/>
      <c r="D862" s="52"/>
      <c r="E862" s="52"/>
      <c r="F862" s="52"/>
      <c r="G862" s="52"/>
      <c r="H862" s="52"/>
    </row>
    <row r="863" spans="1:8" ht="15.75">
      <c r="A863" s="124">
        <v>40679</v>
      </c>
      <c r="B863" s="125">
        <v>47.33</v>
      </c>
      <c r="C863" s="52"/>
      <c r="D863" s="52"/>
      <c r="E863" s="52"/>
      <c r="F863" s="52"/>
      <c r="G863" s="52"/>
      <c r="H863" s="52"/>
    </row>
    <row r="864" spans="1:8" ht="15.75">
      <c r="A864" s="124">
        <v>40680</v>
      </c>
      <c r="B864" s="125">
        <v>47.33</v>
      </c>
      <c r="C864" s="52"/>
      <c r="D864" s="52"/>
      <c r="E864" s="52"/>
      <c r="F864" s="52"/>
      <c r="G864" s="52"/>
      <c r="H864" s="52"/>
    </row>
    <row r="865" spans="1:8" ht="15.75">
      <c r="A865" s="124">
        <v>40681</v>
      </c>
      <c r="B865" s="125">
        <v>47.23</v>
      </c>
      <c r="C865" s="52"/>
      <c r="D865" s="52"/>
      <c r="E865" s="52"/>
      <c r="F865" s="52"/>
      <c r="G865" s="52"/>
      <c r="H865" s="52"/>
    </row>
    <row r="866" spans="1:8" ht="15.75">
      <c r="A866" s="124">
        <v>40682</v>
      </c>
      <c r="B866" s="125">
        <v>47.4</v>
      </c>
      <c r="C866" s="52"/>
      <c r="D866" s="52"/>
      <c r="E866" s="52"/>
      <c r="F866" s="52"/>
      <c r="G866" s="52"/>
      <c r="H866" s="52"/>
    </row>
    <row r="867" spans="1:8" ht="15.75">
      <c r="A867" s="124">
        <v>40683</v>
      </c>
      <c r="B867" s="125">
        <v>47.27</v>
      </c>
      <c r="C867" s="52"/>
      <c r="D867" s="52"/>
      <c r="E867" s="52"/>
      <c r="F867" s="52"/>
      <c r="G867" s="52"/>
      <c r="H867" s="52"/>
    </row>
    <row r="868" spans="1:8" ht="15.75">
      <c r="A868" s="124">
        <v>40686</v>
      </c>
      <c r="B868" s="125">
        <v>47.4</v>
      </c>
      <c r="C868" s="52"/>
      <c r="D868" s="52"/>
      <c r="E868" s="52"/>
      <c r="F868" s="52"/>
      <c r="G868" s="52"/>
      <c r="H868" s="52"/>
    </row>
    <row r="869" spans="1:8" ht="15.75">
      <c r="A869" s="124">
        <v>40687</v>
      </c>
      <c r="B869" s="125">
        <v>47.26</v>
      </c>
      <c r="C869" s="52"/>
      <c r="D869" s="52"/>
      <c r="E869" s="52"/>
      <c r="F869" s="52"/>
      <c r="G869" s="52"/>
      <c r="H869" s="52"/>
    </row>
    <row r="870" spans="1:8" ht="15.75">
      <c r="A870" s="124">
        <v>40688</v>
      </c>
      <c r="B870" s="125">
        <v>47.26</v>
      </c>
      <c r="C870" s="52"/>
      <c r="D870" s="52"/>
      <c r="E870" s="52"/>
      <c r="F870" s="52"/>
      <c r="G870" s="52"/>
      <c r="H870" s="52"/>
    </row>
    <row r="871" spans="1:8" ht="15.75">
      <c r="A871" s="124">
        <v>40689</v>
      </c>
      <c r="B871" s="125">
        <v>47.5</v>
      </c>
      <c r="C871" s="52"/>
      <c r="D871" s="52"/>
      <c r="E871" s="52"/>
      <c r="F871" s="52"/>
      <c r="G871" s="52"/>
      <c r="H871" s="52"/>
    </row>
    <row r="872" spans="1:8" ht="15.75">
      <c r="A872" s="124">
        <v>40690</v>
      </c>
      <c r="B872" s="125">
        <v>47.27</v>
      </c>
      <c r="C872" s="52"/>
      <c r="D872" s="52"/>
      <c r="E872" s="52"/>
      <c r="F872" s="52"/>
      <c r="G872" s="52"/>
      <c r="H872" s="52"/>
    </row>
    <row r="873" spans="1:8" ht="15.75">
      <c r="A873" s="124">
        <v>40693</v>
      </c>
      <c r="B873" s="125">
        <v>47.27</v>
      </c>
      <c r="C873" s="52"/>
      <c r="D873" s="52"/>
      <c r="E873" s="52"/>
      <c r="F873" s="52"/>
      <c r="G873" s="52"/>
      <c r="H873" s="52"/>
    </row>
    <row r="874" spans="1:8" ht="15.75">
      <c r="A874" s="124">
        <v>40694</v>
      </c>
      <c r="B874" s="125">
        <v>47.28</v>
      </c>
      <c r="C874" s="52"/>
      <c r="D874" s="52"/>
      <c r="E874" s="52"/>
      <c r="F874" s="52"/>
      <c r="G874" s="52"/>
      <c r="H874" s="52"/>
    </row>
    <row r="875" spans="1:8" ht="15.75">
      <c r="A875" s="124">
        <v>40695</v>
      </c>
      <c r="B875" s="125">
        <v>47.23</v>
      </c>
      <c r="C875" s="52"/>
      <c r="D875" s="52"/>
      <c r="E875" s="52"/>
      <c r="F875" s="52"/>
      <c r="G875" s="52"/>
      <c r="H875" s="52"/>
    </row>
    <row r="876" spans="1:8" ht="15.75">
      <c r="A876" s="124">
        <v>40696</v>
      </c>
      <c r="B876" s="125">
        <v>47.1</v>
      </c>
      <c r="C876" s="52"/>
      <c r="D876" s="52"/>
      <c r="E876" s="52"/>
      <c r="F876" s="52"/>
      <c r="G876" s="52"/>
      <c r="H876" s="52"/>
    </row>
    <row r="877" spans="1:8" ht="15.75">
      <c r="A877" s="124">
        <v>40697</v>
      </c>
      <c r="B877" s="125">
        <v>47.08</v>
      </c>
      <c r="C877" s="52"/>
      <c r="D877" s="52"/>
      <c r="E877" s="52"/>
      <c r="F877" s="52"/>
      <c r="G877" s="52"/>
      <c r="H877" s="52"/>
    </row>
    <row r="878" spans="1:8" ht="15.75">
      <c r="A878" s="124">
        <v>40700</v>
      </c>
      <c r="B878" s="125">
        <v>47.36</v>
      </c>
      <c r="C878" s="52"/>
      <c r="D878" s="52"/>
      <c r="E878" s="52"/>
      <c r="F878" s="52"/>
      <c r="G878" s="52"/>
      <c r="H878" s="52"/>
    </row>
    <row r="879" spans="1:8" ht="15.75">
      <c r="A879" s="124">
        <v>40701</v>
      </c>
      <c r="B879" s="125">
        <v>47.37</v>
      </c>
      <c r="C879" s="52"/>
      <c r="D879" s="52"/>
      <c r="E879" s="52"/>
      <c r="F879" s="52"/>
      <c r="G879" s="52"/>
      <c r="H879" s="52"/>
    </row>
    <row r="880" spans="1:8" ht="15.75">
      <c r="A880" s="124">
        <v>40702</v>
      </c>
      <c r="B880" s="125">
        <v>47.09</v>
      </c>
      <c r="C880" s="52"/>
      <c r="D880" s="52"/>
      <c r="E880" s="52"/>
      <c r="F880" s="52"/>
      <c r="G880" s="52"/>
      <c r="H880" s="52"/>
    </row>
    <row r="881" spans="1:8" ht="15.75">
      <c r="A881" s="124">
        <v>40703</v>
      </c>
      <c r="B881" s="125">
        <v>47.48</v>
      </c>
      <c r="C881" s="52"/>
      <c r="D881" s="52"/>
      <c r="E881" s="52"/>
      <c r="F881" s="52"/>
      <c r="G881" s="52"/>
      <c r="H881" s="52"/>
    </row>
    <row r="882" spans="1:8" ht="15.75">
      <c r="A882" s="124">
        <v>40704</v>
      </c>
      <c r="B882" s="125">
        <v>47.35</v>
      </c>
      <c r="C882" s="52"/>
      <c r="D882" s="52"/>
      <c r="E882" s="52"/>
      <c r="F882" s="52"/>
      <c r="G882" s="52"/>
      <c r="H882" s="52"/>
    </row>
    <row r="883" spans="1:8" ht="15.75">
      <c r="A883" s="124">
        <v>40707</v>
      </c>
      <c r="B883" s="125">
        <v>47.3</v>
      </c>
      <c r="C883" s="52"/>
      <c r="D883" s="52"/>
      <c r="E883" s="52"/>
      <c r="F883" s="52"/>
      <c r="G883" s="52"/>
      <c r="H883" s="52"/>
    </row>
    <row r="884" spans="1:8" ht="15.75">
      <c r="A884" s="124">
        <v>40708</v>
      </c>
      <c r="B884" s="125">
        <v>47.42</v>
      </c>
      <c r="C884" s="52"/>
      <c r="D884" s="52"/>
      <c r="E884" s="52"/>
      <c r="F884" s="52"/>
      <c r="G884" s="52"/>
      <c r="H884" s="52"/>
    </row>
    <row r="885" spans="1:8" ht="15.75">
      <c r="A885" s="124">
        <v>40709</v>
      </c>
      <c r="B885" s="125">
        <v>47.6</v>
      </c>
      <c r="C885" s="52"/>
      <c r="D885" s="52"/>
      <c r="E885" s="52"/>
      <c r="F885" s="52"/>
      <c r="G885" s="52"/>
      <c r="H885" s="52"/>
    </row>
    <row r="886" spans="1:8" ht="15.75">
      <c r="A886" s="124">
        <v>40710</v>
      </c>
      <c r="B886" s="125">
        <v>47.51</v>
      </c>
      <c r="C886" s="52"/>
      <c r="D886" s="52"/>
      <c r="E886" s="52"/>
      <c r="F886" s="52"/>
      <c r="G886" s="52"/>
      <c r="H886" s="52"/>
    </row>
    <row r="887" spans="1:8" ht="15.75">
      <c r="A887" s="124">
        <v>40711</v>
      </c>
      <c r="B887" s="125">
        <v>47.37</v>
      </c>
      <c r="C887" s="52"/>
      <c r="D887" s="52"/>
      <c r="E887" s="52"/>
      <c r="F887" s="52"/>
      <c r="G887" s="52"/>
      <c r="H887" s="52"/>
    </row>
    <row r="888" spans="1:8" ht="15.75">
      <c r="A888" s="124">
        <v>40714</v>
      </c>
      <c r="B888" s="125">
        <v>47.69</v>
      </c>
      <c r="C888" s="52"/>
      <c r="D888" s="52"/>
      <c r="E888" s="52"/>
      <c r="F888" s="52"/>
      <c r="G888" s="52"/>
      <c r="H888" s="52"/>
    </row>
    <row r="889" spans="1:8" ht="15.75">
      <c r="A889" s="124">
        <v>40715</v>
      </c>
      <c r="B889" s="125">
        <v>47.66</v>
      </c>
      <c r="C889" s="52"/>
      <c r="D889" s="52"/>
      <c r="E889" s="52"/>
      <c r="F889" s="52"/>
      <c r="G889" s="52"/>
      <c r="H889" s="52"/>
    </row>
    <row r="890" spans="1:8" ht="15.75">
      <c r="A890" s="124">
        <v>40716</v>
      </c>
      <c r="B890" s="125">
        <v>47.4</v>
      </c>
      <c r="C890" s="52"/>
      <c r="D890" s="52"/>
      <c r="E890" s="52"/>
      <c r="F890" s="52"/>
      <c r="G890" s="52"/>
      <c r="H890" s="52"/>
    </row>
    <row r="891" spans="1:8" ht="15.75">
      <c r="A891" s="124">
        <v>40717</v>
      </c>
      <c r="B891" s="125">
        <v>47.66</v>
      </c>
      <c r="C891" s="52"/>
      <c r="D891" s="52"/>
      <c r="E891" s="52"/>
      <c r="F891" s="52"/>
      <c r="G891" s="52"/>
      <c r="H891" s="52"/>
    </row>
    <row r="892" spans="1:8" ht="15.75">
      <c r="A892" s="124">
        <v>40718</v>
      </c>
      <c r="B892" s="125">
        <v>47.44</v>
      </c>
      <c r="C892" s="52"/>
      <c r="D892" s="52"/>
      <c r="E892" s="52"/>
      <c r="F892" s="52"/>
      <c r="G892" s="52"/>
      <c r="H892" s="52"/>
    </row>
    <row r="893" spans="1:8" ht="15.75">
      <c r="A893" s="124">
        <v>40721</v>
      </c>
      <c r="B893" s="125">
        <v>47.46</v>
      </c>
      <c r="C893" s="52"/>
      <c r="D893" s="52"/>
      <c r="E893" s="52"/>
      <c r="F893" s="52"/>
      <c r="G893" s="52"/>
      <c r="H893" s="52"/>
    </row>
    <row r="894" spans="1:8" ht="15.75">
      <c r="A894" s="124">
        <v>40722</v>
      </c>
      <c r="B894" s="125">
        <v>47.54</v>
      </c>
      <c r="C894" s="52"/>
      <c r="D894" s="52"/>
      <c r="E894" s="52"/>
      <c r="F894" s="52"/>
      <c r="G894" s="52"/>
      <c r="H894" s="52"/>
    </row>
    <row r="895" spans="1:8" ht="15.75">
      <c r="A895" s="124">
        <v>40723</v>
      </c>
      <c r="B895" s="125">
        <v>47.46</v>
      </c>
      <c r="C895" s="52"/>
      <c r="D895" s="52"/>
      <c r="E895" s="52"/>
      <c r="F895" s="52"/>
      <c r="G895" s="52"/>
      <c r="H895" s="52"/>
    </row>
    <row r="896" spans="1:8" ht="15.75">
      <c r="A896" s="124">
        <v>40724</v>
      </c>
      <c r="B896" s="125">
        <v>47.46</v>
      </c>
      <c r="C896" s="52"/>
      <c r="D896" s="52"/>
      <c r="E896" s="52"/>
      <c r="F896" s="52"/>
      <c r="G896" s="52"/>
      <c r="H896" s="52"/>
    </row>
    <row r="897" spans="1:8" ht="15.75">
      <c r="A897" s="124">
        <v>40725</v>
      </c>
      <c r="B897" s="125">
        <v>47.55</v>
      </c>
      <c r="C897" s="52"/>
      <c r="D897" s="52"/>
      <c r="E897" s="52"/>
      <c r="F897" s="52"/>
      <c r="G897" s="52"/>
      <c r="H897" s="52"/>
    </row>
    <row r="898" spans="1:8" ht="15.75">
      <c r="A898" s="124">
        <v>40728</v>
      </c>
      <c r="B898" s="125">
        <v>47.47</v>
      </c>
      <c r="C898" s="52"/>
      <c r="D898" s="52"/>
      <c r="E898" s="52"/>
      <c r="F898" s="52"/>
      <c r="G898" s="52"/>
      <c r="H898" s="52"/>
    </row>
    <row r="899" spans="1:8" ht="15.75">
      <c r="A899" s="124">
        <v>40729</v>
      </c>
      <c r="B899" s="125">
        <v>47.57</v>
      </c>
      <c r="C899" s="52"/>
      <c r="D899" s="52"/>
      <c r="E899" s="52"/>
      <c r="F899" s="52"/>
      <c r="G899" s="52"/>
      <c r="H899" s="52"/>
    </row>
    <row r="900" spans="1:8" ht="15.75">
      <c r="A900" s="124">
        <v>40730</v>
      </c>
      <c r="B900" s="125">
        <v>47.55</v>
      </c>
      <c r="C900" s="52"/>
      <c r="D900" s="52"/>
      <c r="E900" s="52"/>
      <c r="F900" s="52"/>
      <c r="G900" s="52"/>
      <c r="H900" s="52"/>
    </row>
    <row r="901" spans="1:8" ht="15.75">
      <c r="A901" s="124">
        <v>40731</v>
      </c>
      <c r="B901" s="125">
        <v>47.83</v>
      </c>
      <c r="C901" s="52"/>
      <c r="D901" s="52"/>
      <c r="E901" s="52"/>
      <c r="F901" s="52"/>
      <c r="G901" s="52"/>
      <c r="H901" s="52"/>
    </row>
    <row r="902" spans="1:8" ht="15.75">
      <c r="A902" s="124">
        <v>40732</v>
      </c>
      <c r="B902" s="125">
        <v>47.55</v>
      </c>
      <c r="C902" s="52"/>
      <c r="D902" s="52"/>
      <c r="E902" s="52"/>
      <c r="F902" s="52"/>
      <c r="G902" s="52"/>
      <c r="H902" s="52"/>
    </row>
    <row r="903" spans="1:8" ht="15.75">
      <c r="A903" s="124">
        <v>40735</v>
      </c>
      <c r="B903" s="125">
        <v>47.56</v>
      </c>
      <c r="C903" s="52"/>
      <c r="D903" s="52"/>
      <c r="E903" s="52"/>
      <c r="F903" s="52"/>
      <c r="G903" s="52"/>
      <c r="H903" s="52"/>
    </row>
    <row r="904" spans="1:8" ht="15.75">
      <c r="A904" s="124">
        <v>40736</v>
      </c>
      <c r="B904" s="125">
        <v>47.54</v>
      </c>
      <c r="C904" s="52"/>
      <c r="D904" s="52"/>
      <c r="E904" s="52"/>
      <c r="F904" s="52"/>
      <c r="G904" s="52"/>
      <c r="H904" s="52"/>
    </row>
    <row r="905" spans="1:8" ht="15.75">
      <c r="A905" s="124">
        <v>40737</v>
      </c>
      <c r="B905" s="125">
        <v>47.55</v>
      </c>
      <c r="C905" s="52"/>
      <c r="D905" s="52"/>
      <c r="E905" s="52"/>
      <c r="F905" s="52"/>
      <c r="G905" s="52"/>
      <c r="H905" s="52"/>
    </row>
    <row r="906" spans="1:8" ht="15.75">
      <c r="A906" s="124">
        <v>40738</v>
      </c>
      <c r="B906" s="125">
        <v>47.55</v>
      </c>
      <c r="C906" s="52"/>
      <c r="D906" s="52"/>
      <c r="E906" s="52"/>
      <c r="F906" s="52"/>
      <c r="G906" s="52"/>
      <c r="H906" s="52"/>
    </row>
    <row r="907" spans="1:8" ht="15.75">
      <c r="A907" s="124">
        <v>40739</v>
      </c>
      <c r="B907" s="125">
        <v>47.73</v>
      </c>
      <c r="C907" s="52"/>
      <c r="D907" s="52"/>
      <c r="E907" s="52"/>
      <c r="F907" s="52"/>
      <c r="G907" s="52"/>
      <c r="H907" s="52"/>
    </row>
    <row r="908" spans="1:8" ht="15.75">
      <c r="A908" s="124">
        <v>40742</v>
      </c>
      <c r="B908" s="125">
        <v>47.51</v>
      </c>
      <c r="C908" s="52"/>
      <c r="D908" s="52"/>
      <c r="E908" s="52"/>
      <c r="F908" s="52"/>
      <c r="G908" s="52"/>
      <c r="H908" s="52"/>
    </row>
    <row r="909" spans="1:8" ht="15.75">
      <c r="A909" s="124">
        <v>40743</v>
      </c>
      <c r="B909" s="125">
        <v>47.67</v>
      </c>
      <c r="C909" s="52"/>
      <c r="D909" s="52"/>
      <c r="E909" s="52"/>
      <c r="F909" s="52"/>
      <c r="G909" s="52"/>
      <c r="H909" s="52"/>
    </row>
    <row r="910" spans="1:8" ht="15.75">
      <c r="A910" s="124">
        <v>40744</v>
      </c>
      <c r="B910" s="125">
        <v>47.83</v>
      </c>
      <c r="C910" s="52"/>
      <c r="D910" s="52"/>
      <c r="E910" s="52"/>
      <c r="F910" s="52"/>
      <c r="G910" s="52"/>
      <c r="H910" s="52"/>
    </row>
    <row r="911" spans="1:8" ht="15.75">
      <c r="A911" s="124">
        <v>40745</v>
      </c>
      <c r="B911" s="125">
        <v>47.85</v>
      </c>
      <c r="C911" s="52"/>
      <c r="D911" s="52"/>
      <c r="E911" s="52"/>
      <c r="F911" s="52"/>
      <c r="G911" s="52"/>
      <c r="H911" s="52"/>
    </row>
    <row r="912" spans="1:8" ht="15.75">
      <c r="A912" s="124">
        <v>40746</v>
      </c>
      <c r="B912" s="125">
        <v>47.67</v>
      </c>
      <c r="C912" s="52"/>
      <c r="D912" s="52"/>
      <c r="E912" s="52"/>
      <c r="F912" s="52"/>
      <c r="G912" s="52"/>
      <c r="H912" s="52"/>
    </row>
    <row r="913" spans="1:8" ht="15.75">
      <c r="A913" s="124">
        <v>40749</v>
      </c>
      <c r="B913" s="125">
        <v>47.52</v>
      </c>
      <c r="C913" s="52"/>
      <c r="D913" s="52"/>
      <c r="E913" s="52"/>
      <c r="F913" s="52"/>
      <c r="G913" s="52"/>
      <c r="H913" s="52"/>
    </row>
    <row r="914" spans="1:8" ht="15.75">
      <c r="A914" s="124">
        <v>40750</v>
      </c>
      <c r="B914" s="125">
        <v>47.52</v>
      </c>
      <c r="C914" s="52"/>
      <c r="D914" s="52"/>
      <c r="E914" s="52"/>
      <c r="F914" s="52"/>
      <c r="G914" s="52"/>
      <c r="H914" s="52"/>
    </row>
    <row r="915" spans="1:8" ht="15.75">
      <c r="A915" s="124">
        <v>40751</v>
      </c>
      <c r="B915" s="125">
        <v>47.67</v>
      </c>
      <c r="C915" s="52"/>
      <c r="D915" s="52"/>
      <c r="E915" s="52"/>
      <c r="F915" s="52"/>
      <c r="G915" s="52"/>
      <c r="H915" s="52"/>
    </row>
    <row r="916" spans="1:8" ht="15.75">
      <c r="A916" s="124">
        <v>40752</v>
      </c>
      <c r="B916" s="125">
        <v>47.88</v>
      </c>
      <c r="C916" s="52"/>
      <c r="D916" s="52"/>
      <c r="E916" s="52"/>
      <c r="F916" s="52"/>
      <c r="G916" s="52"/>
      <c r="H916" s="52"/>
    </row>
    <row r="917" spans="1:8" ht="15.75">
      <c r="A917" s="124">
        <v>40753</v>
      </c>
      <c r="B917" s="125">
        <v>47.54</v>
      </c>
      <c r="C917" s="52"/>
      <c r="D917" s="52"/>
      <c r="E917" s="52"/>
      <c r="F917" s="52"/>
      <c r="G917" s="52"/>
      <c r="H917" s="52"/>
    </row>
    <row r="918" spans="1:8" ht="15.75">
      <c r="A918" s="124">
        <v>40756</v>
      </c>
      <c r="B918" s="125">
        <v>47.54</v>
      </c>
      <c r="C918" s="52"/>
      <c r="D918" s="52"/>
      <c r="E918" s="52"/>
      <c r="F918" s="52"/>
      <c r="G918" s="52"/>
      <c r="H918" s="52"/>
    </row>
    <row r="919" spans="1:8" ht="15.75">
      <c r="A919" s="124">
        <v>40757</v>
      </c>
      <c r="B919" s="125">
        <v>47.24</v>
      </c>
      <c r="C919" s="52"/>
      <c r="D919" s="52"/>
      <c r="E919" s="52"/>
      <c r="F919" s="52"/>
      <c r="G919" s="52"/>
      <c r="H919" s="52"/>
    </row>
    <row r="920" spans="1:8" ht="15.75">
      <c r="A920" s="124">
        <v>40758</v>
      </c>
      <c r="B920" s="125">
        <v>47.31</v>
      </c>
      <c r="C920" s="52"/>
      <c r="D920" s="52"/>
      <c r="E920" s="52"/>
      <c r="F920" s="52"/>
      <c r="G920" s="52"/>
      <c r="H920" s="52"/>
    </row>
    <row r="921" spans="1:8" ht="15.75">
      <c r="A921" s="124">
        <v>40759</v>
      </c>
      <c r="B921" s="125">
        <v>47.34</v>
      </c>
      <c r="C921" s="52"/>
      <c r="D921" s="52"/>
      <c r="E921" s="52"/>
      <c r="F921" s="52"/>
      <c r="G921" s="52"/>
      <c r="H921" s="52"/>
    </row>
    <row r="922" spans="1:8" ht="15.75">
      <c r="A922" s="124">
        <v>40760</v>
      </c>
      <c r="B922" s="125">
        <v>47.14</v>
      </c>
      <c r="C922" s="52"/>
      <c r="D922" s="52"/>
      <c r="E922" s="52"/>
      <c r="F922" s="52"/>
      <c r="G922" s="52"/>
      <c r="H922" s="52"/>
    </row>
    <row r="923" spans="1:8" ht="15.75">
      <c r="A923" s="124">
        <v>40763</v>
      </c>
      <c r="B923" s="125">
        <v>47.18</v>
      </c>
      <c r="C923" s="52"/>
      <c r="D923" s="52"/>
      <c r="E923" s="52"/>
      <c r="F923" s="52"/>
      <c r="G923" s="52"/>
      <c r="H923" s="52"/>
    </row>
    <row r="924" spans="1:8" ht="15.75">
      <c r="A924" s="124">
        <v>40764</v>
      </c>
      <c r="B924" s="125">
        <v>47.29</v>
      </c>
      <c r="C924" s="52"/>
      <c r="D924" s="52"/>
      <c r="E924" s="52"/>
      <c r="F924" s="52"/>
      <c r="G924" s="52"/>
      <c r="H924" s="52"/>
    </row>
    <row r="925" spans="1:8" ht="15.75">
      <c r="A925" s="124">
        <v>40765</v>
      </c>
      <c r="B925" s="125">
        <v>47</v>
      </c>
      <c r="C925" s="52"/>
      <c r="D925" s="52"/>
      <c r="E925" s="52"/>
      <c r="F925" s="52"/>
      <c r="G925" s="52"/>
      <c r="H925" s="52"/>
    </row>
    <row r="926" spans="1:8" ht="15.75">
      <c r="A926" s="124">
        <v>40766</v>
      </c>
      <c r="B926" s="125">
        <v>46.87</v>
      </c>
      <c r="C926" s="52"/>
      <c r="D926" s="52"/>
      <c r="E926" s="52"/>
      <c r="F926" s="52"/>
      <c r="G926" s="52"/>
      <c r="H926" s="52"/>
    </row>
    <row r="927" spans="1:8" ht="15.75">
      <c r="A927" s="124">
        <v>40767</v>
      </c>
      <c r="B927" s="125">
        <v>47.11</v>
      </c>
      <c r="C927" s="52"/>
      <c r="D927" s="52"/>
      <c r="E927" s="52"/>
      <c r="F927" s="52"/>
      <c r="G927" s="52"/>
      <c r="H927" s="52"/>
    </row>
    <row r="928" spans="1:8" ht="15.75">
      <c r="A928" s="124">
        <v>40770</v>
      </c>
      <c r="B928" s="125">
        <v>46.92</v>
      </c>
      <c r="C928" s="52"/>
      <c r="D928" s="52"/>
      <c r="E928" s="52"/>
      <c r="F928" s="52"/>
      <c r="G928" s="52"/>
      <c r="H928" s="52"/>
    </row>
    <row r="929" spans="1:8" ht="15.75">
      <c r="A929" s="124">
        <v>40771</v>
      </c>
      <c r="B929" s="125">
        <v>47.4</v>
      </c>
      <c r="C929" s="52"/>
      <c r="D929" s="52"/>
      <c r="E929" s="52"/>
      <c r="F929" s="52"/>
      <c r="G929" s="52"/>
      <c r="H929" s="52"/>
    </row>
    <row r="930" spans="1:8" ht="15.75">
      <c r="A930" s="124">
        <v>40772</v>
      </c>
      <c r="B930" s="125">
        <v>47.25</v>
      </c>
      <c r="C930" s="52"/>
      <c r="D930" s="52"/>
      <c r="E930" s="52"/>
      <c r="F930" s="52"/>
      <c r="G930" s="52"/>
      <c r="H930" s="52"/>
    </row>
    <row r="931" spans="1:8" ht="15.75">
      <c r="A931" s="124">
        <v>40773</v>
      </c>
      <c r="B931" s="125">
        <v>47.35</v>
      </c>
      <c r="C931" s="52"/>
      <c r="D931" s="52"/>
      <c r="E931" s="52"/>
      <c r="F931" s="52"/>
      <c r="G931" s="52"/>
      <c r="H931" s="52"/>
    </row>
    <row r="932" spans="1:8" ht="15.75">
      <c r="A932" s="124">
        <v>40774</v>
      </c>
      <c r="B932" s="125">
        <v>47.14</v>
      </c>
      <c r="C932" s="52"/>
      <c r="D932" s="52"/>
      <c r="E932" s="52"/>
      <c r="F932" s="52"/>
      <c r="G932" s="52"/>
      <c r="H932" s="52"/>
    </row>
    <row r="933" spans="1:8" ht="15.75">
      <c r="A933" s="124">
        <v>40777</v>
      </c>
      <c r="B933" s="125">
        <v>47.14</v>
      </c>
      <c r="C933" s="52"/>
      <c r="D933" s="52"/>
      <c r="E933" s="52"/>
      <c r="F933" s="52"/>
      <c r="G933" s="52"/>
      <c r="H933" s="52"/>
    </row>
    <row r="934" spans="1:8" ht="15.75">
      <c r="A934" s="124">
        <v>40778</v>
      </c>
      <c r="B934" s="125">
        <v>47.15</v>
      </c>
      <c r="C934" s="52"/>
      <c r="D934" s="52"/>
      <c r="E934" s="52"/>
      <c r="F934" s="52"/>
      <c r="G934" s="52"/>
      <c r="H934" s="52"/>
    </row>
    <row r="935" spans="1:8" ht="15.75">
      <c r="A935" s="124">
        <v>40779</v>
      </c>
      <c r="B935" s="125">
        <v>47.4</v>
      </c>
      <c r="C935" s="52"/>
      <c r="D935" s="52"/>
      <c r="E935" s="52"/>
      <c r="F935" s="52"/>
      <c r="G935" s="52"/>
      <c r="H935" s="52"/>
    </row>
    <row r="936" spans="1:8" ht="15.75">
      <c r="A936" s="124">
        <v>40780</v>
      </c>
      <c r="B936" s="125">
        <v>47.18</v>
      </c>
      <c r="C936" s="52"/>
      <c r="D936" s="52"/>
      <c r="E936" s="52"/>
      <c r="F936" s="52"/>
      <c r="G936" s="52"/>
      <c r="H936" s="52"/>
    </row>
    <row r="937" spans="1:8" ht="15.75">
      <c r="A937" s="124">
        <v>40781</v>
      </c>
      <c r="B937" s="125">
        <v>47.1</v>
      </c>
      <c r="C937" s="52"/>
      <c r="D937" s="52"/>
      <c r="E937" s="52"/>
      <c r="F937" s="52"/>
      <c r="G937" s="52"/>
      <c r="H937" s="52"/>
    </row>
    <row r="938" spans="1:8" ht="15.75">
      <c r="A938" s="124">
        <v>40784</v>
      </c>
      <c r="B938" s="125">
        <v>47.18</v>
      </c>
      <c r="C938" s="52"/>
      <c r="D938" s="52"/>
      <c r="E938" s="52"/>
      <c r="F938" s="52"/>
      <c r="G938" s="52"/>
      <c r="H938" s="52"/>
    </row>
    <row r="939" spans="1:8" ht="15.75">
      <c r="A939" s="124">
        <v>40785</v>
      </c>
      <c r="B939" s="125">
        <v>47.34</v>
      </c>
      <c r="C939" s="52"/>
      <c r="D939" s="52"/>
      <c r="E939" s="52"/>
      <c r="F939" s="52"/>
      <c r="G939" s="52"/>
      <c r="H939" s="52"/>
    </row>
    <row r="940" spans="1:8" ht="15.75">
      <c r="A940" s="124">
        <v>40786</v>
      </c>
      <c r="B940" s="125">
        <v>47.2</v>
      </c>
      <c r="C940" s="52"/>
      <c r="D940" s="52"/>
      <c r="E940" s="52"/>
      <c r="F940" s="52"/>
      <c r="G940" s="52"/>
      <c r="H940" s="52"/>
    </row>
    <row r="941" spans="1:8" ht="15.75">
      <c r="A941" s="124">
        <v>40787</v>
      </c>
      <c r="B941" s="125">
        <v>47.35</v>
      </c>
      <c r="C941" s="52"/>
      <c r="D941" s="52"/>
      <c r="E941" s="52"/>
      <c r="F941" s="52"/>
      <c r="G941" s="52"/>
      <c r="H941" s="52"/>
    </row>
    <row r="942" spans="1:8" ht="15.75">
      <c r="A942" s="124">
        <v>40788</v>
      </c>
      <c r="B942" s="125">
        <v>47.37</v>
      </c>
      <c r="C942" s="52"/>
      <c r="D942" s="52"/>
      <c r="E942" s="52"/>
      <c r="F942" s="52"/>
      <c r="G942" s="52"/>
      <c r="H942" s="52"/>
    </row>
    <row r="943" spans="1:8" ht="15.75">
      <c r="A943" s="124">
        <v>40791</v>
      </c>
      <c r="B943" s="125">
        <v>47.32</v>
      </c>
      <c r="C943" s="52"/>
      <c r="D943" s="52"/>
      <c r="E943" s="52"/>
      <c r="F943" s="52"/>
      <c r="G943" s="52"/>
      <c r="H943" s="52"/>
    </row>
    <row r="944" spans="1:8" ht="15.75">
      <c r="A944" s="124">
        <v>40792</v>
      </c>
      <c r="B944" s="125">
        <v>47.32</v>
      </c>
      <c r="C944" s="52"/>
      <c r="D944" s="52"/>
      <c r="E944" s="52"/>
      <c r="F944" s="52"/>
      <c r="G944" s="52"/>
      <c r="H944" s="52"/>
    </row>
    <row r="945" spans="1:8" ht="15.75">
      <c r="A945" s="124">
        <v>40793</v>
      </c>
      <c r="B945" s="125">
        <v>47.31</v>
      </c>
      <c r="C945" s="52"/>
      <c r="D945" s="52"/>
      <c r="E945" s="52"/>
      <c r="F945" s="52"/>
      <c r="G945" s="52"/>
      <c r="H945" s="52"/>
    </row>
    <row r="946" spans="1:8" ht="15.75">
      <c r="A946" s="124">
        <v>40794</v>
      </c>
      <c r="B946" s="125">
        <v>47.39</v>
      </c>
      <c r="C946" s="52"/>
      <c r="D946" s="52"/>
      <c r="E946" s="52"/>
      <c r="F946" s="52"/>
      <c r="G946" s="52"/>
      <c r="H946" s="52"/>
    </row>
    <row r="947" spans="1:8" ht="15.75">
      <c r="A947" s="124">
        <v>40795</v>
      </c>
      <c r="B947" s="125">
        <v>47.34</v>
      </c>
      <c r="C947" s="52"/>
      <c r="D947" s="52"/>
      <c r="E947" s="52"/>
      <c r="F947" s="52"/>
      <c r="G947" s="52"/>
      <c r="H947" s="52"/>
    </row>
    <row r="948" spans="1:8" ht="15.75">
      <c r="A948" s="124">
        <v>40798</v>
      </c>
      <c r="B948" s="125">
        <v>47.41</v>
      </c>
      <c r="C948" s="52"/>
      <c r="D948" s="52"/>
      <c r="E948" s="52"/>
      <c r="F948" s="52"/>
      <c r="G948" s="52"/>
      <c r="H948" s="52"/>
    </row>
    <row r="949" spans="1:8" ht="15.75">
      <c r="A949" s="124">
        <v>40799</v>
      </c>
      <c r="B949" s="125">
        <v>47.31</v>
      </c>
      <c r="C949" s="52"/>
      <c r="D949" s="52"/>
      <c r="E949" s="52"/>
      <c r="F949" s="52"/>
      <c r="G949" s="52"/>
      <c r="H949" s="52"/>
    </row>
    <row r="950" spans="1:8" ht="15.75">
      <c r="A950" s="124">
        <v>40800</v>
      </c>
      <c r="B950" s="125">
        <v>47.35</v>
      </c>
      <c r="C950" s="52"/>
      <c r="D950" s="52"/>
      <c r="E950" s="52"/>
      <c r="F950" s="52"/>
      <c r="G950" s="52"/>
      <c r="H950" s="52"/>
    </row>
    <row r="951" spans="1:8" ht="15.75">
      <c r="A951" s="124">
        <v>40801</v>
      </c>
      <c r="B951" s="125">
        <v>47.73</v>
      </c>
      <c r="C951" s="52"/>
      <c r="D951" s="52"/>
      <c r="E951" s="52"/>
      <c r="F951" s="52"/>
      <c r="G951" s="52"/>
      <c r="H951" s="52"/>
    </row>
    <row r="952" spans="1:8" ht="15.75">
      <c r="A952" s="124">
        <v>40802</v>
      </c>
      <c r="B952" s="125">
        <v>47.51</v>
      </c>
      <c r="C952" s="52"/>
      <c r="D952" s="52"/>
      <c r="E952" s="52"/>
      <c r="F952" s="52"/>
      <c r="G952" s="52"/>
      <c r="H952" s="52"/>
    </row>
    <row r="953" spans="1:8" ht="15.75">
      <c r="A953" s="124">
        <v>40805</v>
      </c>
      <c r="B953" s="125">
        <v>47.37</v>
      </c>
      <c r="C953" s="52"/>
      <c r="D953" s="52"/>
      <c r="E953" s="52"/>
      <c r="F953" s="52"/>
      <c r="G953" s="52"/>
      <c r="H953" s="52"/>
    </row>
    <row r="954" spans="1:8" ht="15.75">
      <c r="A954" s="124">
        <v>40806</v>
      </c>
      <c r="B954" s="125">
        <v>47.37</v>
      </c>
      <c r="C954" s="52"/>
      <c r="D954" s="52"/>
      <c r="E954" s="52"/>
      <c r="F954" s="52"/>
      <c r="G954" s="52"/>
      <c r="H954" s="52"/>
    </row>
    <row r="955" spans="1:8" ht="15.75">
      <c r="A955" s="124">
        <v>40807</v>
      </c>
      <c r="B955" s="125">
        <v>47.5</v>
      </c>
      <c r="C955" s="52"/>
      <c r="D955" s="52"/>
      <c r="E955" s="52"/>
      <c r="F955" s="52"/>
      <c r="G955" s="52"/>
      <c r="H955" s="52"/>
    </row>
    <row r="956" spans="1:8" ht="15.75">
      <c r="A956" s="124">
        <v>40808</v>
      </c>
      <c r="B956" s="125">
        <v>47.51</v>
      </c>
      <c r="C956" s="52"/>
      <c r="D956" s="52"/>
      <c r="E956" s="52"/>
      <c r="F956" s="52"/>
      <c r="G956" s="52"/>
      <c r="H956" s="52"/>
    </row>
    <row r="957" spans="1:8" ht="15.75">
      <c r="A957" s="124">
        <v>40809</v>
      </c>
      <c r="B957" s="125">
        <v>47.51</v>
      </c>
      <c r="C957" s="52"/>
      <c r="D957" s="52"/>
      <c r="E957" s="52"/>
      <c r="F957" s="52"/>
      <c r="G957" s="52"/>
      <c r="H957" s="52"/>
    </row>
    <row r="958" spans="1:8" ht="15.75">
      <c r="A958" s="124">
        <v>40812</v>
      </c>
      <c r="B958" s="125">
        <v>47.66</v>
      </c>
      <c r="C958" s="52"/>
      <c r="D958" s="52"/>
      <c r="E958" s="52"/>
      <c r="F958" s="52"/>
      <c r="G958" s="52"/>
      <c r="H958" s="52"/>
    </row>
    <row r="959" spans="1:8" ht="15.75">
      <c r="A959" s="124">
        <v>40813</v>
      </c>
      <c r="B959" s="125">
        <v>47.38</v>
      </c>
      <c r="C959" s="52"/>
      <c r="D959" s="52"/>
      <c r="E959" s="52"/>
      <c r="F959" s="52"/>
      <c r="G959" s="52"/>
      <c r="H959" s="52"/>
    </row>
    <row r="960" spans="1:8" ht="15.75">
      <c r="A960" s="124">
        <v>40814</v>
      </c>
      <c r="B960" s="125">
        <v>47.51</v>
      </c>
      <c r="C960" s="52"/>
      <c r="D960" s="52"/>
      <c r="E960" s="52"/>
      <c r="F960" s="52"/>
      <c r="G960" s="52"/>
      <c r="H960" s="52"/>
    </row>
    <row r="961" spans="1:8" ht="15.75">
      <c r="A961" s="124">
        <v>40815</v>
      </c>
      <c r="B961" s="125">
        <v>47.66</v>
      </c>
      <c r="C961" s="52"/>
      <c r="D961" s="52"/>
      <c r="E961" s="52"/>
      <c r="F961" s="52"/>
      <c r="G961" s="52"/>
      <c r="H961" s="52"/>
    </row>
    <row r="962" spans="1:8" ht="15.75">
      <c r="A962" s="124">
        <v>40816</v>
      </c>
      <c r="B962" s="125">
        <v>47.39</v>
      </c>
      <c r="C962" s="52"/>
      <c r="D962" s="52"/>
      <c r="E962" s="52"/>
      <c r="F962" s="52"/>
      <c r="G962" s="52"/>
      <c r="H962" s="52"/>
    </row>
    <row r="963" spans="1:8" ht="15.75">
      <c r="A963" s="124">
        <v>40819</v>
      </c>
      <c r="B963" s="125">
        <v>47.43</v>
      </c>
      <c r="C963" s="52"/>
      <c r="D963" s="52"/>
      <c r="E963" s="52"/>
      <c r="F963" s="52"/>
      <c r="G963" s="52"/>
      <c r="H963" s="52"/>
    </row>
    <row r="964" spans="1:8" ht="15.75">
      <c r="A964" s="124">
        <v>40820</v>
      </c>
      <c r="B964" s="125">
        <v>47.52</v>
      </c>
      <c r="C964" s="52"/>
      <c r="D964" s="52"/>
      <c r="E964" s="52"/>
      <c r="F964" s="52"/>
      <c r="G964" s="52"/>
      <c r="H964" s="52"/>
    </row>
    <row r="965" spans="1:8" ht="15.75">
      <c r="A965" s="124">
        <v>40821</v>
      </c>
      <c r="B965" s="125">
        <v>47.54</v>
      </c>
      <c r="C965" s="52"/>
      <c r="D965" s="52"/>
      <c r="E965" s="52"/>
      <c r="F965" s="52"/>
      <c r="G965" s="52"/>
      <c r="H965" s="52"/>
    </row>
    <row r="966" spans="1:8" ht="15.75">
      <c r="A966" s="124">
        <v>40822</v>
      </c>
      <c r="B966" s="125">
        <v>47.54</v>
      </c>
      <c r="C966" s="52"/>
      <c r="D966" s="52"/>
      <c r="E966" s="52"/>
      <c r="F966" s="52"/>
      <c r="G966" s="52"/>
      <c r="H966" s="52"/>
    </row>
    <row r="967" spans="1:8" ht="15.75">
      <c r="A967" s="124">
        <v>40823</v>
      </c>
      <c r="B967" s="125">
        <v>47.68</v>
      </c>
      <c r="C967" s="52"/>
      <c r="D967" s="52"/>
      <c r="E967" s="52"/>
      <c r="F967" s="52"/>
      <c r="G967" s="52"/>
      <c r="H967" s="52"/>
    </row>
    <row r="968" spans="1:8" ht="15.75">
      <c r="A968" s="124">
        <v>40826</v>
      </c>
      <c r="B968" s="125">
        <v>47.65</v>
      </c>
      <c r="C968" s="52"/>
      <c r="D968" s="52"/>
      <c r="E968" s="52"/>
      <c r="F968" s="52"/>
      <c r="G968" s="52"/>
      <c r="H968" s="52"/>
    </row>
    <row r="969" spans="1:8" ht="15.75">
      <c r="A969" s="124">
        <v>40827</v>
      </c>
      <c r="B969" s="125">
        <v>47.57</v>
      </c>
      <c r="C969" s="52"/>
      <c r="D969" s="52"/>
      <c r="E969" s="52"/>
      <c r="F969" s="52"/>
      <c r="G969" s="52"/>
      <c r="H969" s="52"/>
    </row>
    <row r="970" spans="1:8" ht="15.75">
      <c r="A970" s="124">
        <v>40828</v>
      </c>
      <c r="B970" s="125">
        <v>47.56</v>
      </c>
      <c r="C970" s="52"/>
      <c r="D970" s="52"/>
      <c r="E970" s="52"/>
      <c r="F970" s="52"/>
      <c r="G970" s="52"/>
      <c r="H970" s="52"/>
    </row>
    <row r="971" spans="1:8" ht="15.75">
      <c r="A971" s="124">
        <v>40829</v>
      </c>
      <c r="B971" s="125">
        <v>47.6</v>
      </c>
      <c r="C971" s="52"/>
      <c r="D971" s="52"/>
      <c r="E971" s="52"/>
      <c r="F971" s="52"/>
      <c r="G971" s="52"/>
      <c r="H971" s="52"/>
    </row>
    <row r="972" spans="1:8" ht="15.75">
      <c r="A972" s="124">
        <v>40830</v>
      </c>
      <c r="B972" s="125">
        <v>47.57</v>
      </c>
      <c r="C972" s="52"/>
      <c r="D972" s="52"/>
      <c r="E972" s="52"/>
      <c r="F972" s="52"/>
      <c r="G972" s="52"/>
      <c r="H972" s="52"/>
    </row>
    <row r="973" spans="1:8" ht="15.75">
      <c r="A973" s="124">
        <v>40833</v>
      </c>
      <c r="B973" s="125">
        <v>47.42</v>
      </c>
      <c r="C973" s="52"/>
      <c r="D973" s="52"/>
      <c r="E973" s="52"/>
      <c r="F973" s="52"/>
      <c r="G973" s="52"/>
      <c r="H973" s="52"/>
    </row>
    <row r="974" spans="1:8" ht="15.75">
      <c r="A974" s="124">
        <v>40834</v>
      </c>
      <c r="B974" s="125">
        <v>47.28</v>
      </c>
      <c r="C974" s="52"/>
      <c r="D974" s="52"/>
      <c r="E974" s="52"/>
      <c r="F974" s="52"/>
      <c r="G974" s="52"/>
      <c r="H974" s="52"/>
    </row>
    <row r="975" spans="1:8" ht="15.75">
      <c r="A975" s="124">
        <v>40835</v>
      </c>
      <c r="B975" s="125">
        <v>47.42</v>
      </c>
      <c r="C975" s="52"/>
      <c r="D975" s="52"/>
      <c r="E975" s="52"/>
      <c r="F975" s="52"/>
      <c r="G975" s="52"/>
      <c r="H975" s="52"/>
    </row>
    <row r="976" spans="1:8" ht="15.75">
      <c r="A976" s="124">
        <v>40836</v>
      </c>
      <c r="B976" s="125">
        <v>47.57</v>
      </c>
      <c r="C976" s="52"/>
      <c r="D976" s="52"/>
      <c r="E976" s="52"/>
      <c r="F976" s="52"/>
      <c r="G976" s="52"/>
      <c r="H976" s="52"/>
    </row>
    <row r="977" spans="1:8" ht="15.75">
      <c r="A977" s="124">
        <v>40837</v>
      </c>
      <c r="B977" s="125">
        <v>47.51</v>
      </c>
      <c r="C977" s="52"/>
      <c r="D977" s="52"/>
      <c r="E977" s="52"/>
      <c r="F977" s="52"/>
      <c r="G977" s="52"/>
      <c r="H977" s="52"/>
    </row>
    <row r="978" spans="1:8" ht="15.75">
      <c r="A978" s="124">
        <v>40840</v>
      </c>
      <c r="B978" s="125">
        <v>47.56</v>
      </c>
      <c r="C978" s="52"/>
      <c r="D978" s="52"/>
      <c r="E978" s="52"/>
      <c r="F978" s="52"/>
      <c r="G978" s="52"/>
      <c r="H978" s="52"/>
    </row>
    <row r="979" spans="1:8" ht="15.75">
      <c r="A979" s="124">
        <v>40841</v>
      </c>
      <c r="B979" s="125">
        <v>47.46</v>
      </c>
      <c r="C979" s="52"/>
      <c r="D979" s="52"/>
      <c r="E979" s="52"/>
      <c r="F979" s="52"/>
      <c r="G979" s="52"/>
      <c r="H979" s="52"/>
    </row>
    <row r="980" spans="1:8" ht="15.75">
      <c r="A980" s="124">
        <v>40842</v>
      </c>
      <c r="B980" s="125">
        <v>47.45</v>
      </c>
      <c r="C980" s="52"/>
      <c r="D980" s="52"/>
      <c r="E980" s="52"/>
      <c r="F980" s="52"/>
      <c r="G980" s="52"/>
      <c r="H980" s="52"/>
    </row>
    <row r="981" spans="1:8" ht="15.75">
      <c r="A981" s="124">
        <v>40843</v>
      </c>
      <c r="B981" s="125">
        <v>47.49</v>
      </c>
      <c r="C981" s="52"/>
      <c r="D981" s="52"/>
      <c r="E981" s="52"/>
      <c r="F981" s="52"/>
      <c r="G981" s="52"/>
      <c r="H981" s="52"/>
    </row>
    <row r="982" spans="1:8" ht="15.75">
      <c r="A982" s="124">
        <v>40844</v>
      </c>
      <c r="B982" s="125">
        <v>47.5</v>
      </c>
      <c r="C982" s="52"/>
      <c r="D982" s="52"/>
      <c r="E982" s="52"/>
      <c r="F982" s="52"/>
      <c r="G982" s="52"/>
      <c r="H982" s="52"/>
    </row>
    <row r="983" spans="1:8" ht="15.75">
      <c r="A983" s="124">
        <v>40847</v>
      </c>
      <c r="B983" s="125">
        <v>47.59</v>
      </c>
      <c r="C983" s="52"/>
      <c r="D983" s="52"/>
      <c r="E983" s="52"/>
      <c r="F983" s="52"/>
      <c r="G983" s="52"/>
      <c r="H983" s="52"/>
    </row>
    <row r="984" spans="1:8" ht="15.75">
      <c r="A984" s="124">
        <v>40848</v>
      </c>
      <c r="B984" s="125">
        <v>47.53</v>
      </c>
      <c r="C984" s="52"/>
      <c r="D984" s="52"/>
      <c r="E984" s="52"/>
      <c r="F984" s="52"/>
      <c r="G984" s="52"/>
      <c r="H984" s="52"/>
    </row>
    <row r="985" spans="1:8" ht="15.75">
      <c r="A985" s="124">
        <v>40849</v>
      </c>
      <c r="B985" s="125">
        <v>47.83</v>
      </c>
      <c r="C985" s="52"/>
      <c r="D985" s="52"/>
      <c r="E985" s="52"/>
      <c r="F985" s="52"/>
      <c r="G985" s="52"/>
      <c r="H985" s="52"/>
    </row>
    <row r="986" spans="1:8" ht="15.75">
      <c r="A986" s="124">
        <v>40850</v>
      </c>
      <c r="B986" s="125">
        <v>47.65</v>
      </c>
      <c r="C986" s="52"/>
      <c r="D986" s="52"/>
      <c r="E986" s="52"/>
      <c r="F986" s="52"/>
      <c r="G986" s="52"/>
      <c r="H986" s="52"/>
    </row>
    <row r="987" spans="1:8" ht="15.75">
      <c r="A987" s="124">
        <v>40851</v>
      </c>
      <c r="B987" s="125">
        <v>47.51</v>
      </c>
      <c r="C987" s="52"/>
      <c r="D987" s="52"/>
      <c r="E987" s="52"/>
      <c r="F987" s="52"/>
      <c r="G987" s="52"/>
      <c r="H987" s="52"/>
    </row>
    <row r="988" spans="1:8" ht="15.75">
      <c r="A988" s="124">
        <v>40854</v>
      </c>
      <c r="B988" s="125">
        <v>47.75</v>
      </c>
      <c r="C988" s="52"/>
      <c r="D988" s="52"/>
      <c r="E988" s="52"/>
      <c r="F988" s="52"/>
      <c r="G988" s="52"/>
      <c r="H988" s="52"/>
    </row>
    <row r="989" spans="1:8" ht="15.75">
      <c r="A989" s="124">
        <v>40855</v>
      </c>
      <c r="B989" s="125">
        <v>47.39</v>
      </c>
      <c r="C989" s="52"/>
      <c r="D989" s="52"/>
      <c r="E989" s="52"/>
      <c r="F989" s="52"/>
      <c r="G989" s="52"/>
      <c r="H989" s="52"/>
    </row>
    <row r="990" spans="1:8" ht="15.75">
      <c r="A990" s="124">
        <v>40856</v>
      </c>
      <c r="B990" s="125">
        <v>47.48</v>
      </c>
      <c r="C990" s="52"/>
      <c r="D990" s="52"/>
      <c r="E990" s="52"/>
      <c r="F990" s="52"/>
      <c r="G990" s="52"/>
      <c r="H990" s="52"/>
    </row>
    <row r="991" spans="1:8" ht="15.75">
      <c r="A991" s="124">
        <v>40857</v>
      </c>
      <c r="B991" s="125">
        <v>47.53</v>
      </c>
      <c r="C991" s="52"/>
      <c r="D991" s="52"/>
      <c r="E991" s="52"/>
      <c r="F991" s="52"/>
      <c r="G991" s="52"/>
      <c r="H991" s="52"/>
    </row>
    <row r="992" spans="1:8" ht="15.75">
      <c r="A992" s="124">
        <v>40858</v>
      </c>
      <c r="B992" s="125">
        <v>47.76</v>
      </c>
      <c r="C992" s="52"/>
      <c r="D992" s="52"/>
      <c r="E992" s="52"/>
      <c r="F992" s="52"/>
      <c r="G992" s="52"/>
      <c r="H992" s="52"/>
    </row>
    <row r="993" spans="1:8" ht="15.75">
      <c r="A993" s="124">
        <v>40861</v>
      </c>
      <c r="B993" s="125">
        <v>47.75</v>
      </c>
      <c r="C993" s="52"/>
      <c r="D993" s="52"/>
      <c r="E993" s="52"/>
      <c r="F993" s="52"/>
      <c r="G993" s="52"/>
      <c r="H993" s="52"/>
    </row>
    <row r="994" spans="1:8" ht="15.75">
      <c r="A994" s="124">
        <v>40862</v>
      </c>
      <c r="B994" s="125">
        <v>47.78</v>
      </c>
      <c r="C994" s="52"/>
      <c r="D994" s="52"/>
      <c r="E994" s="52"/>
      <c r="F994" s="52"/>
      <c r="G994" s="52"/>
      <c r="H994" s="52"/>
    </row>
    <row r="995" spans="1:8" ht="15.75">
      <c r="A995" s="124">
        <v>40863</v>
      </c>
      <c r="B995" s="125">
        <v>47.77</v>
      </c>
      <c r="C995" s="52"/>
      <c r="D995" s="52"/>
      <c r="E995" s="52"/>
      <c r="F995" s="52"/>
      <c r="G995" s="52"/>
      <c r="H995" s="52"/>
    </row>
    <row r="996" spans="1:8" ht="15.75">
      <c r="A996" s="124">
        <v>40864</v>
      </c>
      <c r="B996" s="125">
        <v>47.88</v>
      </c>
      <c r="C996" s="52"/>
      <c r="D996" s="52"/>
      <c r="E996" s="52"/>
      <c r="F996" s="52"/>
      <c r="G996" s="52"/>
      <c r="H996" s="52"/>
    </row>
    <row r="997" spans="1:8" ht="15.75">
      <c r="A997" s="124">
        <v>40865</v>
      </c>
      <c r="B997" s="125">
        <v>48</v>
      </c>
      <c r="C997" s="52"/>
      <c r="D997" s="52"/>
      <c r="E997" s="52"/>
      <c r="F997" s="52"/>
      <c r="G997" s="52"/>
      <c r="H997" s="52"/>
    </row>
    <row r="998" spans="1:8" ht="15.75">
      <c r="A998" s="124">
        <v>40868</v>
      </c>
      <c r="B998" s="125">
        <v>47.88</v>
      </c>
      <c r="C998" s="52"/>
      <c r="D998" s="52"/>
      <c r="E998" s="52"/>
      <c r="F998" s="52"/>
      <c r="G998" s="52"/>
      <c r="H998" s="52"/>
    </row>
    <row r="999" spans="1:8" ht="15.75">
      <c r="A999" s="124">
        <v>40869</v>
      </c>
      <c r="B999" s="125">
        <v>47.82</v>
      </c>
      <c r="C999" s="52"/>
      <c r="D999" s="52"/>
      <c r="E999" s="52"/>
      <c r="F999" s="52"/>
      <c r="G999" s="52"/>
      <c r="H999" s="52"/>
    </row>
    <row r="1000" spans="1:8" ht="15.75">
      <c r="A1000" s="124">
        <v>40870</v>
      </c>
      <c r="B1000" s="125">
        <v>47.91</v>
      </c>
      <c r="C1000" s="52"/>
      <c r="D1000" s="52"/>
      <c r="E1000" s="52"/>
      <c r="F1000" s="52"/>
      <c r="G1000" s="52"/>
      <c r="H1000" s="52"/>
    </row>
    <row r="1001" spans="1:8" ht="15.75">
      <c r="A1001" s="124">
        <v>40871</v>
      </c>
      <c r="B1001" s="125">
        <v>47.86</v>
      </c>
      <c r="C1001" s="52"/>
      <c r="D1001" s="52"/>
      <c r="E1001" s="52"/>
      <c r="F1001" s="52"/>
      <c r="G1001" s="52"/>
      <c r="H1001" s="52"/>
    </row>
    <row r="1002" spans="1:8" ht="15.75">
      <c r="A1002" s="124">
        <v>40872</v>
      </c>
      <c r="B1002" s="125">
        <v>47.7</v>
      </c>
      <c r="C1002" s="52"/>
      <c r="D1002" s="52"/>
      <c r="E1002" s="52"/>
      <c r="F1002" s="52"/>
      <c r="G1002" s="52"/>
      <c r="H1002" s="52"/>
    </row>
    <row r="1003" spans="1:8" ht="15.75">
      <c r="A1003" s="124">
        <v>40875</v>
      </c>
      <c r="B1003" s="125">
        <v>47.92</v>
      </c>
      <c r="C1003" s="52"/>
      <c r="D1003" s="52"/>
      <c r="E1003" s="52"/>
      <c r="F1003" s="52"/>
      <c r="G1003" s="52"/>
      <c r="H1003" s="52"/>
    </row>
    <row r="1004" spans="1:8" ht="15.75">
      <c r="A1004" s="124">
        <v>40876</v>
      </c>
      <c r="B1004" s="125">
        <v>47.9</v>
      </c>
      <c r="C1004" s="52"/>
      <c r="D1004" s="52"/>
      <c r="E1004" s="52"/>
      <c r="F1004" s="52"/>
      <c r="G1004" s="52"/>
      <c r="H1004" s="52"/>
    </row>
    <row r="1005" spans="1:8" ht="15.75">
      <c r="A1005" s="124">
        <v>40877</v>
      </c>
      <c r="B1005" s="125">
        <v>47.87</v>
      </c>
      <c r="C1005" s="52"/>
      <c r="D1005" s="52"/>
      <c r="E1005" s="52"/>
      <c r="F1005" s="52"/>
      <c r="G1005" s="52"/>
      <c r="H1005" s="52"/>
    </row>
    <row r="1006" spans="1:8" ht="15.75">
      <c r="A1006" s="124">
        <v>40878</v>
      </c>
      <c r="B1006" s="125">
        <v>47.93</v>
      </c>
      <c r="C1006" s="52"/>
      <c r="D1006" s="52"/>
      <c r="E1006" s="52"/>
      <c r="F1006" s="52"/>
      <c r="G1006" s="52"/>
      <c r="H1006" s="52"/>
    </row>
    <row r="1007" spans="1:8" ht="15.75">
      <c r="A1007" s="124">
        <v>40879</v>
      </c>
      <c r="B1007" s="125">
        <v>48.02</v>
      </c>
      <c r="C1007" s="52"/>
      <c r="D1007" s="52"/>
      <c r="E1007" s="52"/>
      <c r="F1007" s="52"/>
      <c r="G1007" s="52"/>
      <c r="H1007" s="52"/>
    </row>
    <row r="1008" spans="1:8" ht="15.75">
      <c r="A1008" s="124">
        <v>40882</v>
      </c>
      <c r="B1008" s="125">
        <v>47.85</v>
      </c>
      <c r="C1008" s="52"/>
      <c r="D1008" s="52"/>
      <c r="E1008" s="52"/>
      <c r="F1008" s="52"/>
      <c r="G1008" s="52"/>
      <c r="H1008" s="52"/>
    </row>
    <row r="1009" spans="1:8" ht="15.75">
      <c r="A1009" s="124">
        <v>40883</v>
      </c>
      <c r="B1009" s="125">
        <v>48.02</v>
      </c>
      <c r="C1009" s="52"/>
      <c r="D1009" s="52"/>
      <c r="E1009" s="52"/>
      <c r="F1009" s="52"/>
      <c r="G1009" s="52"/>
      <c r="H1009" s="52"/>
    </row>
    <row r="1010" spans="1:8" ht="15.75">
      <c r="A1010" s="124">
        <v>40884</v>
      </c>
      <c r="B1010" s="125">
        <v>48.07</v>
      </c>
      <c r="C1010" s="52"/>
      <c r="D1010" s="52"/>
      <c r="E1010" s="52"/>
      <c r="F1010" s="52"/>
      <c r="G1010" s="52"/>
      <c r="H1010" s="52"/>
    </row>
    <row r="1011" spans="1:8" ht="15.75">
      <c r="A1011" s="124">
        <v>40885</v>
      </c>
      <c r="B1011" s="125">
        <v>47.85</v>
      </c>
      <c r="C1011" s="52"/>
      <c r="D1011" s="52"/>
      <c r="E1011" s="52"/>
      <c r="F1011" s="52"/>
      <c r="G1011" s="52"/>
      <c r="H1011" s="52"/>
    </row>
    <row r="1012" spans="1:8" ht="15.75">
      <c r="A1012" s="124">
        <v>40886</v>
      </c>
      <c r="B1012" s="125">
        <v>48.12</v>
      </c>
      <c r="C1012" s="52"/>
      <c r="D1012" s="52"/>
      <c r="E1012" s="52"/>
      <c r="F1012" s="52"/>
      <c r="G1012" s="52"/>
      <c r="H1012" s="52"/>
    </row>
    <row r="1013" spans="1:8" ht="15.75">
      <c r="A1013" s="124">
        <v>40889</v>
      </c>
      <c r="B1013" s="125">
        <v>47.98</v>
      </c>
      <c r="C1013" s="52"/>
      <c r="D1013" s="52"/>
      <c r="E1013" s="52"/>
      <c r="F1013" s="52"/>
      <c r="G1013" s="52"/>
      <c r="H1013" s="52"/>
    </row>
    <row r="1014" spans="1:8" ht="15.75">
      <c r="A1014" s="124">
        <v>40890</v>
      </c>
      <c r="B1014" s="125">
        <v>47.98</v>
      </c>
      <c r="C1014" s="52"/>
      <c r="D1014" s="52"/>
      <c r="E1014" s="52"/>
      <c r="F1014" s="52"/>
      <c r="G1014" s="52"/>
      <c r="H1014" s="52"/>
    </row>
    <row r="1015" spans="1:8" ht="15.75">
      <c r="A1015" s="124">
        <v>40891</v>
      </c>
      <c r="B1015" s="125">
        <v>48.11</v>
      </c>
      <c r="C1015" s="52"/>
      <c r="D1015" s="52"/>
      <c r="E1015" s="52"/>
      <c r="F1015" s="52"/>
      <c r="G1015" s="52"/>
      <c r="H1015" s="52"/>
    </row>
    <row r="1016" spans="1:8" ht="15.75">
      <c r="A1016" s="124">
        <v>40892</v>
      </c>
      <c r="B1016" s="125">
        <v>47.98</v>
      </c>
      <c r="C1016" s="52"/>
      <c r="D1016" s="52"/>
      <c r="E1016" s="52"/>
      <c r="F1016" s="52"/>
      <c r="G1016" s="52"/>
      <c r="H1016" s="52"/>
    </row>
    <row r="1017" spans="1:8" ht="15.75">
      <c r="A1017" s="124">
        <v>40893</v>
      </c>
      <c r="B1017" s="125">
        <v>48.11</v>
      </c>
      <c r="C1017" s="52"/>
      <c r="D1017" s="52"/>
      <c r="E1017" s="52"/>
      <c r="F1017" s="52"/>
      <c r="G1017" s="52"/>
      <c r="H1017" s="52"/>
    </row>
    <row r="1018" spans="1:8" ht="15.75">
      <c r="A1018" s="124">
        <v>40896</v>
      </c>
      <c r="B1018" s="125">
        <v>47.75</v>
      </c>
      <c r="C1018" s="52"/>
      <c r="D1018" s="52"/>
      <c r="E1018" s="52"/>
      <c r="F1018" s="52"/>
      <c r="G1018" s="52"/>
      <c r="H1018" s="52"/>
    </row>
    <row r="1019" spans="1:8" ht="15.75">
      <c r="A1019" s="124">
        <v>40897</v>
      </c>
      <c r="B1019" s="125">
        <v>48.08</v>
      </c>
      <c r="C1019" s="52"/>
      <c r="D1019" s="52"/>
      <c r="E1019" s="52"/>
      <c r="F1019" s="52"/>
      <c r="G1019" s="52"/>
      <c r="H1019" s="52"/>
    </row>
    <row r="1020" spans="1:8" ht="15.75">
      <c r="A1020" s="124">
        <v>40898</v>
      </c>
      <c r="B1020" s="125">
        <v>47.67</v>
      </c>
      <c r="C1020" s="52"/>
      <c r="D1020" s="52"/>
      <c r="E1020" s="52"/>
      <c r="F1020" s="52"/>
      <c r="G1020" s="52"/>
      <c r="H1020" s="52"/>
    </row>
    <row r="1021" spans="1:8" ht="15.75">
      <c r="A1021" s="124">
        <v>40899</v>
      </c>
      <c r="B1021" s="125">
        <v>47.76</v>
      </c>
      <c r="C1021" s="52"/>
      <c r="D1021" s="52"/>
      <c r="E1021" s="52"/>
      <c r="F1021" s="52"/>
      <c r="G1021" s="52"/>
      <c r="H1021" s="52"/>
    </row>
    <row r="1022" spans="1:8" ht="15.75">
      <c r="A1022" s="124">
        <v>40900</v>
      </c>
      <c r="B1022" s="125">
        <v>47.87</v>
      </c>
      <c r="C1022" s="52"/>
      <c r="D1022" s="52"/>
      <c r="E1022" s="52"/>
      <c r="F1022" s="52"/>
      <c r="G1022" s="52"/>
      <c r="H1022" s="52"/>
    </row>
    <row r="1023" spans="1:8" ht="15.75">
      <c r="A1023" s="124">
        <v>40904</v>
      </c>
      <c r="B1023" s="125">
        <v>47.75</v>
      </c>
      <c r="C1023" s="52"/>
      <c r="D1023" s="52"/>
      <c r="E1023" s="52"/>
      <c r="F1023" s="52"/>
      <c r="G1023" s="52"/>
      <c r="H1023" s="52"/>
    </row>
    <row r="1024" spans="1:8" ht="15.75">
      <c r="A1024" s="124">
        <v>40905</v>
      </c>
      <c r="B1024" s="125">
        <v>47.92</v>
      </c>
      <c r="C1024" s="52"/>
      <c r="D1024" s="52"/>
      <c r="E1024" s="52"/>
      <c r="F1024" s="52"/>
      <c r="G1024" s="52"/>
      <c r="H1024" s="52"/>
    </row>
    <row r="1025" spans="1:8" ht="15.75">
      <c r="A1025" s="124">
        <v>40906</v>
      </c>
      <c r="B1025" s="125">
        <v>47.93</v>
      </c>
      <c r="C1025" s="52"/>
      <c r="D1025" s="52"/>
      <c r="E1025" s="52"/>
      <c r="F1025" s="52"/>
      <c r="G1025" s="52"/>
      <c r="H1025" s="52"/>
    </row>
    <row r="1026" spans="1:8" ht="15.75">
      <c r="A1026" s="124">
        <v>40907</v>
      </c>
      <c r="B1026" s="125">
        <v>47.98</v>
      </c>
      <c r="C1026" s="52"/>
      <c r="D1026" s="52"/>
      <c r="E1026" s="52"/>
      <c r="F1026" s="52"/>
      <c r="G1026" s="52"/>
      <c r="H1026" s="52"/>
    </row>
    <row r="1027" spans="1:8" ht="15.75">
      <c r="A1027" s="124">
        <v>40910</v>
      </c>
      <c r="B1027" s="125">
        <v>48.02</v>
      </c>
      <c r="C1027" s="52"/>
      <c r="D1027" s="52"/>
      <c r="E1027" s="52"/>
      <c r="F1027" s="52"/>
      <c r="G1027" s="52"/>
      <c r="H1027" s="52"/>
    </row>
    <row r="1028" spans="1:8" ht="15.75">
      <c r="A1028" s="124">
        <v>40911</v>
      </c>
      <c r="B1028" s="125">
        <v>48.03</v>
      </c>
      <c r="C1028" s="52"/>
      <c r="D1028" s="52"/>
      <c r="E1028" s="52"/>
      <c r="F1028" s="52"/>
      <c r="G1028" s="52"/>
      <c r="H1028" s="52"/>
    </row>
    <row r="1029" spans="1:8" ht="15.75">
      <c r="A1029" s="124">
        <v>40912</v>
      </c>
      <c r="B1029" s="125">
        <v>47.8</v>
      </c>
      <c r="C1029" s="52"/>
      <c r="D1029" s="52"/>
      <c r="E1029" s="52"/>
      <c r="F1029" s="52"/>
      <c r="G1029" s="52"/>
      <c r="H1029" s="52"/>
    </row>
    <row r="1030" spans="1:8" ht="15.75">
      <c r="A1030" s="124">
        <v>40913</v>
      </c>
      <c r="B1030" s="125">
        <v>46.45</v>
      </c>
      <c r="C1030" s="52"/>
      <c r="D1030" s="52"/>
      <c r="E1030" s="52"/>
      <c r="F1030" s="52"/>
      <c r="G1030" s="52"/>
      <c r="H1030" s="52"/>
    </row>
    <row r="1031" spans="1:8" ht="15.75">
      <c r="A1031" s="124">
        <v>40914</v>
      </c>
      <c r="B1031" s="125">
        <v>47.02</v>
      </c>
      <c r="C1031" s="52"/>
      <c r="D1031" s="52"/>
      <c r="E1031" s="52"/>
      <c r="F1031" s="52"/>
      <c r="G1031" s="52"/>
      <c r="H1031" s="52"/>
    </row>
    <row r="1032" spans="1:8" ht="15.75">
      <c r="A1032" s="124">
        <v>40917</v>
      </c>
      <c r="B1032" s="125">
        <v>47.22</v>
      </c>
      <c r="C1032" s="52"/>
      <c r="D1032" s="52"/>
      <c r="E1032" s="52"/>
      <c r="F1032" s="52"/>
      <c r="G1032" s="52"/>
      <c r="H1032" s="52"/>
    </row>
    <row r="1033" spans="1:8" ht="15.75">
      <c r="A1033" s="124">
        <v>40918</v>
      </c>
      <c r="B1033" s="125">
        <v>47.37</v>
      </c>
      <c r="C1033" s="52"/>
      <c r="D1033" s="52"/>
      <c r="E1033" s="52"/>
      <c r="F1033" s="52"/>
      <c r="G1033" s="52"/>
      <c r="H1033" s="52"/>
    </row>
    <row r="1034" spans="1:8" ht="15.75">
      <c r="A1034" s="124">
        <v>40919</v>
      </c>
      <c r="B1034" s="125">
        <v>47.45</v>
      </c>
      <c r="C1034" s="52"/>
      <c r="D1034" s="52"/>
      <c r="E1034" s="52"/>
      <c r="F1034" s="52"/>
      <c r="G1034" s="52"/>
      <c r="H1034" s="52"/>
    </row>
    <row r="1035" spans="1:8" ht="15.75">
      <c r="A1035" s="124">
        <v>40920</v>
      </c>
      <c r="B1035" s="125">
        <v>47.88</v>
      </c>
      <c r="C1035" s="52"/>
      <c r="D1035" s="52"/>
      <c r="E1035" s="52"/>
      <c r="F1035" s="52"/>
      <c r="G1035" s="52"/>
      <c r="H1035" s="52"/>
    </row>
    <row r="1036" spans="1:8" ht="15.75">
      <c r="A1036" s="124">
        <v>40921</v>
      </c>
      <c r="B1036" s="125">
        <v>47.5</v>
      </c>
      <c r="C1036" s="52"/>
      <c r="D1036" s="52"/>
      <c r="E1036" s="52"/>
      <c r="F1036" s="52"/>
      <c r="G1036" s="52"/>
      <c r="H1036" s="52"/>
    </row>
    <row r="1037" spans="1:8" ht="15.75">
      <c r="A1037" s="124">
        <v>40924</v>
      </c>
      <c r="B1037" s="125">
        <v>47.79</v>
      </c>
      <c r="C1037" s="52"/>
      <c r="D1037" s="52"/>
      <c r="E1037" s="52"/>
      <c r="F1037" s="52"/>
      <c r="G1037" s="52"/>
      <c r="H1037" s="52"/>
    </row>
    <row r="1038" spans="1:8" ht="15.75">
      <c r="A1038" s="124">
        <v>40925</v>
      </c>
      <c r="B1038" s="125">
        <v>47.56</v>
      </c>
      <c r="C1038" s="52"/>
      <c r="D1038" s="52"/>
      <c r="E1038" s="52"/>
      <c r="F1038" s="52"/>
      <c r="G1038" s="52"/>
      <c r="H1038" s="52"/>
    </row>
    <row r="1039" spans="1:8" ht="15.75">
      <c r="A1039" s="124">
        <v>40926</v>
      </c>
      <c r="B1039" s="125">
        <v>47.18</v>
      </c>
      <c r="C1039" s="52"/>
      <c r="D1039" s="52"/>
      <c r="E1039" s="52"/>
      <c r="F1039" s="52"/>
      <c r="G1039" s="52"/>
      <c r="H1039" s="52"/>
    </row>
    <row r="1040" spans="1:8" ht="15.75">
      <c r="A1040" s="124">
        <v>40927</v>
      </c>
      <c r="B1040" s="125">
        <v>46.24</v>
      </c>
      <c r="C1040" s="52"/>
      <c r="D1040" s="52"/>
      <c r="E1040" s="52"/>
      <c r="F1040" s="52"/>
      <c r="G1040" s="52"/>
      <c r="H1040" s="52"/>
    </row>
    <row r="1041" spans="1:8" ht="15.75">
      <c r="A1041" s="124">
        <v>40928</v>
      </c>
      <c r="B1041" s="125">
        <v>47.03</v>
      </c>
      <c r="C1041" s="52"/>
      <c r="D1041" s="52"/>
      <c r="E1041" s="52"/>
      <c r="F1041" s="52"/>
      <c r="G1041" s="52"/>
      <c r="H1041" s="52"/>
    </row>
    <row r="1042" spans="1:8" ht="15.75">
      <c r="A1042" s="124">
        <v>40931</v>
      </c>
      <c r="B1042" s="125">
        <v>46.88</v>
      </c>
      <c r="C1042" s="52"/>
      <c r="D1042" s="52"/>
      <c r="E1042" s="52"/>
      <c r="F1042" s="52"/>
      <c r="G1042" s="52"/>
      <c r="H1042" s="52"/>
    </row>
    <row r="1043" spans="1:8" ht="15.75">
      <c r="A1043" s="124">
        <v>40932</v>
      </c>
      <c r="B1043" s="125">
        <v>46.75</v>
      </c>
      <c r="C1043" s="52"/>
      <c r="D1043" s="52"/>
      <c r="E1043" s="52"/>
      <c r="F1043" s="52"/>
      <c r="G1043" s="52"/>
      <c r="H1043" s="52"/>
    </row>
    <row r="1044" spans="1:8" ht="15.75">
      <c r="A1044" s="124">
        <v>40933</v>
      </c>
      <c r="B1044" s="125">
        <v>47.25</v>
      </c>
      <c r="C1044" s="52"/>
      <c r="D1044" s="52"/>
      <c r="E1044" s="52"/>
      <c r="F1044" s="52"/>
      <c r="G1044" s="52"/>
      <c r="H1044" s="52"/>
    </row>
    <row r="1045" spans="1:8" ht="15.75">
      <c r="A1045" s="124">
        <v>40934</v>
      </c>
      <c r="B1045" s="125">
        <v>46.82</v>
      </c>
      <c r="C1045" s="52"/>
      <c r="D1045" s="52"/>
      <c r="E1045" s="52"/>
      <c r="F1045" s="52"/>
      <c r="G1045" s="52"/>
      <c r="H1045" s="52"/>
    </row>
    <row r="1046" spans="1:8" ht="15.75">
      <c r="A1046" s="124">
        <v>40935</v>
      </c>
      <c r="B1046" s="125">
        <v>46.7</v>
      </c>
      <c r="C1046" s="52"/>
      <c r="D1046" s="52"/>
      <c r="E1046" s="52"/>
      <c r="F1046" s="52"/>
      <c r="G1046" s="52"/>
      <c r="H1046" s="52"/>
    </row>
    <row r="1047" spans="1:8" ht="15.75">
      <c r="A1047" s="124">
        <v>40938</v>
      </c>
      <c r="B1047" s="125">
        <v>47.11</v>
      </c>
      <c r="C1047" s="52"/>
      <c r="D1047" s="52"/>
      <c r="E1047" s="52"/>
      <c r="F1047" s="52"/>
      <c r="G1047" s="52"/>
      <c r="H1047" s="52"/>
    </row>
    <row r="1048" spans="1:8" ht="15.75">
      <c r="A1048" s="124">
        <v>40939</v>
      </c>
      <c r="B1048" s="125">
        <v>46.91</v>
      </c>
      <c r="C1048" s="52"/>
      <c r="D1048" s="52"/>
      <c r="E1048" s="52"/>
      <c r="F1048" s="52"/>
      <c r="G1048" s="52"/>
      <c r="H1048" s="52"/>
    </row>
    <row r="1049" spans="1:8" ht="15.75">
      <c r="A1049" s="124">
        <v>40940</v>
      </c>
      <c r="B1049" s="125">
        <v>47.05</v>
      </c>
      <c r="C1049" s="52"/>
      <c r="D1049" s="52"/>
      <c r="E1049" s="52"/>
      <c r="F1049" s="52"/>
      <c r="G1049" s="52"/>
      <c r="H1049" s="52"/>
    </row>
    <row r="1050" spans="1:8" ht="15.75">
      <c r="A1050" s="124">
        <v>40941</v>
      </c>
      <c r="B1050" s="125">
        <v>46.98</v>
      </c>
      <c r="C1050" s="52"/>
      <c r="D1050" s="52"/>
      <c r="E1050" s="52"/>
      <c r="F1050" s="52"/>
      <c r="G1050" s="52"/>
      <c r="H1050" s="52"/>
    </row>
    <row r="1051" spans="1:8" ht="15.75">
      <c r="A1051" s="124">
        <v>40942</v>
      </c>
      <c r="B1051" s="125">
        <v>46.53</v>
      </c>
      <c r="C1051" s="52"/>
      <c r="D1051" s="52"/>
      <c r="E1051" s="52"/>
      <c r="F1051" s="52"/>
      <c r="G1051" s="52"/>
      <c r="H1051" s="52"/>
    </row>
    <row r="1052" spans="1:8" ht="15.75">
      <c r="A1052" s="124">
        <v>40945</v>
      </c>
      <c r="B1052" s="125">
        <v>46.49</v>
      </c>
      <c r="C1052" s="52"/>
      <c r="D1052" s="52"/>
      <c r="E1052" s="52"/>
      <c r="F1052" s="52"/>
      <c r="G1052" s="52"/>
      <c r="H1052" s="52"/>
    </row>
    <row r="1053" spans="1:8" ht="15.75">
      <c r="A1053" s="124">
        <v>40946</v>
      </c>
      <c r="B1053" s="125">
        <v>46.24</v>
      </c>
      <c r="C1053" s="52"/>
      <c r="D1053" s="52"/>
      <c r="E1053" s="52"/>
      <c r="F1053" s="52"/>
      <c r="G1053" s="52"/>
      <c r="H1053" s="52"/>
    </row>
    <row r="1054" spans="1:8" ht="15.75">
      <c r="A1054" s="124">
        <v>40947</v>
      </c>
      <c r="B1054" s="125">
        <v>46.61</v>
      </c>
      <c r="C1054" s="52"/>
      <c r="D1054" s="52"/>
      <c r="E1054" s="52"/>
      <c r="F1054" s="52"/>
      <c r="G1054" s="52"/>
      <c r="H1054" s="52"/>
    </row>
    <row r="1055" spans="1:8" ht="15.75">
      <c r="A1055" s="124">
        <v>40948</v>
      </c>
      <c r="B1055" s="125">
        <v>46.77</v>
      </c>
      <c r="C1055" s="52"/>
      <c r="D1055" s="52"/>
      <c r="E1055" s="52"/>
      <c r="F1055" s="52"/>
      <c r="G1055" s="52"/>
      <c r="H1055" s="52"/>
    </row>
    <row r="1056" spans="1:8" ht="15.75">
      <c r="A1056" s="124">
        <v>40949</v>
      </c>
      <c r="B1056" s="125">
        <v>47.16</v>
      </c>
      <c r="C1056" s="52"/>
      <c r="D1056" s="52"/>
      <c r="E1056" s="52"/>
      <c r="F1056" s="52"/>
      <c r="G1056" s="52"/>
      <c r="H1056" s="52"/>
    </row>
    <row r="1057" spans="1:8" ht="15.75">
      <c r="A1057" s="124">
        <v>40952</v>
      </c>
      <c r="B1057" s="125">
        <v>46.78</v>
      </c>
      <c r="C1057" s="52"/>
      <c r="D1057" s="52"/>
      <c r="E1057" s="52"/>
      <c r="F1057" s="52"/>
      <c r="G1057" s="52"/>
      <c r="H1057" s="52"/>
    </row>
    <row r="1058" spans="1:8" ht="15.75">
      <c r="A1058" s="124">
        <v>40953</v>
      </c>
      <c r="B1058" s="125">
        <v>46.99</v>
      </c>
      <c r="C1058" s="52"/>
      <c r="D1058" s="52"/>
      <c r="E1058" s="52"/>
      <c r="F1058" s="52"/>
      <c r="G1058" s="52"/>
      <c r="H1058" s="52"/>
    </row>
    <row r="1059" spans="1:8" ht="15.75">
      <c r="A1059" s="124">
        <v>40954</v>
      </c>
      <c r="B1059" s="125">
        <v>46.86</v>
      </c>
      <c r="C1059" s="52"/>
      <c r="D1059" s="52"/>
      <c r="E1059" s="52"/>
      <c r="F1059" s="52"/>
      <c r="G1059" s="52"/>
      <c r="H1059" s="52"/>
    </row>
    <row r="1060" spans="1:8" ht="15.75">
      <c r="A1060" s="124">
        <v>40955</v>
      </c>
      <c r="B1060" s="125">
        <v>46.91</v>
      </c>
      <c r="C1060" s="52"/>
      <c r="D1060" s="52"/>
      <c r="E1060" s="52"/>
      <c r="F1060" s="52"/>
      <c r="G1060" s="52"/>
      <c r="H1060" s="52"/>
    </row>
    <row r="1061" spans="1:8" ht="15.75">
      <c r="A1061" s="124">
        <v>40956</v>
      </c>
      <c r="B1061" s="125">
        <v>46.95</v>
      </c>
      <c r="C1061" s="52"/>
      <c r="D1061" s="52"/>
      <c r="E1061" s="52"/>
      <c r="F1061" s="52"/>
      <c r="G1061" s="52"/>
      <c r="H1061" s="52"/>
    </row>
    <row r="1062" spans="1:8" ht="15.75">
      <c r="A1062" s="124">
        <v>40959</v>
      </c>
      <c r="B1062" s="125">
        <v>47.01</v>
      </c>
      <c r="C1062" s="52"/>
      <c r="D1062" s="52"/>
      <c r="E1062" s="52"/>
      <c r="F1062" s="52"/>
      <c r="G1062" s="52"/>
      <c r="H1062" s="52"/>
    </row>
    <row r="1063" spans="1:8" ht="15.75">
      <c r="A1063" s="124">
        <v>40960</v>
      </c>
      <c r="B1063" s="125">
        <v>47.04</v>
      </c>
      <c r="C1063" s="52"/>
      <c r="D1063" s="52"/>
      <c r="E1063" s="52"/>
      <c r="F1063" s="52"/>
      <c r="G1063" s="52"/>
      <c r="H1063" s="52"/>
    </row>
    <row r="1064" spans="1:8" ht="15.75">
      <c r="A1064" s="124">
        <v>40961</v>
      </c>
      <c r="B1064" s="125">
        <v>47.18</v>
      </c>
      <c r="C1064" s="52"/>
      <c r="D1064" s="52"/>
      <c r="E1064" s="52"/>
      <c r="F1064" s="52"/>
      <c r="G1064" s="52"/>
      <c r="H1064" s="52"/>
    </row>
    <row r="1065" spans="1:8" ht="15.75">
      <c r="A1065" s="124">
        <v>40962</v>
      </c>
      <c r="B1065" s="125">
        <v>47.02</v>
      </c>
      <c r="C1065" s="52"/>
      <c r="D1065" s="52"/>
      <c r="E1065" s="52"/>
      <c r="F1065" s="52"/>
      <c r="G1065" s="52"/>
      <c r="H1065" s="52"/>
    </row>
    <row r="1066" spans="1:8" ht="15.75">
      <c r="A1066" s="124">
        <v>40963</v>
      </c>
      <c r="B1066" s="125">
        <v>47</v>
      </c>
      <c r="C1066" s="52"/>
      <c r="D1066" s="52"/>
      <c r="E1066" s="52"/>
      <c r="F1066" s="52"/>
      <c r="G1066" s="52"/>
      <c r="H1066" s="52"/>
    </row>
    <row r="1067" spans="1:8" ht="15.75">
      <c r="A1067" s="124">
        <v>40966</v>
      </c>
      <c r="B1067" s="125">
        <v>47.17</v>
      </c>
      <c r="C1067" s="52"/>
      <c r="D1067" s="52"/>
      <c r="E1067" s="52"/>
      <c r="F1067" s="52"/>
      <c r="G1067" s="52"/>
      <c r="H1067" s="52"/>
    </row>
    <row r="1068" spans="1:8" ht="15.75">
      <c r="A1068" s="124">
        <v>40967</v>
      </c>
      <c r="B1068" s="125">
        <v>46.93</v>
      </c>
      <c r="C1068" s="52"/>
      <c r="D1068" s="52"/>
      <c r="E1068" s="52"/>
      <c r="F1068" s="52"/>
      <c r="G1068" s="52"/>
      <c r="H1068" s="52"/>
    </row>
    <row r="1069" spans="1:8" ht="15.75">
      <c r="A1069" s="124">
        <v>40968</v>
      </c>
      <c r="B1069" s="125">
        <v>46.93</v>
      </c>
      <c r="C1069" s="52"/>
      <c r="D1069" s="52"/>
      <c r="E1069" s="52"/>
      <c r="F1069" s="52"/>
      <c r="G1069" s="52"/>
      <c r="H1069" s="52"/>
    </row>
    <row r="1070" spans="1:8" ht="15.75">
      <c r="A1070" s="124">
        <v>40969</v>
      </c>
      <c r="B1070" s="125">
        <v>47.01</v>
      </c>
      <c r="C1070" s="52"/>
      <c r="D1070" s="52"/>
      <c r="E1070" s="52"/>
      <c r="F1070" s="52"/>
      <c r="G1070" s="52"/>
      <c r="H1070" s="52"/>
    </row>
    <row r="1071" spans="1:8" ht="15.75">
      <c r="A1071" s="124">
        <v>40970</v>
      </c>
      <c r="B1071" s="125">
        <v>47.07</v>
      </c>
      <c r="C1071" s="52"/>
      <c r="D1071" s="52"/>
      <c r="E1071" s="52"/>
      <c r="F1071" s="52"/>
      <c r="G1071" s="52"/>
      <c r="H1071" s="52"/>
    </row>
    <row r="1072" spans="1:8" ht="15.75">
      <c r="A1072" s="124">
        <v>40973</v>
      </c>
      <c r="B1072" s="125">
        <v>47.27</v>
      </c>
      <c r="C1072" s="52"/>
      <c r="D1072" s="52"/>
      <c r="E1072" s="52"/>
      <c r="F1072" s="52"/>
      <c r="G1072" s="52"/>
      <c r="H1072" s="52"/>
    </row>
    <row r="1073" spans="1:8" ht="15.75">
      <c r="A1073" s="124">
        <v>40974</v>
      </c>
      <c r="B1073" s="125">
        <v>47.26</v>
      </c>
      <c r="C1073" s="52"/>
      <c r="D1073" s="52"/>
      <c r="E1073" s="52"/>
      <c r="F1073" s="52"/>
      <c r="G1073" s="52"/>
      <c r="H1073" s="52"/>
    </row>
    <row r="1074" spans="1:8" ht="15.75">
      <c r="A1074" s="124">
        <v>40975</v>
      </c>
      <c r="B1074" s="125">
        <v>47.02</v>
      </c>
      <c r="C1074" s="52"/>
      <c r="D1074" s="52"/>
      <c r="E1074" s="52"/>
      <c r="F1074" s="52"/>
      <c r="G1074" s="52"/>
      <c r="H1074" s="52"/>
    </row>
    <row r="1075" spans="1:8" ht="15.75">
      <c r="A1075" s="124">
        <v>40976</v>
      </c>
      <c r="B1075" s="125">
        <v>47.25</v>
      </c>
      <c r="C1075" s="52"/>
      <c r="D1075" s="52"/>
      <c r="E1075" s="52"/>
      <c r="F1075" s="52"/>
      <c r="G1075" s="52"/>
      <c r="H1075" s="52"/>
    </row>
    <row r="1076" spans="1:8" ht="15.75">
      <c r="A1076" s="124">
        <v>40977</v>
      </c>
      <c r="B1076" s="125">
        <v>47.15</v>
      </c>
      <c r="C1076" s="52"/>
      <c r="D1076" s="52"/>
      <c r="E1076" s="52"/>
      <c r="F1076" s="52"/>
      <c r="G1076" s="52"/>
      <c r="H1076" s="52"/>
    </row>
    <row r="1077" spans="1:8" ht="15.75">
      <c r="A1077" s="124">
        <v>40980</v>
      </c>
      <c r="B1077" s="125">
        <v>47.38</v>
      </c>
      <c r="C1077" s="52"/>
      <c r="D1077" s="52"/>
      <c r="E1077" s="52"/>
      <c r="F1077" s="52"/>
      <c r="G1077" s="52"/>
      <c r="H1077" s="52"/>
    </row>
    <row r="1078" spans="1:8" ht="15.75">
      <c r="A1078" s="124">
        <v>40981</v>
      </c>
      <c r="B1078" s="125">
        <v>47.3</v>
      </c>
      <c r="C1078" s="52"/>
      <c r="D1078" s="52"/>
      <c r="E1078" s="52"/>
      <c r="F1078" s="52"/>
      <c r="G1078" s="52"/>
      <c r="H1078" s="52"/>
    </row>
    <row r="1079" spans="1:8" ht="15.75">
      <c r="A1079" s="124">
        <v>40982</v>
      </c>
      <c r="B1079" s="125">
        <v>47.56</v>
      </c>
      <c r="C1079" s="52"/>
      <c r="D1079" s="52"/>
      <c r="E1079" s="52"/>
      <c r="F1079" s="52"/>
      <c r="G1079" s="52"/>
      <c r="H1079" s="52"/>
    </row>
    <row r="1080" spans="1:8" ht="15.75">
      <c r="A1080" s="124">
        <v>40983</v>
      </c>
      <c r="B1080" s="125">
        <v>47.3</v>
      </c>
      <c r="C1080" s="52"/>
      <c r="D1080" s="52"/>
      <c r="E1080" s="52"/>
      <c r="F1080" s="52"/>
      <c r="G1080" s="52"/>
      <c r="H1080" s="52"/>
    </row>
    <row r="1081" spans="1:8" ht="15.75">
      <c r="A1081" s="124">
        <v>40984</v>
      </c>
      <c r="B1081" s="125">
        <v>47.46</v>
      </c>
      <c r="C1081" s="52"/>
      <c r="D1081" s="52"/>
      <c r="E1081" s="52"/>
      <c r="F1081" s="52"/>
      <c r="G1081" s="52"/>
      <c r="H1081" s="52"/>
    </row>
    <row r="1082" spans="1:8" ht="15.75">
      <c r="A1082" s="124">
        <v>40987</v>
      </c>
      <c r="B1082" s="125">
        <v>47.54</v>
      </c>
      <c r="C1082" s="52"/>
      <c r="D1082" s="52"/>
      <c r="E1082" s="52"/>
      <c r="F1082" s="52"/>
      <c r="G1082" s="52"/>
      <c r="H1082" s="52"/>
    </row>
    <row r="1083" spans="1:8" ht="15.75">
      <c r="A1083" s="124">
        <v>40988</v>
      </c>
      <c r="B1083" s="125">
        <v>47.34</v>
      </c>
      <c r="C1083" s="52"/>
      <c r="D1083" s="52"/>
      <c r="E1083" s="52"/>
      <c r="F1083" s="52"/>
      <c r="G1083" s="52"/>
      <c r="H1083" s="52"/>
    </row>
    <row r="1084" spans="1:8" ht="15.75">
      <c r="A1084" s="124">
        <v>40989</v>
      </c>
      <c r="B1084" s="125">
        <v>47.26</v>
      </c>
      <c r="C1084" s="52"/>
      <c r="D1084" s="52"/>
      <c r="E1084" s="52"/>
      <c r="F1084" s="52"/>
      <c r="G1084" s="52"/>
      <c r="H1084" s="52"/>
    </row>
    <row r="1085" spans="1:8" ht="15.75">
      <c r="A1085" s="124">
        <v>40990</v>
      </c>
      <c r="B1085" s="125">
        <v>47.3</v>
      </c>
      <c r="C1085" s="52"/>
      <c r="D1085" s="52"/>
      <c r="E1085" s="52"/>
      <c r="F1085" s="52"/>
      <c r="G1085" s="52"/>
      <c r="H1085" s="52"/>
    </row>
    <row r="1086" spans="1:8" ht="15.75">
      <c r="A1086" s="124">
        <v>40991</v>
      </c>
      <c r="B1086" s="125">
        <v>47.26</v>
      </c>
      <c r="C1086" s="52"/>
      <c r="D1086" s="52"/>
      <c r="E1086" s="52"/>
      <c r="F1086" s="52"/>
      <c r="G1086" s="52"/>
      <c r="H1086" s="52"/>
    </row>
    <row r="1087" spans="1:8" ht="15.75">
      <c r="A1087" s="124">
        <v>40994</v>
      </c>
      <c r="B1087" s="125">
        <v>47.34</v>
      </c>
      <c r="C1087" s="52"/>
      <c r="D1087" s="52"/>
      <c r="E1087" s="52"/>
      <c r="F1087" s="52"/>
      <c r="G1087" s="52"/>
      <c r="H1087" s="52"/>
    </row>
    <row r="1088" spans="1:8" ht="15.75">
      <c r="A1088" s="124">
        <v>40995</v>
      </c>
      <c r="B1088" s="125">
        <v>47.45</v>
      </c>
      <c r="C1088" s="52"/>
      <c r="D1088" s="52"/>
      <c r="E1088" s="52"/>
      <c r="F1088" s="52"/>
      <c r="G1088" s="52"/>
      <c r="H1088" s="52"/>
    </row>
    <row r="1089" spans="1:8" ht="15.75">
      <c r="A1089" s="124">
        <v>40996</v>
      </c>
      <c r="B1089" s="125">
        <v>47.26</v>
      </c>
      <c r="C1089" s="52"/>
      <c r="D1089" s="52"/>
      <c r="E1089" s="52"/>
      <c r="F1089" s="52"/>
      <c r="G1089" s="52"/>
      <c r="H1089" s="52"/>
    </row>
    <row r="1090" spans="1:8" ht="15.75">
      <c r="A1090" s="124">
        <v>40997</v>
      </c>
      <c r="B1090" s="125">
        <v>47.28</v>
      </c>
      <c r="C1090" s="52"/>
      <c r="D1090" s="52"/>
      <c r="E1090" s="52"/>
      <c r="F1090" s="52"/>
      <c r="G1090" s="52"/>
      <c r="H1090" s="52"/>
    </row>
    <row r="1091" spans="1:8" ht="15.75">
      <c r="A1091" s="124">
        <v>40998</v>
      </c>
      <c r="B1091" s="125">
        <v>47.48</v>
      </c>
      <c r="C1091" s="52"/>
      <c r="D1091" s="52"/>
      <c r="E1091" s="52"/>
      <c r="F1091" s="52"/>
      <c r="G1091" s="52"/>
      <c r="H1091" s="52"/>
    </row>
    <row r="1092" spans="1:8" ht="15.75">
      <c r="A1092" s="124">
        <v>41001</v>
      </c>
      <c r="B1092" s="125">
        <v>47.44</v>
      </c>
      <c r="C1092" s="52"/>
      <c r="D1092" s="52"/>
      <c r="E1092" s="52"/>
      <c r="F1092" s="52"/>
      <c r="G1092" s="52"/>
      <c r="H1092" s="52"/>
    </row>
    <row r="1093" spans="1:8" ht="15.75">
      <c r="A1093" s="124">
        <v>41002</v>
      </c>
      <c r="B1093" s="125">
        <v>47.57</v>
      </c>
      <c r="C1093" s="52"/>
      <c r="D1093" s="52"/>
      <c r="E1093" s="52"/>
      <c r="F1093" s="52"/>
      <c r="G1093" s="52"/>
      <c r="H1093" s="52"/>
    </row>
    <row r="1094" spans="1:8" ht="15.75">
      <c r="A1094" s="124">
        <v>41003</v>
      </c>
      <c r="B1094" s="125">
        <v>47.56</v>
      </c>
      <c r="C1094" s="52"/>
      <c r="D1094" s="52"/>
      <c r="E1094" s="52"/>
      <c r="F1094" s="52"/>
      <c r="G1094" s="52"/>
      <c r="H1094" s="52"/>
    </row>
    <row r="1095" spans="1:8" ht="15.75">
      <c r="A1095" s="124">
        <v>41004</v>
      </c>
      <c r="B1095" s="125">
        <v>47.51</v>
      </c>
      <c r="C1095" s="52"/>
      <c r="D1095" s="52"/>
      <c r="E1095" s="52"/>
      <c r="F1095" s="52"/>
      <c r="G1095" s="52"/>
      <c r="H1095" s="52"/>
    </row>
    <row r="1096" spans="1:8" ht="15.75">
      <c r="A1096" s="124">
        <v>41009</v>
      </c>
      <c r="B1096" s="125">
        <v>47.59</v>
      </c>
      <c r="C1096" s="52"/>
      <c r="D1096" s="52"/>
      <c r="E1096" s="52"/>
      <c r="F1096" s="52"/>
      <c r="G1096" s="52"/>
      <c r="H1096" s="52"/>
    </row>
    <row r="1097" spans="1:8" ht="15.75">
      <c r="A1097" s="124">
        <v>41010</v>
      </c>
      <c r="B1097" s="125">
        <v>47.36</v>
      </c>
      <c r="C1097" s="52"/>
      <c r="D1097" s="52"/>
      <c r="E1097" s="52"/>
      <c r="F1097" s="52"/>
      <c r="G1097" s="52"/>
      <c r="H1097" s="52"/>
    </row>
    <row r="1098" spans="1:8" ht="15.75">
      <c r="A1098" s="124">
        <v>41011</v>
      </c>
      <c r="B1098" s="125">
        <v>47.46</v>
      </c>
      <c r="C1098" s="52"/>
      <c r="D1098" s="52"/>
      <c r="E1098" s="52"/>
      <c r="F1098" s="52"/>
      <c r="G1098" s="52"/>
      <c r="H1098" s="52"/>
    </row>
    <row r="1099" spans="1:8" ht="15.75">
      <c r="A1099" s="124">
        <v>41012</v>
      </c>
      <c r="B1099" s="125">
        <v>47.36</v>
      </c>
      <c r="C1099" s="52"/>
      <c r="D1099" s="52"/>
      <c r="E1099" s="52"/>
      <c r="F1099" s="52"/>
      <c r="G1099" s="52"/>
      <c r="H1099" s="52"/>
    </row>
    <row r="1100" spans="1:8" ht="15.75">
      <c r="A1100" s="124">
        <v>41015</v>
      </c>
      <c r="B1100" s="125">
        <v>47.79</v>
      </c>
      <c r="C1100" s="52"/>
      <c r="D1100" s="52"/>
      <c r="E1100" s="52"/>
      <c r="F1100" s="52"/>
      <c r="G1100" s="52"/>
      <c r="H1100" s="52"/>
    </row>
    <row r="1101" spans="1:8" ht="15.75">
      <c r="A1101" s="124">
        <v>41016</v>
      </c>
      <c r="B1101" s="125">
        <v>47.5</v>
      </c>
      <c r="C1101" s="52"/>
      <c r="D1101" s="52"/>
      <c r="E1101" s="52"/>
      <c r="F1101" s="52"/>
      <c r="G1101" s="52"/>
      <c r="H1101" s="52"/>
    </row>
    <row r="1102" spans="1:8" ht="15.75">
      <c r="A1102" s="124">
        <v>41017</v>
      </c>
      <c r="B1102" s="125">
        <v>47.39</v>
      </c>
      <c r="C1102" s="52"/>
      <c r="D1102" s="52"/>
      <c r="E1102" s="52"/>
      <c r="F1102" s="52"/>
      <c r="G1102" s="52"/>
      <c r="H1102" s="52"/>
    </row>
    <row r="1103" spans="1:8" ht="15.75">
      <c r="A1103" s="124">
        <v>41018</v>
      </c>
      <c r="B1103" s="125">
        <v>47.38</v>
      </c>
      <c r="C1103" s="52"/>
      <c r="D1103" s="52"/>
      <c r="E1103" s="52"/>
      <c r="F1103" s="52"/>
      <c r="G1103" s="52"/>
      <c r="H1103" s="52"/>
    </row>
    <row r="1104" spans="1:8" ht="15.75">
      <c r="A1104" s="124">
        <v>41019</v>
      </c>
      <c r="B1104" s="125">
        <v>47.59</v>
      </c>
      <c r="C1104" s="52"/>
      <c r="D1104" s="52"/>
      <c r="E1104" s="52"/>
      <c r="F1104" s="52"/>
      <c r="G1104" s="52"/>
      <c r="H1104" s="52"/>
    </row>
    <row r="1105" spans="1:8" ht="15.75">
      <c r="A1105" s="124">
        <v>41022</v>
      </c>
      <c r="B1105" s="125">
        <v>47.36</v>
      </c>
      <c r="C1105" s="52"/>
      <c r="D1105" s="52"/>
      <c r="E1105" s="52"/>
      <c r="F1105" s="52"/>
      <c r="G1105" s="52"/>
      <c r="H1105" s="52"/>
    </row>
    <row r="1106" spans="1:8" ht="15.75">
      <c r="A1106" s="124">
        <v>41023</v>
      </c>
      <c r="B1106" s="125">
        <v>47.37</v>
      </c>
      <c r="C1106" s="52"/>
      <c r="D1106" s="52"/>
      <c r="E1106" s="52"/>
      <c r="F1106" s="52"/>
      <c r="G1106" s="52"/>
      <c r="H1106" s="52"/>
    </row>
    <row r="1107" spans="1:8" ht="15.75">
      <c r="A1107" s="124">
        <v>41024</v>
      </c>
      <c r="B1107" s="125">
        <v>47.34</v>
      </c>
      <c r="C1107" s="52"/>
      <c r="D1107" s="52"/>
      <c r="E1107" s="52"/>
      <c r="F1107" s="52"/>
      <c r="G1107" s="52"/>
      <c r="H1107" s="52"/>
    </row>
    <row r="1108" spans="1:8" ht="15.75">
      <c r="A1108" s="124">
        <v>41025</v>
      </c>
      <c r="B1108" s="125">
        <v>47.39</v>
      </c>
      <c r="C1108" s="52"/>
      <c r="D1108" s="52"/>
      <c r="E1108" s="52"/>
      <c r="F1108" s="52"/>
      <c r="G1108" s="52"/>
      <c r="H1108" s="52"/>
    </row>
    <row r="1109" spans="1:8" ht="15.75">
      <c r="A1109" s="124">
        <v>41026</v>
      </c>
      <c r="B1109" s="125">
        <v>47.25</v>
      </c>
      <c r="C1109" s="52"/>
      <c r="D1109" s="52"/>
      <c r="E1109" s="52"/>
      <c r="F1109" s="52"/>
      <c r="G1109" s="52"/>
      <c r="H1109" s="52"/>
    </row>
    <row r="1110" spans="1:8" ht="15.75">
      <c r="A1110" s="124">
        <v>41029</v>
      </c>
      <c r="B1110" s="125">
        <v>47.12</v>
      </c>
      <c r="C1110" s="52"/>
      <c r="D1110" s="52"/>
      <c r="E1110" s="52"/>
      <c r="F1110" s="52"/>
      <c r="G1110" s="52"/>
      <c r="H1110" s="52"/>
    </row>
    <row r="1111" spans="1:8" ht="15.75">
      <c r="A1111" s="124">
        <v>41031</v>
      </c>
      <c r="B1111" s="125">
        <v>47.24</v>
      </c>
      <c r="C1111" s="52"/>
      <c r="D1111" s="52"/>
      <c r="E1111" s="52"/>
      <c r="F1111" s="52"/>
      <c r="G1111" s="52"/>
      <c r="H1111" s="52"/>
    </row>
    <row r="1112" spans="1:8" ht="15.75">
      <c r="A1112" s="124">
        <v>41032</v>
      </c>
      <c r="B1112" s="125">
        <v>47.31</v>
      </c>
      <c r="C1112" s="52"/>
      <c r="D1112" s="52"/>
      <c r="E1112" s="52"/>
      <c r="F1112" s="52"/>
      <c r="G1112" s="52"/>
      <c r="H1112" s="52"/>
    </row>
    <row r="1113" spans="1:8" ht="15.75">
      <c r="A1113" s="124">
        <v>41033</v>
      </c>
      <c r="B1113" s="125">
        <v>47.35</v>
      </c>
      <c r="C1113" s="52"/>
      <c r="D1113" s="52"/>
      <c r="E1113" s="52"/>
      <c r="F1113" s="52"/>
      <c r="G1113" s="52"/>
      <c r="H1113" s="52"/>
    </row>
    <row r="1114" spans="1:8" ht="15.75">
      <c r="A1114" s="124">
        <v>41036</v>
      </c>
      <c r="B1114" s="125">
        <v>47.04</v>
      </c>
      <c r="C1114" s="52"/>
      <c r="D1114" s="52"/>
      <c r="E1114" s="52"/>
      <c r="F1114" s="52"/>
      <c r="G1114" s="52"/>
      <c r="H1114" s="52"/>
    </row>
    <row r="1115" spans="1:8" ht="15.75">
      <c r="A1115" s="124">
        <v>41037</v>
      </c>
      <c r="B1115" s="125">
        <v>47.13</v>
      </c>
      <c r="C1115" s="52"/>
      <c r="D1115" s="52"/>
      <c r="E1115" s="52"/>
      <c r="F1115" s="52"/>
      <c r="G1115" s="52"/>
      <c r="H1115" s="52"/>
    </row>
    <row r="1116" spans="1:8" ht="15.75">
      <c r="A1116" s="124">
        <v>41038</v>
      </c>
      <c r="B1116" s="125">
        <v>47.15</v>
      </c>
      <c r="C1116" s="52"/>
      <c r="D1116" s="52"/>
      <c r="E1116" s="52"/>
      <c r="F1116" s="52"/>
      <c r="G1116" s="52"/>
      <c r="H1116" s="52"/>
    </row>
    <row r="1117" spans="1:8" ht="15.75">
      <c r="A1117" s="124">
        <v>41039</v>
      </c>
      <c r="B1117" s="125">
        <v>47.19</v>
      </c>
      <c r="C1117" s="52"/>
      <c r="D1117" s="52"/>
      <c r="E1117" s="52"/>
      <c r="F1117" s="52"/>
      <c r="G1117" s="52"/>
      <c r="H1117" s="52"/>
    </row>
    <row r="1118" spans="1:8" ht="15.75">
      <c r="A1118" s="124">
        <v>41040</v>
      </c>
      <c r="B1118" s="125">
        <v>47.19</v>
      </c>
      <c r="C1118" s="52"/>
      <c r="D1118" s="52"/>
      <c r="E1118" s="52"/>
      <c r="F1118" s="52"/>
      <c r="G1118" s="52"/>
      <c r="H1118" s="52"/>
    </row>
    <row r="1119" spans="1:8" ht="15.75">
      <c r="A1119" s="124">
        <v>41043</v>
      </c>
      <c r="B1119" s="125">
        <v>47.11</v>
      </c>
      <c r="C1119" s="52"/>
      <c r="D1119" s="52"/>
      <c r="E1119" s="52"/>
      <c r="F1119" s="52"/>
      <c r="G1119" s="52"/>
      <c r="H1119" s="52"/>
    </row>
    <row r="1120" spans="1:8" ht="15.75">
      <c r="A1120" s="124">
        <v>41044</v>
      </c>
      <c r="B1120" s="125">
        <v>47.16</v>
      </c>
      <c r="C1120" s="52"/>
      <c r="D1120" s="52"/>
      <c r="E1120" s="52"/>
      <c r="F1120" s="52"/>
      <c r="G1120" s="52"/>
      <c r="H1120" s="52"/>
    </row>
    <row r="1121" spans="1:8" ht="15.75">
      <c r="A1121" s="124">
        <v>41045</v>
      </c>
      <c r="B1121" s="125">
        <v>47.27</v>
      </c>
      <c r="C1121" s="52"/>
      <c r="D1121" s="52"/>
      <c r="E1121" s="52"/>
      <c r="F1121" s="52"/>
      <c r="G1121" s="52"/>
      <c r="H1121" s="52"/>
    </row>
    <row r="1122" spans="1:8" ht="15.75">
      <c r="A1122" s="124">
        <v>41046</v>
      </c>
      <c r="B1122" s="125">
        <v>46.83</v>
      </c>
      <c r="C1122" s="52"/>
      <c r="D1122" s="52"/>
      <c r="E1122" s="52"/>
      <c r="F1122" s="52"/>
      <c r="G1122" s="52"/>
      <c r="H1122" s="52"/>
    </row>
    <row r="1123" spans="1:8" ht="15.75">
      <c r="A1123" s="124">
        <v>41047</v>
      </c>
      <c r="B1123" s="125">
        <v>47.04</v>
      </c>
      <c r="C1123" s="52"/>
      <c r="D1123" s="52"/>
      <c r="E1123" s="52"/>
      <c r="F1123" s="52"/>
      <c r="G1123" s="52"/>
      <c r="H1123" s="52"/>
    </row>
    <row r="1124" spans="1:8" ht="15.75">
      <c r="A1124" s="124">
        <v>41050</v>
      </c>
      <c r="B1124" s="125">
        <v>47.01</v>
      </c>
      <c r="C1124" s="52"/>
      <c r="D1124" s="52"/>
      <c r="E1124" s="52"/>
      <c r="F1124" s="52"/>
      <c r="G1124" s="52"/>
      <c r="H1124" s="52"/>
    </row>
    <row r="1125" spans="1:8" ht="15.75">
      <c r="A1125" s="124">
        <v>41051</v>
      </c>
      <c r="B1125" s="125">
        <v>47</v>
      </c>
      <c r="C1125" s="52"/>
      <c r="D1125" s="52"/>
      <c r="E1125" s="52"/>
      <c r="F1125" s="52"/>
      <c r="G1125" s="52"/>
      <c r="H1125" s="52"/>
    </row>
    <row r="1126" spans="1:8" ht="15.75">
      <c r="A1126" s="124">
        <v>41052</v>
      </c>
      <c r="B1126" s="125">
        <v>47.22</v>
      </c>
      <c r="C1126" s="52"/>
      <c r="D1126" s="52"/>
      <c r="E1126" s="52"/>
      <c r="F1126" s="52"/>
      <c r="G1126" s="52"/>
      <c r="H1126" s="52"/>
    </row>
    <row r="1127" spans="1:8" ht="15.75">
      <c r="A1127" s="124">
        <v>41053</v>
      </c>
      <c r="B1127" s="125">
        <v>47.17</v>
      </c>
      <c r="C1127" s="52"/>
      <c r="D1127" s="52"/>
      <c r="E1127" s="52"/>
      <c r="F1127" s="52"/>
      <c r="G1127" s="52"/>
      <c r="H1127" s="52"/>
    </row>
    <row r="1128" spans="1:8" ht="15.75">
      <c r="A1128" s="124">
        <v>41054</v>
      </c>
      <c r="B1128" s="125">
        <v>47.2</v>
      </c>
      <c r="C1128" s="52"/>
      <c r="D1128" s="52"/>
      <c r="E1128" s="52"/>
      <c r="F1128" s="52"/>
      <c r="G1128" s="52"/>
      <c r="H1128" s="52"/>
    </row>
    <row r="1129" spans="1:8" ht="15.75">
      <c r="A1129" s="124">
        <v>41057</v>
      </c>
      <c r="B1129" s="125">
        <v>46.96</v>
      </c>
      <c r="C1129" s="52"/>
      <c r="D1129" s="52"/>
      <c r="E1129" s="52"/>
      <c r="F1129" s="52"/>
      <c r="G1129" s="52"/>
      <c r="H1129" s="52"/>
    </row>
    <row r="1130" spans="1:8" ht="15.75">
      <c r="A1130" s="124">
        <v>41058</v>
      </c>
      <c r="B1130" s="125">
        <v>46.97</v>
      </c>
      <c r="C1130" s="52"/>
      <c r="D1130" s="52"/>
      <c r="E1130" s="52"/>
      <c r="F1130" s="52"/>
      <c r="G1130" s="52"/>
      <c r="H1130" s="52"/>
    </row>
    <row r="1131" spans="1:8" ht="15.75">
      <c r="A1131" s="124">
        <v>41059</v>
      </c>
      <c r="B1131" s="125">
        <v>47.1</v>
      </c>
      <c r="C1131" s="52"/>
      <c r="D1131" s="52"/>
      <c r="E1131" s="52"/>
      <c r="F1131" s="52"/>
      <c r="G1131" s="52"/>
      <c r="H1131" s="52"/>
    </row>
    <row r="1132" spans="1:8" ht="15.75">
      <c r="A1132" s="124">
        <v>41060</v>
      </c>
      <c r="B1132" s="125">
        <v>46.83</v>
      </c>
      <c r="C1132" s="52"/>
      <c r="D1132" s="52"/>
      <c r="E1132" s="52"/>
      <c r="F1132" s="52"/>
      <c r="G1132" s="52"/>
      <c r="H1132" s="52"/>
    </row>
    <row r="1133" spans="1:8" ht="15.75">
      <c r="A1133" s="124">
        <v>41061</v>
      </c>
      <c r="B1133" s="125">
        <v>46.86</v>
      </c>
      <c r="C1133" s="52"/>
      <c r="D1133" s="52"/>
      <c r="E1133" s="52"/>
      <c r="F1133" s="52"/>
      <c r="G1133" s="52"/>
      <c r="H1133" s="52"/>
    </row>
    <row r="1134" spans="1:8" ht="15.75">
      <c r="A1134" s="124">
        <v>41064</v>
      </c>
      <c r="B1134" s="125">
        <v>45.95</v>
      </c>
      <c r="C1134" s="52"/>
      <c r="D1134" s="52"/>
      <c r="E1134" s="52"/>
      <c r="F1134" s="52"/>
      <c r="G1134" s="52"/>
      <c r="H1134" s="52"/>
    </row>
    <row r="1135" spans="1:8" ht="15.75">
      <c r="A1135" s="124">
        <v>41065</v>
      </c>
      <c r="B1135" s="125">
        <v>46.95</v>
      </c>
      <c r="C1135" s="52"/>
      <c r="D1135" s="52"/>
      <c r="E1135" s="52"/>
      <c r="F1135" s="52"/>
      <c r="G1135" s="52"/>
      <c r="H1135" s="52"/>
    </row>
    <row r="1136" spans="1:8" ht="15.75">
      <c r="A1136" s="124">
        <v>41066</v>
      </c>
      <c r="B1136" s="125">
        <v>46.81</v>
      </c>
      <c r="C1136" s="52"/>
      <c r="D1136" s="52"/>
      <c r="E1136" s="52"/>
      <c r="F1136" s="52"/>
      <c r="G1136" s="52"/>
      <c r="H1136" s="52"/>
    </row>
    <row r="1137" spans="1:8" ht="15.75">
      <c r="A1137" s="124">
        <v>41067</v>
      </c>
      <c r="B1137" s="125">
        <v>47.05</v>
      </c>
      <c r="C1137" s="52"/>
      <c r="D1137" s="52"/>
      <c r="E1137" s="52"/>
      <c r="F1137" s="52"/>
      <c r="G1137" s="52"/>
      <c r="H1137" s="52"/>
    </row>
    <row r="1138" spans="1:8" ht="15.75">
      <c r="A1138" s="124">
        <v>41068</v>
      </c>
      <c r="B1138" s="125">
        <v>47.17</v>
      </c>
      <c r="C1138" s="52"/>
      <c r="D1138" s="52"/>
      <c r="E1138" s="52"/>
      <c r="F1138" s="52"/>
      <c r="G1138" s="52"/>
      <c r="H1138" s="52"/>
    </row>
    <row r="1139" spans="1:8" ht="15.75">
      <c r="A1139" s="124">
        <v>41071</v>
      </c>
      <c r="B1139" s="125">
        <v>46.79</v>
      </c>
      <c r="C1139" s="52"/>
      <c r="D1139" s="52"/>
      <c r="E1139" s="52"/>
      <c r="F1139" s="52"/>
      <c r="G1139" s="52"/>
      <c r="H1139" s="52"/>
    </row>
    <row r="1140" spans="1:8" ht="15.75">
      <c r="A1140" s="124">
        <v>41072</v>
      </c>
      <c r="B1140" s="125">
        <v>46.91</v>
      </c>
      <c r="C1140" s="52"/>
      <c r="D1140" s="52"/>
      <c r="E1140" s="52"/>
      <c r="F1140" s="52"/>
      <c r="G1140" s="52"/>
      <c r="H1140" s="52"/>
    </row>
    <row r="1141" spans="1:8" ht="15.75">
      <c r="A1141" s="124">
        <v>41073</v>
      </c>
      <c r="B1141" s="125">
        <v>46.67</v>
      </c>
      <c r="C1141" s="52"/>
      <c r="D1141" s="52"/>
      <c r="E1141" s="52"/>
      <c r="F1141" s="52"/>
      <c r="G1141" s="52"/>
      <c r="H1141" s="52"/>
    </row>
    <row r="1142" spans="1:8" ht="15.75">
      <c r="A1142" s="124">
        <v>41074</v>
      </c>
      <c r="B1142" s="125">
        <v>46.79</v>
      </c>
      <c r="C1142" s="52"/>
      <c r="D1142" s="52"/>
      <c r="E1142" s="52"/>
      <c r="F1142" s="52"/>
      <c r="G1142" s="52"/>
      <c r="H1142" s="52"/>
    </row>
    <row r="1143" spans="1:8" ht="15.75">
      <c r="A1143" s="124">
        <v>41075</v>
      </c>
      <c r="B1143" s="125">
        <v>46.67</v>
      </c>
      <c r="C1143" s="52"/>
      <c r="D1143" s="52"/>
      <c r="E1143" s="52"/>
      <c r="F1143" s="52"/>
      <c r="G1143" s="52"/>
      <c r="H1143" s="52"/>
    </row>
    <row r="1144" spans="1:8" ht="15.75">
      <c r="A1144" s="124">
        <v>41078</v>
      </c>
      <c r="B1144" s="125">
        <v>46.69</v>
      </c>
      <c r="C1144" s="52"/>
      <c r="D1144" s="52"/>
      <c r="E1144" s="52"/>
      <c r="F1144" s="52"/>
      <c r="G1144" s="52"/>
      <c r="H1144" s="52"/>
    </row>
    <row r="1145" spans="1:8" ht="15.75">
      <c r="A1145" s="124">
        <v>41079</v>
      </c>
      <c r="B1145" s="125">
        <v>46.6</v>
      </c>
      <c r="C1145" s="52"/>
      <c r="D1145" s="52"/>
      <c r="E1145" s="52"/>
      <c r="F1145" s="52"/>
      <c r="G1145" s="52"/>
      <c r="H1145" s="52"/>
    </row>
    <row r="1146" spans="1:8" ht="15.75">
      <c r="A1146" s="124">
        <v>41080</v>
      </c>
      <c r="B1146" s="125">
        <v>46.79</v>
      </c>
      <c r="C1146" s="52"/>
      <c r="D1146" s="52"/>
      <c r="E1146" s="52"/>
      <c r="F1146" s="52"/>
      <c r="G1146" s="52"/>
      <c r="H1146" s="52"/>
    </row>
    <row r="1147" spans="1:8" ht="15.75">
      <c r="A1147" s="124">
        <v>41081</v>
      </c>
      <c r="B1147" s="125">
        <v>46.75</v>
      </c>
      <c r="C1147" s="52"/>
      <c r="D1147" s="52"/>
      <c r="E1147" s="52"/>
      <c r="F1147" s="52"/>
      <c r="G1147" s="52"/>
      <c r="H1147" s="52"/>
    </row>
    <row r="1148" spans="1:8" ht="15.75">
      <c r="A1148" s="124">
        <v>41082</v>
      </c>
      <c r="B1148" s="125">
        <v>46.91</v>
      </c>
      <c r="C1148" s="52"/>
      <c r="D1148" s="52"/>
      <c r="E1148" s="52"/>
      <c r="F1148" s="52"/>
      <c r="G1148" s="52"/>
      <c r="H1148" s="52"/>
    </row>
    <row r="1149" spans="1:8" ht="15.75">
      <c r="A1149" s="124">
        <v>41085</v>
      </c>
      <c r="B1149" s="125">
        <v>46.94</v>
      </c>
      <c r="C1149" s="52"/>
      <c r="D1149" s="52"/>
      <c r="E1149" s="52"/>
      <c r="F1149" s="52"/>
      <c r="G1149" s="52"/>
      <c r="H1149" s="52"/>
    </row>
    <row r="1150" spans="1:8" ht="15.75">
      <c r="A1150" s="124">
        <v>41086</v>
      </c>
      <c r="B1150" s="125">
        <v>46.58</v>
      </c>
      <c r="C1150" s="52"/>
      <c r="D1150" s="52"/>
      <c r="E1150" s="52"/>
      <c r="F1150" s="52"/>
      <c r="G1150" s="52"/>
      <c r="H1150" s="52"/>
    </row>
    <row r="1151" spans="1:8" ht="15.75">
      <c r="A1151" s="124">
        <v>41087</v>
      </c>
      <c r="B1151" s="125">
        <v>46.81</v>
      </c>
      <c r="C1151" s="52"/>
      <c r="D1151" s="52"/>
      <c r="E1151" s="52"/>
      <c r="F1151" s="52"/>
      <c r="G1151" s="52"/>
      <c r="H1151" s="52"/>
    </row>
    <row r="1152" spans="1:8" ht="15.75">
      <c r="A1152" s="124">
        <v>41088</v>
      </c>
      <c r="B1152" s="125">
        <v>46.81</v>
      </c>
      <c r="C1152" s="52"/>
      <c r="D1152" s="52"/>
      <c r="E1152" s="52"/>
      <c r="F1152" s="52"/>
      <c r="G1152" s="52"/>
      <c r="H1152" s="52"/>
    </row>
    <row r="1153" spans="1:8" ht="15.75">
      <c r="A1153" s="124">
        <v>41089</v>
      </c>
      <c r="B1153" s="125">
        <v>46.84</v>
      </c>
      <c r="C1153" s="52"/>
      <c r="D1153" s="52"/>
      <c r="E1153" s="52"/>
      <c r="F1153" s="52"/>
      <c r="G1153" s="52"/>
      <c r="H1153" s="52"/>
    </row>
    <row r="1154" spans="1:8" ht="15.75">
      <c r="A1154" s="124">
        <v>41092</v>
      </c>
      <c r="B1154" s="125">
        <v>46.63</v>
      </c>
      <c r="C1154" s="52"/>
      <c r="D1154" s="52"/>
      <c r="E1154" s="52"/>
      <c r="F1154" s="52"/>
      <c r="G1154" s="52"/>
      <c r="H1154" s="52"/>
    </row>
    <row r="1155" spans="1:8" ht="15.75">
      <c r="A1155" s="124">
        <v>41093</v>
      </c>
      <c r="B1155" s="125">
        <v>46.59</v>
      </c>
      <c r="C1155" s="52"/>
      <c r="D1155" s="52"/>
      <c r="E1155" s="52"/>
      <c r="F1155" s="52"/>
      <c r="G1155" s="52"/>
      <c r="H1155" s="52"/>
    </row>
    <row r="1156" spans="1:8" ht="15.75">
      <c r="A1156" s="124">
        <v>41094</v>
      </c>
      <c r="B1156" s="125">
        <v>46.83</v>
      </c>
      <c r="C1156" s="52"/>
      <c r="D1156" s="52"/>
      <c r="E1156" s="52"/>
      <c r="F1156" s="52"/>
      <c r="G1156" s="52"/>
      <c r="H1156" s="52"/>
    </row>
    <row r="1157" spans="1:8" ht="15.75">
      <c r="A1157" s="124">
        <v>41095</v>
      </c>
      <c r="B1157" s="125">
        <v>46.62</v>
      </c>
      <c r="C1157" s="52"/>
      <c r="D1157" s="52"/>
      <c r="E1157" s="52"/>
      <c r="F1157" s="52"/>
      <c r="G1157" s="52"/>
      <c r="H1157" s="52"/>
    </row>
    <row r="1158" spans="1:8" ht="15.75">
      <c r="A1158" s="124">
        <v>41096</v>
      </c>
      <c r="B1158" s="125">
        <v>46.8</v>
      </c>
      <c r="C1158" s="52"/>
      <c r="D1158" s="52"/>
      <c r="E1158" s="52"/>
      <c r="F1158" s="52"/>
      <c r="G1158" s="52"/>
      <c r="H1158" s="52"/>
    </row>
    <row r="1159" spans="1:8" ht="15.75">
      <c r="A1159" s="124">
        <v>41099</v>
      </c>
      <c r="B1159" s="125">
        <v>46.66</v>
      </c>
      <c r="C1159" s="52"/>
      <c r="D1159" s="52"/>
      <c r="E1159" s="52"/>
      <c r="F1159" s="52"/>
      <c r="G1159" s="52"/>
      <c r="H1159" s="52"/>
    </row>
    <row r="1160" spans="1:8" ht="15.75">
      <c r="A1160" s="124">
        <v>41100</v>
      </c>
      <c r="B1160" s="125">
        <v>46.79</v>
      </c>
      <c r="C1160" s="52"/>
      <c r="D1160" s="52"/>
      <c r="E1160" s="52"/>
      <c r="F1160" s="52"/>
      <c r="G1160" s="52"/>
      <c r="H1160" s="52"/>
    </row>
    <row r="1161" spans="1:8" ht="15.75">
      <c r="A1161" s="124">
        <v>41101</v>
      </c>
      <c r="B1161" s="125">
        <v>46.67</v>
      </c>
      <c r="C1161" s="52"/>
      <c r="D1161" s="52"/>
      <c r="E1161" s="52"/>
      <c r="F1161" s="52"/>
      <c r="G1161" s="52"/>
      <c r="H1161" s="52"/>
    </row>
    <row r="1162" spans="1:8" ht="15.75">
      <c r="A1162" s="124">
        <v>41102</v>
      </c>
      <c r="B1162" s="125">
        <v>46.55</v>
      </c>
      <c r="C1162" s="52"/>
      <c r="D1162" s="52"/>
      <c r="E1162" s="52"/>
      <c r="F1162" s="52"/>
      <c r="G1162" s="52"/>
      <c r="H1162" s="52"/>
    </row>
    <row r="1163" spans="1:8" ht="15.75">
      <c r="A1163" s="124">
        <v>41103</v>
      </c>
      <c r="B1163" s="125">
        <v>46.77</v>
      </c>
      <c r="C1163" s="52"/>
      <c r="D1163" s="52"/>
      <c r="E1163" s="52"/>
      <c r="F1163" s="52"/>
      <c r="G1163" s="52"/>
      <c r="H1163" s="52"/>
    </row>
    <row r="1164" spans="1:8" ht="15.75">
      <c r="A1164" s="124">
        <v>41106</v>
      </c>
      <c r="B1164" s="125">
        <v>46.71</v>
      </c>
      <c r="C1164" s="52"/>
      <c r="D1164" s="52"/>
      <c r="E1164" s="52"/>
      <c r="F1164" s="52"/>
      <c r="G1164" s="52"/>
      <c r="H1164" s="52"/>
    </row>
    <row r="1165" spans="1:8" ht="15.75">
      <c r="A1165" s="124">
        <v>41107</v>
      </c>
      <c r="B1165" s="125">
        <v>46.99</v>
      </c>
      <c r="C1165" s="52"/>
      <c r="D1165" s="52"/>
      <c r="E1165" s="52"/>
      <c r="F1165" s="52"/>
      <c r="G1165" s="52"/>
      <c r="H1165" s="52"/>
    </row>
    <row r="1166" spans="1:8" ht="15.75">
      <c r="A1166" s="124">
        <v>41108</v>
      </c>
      <c r="B1166" s="125">
        <v>46.75</v>
      </c>
      <c r="C1166" s="52"/>
      <c r="D1166" s="52"/>
      <c r="E1166" s="52"/>
      <c r="F1166" s="52"/>
      <c r="G1166" s="52"/>
      <c r="H1166" s="52"/>
    </row>
    <row r="1167" spans="1:8" ht="15.75">
      <c r="A1167" s="124">
        <v>41109</v>
      </c>
      <c r="B1167" s="125">
        <v>46.91</v>
      </c>
      <c r="C1167" s="52"/>
      <c r="D1167" s="52"/>
      <c r="E1167" s="52"/>
      <c r="F1167" s="52"/>
      <c r="G1167" s="52"/>
      <c r="H1167" s="52"/>
    </row>
    <row r="1168" spans="1:8" ht="15.75">
      <c r="A1168" s="124">
        <v>41110</v>
      </c>
      <c r="B1168" s="125">
        <v>46.95</v>
      </c>
      <c r="C1168" s="52"/>
      <c r="D1168" s="52"/>
      <c r="E1168" s="52"/>
      <c r="F1168" s="52"/>
      <c r="G1168" s="52"/>
      <c r="H1168" s="52"/>
    </row>
    <row r="1169" spans="1:8" ht="15.75">
      <c r="A1169" s="124">
        <v>41113</v>
      </c>
      <c r="B1169" s="125">
        <v>46.97</v>
      </c>
      <c r="C1169" s="52"/>
      <c r="D1169" s="52"/>
      <c r="E1169" s="52"/>
      <c r="F1169" s="52"/>
      <c r="G1169" s="52"/>
      <c r="H1169" s="52"/>
    </row>
    <row r="1170" spans="1:8" ht="15.75">
      <c r="A1170" s="124">
        <v>41114</v>
      </c>
      <c r="B1170" s="125">
        <v>46.85</v>
      </c>
      <c r="C1170" s="52"/>
      <c r="D1170" s="52"/>
      <c r="E1170" s="52"/>
      <c r="F1170" s="52"/>
      <c r="G1170" s="52"/>
      <c r="H1170" s="52"/>
    </row>
    <row r="1171" spans="1:8" ht="15.75">
      <c r="A1171" s="124">
        <v>41115</v>
      </c>
      <c r="B1171" s="125">
        <v>46.98</v>
      </c>
      <c r="C1171" s="52"/>
      <c r="D1171" s="52"/>
      <c r="E1171" s="52"/>
      <c r="F1171" s="52"/>
      <c r="G1171" s="52"/>
      <c r="H1171" s="52"/>
    </row>
    <row r="1172" spans="1:8" ht="15.75">
      <c r="A1172" s="124">
        <v>41116</v>
      </c>
      <c r="B1172" s="125">
        <v>46.84</v>
      </c>
      <c r="C1172" s="52"/>
      <c r="D1172" s="52"/>
      <c r="E1172" s="52"/>
      <c r="F1172" s="52"/>
      <c r="G1172" s="52"/>
      <c r="H1172" s="52"/>
    </row>
    <row r="1173" spans="1:8" ht="15.75">
      <c r="A1173" s="124">
        <v>41117</v>
      </c>
      <c r="B1173" s="125">
        <v>46.77</v>
      </c>
      <c r="C1173" s="52"/>
      <c r="D1173" s="52"/>
      <c r="E1173" s="52"/>
      <c r="F1173" s="52"/>
      <c r="G1173" s="52"/>
      <c r="H1173" s="52"/>
    </row>
    <row r="1174" spans="1:8" ht="15.75">
      <c r="A1174" s="124">
        <v>41120</v>
      </c>
      <c r="B1174" s="125">
        <v>46.91</v>
      </c>
      <c r="C1174" s="52"/>
      <c r="D1174" s="52"/>
      <c r="E1174" s="52"/>
      <c r="F1174" s="52"/>
      <c r="G1174" s="52"/>
      <c r="H1174" s="52"/>
    </row>
    <row r="1175" spans="1:8" ht="15.75">
      <c r="A1175" s="124">
        <v>41121</v>
      </c>
      <c r="B1175" s="125">
        <v>46.94</v>
      </c>
      <c r="C1175" s="52"/>
      <c r="D1175" s="52"/>
      <c r="E1175" s="52"/>
      <c r="F1175" s="52"/>
      <c r="G1175" s="52"/>
      <c r="H1175" s="52"/>
    </row>
    <row r="1176" spans="1:8" ht="15.75">
      <c r="A1176" s="124">
        <v>41122</v>
      </c>
      <c r="B1176" s="125">
        <v>47.55</v>
      </c>
      <c r="C1176" s="52"/>
      <c r="D1176" s="52"/>
      <c r="E1176" s="52"/>
      <c r="F1176" s="52"/>
      <c r="G1176" s="52"/>
      <c r="H1176" s="52"/>
    </row>
    <row r="1177" spans="1:8" ht="15.75">
      <c r="A1177" s="124">
        <v>41123</v>
      </c>
      <c r="B1177" s="125">
        <v>47.1</v>
      </c>
      <c r="C1177" s="52"/>
      <c r="D1177" s="52"/>
      <c r="E1177" s="52"/>
      <c r="F1177" s="52"/>
      <c r="G1177" s="52"/>
      <c r="H1177" s="52"/>
    </row>
    <row r="1178" spans="1:8" ht="15.75">
      <c r="A1178" s="124">
        <v>41124</v>
      </c>
      <c r="B1178" s="125">
        <v>47.28</v>
      </c>
      <c r="C1178" s="52"/>
      <c r="D1178" s="52"/>
      <c r="E1178" s="52"/>
      <c r="F1178" s="52"/>
      <c r="G1178" s="52"/>
      <c r="H1178" s="52"/>
    </row>
    <row r="1179" spans="1:8" ht="15.75">
      <c r="A1179" s="124">
        <v>41127</v>
      </c>
      <c r="B1179" s="125">
        <v>47.29</v>
      </c>
      <c r="C1179" s="52"/>
      <c r="D1179" s="52"/>
      <c r="E1179" s="52"/>
      <c r="F1179" s="52"/>
      <c r="G1179" s="52"/>
      <c r="H1179" s="52"/>
    </row>
    <row r="1180" spans="1:8" ht="15.75">
      <c r="A1180" s="124">
        <v>41128</v>
      </c>
      <c r="B1180" s="125">
        <v>47.37</v>
      </c>
      <c r="C1180" s="52"/>
      <c r="D1180" s="52"/>
      <c r="E1180" s="52"/>
      <c r="F1180" s="52"/>
      <c r="G1180" s="52"/>
      <c r="H1180" s="52"/>
    </row>
    <row r="1181" spans="1:8" ht="15.75">
      <c r="A1181" s="124">
        <v>41129</v>
      </c>
      <c r="B1181" s="125">
        <v>47.45</v>
      </c>
      <c r="C1181" s="52"/>
      <c r="D1181" s="52"/>
      <c r="E1181" s="52"/>
      <c r="F1181" s="52"/>
      <c r="G1181" s="52"/>
      <c r="H1181" s="52"/>
    </row>
    <row r="1182" spans="1:8" ht="15.75">
      <c r="A1182" s="124">
        <v>41130</v>
      </c>
      <c r="B1182" s="125">
        <v>47.38</v>
      </c>
      <c r="C1182" s="52"/>
      <c r="D1182" s="52"/>
      <c r="E1182" s="52"/>
      <c r="F1182" s="52"/>
      <c r="G1182" s="52"/>
      <c r="H1182" s="52"/>
    </row>
    <row r="1183" spans="1:8" ht="15.75">
      <c r="A1183" s="124">
        <v>41131</v>
      </c>
      <c r="B1183" s="125">
        <v>47.38</v>
      </c>
      <c r="C1183" s="52"/>
      <c r="D1183" s="52"/>
      <c r="E1183" s="52"/>
      <c r="F1183" s="52"/>
      <c r="G1183" s="52"/>
      <c r="H1183" s="52"/>
    </row>
    <row r="1184" spans="1:8" ht="15.75">
      <c r="A1184" s="124">
        <v>41134</v>
      </c>
      <c r="B1184" s="125">
        <v>47.86</v>
      </c>
      <c r="C1184" s="52"/>
      <c r="D1184" s="52"/>
      <c r="E1184" s="52"/>
      <c r="F1184" s="52"/>
      <c r="G1184" s="52"/>
      <c r="H1184" s="52"/>
    </row>
    <row r="1185" spans="1:8" ht="15.75">
      <c r="A1185" s="124">
        <v>41135</v>
      </c>
      <c r="B1185" s="125">
        <v>47.41</v>
      </c>
      <c r="C1185" s="52"/>
      <c r="D1185" s="52"/>
      <c r="E1185" s="52"/>
      <c r="F1185" s="52"/>
      <c r="G1185" s="52"/>
      <c r="H1185" s="52"/>
    </row>
    <row r="1186" spans="1:8" ht="15.75">
      <c r="A1186" s="124">
        <v>41136</v>
      </c>
      <c r="B1186" s="125">
        <v>47.75</v>
      </c>
      <c r="C1186" s="52"/>
      <c r="D1186" s="52"/>
      <c r="E1186" s="52"/>
      <c r="F1186" s="52"/>
      <c r="G1186" s="52"/>
      <c r="H1186" s="52"/>
    </row>
    <row r="1187" spans="1:8" ht="15.75">
      <c r="A1187" s="124">
        <v>41137</v>
      </c>
      <c r="B1187" s="125">
        <v>47.85</v>
      </c>
      <c r="C1187" s="52"/>
      <c r="D1187" s="52"/>
      <c r="E1187" s="52"/>
      <c r="F1187" s="52"/>
      <c r="G1187" s="52"/>
      <c r="H1187" s="52"/>
    </row>
    <row r="1188" spans="1:8" ht="15.75">
      <c r="A1188" s="124">
        <v>41138</v>
      </c>
      <c r="B1188" s="125">
        <v>47.84</v>
      </c>
      <c r="C1188" s="52"/>
      <c r="D1188" s="52"/>
      <c r="E1188" s="52"/>
      <c r="F1188" s="52"/>
      <c r="G1188" s="52"/>
      <c r="H1188" s="52"/>
    </row>
    <row r="1189" spans="1:8" ht="15.75">
      <c r="A1189" s="124">
        <v>41141</v>
      </c>
      <c r="B1189" s="125">
        <v>47.89</v>
      </c>
      <c r="C1189" s="52"/>
      <c r="D1189" s="52"/>
      <c r="E1189" s="52"/>
      <c r="F1189" s="52"/>
      <c r="G1189" s="52"/>
      <c r="H1189" s="52"/>
    </row>
    <row r="1190" spans="1:8" ht="15.75">
      <c r="A1190" s="124">
        <v>41142</v>
      </c>
      <c r="B1190" s="125">
        <v>47.68</v>
      </c>
      <c r="C1190" s="52"/>
      <c r="D1190" s="52"/>
      <c r="E1190" s="52"/>
      <c r="F1190" s="52"/>
      <c r="G1190" s="52"/>
      <c r="H1190" s="52"/>
    </row>
    <row r="1191" spans="1:8" ht="15.75">
      <c r="A1191" s="124">
        <v>41143</v>
      </c>
      <c r="B1191" s="125">
        <v>47.48</v>
      </c>
      <c r="C1191" s="52"/>
      <c r="D1191" s="52"/>
      <c r="E1191" s="52"/>
      <c r="F1191" s="52"/>
      <c r="G1191" s="52"/>
      <c r="H1191" s="52"/>
    </row>
    <row r="1192" spans="1:8" ht="15.75">
      <c r="A1192" s="124">
        <v>41144</v>
      </c>
      <c r="B1192" s="125">
        <v>47.61</v>
      </c>
      <c r="C1192" s="52"/>
      <c r="D1192" s="52"/>
      <c r="E1192" s="52"/>
      <c r="F1192" s="52"/>
      <c r="G1192" s="52"/>
      <c r="H1192" s="52"/>
    </row>
    <row r="1193" spans="1:8" ht="15.75">
      <c r="A1193" s="124">
        <v>41145</v>
      </c>
      <c r="B1193" s="125">
        <v>47.91</v>
      </c>
      <c r="C1193" s="52"/>
      <c r="D1193" s="52"/>
      <c r="E1193" s="52"/>
      <c r="F1193" s="52"/>
      <c r="G1193" s="52"/>
      <c r="H1193" s="52"/>
    </row>
    <row r="1194" spans="1:8" ht="15.75">
      <c r="A1194" s="124">
        <v>41148</v>
      </c>
      <c r="B1194" s="125">
        <v>47.9</v>
      </c>
      <c r="C1194" s="52"/>
      <c r="D1194" s="52"/>
      <c r="E1194" s="52"/>
      <c r="F1194" s="52"/>
      <c r="G1194" s="52"/>
      <c r="H1194" s="52"/>
    </row>
    <row r="1195" spans="1:8" ht="15.75">
      <c r="A1195" s="124">
        <v>41149</v>
      </c>
      <c r="B1195" s="125">
        <v>48.09</v>
      </c>
      <c r="C1195" s="52"/>
      <c r="D1195" s="52"/>
      <c r="E1195" s="52"/>
      <c r="F1195" s="52"/>
      <c r="G1195" s="52"/>
      <c r="H1195" s="52"/>
    </row>
    <row r="1196" spans="1:8" ht="15.75">
      <c r="A1196" s="124">
        <v>41150</v>
      </c>
      <c r="B1196" s="125">
        <v>47.75</v>
      </c>
      <c r="C1196" s="52"/>
      <c r="D1196" s="52"/>
      <c r="E1196" s="52"/>
      <c r="F1196" s="52"/>
      <c r="G1196" s="52"/>
      <c r="H1196" s="52"/>
    </row>
    <row r="1197" spans="1:8" ht="15.75">
      <c r="A1197" s="124">
        <v>41151</v>
      </c>
      <c r="B1197" s="125">
        <v>47.79</v>
      </c>
      <c r="C1197" s="52"/>
      <c r="D1197" s="52"/>
      <c r="E1197" s="52"/>
      <c r="F1197" s="52"/>
      <c r="G1197" s="52"/>
      <c r="H1197" s="52"/>
    </row>
    <row r="1198" spans="1:8" ht="15.75">
      <c r="A1198" s="124">
        <v>41152</v>
      </c>
      <c r="B1198" s="125">
        <v>47.96</v>
      </c>
      <c r="C1198" s="52"/>
      <c r="D1198" s="52"/>
      <c r="E1198" s="52"/>
      <c r="F1198" s="52"/>
      <c r="G1198" s="52"/>
      <c r="H1198" s="52"/>
    </row>
    <row r="1199" spans="1:8" ht="15.75">
      <c r="A1199" s="124">
        <v>41155</v>
      </c>
      <c r="B1199" s="125">
        <v>47.7</v>
      </c>
      <c r="C1199" s="52"/>
      <c r="D1199" s="52"/>
      <c r="E1199" s="52"/>
      <c r="F1199" s="52"/>
      <c r="G1199" s="52"/>
      <c r="H1199" s="52"/>
    </row>
    <row r="1200" spans="1:8" ht="15.75">
      <c r="A1200" s="124">
        <v>41156</v>
      </c>
      <c r="B1200" s="125">
        <v>47.94</v>
      </c>
      <c r="C1200" s="52"/>
      <c r="D1200" s="52"/>
      <c r="E1200" s="52"/>
      <c r="F1200" s="52"/>
      <c r="G1200" s="52"/>
      <c r="H1200" s="52"/>
    </row>
    <row r="1201" spans="1:8" ht="15.75">
      <c r="A1201" s="124">
        <v>41157</v>
      </c>
      <c r="B1201" s="125">
        <v>47.71</v>
      </c>
      <c r="C1201" s="52"/>
      <c r="D1201" s="52"/>
      <c r="E1201" s="52"/>
      <c r="F1201" s="52"/>
      <c r="G1201" s="52"/>
      <c r="H1201" s="52"/>
    </row>
    <row r="1202" spans="1:8" ht="15.75">
      <c r="A1202" s="124">
        <v>41158</v>
      </c>
      <c r="B1202" s="125">
        <v>47.82</v>
      </c>
      <c r="C1202" s="52"/>
      <c r="D1202" s="52"/>
      <c r="E1202" s="52"/>
      <c r="F1202" s="52"/>
      <c r="G1202" s="52"/>
      <c r="H1202" s="52"/>
    </row>
    <row r="1203" spans="1:8" ht="15.75">
      <c r="A1203" s="124">
        <v>41159</v>
      </c>
      <c r="B1203" s="125">
        <v>47.79</v>
      </c>
      <c r="C1203" s="52"/>
      <c r="D1203" s="52"/>
      <c r="E1203" s="52"/>
      <c r="F1203" s="52"/>
      <c r="G1203" s="52"/>
      <c r="H1203" s="52"/>
    </row>
    <row r="1204" spans="1:8" ht="15.75">
      <c r="A1204" s="124">
        <v>41162</v>
      </c>
      <c r="B1204" s="125">
        <v>47.9</v>
      </c>
      <c r="C1204" s="52"/>
      <c r="D1204" s="52"/>
      <c r="E1204" s="52"/>
      <c r="F1204" s="52"/>
      <c r="G1204" s="52"/>
      <c r="H1204" s="52"/>
    </row>
    <row r="1205" spans="1:8" ht="15.75">
      <c r="A1205" s="124">
        <v>41163</v>
      </c>
      <c r="B1205" s="125">
        <v>47.68</v>
      </c>
      <c r="C1205" s="52"/>
      <c r="D1205" s="52"/>
      <c r="E1205" s="52"/>
      <c r="F1205" s="52"/>
      <c r="G1205" s="52"/>
      <c r="H1205" s="52"/>
    </row>
    <row r="1206" spans="1:8" ht="15.75">
      <c r="A1206" s="124">
        <v>41164</v>
      </c>
      <c r="B1206" s="125">
        <v>47.78</v>
      </c>
      <c r="C1206" s="52"/>
      <c r="D1206" s="52"/>
      <c r="E1206" s="52"/>
      <c r="F1206" s="52"/>
      <c r="G1206" s="52"/>
      <c r="H1206" s="52"/>
    </row>
    <row r="1207" spans="1:8" ht="15.75">
      <c r="A1207" s="124">
        <v>41165</v>
      </c>
      <c r="B1207" s="125">
        <v>47.81</v>
      </c>
      <c r="C1207" s="52"/>
      <c r="D1207" s="52"/>
      <c r="E1207" s="52"/>
      <c r="F1207" s="52"/>
      <c r="G1207" s="52"/>
      <c r="H1207" s="52"/>
    </row>
    <row r="1208" spans="1:8" ht="15.75">
      <c r="A1208" s="124">
        <v>41166</v>
      </c>
      <c r="B1208" s="125">
        <v>47.99</v>
      </c>
      <c r="C1208" s="52"/>
      <c r="D1208" s="52"/>
      <c r="E1208" s="52"/>
      <c r="F1208" s="52"/>
      <c r="G1208" s="52"/>
      <c r="H1208" s="52"/>
    </row>
    <row r="1209" spans="1:8" ht="15.75">
      <c r="A1209" s="124">
        <v>41169</v>
      </c>
      <c r="B1209" s="125">
        <v>47.96</v>
      </c>
      <c r="C1209" s="52"/>
      <c r="D1209" s="52"/>
      <c r="E1209" s="52"/>
      <c r="F1209" s="52"/>
      <c r="G1209" s="52"/>
      <c r="H1209" s="52"/>
    </row>
    <row r="1210" spans="1:8" ht="15.75">
      <c r="A1210" s="124">
        <v>41170</v>
      </c>
      <c r="B1210" s="125">
        <v>48.19</v>
      </c>
      <c r="C1210" s="52"/>
      <c r="D1210" s="52"/>
      <c r="E1210" s="52"/>
      <c r="F1210" s="52"/>
      <c r="G1210" s="52"/>
      <c r="H1210" s="52"/>
    </row>
    <row r="1211" spans="1:8" ht="15.75">
      <c r="A1211" s="124">
        <v>41171</v>
      </c>
      <c r="B1211" s="125">
        <v>47.99</v>
      </c>
      <c r="C1211" s="52"/>
      <c r="D1211" s="52"/>
      <c r="E1211" s="52"/>
      <c r="F1211" s="52"/>
      <c r="G1211" s="52"/>
      <c r="H1211" s="52"/>
    </row>
    <row r="1212" spans="1:8" ht="15.75">
      <c r="A1212" s="124">
        <v>41172</v>
      </c>
      <c r="B1212" s="125">
        <v>47.9</v>
      </c>
      <c r="C1212" s="52"/>
      <c r="D1212" s="52"/>
      <c r="E1212" s="52"/>
      <c r="F1212" s="52"/>
      <c r="G1212" s="52"/>
      <c r="H1212" s="52"/>
    </row>
    <row r="1213" spans="1:8" ht="15.75">
      <c r="A1213" s="124">
        <v>41173</v>
      </c>
      <c r="B1213" s="125">
        <v>48.18</v>
      </c>
      <c r="C1213" s="52"/>
      <c r="D1213" s="52"/>
      <c r="E1213" s="52"/>
      <c r="F1213" s="52"/>
      <c r="G1213" s="52"/>
      <c r="H1213" s="52"/>
    </row>
    <row r="1214" spans="1:8" ht="15.75">
      <c r="A1214" s="124">
        <v>41176</v>
      </c>
      <c r="B1214" s="125">
        <v>48.03</v>
      </c>
      <c r="C1214" s="52"/>
      <c r="D1214" s="52"/>
      <c r="E1214" s="52"/>
      <c r="F1214" s="52"/>
      <c r="G1214" s="52"/>
      <c r="H1214" s="52"/>
    </row>
    <row r="1215" spans="1:8" ht="15.75">
      <c r="A1215" s="124">
        <v>41177</v>
      </c>
      <c r="B1215" s="125">
        <v>47.86</v>
      </c>
      <c r="C1215" s="52"/>
      <c r="D1215" s="52"/>
      <c r="E1215" s="52"/>
      <c r="F1215" s="52"/>
      <c r="G1215" s="52"/>
      <c r="H1215" s="52"/>
    </row>
    <row r="1216" spans="1:8" ht="15.75">
      <c r="A1216" s="124">
        <v>41178</v>
      </c>
      <c r="B1216" s="125">
        <v>48.09</v>
      </c>
      <c r="C1216" s="52"/>
      <c r="D1216" s="52"/>
      <c r="E1216" s="52"/>
      <c r="F1216" s="52"/>
      <c r="G1216" s="52"/>
      <c r="H1216" s="52"/>
    </row>
    <row r="1217" spans="1:8" ht="15.75">
      <c r="A1217" s="124">
        <v>41179</v>
      </c>
      <c r="B1217" s="125">
        <v>48.07</v>
      </c>
      <c r="C1217" s="52"/>
      <c r="D1217" s="52"/>
      <c r="E1217" s="52"/>
      <c r="F1217" s="52"/>
      <c r="G1217" s="52"/>
      <c r="H1217" s="52"/>
    </row>
    <row r="1218" spans="1:8" ht="15.75">
      <c r="A1218" s="124">
        <v>41180</v>
      </c>
      <c r="B1218" s="125">
        <v>48.1</v>
      </c>
      <c r="C1218" s="52"/>
      <c r="D1218" s="52"/>
      <c r="E1218" s="52"/>
      <c r="F1218" s="52"/>
      <c r="G1218" s="52"/>
      <c r="H1218" s="52"/>
    </row>
    <row r="1219" spans="1:8" ht="15.75">
      <c r="A1219" s="124">
        <v>41183</v>
      </c>
      <c r="B1219" s="125">
        <v>48.14</v>
      </c>
      <c r="C1219" s="52"/>
      <c r="D1219" s="52"/>
      <c r="E1219" s="52"/>
      <c r="F1219" s="52"/>
      <c r="G1219" s="52"/>
      <c r="H1219" s="52"/>
    </row>
    <row r="1220" spans="1:8" ht="15.75">
      <c r="A1220" s="124">
        <v>41184</v>
      </c>
      <c r="B1220" s="125">
        <v>48.17</v>
      </c>
      <c r="C1220" s="52"/>
      <c r="D1220" s="52"/>
      <c r="E1220" s="52"/>
      <c r="F1220" s="52"/>
      <c r="G1220" s="52"/>
      <c r="H1220" s="52"/>
    </row>
    <row r="1221" spans="1:8" ht="15.75">
      <c r="A1221" s="124">
        <v>41185</v>
      </c>
      <c r="B1221" s="125">
        <v>48.28</v>
      </c>
      <c r="C1221" s="52"/>
      <c r="D1221" s="52"/>
      <c r="E1221" s="52"/>
      <c r="F1221" s="52"/>
      <c r="G1221" s="52"/>
      <c r="H1221" s="52"/>
    </row>
    <row r="1222" spans="1:8" ht="15.75">
      <c r="A1222" s="124">
        <v>41186</v>
      </c>
      <c r="B1222" s="125">
        <v>48.19</v>
      </c>
      <c r="C1222" s="52"/>
      <c r="D1222" s="52"/>
      <c r="E1222" s="52"/>
      <c r="F1222" s="52"/>
      <c r="G1222" s="52"/>
      <c r="H1222" s="52"/>
    </row>
    <row r="1223" spans="1:8" ht="15.75">
      <c r="A1223" s="124">
        <v>41187</v>
      </c>
      <c r="B1223" s="125">
        <v>48.25</v>
      </c>
      <c r="C1223" s="52"/>
      <c r="D1223" s="52"/>
      <c r="E1223" s="52"/>
      <c r="F1223" s="52"/>
      <c r="G1223" s="52"/>
      <c r="H1223" s="52"/>
    </row>
    <row r="1224" spans="1:8" ht="15.75">
      <c r="A1224" s="124">
        <v>41190</v>
      </c>
      <c r="B1224" s="125">
        <v>48.25</v>
      </c>
      <c r="C1224" s="52"/>
      <c r="D1224" s="52"/>
      <c r="E1224" s="52"/>
      <c r="F1224" s="52"/>
      <c r="G1224" s="52"/>
      <c r="H1224" s="52"/>
    </row>
    <row r="1225" spans="1:8" ht="15.75">
      <c r="A1225" s="124">
        <v>41191</v>
      </c>
      <c r="B1225" s="125">
        <v>47.92</v>
      </c>
      <c r="C1225" s="52"/>
      <c r="D1225" s="52"/>
      <c r="E1225" s="52"/>
      <c r="F1225" s="52"/>
      <c r="G1225" s="52"/>
      <c r="H1225" s="52"/>
    </row>
    <row r="1226" spans="1:8" ht="15.75">
      <c r="A1226" s="124">
        <v>41192</v>
      </c>
      <c r="B1226" s="125">
        <v>48.29</v>
      </c>
      <c r="C1226" s="52"/>
      <c r="D1226" s="52"/>
      <c r="E1226" s="52"/>
      <c r="F1226" s="52"/>
      <c r="G1226" s="52"/>
      <c r="H1226" s="52"/>
    </row>
    <row r="1227" spans="1:8" ht="15.75">
      <c r="A1227" s="124">
        <v>41193</v>
      </c>
      <c r="B1227" s="125">
        <v>47.94</v>
      </c>
      <c r="C1227" s="52"/>
      <c r="D1227" s="52"/>
      <c r="E1227" s="52"/>
      <c r="F1227" s="52"/>
      <c r="G1227" s="52"/>
      <c r="H1227" s="52"/>
    </row>
    <row r="1228" spans="1:8" ht="15.75">
      <c r="A1228" s="124">
        <v>41194</v>
      </c>
      <c r="B1228" s="125">
        <v>48</v>
      </c>
      <c r="C1228" s="52"/>
      <c r="D1228" s="52"/>
      <c r="E1228" s="52"/>
      <c r="F1228" s="52"/>
      <c r="G1228" s="52"/>
      <c r="H1228" s="52"/>
    </row>
    <row r="1229" spans="1:8" ht="15.75">
      <c r="A1229" s="124">
        <v>41197</v>
      </c>
      <c r="B1229" s="125">
        <v>48.18</v>
      </c>
      <c r="C1229" s="52"/>
      <c r="D1229" s="52"/>
      <c r="E1229" s="52"/>
      <c r="F1229" s="52"/>
      <c r="G1229" s="52"/>
      <c r="H1229" s="52"/>
    </row>
    <row r="1230" spans="1:8" ht="15.75">
      <c r="A1230" s="124">
        <v>41198</v>
      </c>
      <c r="B1230" s="125">
        <v>48.02</v>
      </c>
      <c r="C1230" s="52"/>
      <c r="D1230" s="52"/>
      <c r="E1230" s="52"/>
      <c r="F1230" s="52"/>
      <c r="G1230" s="52"/>
      <c r="H1230" s="52"/>
    </row>
    <row r="1231" spans="1:8" ht="15.75">
      <c r="A1231" s="124">
        <v>41199</v>
      </c>
      <c r="B1231" s="125">
        <v>48.19</v>
      </c>
      <c r="C1231" s="52"/>
      <c r="D1231" s="52"/>
      <c r="E1231" s="52"/>
      <c r="F1231" s="52"/>
      <c r="G1231" s="52"/>
      <c r="H1231" s="52"/>
    </row>
    <row r="1232" spans="1:8" ht="15.75">
      <c r="A1232" s="124">
        <v>41200</v>
      </c>
      <c r="B1232" s="125">
        <v>48</v>
      </c>
      <c r="C1232" s="52"/>
      <c r="D1232" s="52"/>
      <c r="E1232" s="52"/>
      <c r="F1232" s="52"/>
      <c r="G1232" s="52"/>
      <c r="H1232" s="52"/>
    </row>
    <row r="1233" spans="1:8" ht="15.75">
      <c r="A1233" s="124">
        <v>41201</v>
      </c>
      <c r="B1233" s="125">
        <v>47.99</v>
      </c>
      <c r="C1233" s="52"/>
      <c r="D1233" s="52"/>
      <c r="E1233" s="52"/>
      <c r="F1233" s="52"/>
      <c r="G1233" s="52"/>
      <c r="H1233" s="52"/>
    </row>
    <row r="1234" spans="1:8" ht="15.75">
      <c r="A1234" s="124">
        <v>41204</v>
      </c>
      <c r="B1234" s="125">
        <v>48.1</v>
      </c>
      <c r="C1234" s="52"/>
      <c r="D1234" s="52"/>
      <c r="E1234" s="52"/>
      <c r="F1234" s="52"/>
      <c r="G1234" s="52"/>
      <c r="H1234" s="52"/>
    </row>
    <row r="1235" spans="1:8" ht="15.75">
      <c r="A1235" s="124">
        <v>41205</v>
      </c>
      <c r="B1235" s="125">
        <v>47.9</v>
      </c>
      <c r="C1235" s="52"/>
      <c r="D1235" s="52"/>
      <c r="E1235" s="52"/>
      <c r="F1235" s="52"/>
      <c r="G1235" s="52"/>
      <c r="H1235" s="52"/>
    </row>
    <row r="1236" spans="1:8" ht="15.75">
      <c r="A1236" s="124">
        <v>41206</v>
      </c>
      <c r="B1236" s="125">
        <v>48.05</v>
      </c>
      <c r="C1236" s="52"/>
      <c r="D1236" s="52"/>
      <c r="E1236" s="52"/>
      <c r="F1236" s="52"/>
      <c r="G1236" s="52"/>
      <c r="H1236" s="52"/>
    </row>
    <row r="1237" spans="1:8" ht="15.75">
      <c r="A1237" s="124">
        <v>41207</v>
      </c>
      <c r="B1237" s="125">
        <v>48.1</v>
      </c>
      <c r="C1237" s="52"/>
      <c r="D1237" s="52"/>
      <c r="E1237" s="52"/>
      <c r="F1237" s="52"/>
      <c r="G1237" s="52"/>
      <c r="H1237" s="52"/>
    </row>
    <row r="1238" spans="1:8" ht="15.75">
      <c r="A1238" s="124">
        <v>41208</v>
      </c>
      <c r="B1238" s="125">
        <v>48.01</v>
      </c>
      <c r="C1238" s="52"/>
      <c r="D1238" s="52"/>
      <c r="E1238" s="52"/>
      <c r="F1238" s="52"/>
      <c r="G1238" s="52"/>
      <c r="H1238" s="52"/>
    </row>
    <row r="1239" spans="1:8" ht="15.75">
      <c r="A1239" s="124">
        <v>41211</v>
      </c>
      <c r="B1239" s="125">
        <v>48.22</v>
      </c>
      <c r="C1239" s="52"/>
      <c r="D1239" s="52"/>
      <c r="E1239" s="52"/>
      <c r="F1239" s="52"/>
      <c r="G1239" s="52"/>
      <c r="H1239" s="52"/>
    </row>
    <row r="1240" spans="1:8" ht="15.75">
      <c r="A1240" s="124">
        <v>41212</v>
      </c>
      <c r="B1240" s="125">
        <v>48.02</v>
      </c>
      <c r="C1240" s="52"/>
      <c r="D1240" s="52"/>
      <c r="E1240" s="52"/>
      <c r="F1240" s="52"/>
      <c r="G1240" s="52"/>
      <c r="H1240" s="52"/>
    </row>
    <row r="1241" spans="1:8" ht="15.75">
      <c r="A1241" s="124">
        <v>41213</v>
      </c>
      <c r="B1241" s="125">
        <v>47.77</v>
      </c>
      <c r="C1241" s="52"/>
      <c r="D1241" s="52"/>
      <c r="E1241" s="52"/>
      <c r="F1241" s="52"/>
      <c r="G1241" s="52"/>
      <c r="H1241" s="52"/>
    </row>
    <row r="1242" spans="1:8" ht="15.75">
      <c r="A1242" s="124">
        <v>41214</v>
      </c>
      <c r="B1242" s="125">
        <v>47.94</v>
      </c>
      <c r="C1242" s="52"/>
      <c r="D1242" s="52"/>
      <c r="E1242" s="52"/>
      <c r="F1242" s="52"/>
      <c r="G1242" s="52"/>
      <c r="H1242" s="52"/>
    </row>
    <row r="1243" spans="1:8" ht="15.75">
      <c r="A1243" s="124">
        <v>41215</v>
      </c>
      <c r="B1243" s="125">
        <v>47.91</v>
      </c>
      <c r="C1243" s="52"/>
      <c r="D1243" s="52"/>
      <c r="E1243" s="52"/>
      <c r="F1243" s="52"/>
      <c r="G1243" s="52"/>
      <c r="H1243" s="52"/>
    </row>
    <row r="1244" spans="1:8" ht="15.75">
      <c r="A1244" s="124">
        <v>41218</v>
      </c>
      <c r="B1244" s="125">
        <v>47.77</v>
      </c>
      <c r="C1244" s="52"/>
      <c r="D1244" s="52"/>
      <c r="E1244" s="52"/>
      <c r="F1244" s="52"/>
      <c r="G1244" s="52"/>
      <c r="H1244" s="52"/>
    </row>
    <row r="1245" spans="1:8" ht="15.75">
      <c r="A1245" s="124">
        <v>41219</v>
      </c>
      <c r="B1245" s="125">
        <v>47.91</v>
      </c>
      <c r="C1245" s="52"/>
      <c r="D1245" s="52"/>
      <c r="E1245" s="52"/>
      <c r="F1245" s="52"/>
      <c r="G1245" s="52"/>
      <c r="H1245" s="52"/>
    </row>
    <row r="1246" spans="1:8" ht="15.75">
      <c r="A1246" s="124">
        <v>41220</v>
      </c>
      <c r="B1246" s="125">
        <v>47.81</v>
      </c>
      <c r="C1246" s="52"/>
      <c r="D1246" s="52"/>
      <c r="E1246" s="52"/>
      <c r="F1246" s="52"/>
      <c r="G1246" s="52"/>
      <c r="H1246" s="52"/>
    </row>
    <row r="1247" spans="1:8" ht="15.75">
      <c r="A1247" s="124">
        <v>41221</v>
      </c>
      <c r="B1247" s="125">
        <v>48.03</v>
      </c>
      <c r="C1247" s="52"/>
      <c r="D1247" s="52"/>
      <c r="E1247" s="52"/>
      <c r="F1247" s="52"/>
      <c r="G1247" s="52"/>
      <c r="H1247" s="52"/>
    </row>
    <row r="1248" spans="1:8" ht="15.75">
      <c r="A1248" s="124">
        <v>41222</v>
      </c>
      <c r="B1248" s="125">
        <v>48.05</v>
      </c>
      <c r="C1248" s="52"/>
      <c r="D1248" s="52"/>
      <c r="E1248" s="52"/>
      <c r="F1248" s="52"/>
      <c r="G1248" s="52"/>
      <c r="H1248" s="52"/>
    </row>
    <row r="1249" spans="1:8" ht="15.75">
      <c r="A1249" s="124">
        <v>41225</v>
      </c>
      <c r="B1249" s="125">
        <v>47.88</v>
      </c>
      <c r="C1249" s="52"/>
      <c r="D1249" s="52"/>
      <c r="E1249" s="52"/>
      <c r="F1249" s="52"/>
      <c r="G1249" s="52"/>
      <c r="H1249" s="52"/>
    </row>
    <row r="1250" spans="1:8" ht="15.75">
      <c r="A1250" s="124">
        <v>41226</v>
      </c>
      <c r="B1250" s="125">
        <v>48.1</v>
      </c>
      <c r="C1250" s="52"/>
      <c r="D1250" s="52"/>
      <c r="E1250" s="52"/>
      <c r="F1250" s="52"/>
      <c r="G1250" s="52"/>
      <c r="H1250" s="52"/>
    </row>
    <row r="1251" spans="1:8" ht="15.75">
      <c r="A1251" s="124">
        <v>41227</v>
      </c>
      <c r="B1251" s="125">
        <v>47.89</v>
      </c>
      <c r="C1251" s="52"/>
      <c r="D1251" s="52"/>
      <c r="E1251" s="52"/>
      <c r="F1251" s="52"/>
      <c r="G1251" s="52"/>
      <c r="H1251" s="52"/>
    </row>
    <row r="1252" spans="1:8" ht="15.75">
      <c r="A1252" s="124">
        <v>41228</v>
      </c>
      <c r="B1252" s="125">
        <v>47.69</v>
      </c>
      <c r="C1252" s="52"/>
      <c r="D1252" s="52"/>
      <c r="E1252" s="52"/>
      <c r="F1252" s="52"/>
      <c r="G1252" s="52"/>
      <c r="H1252" s="52"/>
    </row>
    <row r="1253" spans="1:8" ht="15.75">
      <c r="A1253" s="124">
        <v>41229</v>
      </c>
      <c r="B1253" s="125">
        <v>47.67</v>
      </c>
      <c r="C1253" s="52"/>
      <c r="D1253" s="52"/>
      <c r="E1253" s="52"/>
      <c r="F1253" s="52"/>
      <c r="G1253" s="52"/>
      <c r="H1253" s="52"/>
    </row>
    <row r="1254" spans="1:8" ht="15.75">
      <c r="A1254" s="124">
        <v>41232</v>
      </c>
      <c r="B1254" s="125">
        <v>47.86</v>
      </c>
      <c r="C1254" s="52"/>
      <c r="D1254" s="52"/>
      <c r="E1254" s="52"/>
      <c r="F1254" s="52"/>
      <c r="G1254" s="52"/>
      <c r="H1254" s="52"/>
    </row>
    <row r="1255" spans="1:8" ht="15.75">
      <c r="A1255" s="124">
        <v>41233</v>
      </c>
      <c r="B1255" s="125">
        <v>47.59</v>
      </c>
      <c r="C1255" s="52"/>
      <c r="D1255" s="52"/>
      <c r="E1255" s="52"/>
      <c r="F1255" s="52"/>
      <c r="G1255" s="52"/>
      <c r="H1255" s="52"/>
    </row>
    <row r="1256" spans="1:8" ht="15.75">
      <c r="A1256" s="124">
        <v>41234</v>
      </c>
      <c r="B1256" s="125">
        <v>47.64</v>
      </c>
      <c r="C1256" s="52"/>
      <c r="D1256" s="52"/>
      <c r="E1256" s="52"/>
      <c r="F1256" s="52"/>
      <c r="G1256" s="52"/>
      <c r="H1256" s="52"/>
    </row>
    <row r="1257" spans="1:8" ht="15.75">
      <c r="A1257" s="124">
        <v>41235</v>
      </c>
      <c r="B1257" s="125">
        <v>47.59</v>
      </c>
      <c r="C1257" s="52"/>
      <c r="D1257" s="52"/>
      <c r="E1257" s="52"/>
      <c r="F1257" s="52"/>
      <c r="G1257" s="52"/>
      <c r="H1257" s="52"/>
    </row>
    <row r="1258" spans="1:8" ht="15.75">
      <c r="A1258" s="124">
        <v>41236</v>
      </c>
      <c r="B1258" s="125">
        <v>47.65</v>
      </c>
      <c r="C1258" s="52"/>
      <c r="D1258" s="52"/>
      <c r="E1258" s="52"/>
      <c r="F1258" s="52"/>
      <c r="G1258" s="52"/>
      <c r="H1258" s="52"/>
    </row>
    <row r="1259" spans="1:8" ht="15.75">
      <c r="A1259" s="124">
        <v>41239</v>
      </c>
      <c r="B1259" s="125">
        <v>47.98</v>
      </c>
      <c r="C1259" s="52"/>
      <c r="D1259" s="52"/>
      <c r="E1259" s="52"/>
      <c r="F1259" s="52"/>
      <c r="G1259" s="52"/>
      <c r="H1259" s="52"/>
    </row>
    <row r="1260" spans="1:8" ht="15.75">
      <c r="A1260" s="124">
        <v>41240</v>
      </c>
      <c r="B1260" s="125">
        <v>47.56</v>
      </c>
      <c r="C1260" s="52"/>
      <c r="D1260" s="52"/>
      <c r="E1260" s="52"/>
      <c r="F1260" s="52"/>
      <c r="G1260" s="52"/>
      <c r="H1260" s="52"/>
    </row>
    <row r="1261" spans="1:8" ht="15.75">
      <c r="A1261" s="124">
        <v>41241</v>
      </c>
      <c r="B1261" s="125">
        <v>47.51</v>
      </c>
      <c r="C1261" s="52"/>
      <c r="D1261" s="52"/>
      <c r="E1261" s="52"/>
      <c r="F1261" s="52"/>
      <c r="G1261" s="52"/>
      <c r="H1261" s="52"/>
    </row>
    <row r="1262" spans="1:8" ht="15.75">
      <c r="A1262" s="124">
        <v>41242</v>
      </c>
      <c r="B1262" s="125">
        <v>47.62</v>
      </c>
      <c r="C1262" s="52"/>
      <c r="D1262" s="52"/>
      <c r="E1262" s="52"/>
      <c r="F1262" s="52"/>
      <c r="G1262" s="52"/>
      <c r="H1262" s="52"/>
    </row>
    <row r="1263" spans="1:8" ht="15.75">
      <c r="A1263" s="124">
        <v>41243</v>
      </c>
      <c r="B1263" s="125">
        <v>47.47</v>
      </c>
      <c r="C1263" s="52"/>
      <c r="D1263" s="52"/>
      <c r="E1263" s="52"/>
      <c r="F1263" s="52"/>
      <c r="G1263" s="52"/>
      <c r="H1263" s="52"/>
    </row>
    <row r="1264" spans="1:8" ht="15.75">
      <c r="A1264" s="124">
        <v>41246</v>
      </c>
      <c r="B1264" s="125">
        <v>47.29</v>
      </c>
      <c r="C1264" s="52"/>
      <c r="D1264" s="52"/>
      <c r="E1264" s="52"/>
      <c r="F1264" s="52"/>
      <c r="G1264" s="52"/>
      <c r="H1264" s="52"/>
    </row>
    <row r="1265" spans="1:8" ht="15.75">
      <c r="A1265" s="124">
        <v>41247</v>
      </c>
      <c r="B1265" s="125">
        <v>47.31</v>
      </c>
      <c r="C1265" s="52"/>
      <c r="D1265" s="52"/>
      <c r="E1265" s="52"/>
      <c r="F1265" s="52"/>
      <c r="G1265" s="52"/>
      <c r="H1265" s="52"/>
    </row>
    <row r="1266" spans="1:8" ht="15.75">
      <c r="A1266" s="124">
        <v>41248</v>
      </c>
      <c r="B1266" s="125">
        <v>47.44</v>
      </c>
      <c r="C1266" s="52"/>
      <c r="D1266" s="52"/>
      <c r="E1266" s="52"/>
      <c r="F1266" s="52"/>
      <c r="G1266" s="52"/>
      <c r="H1266" s="52"/>
    </row>
    <row r="1267" spans="1:8" ht="15.75">
      <c r="A1267" s="124">
        <v>41249</v>
      </c>
      <c r="B1267" s="125">
        <v>47.2</v>
      </c>
      <c r="C1267" s="52"/>
      <c r="D1267" s="52"/>
      <c r="E1267" s="52"/>
      <c r="F1267" s="52"/>
      <c r="G1267" s="52"/>
      <c r="H1267" s="52"/>
    </row>
    <row r="1268" spans="1:8" ht="15.75">
      <c r="A1268" s="124">
        <v>41250</v>
      </c>
      <c r="B1268" s="125">
        <v>47.07</v>
      </c>
      <c r="C1268" s="52"/>
      <c r="D1268" s="52"/>
      <c r="E1268" s="52"/>
      <c r="F1268" s="52"/>
      <c r="G1268" s="52"/>
      <c r="H1268" s="52"/>
    </row>
    <row r="1269" spans="1:8" ht="15.75">
      <c r="A1269" s="124">
        <v>41253</v>
      </c>
      <c r="B1269" s="125">
        <v>47.28</v>
      </c>
      <c r="C1269" s="52"/>
      <c r="D1269" s="52"/>
      <c r="E1269" s="52"/>
      <c r="F1269" s="52"/>
      <c r="G1269" s="52"/>
      <c r="H1269" s="52"/>
    </row>
    <row r="1270" spans="1:8" ht="15.75">
      <c r="A1270" s="124">
        <v>41254</v>
      </c>
      <c r="B1270" s="125">
        <v>47.39</v>
      </c>
      <c r="C1270" s="52"/>
      <c r="D1270" s="52"/>
      <c r="E1270" s="52"/>
      <c r="F1270" s="52"/>
      <c r="G1270" s="52"/>
      <c r="H1270" s="52"/>
    </row>
    <row r="1271" spans="1:8" ht="15.75">
      <c r="A1271" s="124">
        <v>41255</v>
      </c>
      <c r="B1271" s="125">
        <v>47.29</v>
      </c>
      <c r="C1271" s="52"/>
      <c r="D1271" s="52"/>
      <c r="E1271" s="52"/>
      <c r="F1271" s="52"/>
      <c r="G1271" s="52"/>
      <c r="H1271" s="52"/>
    </row>
    <row r="1272" spans="1:8" ht="15.75">
      <c r="A1272" s="124">
        <v>41256</v>
      </c>
      <c r="B1272" s="125">
        <v>47.2</v>
      </c>
      <c r="C1272" s="52"/>
      <c r="D1272" s="52"/>
      <c r="E1272" s="52"/>
      <c r="F1272" s="52"/>
      <c r="G1272" s="52"/>
      <c r="H1272" s="52"/>
    </row>
    <row r="1273" spans="1:8" ht="15.75">
      <c r="A1273" s="124">
        <v>41257</v>
      </c>
      <c r="B1273" s="125">
        <v>47.2</v>
      </c>
      <c r="C1273" s="52"/>
      <c r="D1273" s="52"/>
      <c r="E1273" s="52"/>
      <c r="F1273" s="52"/>
      <c r="G1273" s="52"/>
      <c r="H1273" s="52"/>
    </row>
    <row r="1274" spans="1:8" ht="15.75">
      <c r="A1274" s="124">
        <v>41260</v>
      </c>
      <c r="B1274" s="125">
        <v>47.2</v>
      </c>
      <c r="C1274" s="52"/>
      <c r="D1274" s="52"/>
      <c r="E1274" s="52"/>
      <c r="F1274" s="52"/>
      <c r="G1274" s="52"/>
      <c r="H1274" s="52"/>
    </row>
    <row r="1275" spans="1:8" ht="15.75">
      <c r="A1275" s="124">
        <v>41261</v>
      </c>
      <c r="B1275" s="125">
        <v>47.24</v>
      </c>
      <c r="C1275" s="52"/>
      <c r="D1275" s="52"/>
      <c r="E1275" s="52"/>
      <c r="F1275" s="52"/>
      <c r="G1275" s="52"/>
      <c r="H1275" s="52"/>
    </row>
    <row r="1276" spans="1:8" ht="15.75">
      <c r="A1276" s="124">
        <v>41262</v>
      </c>
      <c r="B1276" s="125">
        <v>47.19</v>
      </c>
      <c r="C1276" s="52"/>
      <c r="D1276" s="52"/>
      <c r="E1276" s="52"/>
      <c r="F1276" s="52"/>
      <c r="G1276" s="52"/>
      <c r="H1276" s="52"/>
    </row>
    <row r="1277" spans="1:8" ht="15.75">
      <c r="A1277" s="124">
        <v>41263</v>
      </c>
      <c r="B1277" s="125">
        <v>47.35</v>
      </c>
      <c r="C1277" s="52"/>
      <c r="D1277" s="52"/>
      <c r="E1277" s="52"/>
      <c r="F1277" s="52"/>
      <c r="G1277" s="52"/>
      <c r="H1277" s="52"/>
    </row>
    <row r="1278" spans="1:8" ht="15.75">
      <c r="A1278" s="124">
        <v>41264</v>
      </c>
      <c r="B1278" s="125">
        <v>47.28</v>
      </c>
      <c r="C1278" s="52"/>
      <c r="D1278" s="52"/>
      <c r="E1278" s="52"/>
      <c r="F1278" s="52"/>
      <c r="G1278" s="52"/>
      <c r="H1278" s="52"/>
    </row>
    <row r="1279" spans="1:8" ht="15.75">
      <c r="A1279" s="124">
        <v>41270</v>
      </c>
      <c r="B1279" s="125">
        <v>47.33</v>
      </c>
      <c r="C1279" s="52"/>
      <c r="D1279" s="52"/>
      <c r="E1279" s="52"/>
      <c r="F1279" s="52"/>
      <c r="G1279" s="52"/>
      <c r="H1279" s="52"/>
    </row>
    <row r="1280" spans="1:8" ht="15.75">
      <c r="A1280" s="124">
        <v>41271</v>
      </c>
      <c r="B1280" s="125">
        <v>47.32</v>
      </c>
      <c r="C1280" s="52"/>
      <c r="D1280" s="52"/>
      <c r="E1280" s="52"/>
      <c r="F1280" s="52"/>
      <c r="G1280" s="52"/>
      <c r="H1280" s="52"/>
    </row>
    <row r="1281" spans="1:8" ht="15.75">
      <c r="A1281" s="124">
        <v>41276</v>
      </c>
      <c r="B1281" s="125">
        <v>47.31</v>
      </c>
      <c r="C1281" s="52"/>
      <c r="D1281" s="52"/>
      <c r="E1281" s="52"/>
      <c r="F1281" s="52"/>
      <c r="G1281" s="52"/>
      <c r="H1281" s="52"/>
    </row>
    <row r="1282" spans="1:8" ht="15.75">
      <c r="A1282" s="124">
        <v>41277</v>
      </c>
      <c r="B1282" s="125">
        <v>47.3</v>
      </c>
      <c r="C1282" s="52"/>
      <c r="D1282" s="52"/>
      <c r="E1282" s="52"/>
      <c r="F1282" s="52"/>
      <c r="G1282" s="52"/>
      <c r="H1282" s="52"/>
    </row>
    <row r="1283" spans="1:8" ht="15.75">
      <c r="A1283" s="124">
        <v>41278</v>
      </c>
      <c r="B1283" s="125">
        <v>48</v>
      </c>
      <c r="C1283" s="52"/>
      <c r="D1283" s="52"/>
      <c r="E1283" s="52"/>
      <c r="F1283" s="52"/>
      <c r="G1283" s="52"/>
      <c r="H1283" s="52"/>
    </row>
    <row r="1284" spans="1:8" ht="15.75">
      <c r="A1284" s="124">
        <v>41281</v>
      </c>
      <c r="B1284" s="125">
        <v>46.5</v>
      </c>
      <c r="C1284" s="52"/>
      <c r="D1284" s="52"/>
      <c r="E1284" s="52"/>
      <c r="F1284" s="52"/>
      <c r="G1284" s="52"/>
      <c r="H1284" s="52"/>
    </row>
    <row r="1285" spans="1:8" ht="15.75">
      <c r="A1285" s="124">
        <v>41282</v>
      </c>
      <c r="B1285" s="125">
        <v>46.5</v>
      </c>
      <c r="C1285" s="52"/>
      <c r="D1285" s="52"/>
      <c r="E1285" s="52"/>
      <c r="F1285" s="52"/>
      <c r="G1285" s="52"/>
      <c r="H1285" s="52"/>
    </row>
    <row r="1286" spans="1:8" ht="15.75">
      <c r="A1286" s="124">
        <v>41283</v>
      </c>
      <c r="B1286" s="125">
        <v>45.5</v>
      </c>
      <c r="C1286" s="52"/>
      <c r="D1286" s="52"/>
      <c r="E1286" s="52"/>
      <c r="F1286" s="52"/>
      <c r="G1286" s="52"/>
      <c r="H1286" s="52"/>
    </row>
    <row r="1287" spans="1:8" ht="15.75">
      <c r="A1287" s="124">
        <v>41284</v>
      </c>
      <c r="B1287" s="125">
        <v>46.15</v>
      </c>
      <c r="C1287" s="52"/>
      <c r="D1287" s="52"/>
      <c r="E1287" s="52"/>
      <c r="F1287" s="52"/>
      <c r="G1287" s="52"/>
      <c r="H1287" s="52"/>
    </row>
    <row r="1288" spans="1:8" ht="15.75">
      <c r="A1288" s="124">
        <v>41285</v>
      </c>
      <c r="B1288" s="125">
        <v>46</v>
      </c>
      <c r="C1288" s="52"/>
      <c r="D1288" s="52"/>
      <c r="E1288" s="52"/>
      <c r="F1288" s="52"/>
      <c r="G1288" s="52"/>
      <c r="H1288" s="52"/>
    </row>
    <row r="1289" spans="1:8" ht="15.75">
      <c r="A1289" s="124">
        <v>41288</v>
      </c>
      <c r="B1289" s="125">
        <v>46</v>
      </c>
      <c r="C1289" s="52"/>
      <c r="D1289" s="52"/>
      <c r="E1289" s="52"/>
      <c r="F1289" s="52"/>
      <c r="G1289" s="52"/>
      <c r="H1289" s="52"/>
    </row>
    <row r="1290" spans="1:8" ht="15.75">
      <c r="A1290" s="124">
        <v>41289</v>
      </c>
      <c r="B1290" s="125">
        <v>46.1</v>
      </c>
      <c r="C1290" s="52"/>
      <c r="D1290" s="52"/>
      <c r="E1290" s="52"/>
      <c r="F1290" s="52"/>
      <c r="G1290" s="52"/>
      <c r="H1290" s="52"/>
    </row>
    <row r="1291" spans="1:8" ht="15.75">
      <c r="A1291" s="124">
        <v>41290</v>
      </c>
      <c r="B1291" s="125">
        <v>47</v>
      </c>
      <c r="C1291" s="52"/>
      <c r="D1291" s="52"/>
      <c r="E1291" s="52"/>
      <c r="F1291" s="52"/>
      <c r="G1291" s="52"/>
      <c r="H1291" s="52"/>
    </row>
    <row r="1292" spans="1:8" ht="15.75">
      <c r="A1292" s="124">
        <v>41291</v>
      </c>
      <c r="B1292" s="125">
        <v>46</v>
      </c>
      <c r="C1292" s="52"/>
      <c r="D1292" s="52"/>
      <c r="E1292" s="52"/>
      <c r="F1292" s="52"/>
      <c r="G1292" s="52"/>
      <c r="H1292" s="52"/>
    </row>
    <row r="1293" spans="1:8" ht="15.75">
      <c r="A1293" s="124">
        <v>41292</v>
      </c>
      <c r="B1293" s="125">
        <v>46.75</v>
      </c>
      <c r="C1293" s="52"/>
      <c r="D1293" s="52"/>
      <c r="E1293" s="52"/>
      <c r="F1293" s="52"/>
      <c r="G1293" s="52"/>
      <c r="H1293" s="52"/>
    </row>
    <row r="1294" spans="1:8" ht="15.75">
      <c r="A1294" s="124">
        <v>41295</v>
      </c>
      <c r="B1294" s="125">
        <v>46.9</v>
      </c>
      <c r="C1294" s="52"/>
      <c r="D1294" s="52"/>
      <c r="E1294" s="52"/>
      <c r="F1294" s="52"/>
      <c r="G1294" s="52"/>
      <c r="H1294" s="52"/>
    </row>
    <row r="1295" spans="1:8" ht="15.75">
      <c r="A1295" s="124">
        <v>41296</v>
      </c>
      <c r="B1295" s="125">
        <v>46.55</v>
      </c>
      <c r="C1295" s="52"/>
      <c r="D1295" s="52"/>
      <c r="E1295" s="52"/>
      <c r="F1295" s="52"/>
      <c r="G1295" s="52"/>
      <c r="H1295" s="52"/>
    </row>
    <row r="1296" spans="1:8" ht="15.75">
      <c r="A1296" s="124">
        <v>41297</v>
      </c>
      <c r="B1296" s="125">
        <v>46.75</v>
      </c>
      <c r="C1296" s="52"/>
      <c r="D1296" s="52"/>
      <c r="E1296" s="52"/>
      <c r="F1296" s="52"/>
      <c r="G1296" s="52"/>
      <c r="H1296" s="52"/>
    </row>
    <row r="1297" spans="1:8" ht="15.75">
      <c r="A1297" s="124">
        <v>41298</v>
      </c>
      <c r="B1297" s="125">
        <v>46.83</v>
      </c>
      <c r="C1297" s="52"/>
      <c r="D1297" s="52"/>
      <c r="E1297" s="52"/>
      <c r="F1297" s="52"/>
      <c r="G1297" s="52"/>
      <c r="H1297" s="52"/>
    </row>
    <row r="1298" spans="1:8" ht="15.75">
      <c r="A1298" s="124">
        <v>41299</v>
      </c>
      <c r="B1298" s="125">
        <v>46.99</v>
      </c>
      <c r="C1298" s="52"/>
      <c r="D1298" s="52"/>
      <c r="E1298" s="52"/>
      <c r="F1298" s="52"/>
      <c r="G1298" s="52"/>
      <c r="H1298" s="52"/>
    </row>
    <row r="1299" spans="1:8" ht="15.75">
      <c r="A1299" s="124">
        <v>41302</v>
      </c>
      <c r="B1299" s="125">
        <v>46.7</v>
      </c>
      <c r="C1299" s="52"/>
      <c r="D1299" s="52"/>
      <c r="E1299" s="52"/>
      <c r="F1299" s="52"/>
      <c r="G1299" s="52"/>
      <c r="H1299" s="52"/>
    </row>
    <row r="1300" spans="1:8" ht="15.75">
      <c r="A1300" s="124">
        <v>41303</v>
      </c>
      <c r="B1300" s="125">
        <v>46.6</v>
      </c>
      <c r="C1300" s="52"/>
      <c r="D1300" s="52"/>
      <c r="E1300" s="52"/>
      <c r="F1300" s="52"/>
      <c r="G1300" s="52"/>
      <c r="H1300" s="52"/>
    </row>
    <row r="1301" spans="1:8" ht="15.75">
      <c r="A1301" s="124">
        <v>41304</v>
      </c>
      <c r="B1301" s="125">
        <v>46.56</v>
      </c>
      <c r="C1301" s="52"/>
      <c r="D1301" s="52"/>
      <c r="E1301" s="52"/>
      <c r="F1301" s="52"/>
      <c r="G1301" s="52"/>
      <c r="H1301" s="52"/>
    </row>
    <row r="1302" spans="1:8" ht="15.75">
      <c r="A1302" s="124">
        <v>41305</v>
      </c>
      <c r="B1302" s="125">
        <v>46.98</v>
      </c>
      <c r="C1302" s="52"/>
      <c r="D1302" s="52"/>
      <c r="E1302" s="52"/>
      <c r="F1302" s="52"/>
      <c r="G1302" s="52"/>
      <c r="H1302" s="52"/>
    </row>
    <row r="1303" spans="1:8" ht="15.75">
      <c r="A1303" s="124">
        <v>41306</v>
      </c>
      <c r="B1303" s="125">
        <v>46.85</v>
      </c>
      <c r="C1303" s="52"/>
      <c r="D1303" s="52"/>
      <c r="E1303" s="52"/>
      <c r="F1303" s="52"/>
      <c r="G1303" s="52"/>
      <c r="H1303" s="52"/>
    </row>
    <row r="1304" spans="1:8" ht="15.75">
      <c r="A1304" s="124">
        <v>41309</v>
      </c>
      <c r="B1304" s="125">
        <v>46.9</v>
      </c>
      <c r="C1304" s="52"/>
      <c r="D1304" s="52"/>
      <c r="E1304" s="52"/>
      <c r="F1304" s="52"/>
      <c r="G1304" s="52"/>
      <c r="H1304" s="52"/>
    </row>
    <row r="1305" spans="1:8" ht="15.75">
      <c r="A1305" s="124">
        <v>41310</v>
      </c>
      <c r="B1305" s="125">
        <v>46.61</v>
      </c>
      <c r="C1305" s="52"/>
      <c r="D1305" s="52"/>
      <c r="E1305" s="52"/>
      <c r="F1305" s="52"/>
      <c r="G1305" s="52"/>
      <c r="H1305" s="52"/>
    </row>
    <row r="1306" spans="1:8" ht="15.75">
      <c r="A1306" s="124">
        <v>41311</v>
      </c>
      <c r="B1306" s="125">
        <v>46.5</v>
      </c>
      <c r="C1306" s="52"/>
      <c r="D1306" s="52"/>
      <c r="E1306" s="52"/>
      <c r="F1306" s="52"/>
      <c r="G1306" s="52"/>
      <c r="H1306" s="52"/>
    </row>
    <row r="1307" spans="1:8" ht="15.75">
      <c r="A1307" s="124">
        <v>41312</v>
      </c>
      <c r="B1307" s="125">
        <v>47.5</v>
      </c>
      <c r="C1307" s="52"/>
      <c r="D1307" s="52"/>
      <c r="E1307" s="52"/>
      <c r="F1307" s="52"/>
      <c r="G1307" s="52"/>
      <c r="H1307" s="52"/>
    </row>
    <row r="1308" spans="1:8" ht="15.75">
      <c r="A1308" s="124">
        <v>41313</v>
      </c>
      <c r="B1308" s="125">
        <v>46.23</v>
      </c>
      <c r="C1308" s="52"/>
      <c r="D1308" s="52"/>
      <c r="E1308" s="52"/>
      <c r="F1308" s="52"/>
      <c r="G1308" s="52"/>
      <c r="H1308" s="52"/>
    </row>
    <row r="1309" spans="1:8" ht="15.75">
      <c r="A1309" s="124">
        <v>41316</v>
      </c>
      <c r="B1309" s="125">
        <v>46.99</v>
      </c>
      <c r="C1309" s="52"/>
      <c r="D1309" s="52"/>
      <c r="E1309" s="52"/>
      <c r="F1309" s="52"/>
      <c r="G1309" s="52"/>
      <c r="H1309" s="52"/>
    </row>
    <row r="1310" spans="1:8" ht="15.75">
      <c r="A1310" s="124">
        <v>41317</v>
      </c>
      <c r="B1310" s="125">
        <v>46.3</v>
      </c>
      <c r="C1310" s="52"/>
      <c r="D1310" s="52"/>
      <c r="E1310" s="52"/>
      <c r="F1310" s="52"/>
      <c r="G1310" s="52"/>
      <c r="H1310" s="52"/>
    </row>
    <row r="1311" spans="1:8" ht="15.75">
      <c r="A1311" s="124">
        <v>41318</v>
      </c>
      <c r="B1311" s="125">
        <v>47</v>
      </c>
      <c r="C1311" s="52"/>
      <c r="D1311" s="52"/>
      <c r="E1311" s="52"/>
      <c r="F1311" s="52"/>
      <c r="G1311" s="52"/>
      <c r="H1311" s="52"/>
    </row>
    <row r="1312" spans="1:8" ht="15.75">
      <c r="A1312" s="124">
        <v>41319</v>
      </c>
      <c r="B1312" s="125">
        <v>47.38</v>
      </c>
      <c r="C1312" s="52"/>
      <c r="D1312" s="52"/>
      <c r="E1312" s="52"/>
      <c r="F1312" s="52"/>
      <c r="G1312" s="52"/>
      <c r="H1312" s="52"/>
    </row>
    <row r="1313" spans="1:8" ht="15.75">
      <c r="A1313" s="124">
        <v>41320</v>
      </c>
      <c r="B1313" s="125">
        <v>46.89</v>
      </c>
      <c r="C1313" s="52"/>
      <c r="D1313" s="52"/>
      <c r="E1313" s="52"/>
      <c r="F1313" s="52"/>
      <c r="G1313" s="52"/>
      <c r="H1313" s="52"/>
    </row>
    <row r="1314" spans="1:8" ht="15.75">
      <c r="A1314" s="124">
        <v>41323</v>
      </c>
      <c r="B1314" s="125">
        <v>46.86</v>
      </c>
      <c r="C1314" s="52"/>
      <c r="D1314" s="52"/>
      <c r="E1314" s="52"/>
      <c r="F1314" s="52"/>
      <c r="G1314" s="52"/>
      <c r="H1314" s="52"/>
    </row>
    <row r="1315" spans="1:8" ht="15.75">
      <c r="A1315" s="124">
        <v>41324</v>
      </c>
      <c r="B1315" s="125">
        <v>47.5</v>
      </c>
      <c r="C1315" s="52"/>
      <c r="D1315" s="52"/>
      <c r="E1315" s="52"/>
      <c r="F1315" s="52"/>
      <c r="G1315" s="52"/>
      <c r="H1315" s="52"/>
    </row>
    <row r="1316" spans="1:8" ht="15.75">
      <c r="A1316" s="124">
        <v>41325</v>
      </c>
      <c r="B1316" s="125">
        <v>46.89</v>
      </c>
      <c r="C1316" s="52"/>
      <c r="D1316" s="52"/>
      <c r="E1316" s="52"/>
      <c r="F1316" s="52"/>
      <c r="G1316" s="52"/>
      <c r="H1316" s="52"/>
    </row>
    <row r="1317" spans="1:8" ht="15.75">
      <c r="A1317" s="124">
        <v>41326</v>
      </c>
      <c r="B1317" s="125">
        <v>47.1</v>
      </c>
      <c r="C1317" s="52"/>
      <c r="D1317" s="52"/>
      <c r="E1317" s="52"/>
      <c r="F1317" s="52"/>
      <c r="G1317" s="52"/>
      <c r="H1317" s="52"/>
    </row>
    <row r="1318" spans="1:8" ht="15.75">
      <c r="A1318" s="124">
        <v>41327</v>
      </c>
      <c r="B1318" s="125">
        <v>46.5</v>
      </c>
      <c r="C1318" s="52"/>
      <c r="D1318" s="52"/>
      <c r="E1318" s="52"/>
      <c r="F1318" s="52"/>
      <c r="G1318" s="52"/>
      <c r="H1318" s="52"/>
    </row>
    <row r="1319" spans="1:8" ht="15.75">
      <c r="A1319" s="124">
        <v>41330</v>
      </c>
      <c r="B1319" s="125">
        <v>46.86</v>
      </c>
      <c r="C1319" s="52"/>
      <c r="D1319" s="52"/>
      <c r="E1319" s="52"/>
      <c r="F1319" s="52"/>
      <c r="G1319" s="52"/>
      <c r="H1319" s="52"/>
    </row>
    <row r="1320" spans="1:8" ht="15.75">
      <c r="A1320" s="124">
        <v>41331</v>
      </c>
      <c r="B1320" s="125">
        <v>46.99</v>
      </c>
      <c r="C1320" s="52"/>
      <c r="D1320" s="52"/>
      <c r="E1320" s="52"/>
      <c r="F1320" s="52"/>
      <c r="G1320" s="52"/>
      <c r="H1320" s="52"/>
    </row>
    <row r="1321" spans="1:8" ht="15.75">
      <c r="A1321" s="124">
        <v>41332</v>
      </c>
      <c r="B1321" s="125">
        <v>46.87</v>
      </c>
      <c r="C1321" s="52"/>
      <c r="D1321" s="52"/>
      <c r="E1321" s="52"/>
      <c r="F1321" s="52"/>
      <c r="G1321" s="52"/>
      <c r="H1321" s="52"/>
    </row>
    <row r="1322" spans="1:8" ht="15.75">
      <c r="A1322" s="124">
        <v>41333</v>
      </c>
      <c r="B1322" s="125">
        <v>46.88</v>
      </c>
      <c r="C1322" s="52"/>
      <c r="D1322" s="52"/>
      <c r="E1322" s="52"/>
      <c r="F1322" s="52"/>
      <c r="G1322" s="52"/>
      <c r="H1322" s="52"/>
    </row>
    <row r="1323" spans="1:8" ht="15.75">
      <c r="A1323" s="124">
        <v>41334</v>
      </c>
      <c r="B1323" s="125">
        <v>46.86</v>
      </c>
      <c r="C1323" s="52"/>
      <c r="D1323" s="52"/>
      <c r="E1323" s="52"/>
      <c r="F1323" s="52"/>
      <c r="G1323" s="52"/>
      <c r="H1323" s="52"/>
    </row>
    <row r="1324" spans="1:8" ht="15.75">
      <c r="A1324" s="124">
        <v>41337</v>
      </c>
      <c r="B1324" s="125">
        <v>46.95</v>
      </c>
      <c r="C1324" s="52"/>
      <c r="D1324" s="52"/>
      <c r="E1324" s="52"/>
      <c r="F1324" s="52"/>
      <c r="G1324" s="52"/>
      <c r="H1324" s="52"/>
    </row>
    <row r="1325" spans="1:8" ht="15.75">
      <c r="A1325" s="124">
        <v>41338</v>
      </c>
      <c r="B1325" s="125">
        <v>46.9</v>
      </c>
      <c r="C1325" s="52"/>
      <c r="D1325" s="52"/>
      <c r="E1325" s="52"/>
      <c r="F1325" s="52"/>
      <c r="G1325" s="52"/>
      <c r="H1325" s="52"/>
    </row>
    <row r="1326" spans="1:8" ht="15.75">
      <c r="A1326" s="124">
        <v>41339</v>
      </c>
      <c r="B1326" s="125">
        <v>47</v>
      </c>
      <c r="C1326" s="52"/>
      <c r="D1326" s="52"/>
      <c r="E1326" s="52"/>
      <c r="F1326" s="52"/>
      <c r="G1326" s="52"/>
      <c r="H1326" s="52"/>
    </row>
    <row r="1327" spans="1:8" ht="15.75">
      <c r="A1327" s="124">
        <v>41340</v>
      </c>
      <c r="B1327" s="125">
        <v>46.81</v>
      </c>
      <c r="C1327" s="52"/>
      <c r="D1327" s="52"/>
      <c r="E1327" s="52"/>
      <c r="F1327" s="52"/>
      <c r="G1327" s="52"/>
      <c r="H1327" s="52"/>
    </row>
    <row r="1328" spans="1:8" ht="15.75">
      <c r="A1328" s="124">
        <v>41341</v>
      </c>
      <c r="B1328" s="125">
        <v>46.5</v>
      </c>
      <c r="C1328" s="52"/>
      <c r="D1328" s="52"/>
      <c r="E1328" s="52"/>
      <c r="F1328" s="52"/>
      <c r="G1328" s="52"/>
      <c r="H1328" s="52"/>
    </row>
    <row r="1329" spans="1:8" ht="15.75">
      <c r="A1329" s="124">
        <v>41344</v>
      </c>
      <c r="B1329" s="125">
        <v>46.6</v>
      </c>
      <c r="C1329" s="52"/>
      <c r="D1329" s="52"/>
      <c r="E1329" s="52"/>
      <c r="F1329" s="52"/>
      <c r="G1329" s="52"/>
      <c r="H1329" s="52"/>
    </row>
    <row r="1330" spans="1:8" ht="15.75">
      <c r="A1330" s="124">
        <v>41345</v>
      </c>
      <c r="B1330" s="125">
        <v>46.81</v>
      </c>
      <c r="C1330" s="52"/>
      <c r="D1330" s="52"/>
      <c r="E1330" s="52"/>
      <c r="F1330" s="52"/>
      <c r="G1330" s="52"/>
      <c r="H1330" s="52"/>
    </row>
    <row r="1331" spans="1:8" ht="15.75">
      <c r="A1331" s="124">
        <v>41346</v>
      </c>
      <c r="B1331" s="125">
        <v>46.91</v>
      </c>
      <c r="C1331" s="52"/>
      <c r="D1331" s="52"/>
      <c r="E1331" s="52"/>
      <c r="F1331" s="52"/>
      <c r="G1331" s="52"/>
      <c r="H1331" s="52"/>
    </row>
    <row r="1332" spans="1:8" ht="15.75">
      <c r="A1332" s="124">
        <v>41347</v>
      </c>
      <c r="B1332" s="125">
        <v>46.97</v>
      </c>
      <c r="C1332" s="52"/>
      <c r="D1332" s="52"/>
      <c r="E1332" s="52"/>
      <c r="F1332" s="52"/>
      <c r="G1332" s="52"/>
      <c r="H1332" s="52"/>
    </row>
    <row r="1333" spans="1:8" ht="15.75">
      <c r="A1333" s="124">
        <v>41348</v>
      </c>
      <c r="B1333" s="125">
        <v>46.8</v>
      </c>
      <c r="C1333" s="52"/>
      <c r="D1333" s="52"/>
      <c r="E1333" s="52"/>
      <c r="F1333" s="52"/>
      <c r="G1333" s="52"/>
      <c r="H1333" s="52"/>
    </row>
    <row r="1334" spans="1:8" ht="15.75">
      <c r="A1334" s="124">
        <v>41351</v>
      </c>
      <c r="B1334" s="125">
        <v>46.42</v>
      </c>
      <c r="C1334" s="52"/>
      <c r="D1334" s="52"/>
      <c r="E1334" s="52"/>
      <c r="F1334" s="52"/>
      <c r="G1334" s="52"/>
      <c r="H1334" s="52"/>
    </row>
    <row r="1335" spans="1:8" ht="15.75">
      <c r="A1335" s="124">
        <v>41352</v>
      </c>
      <c r="B1335" s="125">
        <v>46.5</v>
      </c>
      <c r="C1335" s="52"/>
      <c r="D1335" s="52"/>
      <c r="E1335" s="52"/>
      <c r="F1335" s="52"/>
      <c r="G1335" s="52"/>
      <c r="H1335" s="52"/>
    </row>
    <row r="1336" spans="1:8" ht="15.75">
      <c r="A1336" s="124">
        <v>41353</v>
      </c>
      <c r="B1336" s="125">
        <v>46.6</v>
      </c>
      <c r="C1336" s="52"/>
      <c r="D1336" s="52"/>
      <c r="E1336" s="52"/>
      <c r="F1336" s="52"/>
      <c r="G1336" s="52"/>
      <c r="H1336" s="52"/>
    </row>
    <row r="1337" spans="1:8" ht="15.75">
      <c r="A1337" s="124">
        <v>41354</v>
      </c>
      <c r="B1337" s="125">
        <v>46.5</v>
      </c>
      <c r="C1337" s="52"/>
      <c r="D1337" s="52"/>
      <c r="E1337" s="52"/>
      <c r="F1337" s="52"/>
      <c r="G1337" s="52"/>
      <c r="H1337" s="52"/>
    </row>
    <row r="1338" spans="1:8" ht="15.75">
      <c r="A1338" s="124">
        <v>41355</v>
      </c>
      <c r="B1338" s="125">
        <v>46.2</v>
      </c>
      <c r="C1338" s="52"/>
      <c r="D1338" s="52"/>
      <c r="E1338" s="52"/>
      <c r="F1338" s="52"/>
      <c r="G1338" s="52"/>
      <c r="H1338" s="52"/>
    </row>
    <row r="1339" spans="1:8" ht="15.75">
      <c r="A1339" s="124">
        <v>41358</v>
      </c>
      <c r="B1339" s="125">
        <v>45.75</v>
      </c>
      <c r="C1339" s="52"/>
      <c r="D1339" s="52"/>
      <c r="E1339" s="52"/>
      <c r="F1339" s="52"/>
      <c r="G1339" s="52"/>
      <c r="H1339" s="52"/>
    </row>
    <row r="1340" spans="1:8" ht="15.75">
      <c r="A1340" s="124">
        <v>41359</v>
      </c>
      <c r="B1340" s="125">
        <v>46.28</v>
      </c>
      <c r="C1340" s="52"/>
      <c r="D1340" s="52"/>
      <c r="E1340" s="52"/>
      <c r="F1340" s="52"/>
      <c r="G1340" s="52"/>
      <c r="H1340" s="52"/>
    </row>
    <row r="1341" spans="1:8" ht="15.75">
      <c r="A1341" s="124">
        <v>41360</v>
      </c>
      <c r="B1341" s="125">
        <v>46.75</v>
      </c>
      <c r="C1341" s="52"/>
      <c r="D1341" s="52"/>
      <c r="E1341" s="52"/>
      <c r="F1341" s="52"/>
      <c r="G1341" s="52"/>
      <c r="H1341" s="52"/>
    </row>
    <row r="1342" spans="1:8" ht="15.75">
      <c r="A1342" s="124">
        <v>41361</v>
      </c>
      <c r="B1342" s="125">
        <v>46.5</v>
      </c>
      <c r="C1342" s="52"/>
      <c r="D1342" s="52"/>
      <c r="E1342" s="52"/>
      <c r="F1342" s="52"/>
      <c r="G1342" s="52"/>
      <c r="H1342" s="52"/>
    </row>
    <row r="1343" spans="1:8" ht="15.75">
      <c r="A1343" s="124">
        <v>41366</v>
      </c>
      <c r="B1343" s="125">
        <v>46.3</v>
      </c>
      <c r="C1343" s="52"/>
      <c r="D1343" s="52"/>
      <c r="E1343" s="52"/>
      <c r="F1343" s="52"/>
      <c r="G1343" s="52"/>
      <c r="H1343" s="52"/>
    </row>
    <row r="1344" spans="1:8" ht="15.75">
      <c r="A1344" s="124">
        <v>41367</v>
      </c>
      <c r="B1344" s="125">
        <v>46.31</v>
      </c>
      <c r="C1344" s="52"/>
      <c r="D1344" s="52"/>
      <c r="E1344" s="52"/>
      <c r="F1344" s="52"/>
      <c r="G1344" s="52"/>
      <c r="H1344" s="52"/>
    </row>
    <row r="1345" spans="1:8" ht="15.75">
      <c r="A1345" s="124">
        <v>41368</v>
      </c>
      <c r="B1345" s="125">
        <v>46.42</v>
      </c>
      <c r="C1345" s="52"/>
      <c r="D1345" s="52"/>
      <c r="E1345" s="52"/>
      <c r="F1345" s="52"/>
      <c r="G1345" s="52"/>
      <c r="H1345" s="52"/>
    </row>
    <row r="1346" spans="1:8" ht="15.75">
      <c r="A1346" s="124">
        <v>41369</v>
      </c>
      <c r="B1346" s="125">
        <v>46.4</v>
      </c>
      <c r="C1346" s="52"/>
      <c r="D1346" s="52"/>
      <c r="E1346" s="52"/>
      <c r="F1346" s="52"/>
      <c r="G1346" s="52"/>
      <c r="H1346" s="52"/>
    </row>
    <row r="1347" spans="1:8" ht="15.75">
      <c r="A1347" s="124">
        <v>41372</v>
      </c>
      <c r="B1347" s="125">
        <v>46.7</v>
      </c>
      <c r="C1347" s="52"/>
      <c r="D1347" s="52"/>
      <c r="E1347" s="52"/>
      <c r="F1347" s="52"/>
      <c r="G1347" s="52"/>
      <c r="H1347" s="52"/>
    </row>
    <row r="1348" spans="1:8" ht="15.75">
      <c r="A1348" s="124">
        <v>41373</v>
      </c>
      <c r="B1348" s="125">
        <v>46.7</v>
      </c>
      <c r="C1348" s="52"/>
      <c r="D1348" s="52"/>
      <c r="E1348" s="52"/>
      <c r="F1348" s="52"/>
      <c r="G1348" s="52"/>
      <c r="H1348" s="52"/>
    </row>
    <row r="1349" spans="1:8" ht="15.75">
      <c r="A1349" s="124">
        <v>41374</v>
      </c>
      <c r="B1349" s="125">
        <v>46.4</v>
      </c>
      <c r="C1349" s="52"/>
      <c r="D1349" s="52"/>
      <c r="E1349" s="52"/>
      <c r="F1349" s="52"/>
      <c r="G1349" s="52"/>
      <c r="H1349" s="52"/>
    </row>
    <row r="1350" spans="1:8" ht="15.75">
      <c r="A1350" s="124">
        <v>41375</v>
      </c>
      <c r="B1350" s="125">
        <v>46.1</v>
      </c>
      <c r="C1350" s="52"/>
      <c r="D1350" s="52"/>
      <c r="E1350" s="52"/>
      <c r="F1350" s="52"/>
      <c r="G1350" s="52"/>
      <c r="H1350" s="52"/>
    </row>
    <row r="1351" spans="1:8" ht="15.75">
      <c r="A1351" s="124">
        <v>41376</v>
      </c>
      <c r="B1351" s="125">
        <v>46.1</v>
      </c>
      <c r="C1351" s="52"/>
      <c r="D1351" s="52"/>
      <c r="E1351" s="52"/>
      <c r="F1351" s="52"/>
      <c r="G1351" s="52"/>
      <c r="H1351" s="52"/>
    </row>
    <row r="1352" spans="1:8" ht="15.75">
      <c r="A1352" s="124">
        <v>41379</v>
      </c>
      <c r="B1352" s="125">
        <v>46.68</v>
      </c>
      <c r="C1352" s="52"/>
      <c r="D1352" s="52"/>
      <c r="E1352" s="52"/>
      <c r="F1352" s="52"/>
      <c r="G1352" s="52"/>
      <c r="H1352" s="52"/>
    </row>
    <row r="1353" spans="1:8" ht="15.75">
      <c r="A1353" s="124">
        <v>41380</v>
      </c>
      <c r="B1353" s="125">
        <v>45.87</v>
      </c>
      <c r="C1353" s="52"/>
      <c r="D1353" s="52"/>
      <c r="E1353" s="52"/>
      <c r="F1353" s="52"/>
      <c r="G1353" s="52"/>
      <c r="H1353" s="52"/>
    </row>
    <row r="1354" spans="1:8" ht="15.75">
      <c r="A1354" s="124">
        <v>41381</v>
      </c>
      <c r="B1354" s="125">
        <v>46.49</v>
      </c>
      <c r="C1354" s="52"/>
      <c r="D1354" s="52"/>
      <c r="E1354" s="52"/>
      <c r="F1354" s="52"/>
      <c r="G1354" s="52"/>
      <c r="H1354" s="52"/>
    </row>
    <row r="1355" spans="1:8" ht="15.75">
      <c r="A1355" s="124">
        <v>41382</v>
      </c>
      <c r="B1355" s="125">
        <v>46.03</v>
      </c>
      <c r="C1355" s="52"/>
      <c r="D1355" s="52"/>
      <c r="E1355" s="52"/>
      <c r="F1355" s="52"/>
      <c r="G1355" s="52"/>
      <c r="H1355" s="52"/>
    </row>
    <row r="1356" spans="1:8" ht="15.75">
      <c r="A1356" s="124">
        <v>41383</v>
      </c>
      <c r="B1356" s="125">
        <v>45.8</v>
      </c>
      <c r="C1356" s="52"/>
      <c r="D1356" s="52"/>
      <c r="E1356" s="52"/>
      <c r="F1356" s="52"/>
      <c r="G1356" s="52"/>
      <c r="H1356" s="52"/>
    </row>
    <row r="1357" spans="1:8" ht="15.75">
      <c r="A1357" s="124">
        <v>41386</v>
      </c>
      <c r="B1357" s="125">
        <v>46.35</v>
      </c>
      <c r="C1357" s="52"/>
      <c r="D1357" s="52"/>
      <c r="E1357" s="52"/>
      <c r="F1357" s="52"/>
      <c r="G1357" s="52"/>
      <c r="H1357" s="52"/>
    </row>
    <row r="1358" spans="1:8" ht="15.75">
      <c r="A1358" s="124">
        <v>41387</v>
      </c>
      <c r="B1358" s="125">
        <v>45.71</v>
      </c>
      <c r="C1358" s="52"/>
      <c r="D1358" s="52"/>
      <c r="E1358" s="52"/>
      <c r="F1358" s="52"/>
      <c r="G1358" s="52"/>
      <c r="H1358" s="52"/>
    </row>
    <row r="1359" spans="1:8" ht="15.75">
      <c r="A1359" s="124">
        <v>41388</v>
      </c>
      <c r="B1359" s="125">
        <v>45.85</v>
      </c>
      <c r="C1359" s="52"/>
      <c r="D1359" s="52"/>
      <c r="E1359" s="52"/>
      <c r="F1359" s="52"/>
      <c r="G1359" s="52"/>
      <c r="H1359" s="52"/>
    </row>
    <row r="1360" spans="1:8" ht="15.75">
      <c r="A1360" s="124">
        <v>41389</v>
      </c>
      <c r="B1360" s="125">
        <v>46.14</v>
      </c>
      <c r="C1360" s="52"/>
      <c r="D1360" s="52"/>
      <c r="E1360" s="52"/>
      <c r="F1360" s="52"/>
      <c r="G1360" s="52"/>
      <c r="H1360" s="52"/>
    </row>
    <row r="1361" spans="1:8" ht="15.75">
      <c r="A1361" s="124">
        <v>41390</v>
      </c>
      <c r="B1361" s="125">
        <v>46.1</v>
      </c>
      <c r="C1361" s="52"/>
      <c r="D1361" s="52"/>
      <c r="E1361" s="52"/>
      <c r="F1361" s="52"/>
      <c r="G1361" s="52"/>
      <c r="H1361" s="52"/>
    </row>
    <row r="1362" spans="1:8" ht="15.75">
      <c r="A1362" s="124">
        <v>41393</v>
      </c>
      <c r="B1362" s="125">
        <v>46.1</v>
      </c>
      <c r="C1362" s="52"/>
      <c r="D1362" s="52"/>
      <c r="E1362" s="52"/>
      <c r="F1362" s="52"/>
      <c r="G1362" s="52"/>
      <c r="H1362" s="52"/>
    </row>
    <row r="1363" spans="1:8" ht="15.75">
      <c r="A1363" s="124">
        <v>41394</v>
      </c>
      <c r="B1363" s="125">
        <v>45.98</v>
      </c>
      <c r="C1363" s="52"/>
      <c r="D1363" s="52"/>
      <c r="E1363" s="52"/>
      <c r="F1363" s="52"/>
      <c r="G1363" s="52"/>
      <c r="H1363" s="52"/>
    </row>
    <row r="1364" spans="1:8" ht="15.75">
      <c r="A1364" s="124">
        <v>41396</v>
      </c>
      <c r="B1364" s="125">
        <v>45.8</v>
      </c>
      <c r="C1364" s="52"/>
      <c r="D1364" s="52"/>
      <c r="E1364" s="52"/>
      <c r="F1364" s="52"/>
      <c r="G1364" s="52"/>
      <c r="H1364" s="52"/>
    </row>
    <row r="1365" spans="1:8" ht="15.75">
      <c r="A1365" s="124">
        <v>41397</v>
      </c>
      <c r="B1365" s="125">
        <v>45.82</v>
      </c>
      <c r="C1365" s="52"/>
      <c r="D1365" s="52"/>
      <c r="E1365" s="52"/>
      <c r="F1365" s="52"/>
      <c r="G1365" s="52"/>
      <c r="H1365" s="52"/>
    </row>
    <row r="1366" spans="1:8" ht="15.75">
      <c r="A1366" s="124">
        <v>41400</v>
      </c>
      <c r="B1366" s="125">
        <v>45.72</v>
      </c>
      <c r="C1366" s="52"/>
      <c r="D1366" s="52"/>
      <c r="E1366" s="52"/>
      <c r="F1366" s="52"/>
      <c r="G1366" s="52"/>
      <c r="H1366" s="52"/>
    </row>
    <row r="1367" spans="1:8" ht="15.75">
      <c r="A1367" s="124">
        <v>41401</v>
      </c>
      <c r="B1367" s="125">
        <v>45.71</v>
      </c>
      <c r="C1367" s="52"/>
      <c r="D1367" s="52"/>
      <c r="E1367" s="52"/>
      <c r="F1367" s="52"/>
      <c r="G1367" s="52"/>
      <c r="H1367" s="52"/>
    </row>
    <row r="1368" spans="1:8" ht="15.75">
      <c r="A1368" s="124">
        <v>41402</v>
      </c>
      <c r="B1368" s="125">
        <v>45.7</v>
      </c>
      <c r="C1368" s="52"/>
      <c r="D1368" s="52"/>
      <c r="E1368" s="52"/>
      <c r="F1368" s="52"/>
      <c r="G1368" s="52"/>
      <c r="H1368" s="52"/>
    </row>
    <row r="1369" spans="1:8" ht="15.75">
      <c r="A1369" s="124">
        <v>41403</v>
      </c>
      <c r="B1369" s="125">
        <v>45.7</v>
      </c>
      <c r="C1369" s="52"/>
      <c r="D1369" s="52"/>
      <c r="E1369" s="52"/>
      <c r="F1369" s="52"/>
      <c r="G1369" s="52"/>
      <c r="H1369" s="52"/>
    </row>
    <row r="1370" spans="1:8" ht="15.75">
      <c r="A1370" s="124">
        <v>41404</v>
      </c>
      <c r="B1370" s="125">
        <v>45.72</v>
      </c>
      <c r="C1370" s="52"/>
      <c r="D1370" s="52"/>
      <c r="E1370" s="52"/>
      <c r="F1370" s="52"/>
      <c r="G1370" s="52"/>
      <c r="H1370" s="52"/>
    </row>
    <row r="1371" spans="1:8" ht="15.75">
      <c r="A1371" s="124">
        <v>41407</v>
      </c>
      <c r="B1371" s="125">
        <v>46</v>
      </c>
      <c r="C1371" s="52"/>
      <c r="D1371" s="52"/>
      <c r="E1371" s="52"/>
      <c r="F1371" s="52"/>
      <c r="G1371" s="52"/>
      <c r="H1371" s="52"/>
    </row>
    <row r="1372" spans="1:8" ht="15.75">
      <c r="A1372" s="124">
        <v>41408</v>
      </c>
      <c r="B1372" s="125">
        <v>46.02</v>
      </c>
      <c r="C1372" s="52"/>
      <c r="D1372" s="52"/>
      <c r="E1372" s="52"/>
      <c r="F1372" s="52"/>
      <c r="G1372" s="52"/>
      <c r="H1372" s="52"/>
    </row>
    <row r="1373" spans="1:8" ht="15.75">
      <c r="A1373" s="124">
        <v>41409</v>
      </c>
      <c r="B1373" s="125">
        <v>46</v>
      </c>
      <c r="C1373" s="52"/>
      <c r="D1373" s="52"/>
      <c r="E1373" s="52"/>
      <c r="F1373" s="52"/>
      <c r="G1373" s="52"/>
      <c r="H1373" s="52"/>
    </row>
    <row r="1374" spans="1:8" ht="15.75">
      <c r="A1374" s="124">
        <v>41410</v>
      </c>
      <c r="B1374" s="125">
        <v>46.41</v>
      </c>
      <c r="C1374" s="52"/>
      <c r="D1374" s="52"/>
      <c r="E1374" s="52"/>
      <c r="F1374" s="52"/>
      <c r="G1374" s="52"/>
      <c r="H1374" s="52"/>
    </row>
    <row r="1375" spans="1:8" ht="15.75">
      <c r="A1375" s="124">
        <v>41411</v>
      </c>
      <c r="B1375" s="125">
        <v>46.12</v>
      </c>
      <c r="C1375" s="52"/>
      <c r="D1375" s="52"/>
      <c r="E1375" s="52"/>
      <c r="F1375" s="52"/>
      <c r="G1375" s="52"/>
      <c r="H1375" s="52"/>
    </row>
    <row r="1376" spans="1:8" ht="15.75">
      <c r="A1376" s="124">
        <v>41414</v>
      </c>
      <c r="B1376" s="125">
        <v>46.59</v>
      </c>
      <c r="C1376" s="52"/>
      <c r="D1376" s="52"/>
      <c r="E1376" s="52"/>
      <c r="F1376" s="52"/>
      <c r="G1376" s="52"/>
      <c r="H1376" s="52"/>
    </row>
    <row r="1377" spans="1:8" ht="15.75">
      <c r="A1377" s="124">
        <v>41415</v>
      </c>
      <c r="B1377" s="125">
        <v>46.51</v>
      </c>
      <c r="C1377" s="52"/>
      <c r="D1377" s="52"/>
      <c r="E1377" s="52"/>
      <c r="F1377" s="52"/>
      <c r="G1377" s="52"/>
      <c r="H1377" s="52"/>
    </row>
    <row r="1378" spans="1:8" ht="15.75">
      <c r="A1378" s="124">
        <v>41416</v>
      </c>
      <c r="B1378" s="125">
        <v>46.5</v>
      </c>
      <c r="C1378" s="52"/>
      <c r="D1378" s="52"/>
      <c r="E1378" s="52"/>
      <c r="F1378" s="52"/>
      <c r="G1378" s="52"/>
      <c r="H1378" s="52"/>
    </row>
    <row r="1379" spans="1:8" ht="15.75">
      <c r="A1379" s="124">
        <v>41417</v>
      </c>
      <c r="B1379" s="125">
        <v>46.2</v>
      </c>
      <c r="C1379" s="52"/>
      <c r="D1379" s="52"/>
      <c r="E1379" s="52"/>
      <c r="F1379" s="52"/>
      <c r="G1379" s="52"/>
      <c r="H1379" s="52"/>
    </row>
    <row r="1380" spans="1:8" ht="15.75">
      <c r="A1380" s="124">
        <v>41418</v>
      </c>
      <c r="B1380" s="125">
        <v>46.7</v>
      </c>
      <c r="C1380" s="52"/>
      <c r="D1380" s="52"/>
      <c r="E1380" s="52"/>
      <c r="F1380" s="52"/>
      <c r="G1380" s="52"/>
      <c r="H1380" s="52"/>
    </row>
    <row r="1381" spans="1:8" ht="15.75">
      <c r="A1381" s="124">
        <v>41421</v>
      </c>
      <c r="B1381" s="125">
        <v>46.45</v>
      </c>
      <c r="C1381" s="52"/>
      <c r="D1381" s="52"/>
      <c r="E1381" s="52"/>
      <c r="F1381" s="52"/>
      <c r="G1381" s="52"/>
      <c r="H1381" s="52"/>
    </row>
    <row r="1382" spans="1:8" ht="15.75">
      <c r="A1382" s="124">
        <v>41422</v>
      </c>
      <c r="B1382" s="125">
        <v>46.17</v>
      </c>
      <c r="C1382" s="52"/>
      <c r="D1382" s="52"/>
      <c r="E1382" s="52"/>
      <c r="F1382" s="52"/>
      <c r="G1382" s="52"/>
      <c r="H1382" s="52"/>
    </row>
    <row r="1383" spans="1:8" ht="15.75">
      <c r="A1383" s="124">
        <v>41423</v>
      </c>
      <c r="B1383" s="125">
        <v>46.6</v>
      </c>
      <c r="C1383" s="52"/>
      <c r="D1383" s="52"/>
      <c r="E1383" s="52"/>
      <c r="F1383" s="52"/>
      <c r="G1383" s="52"/>
      <c r="H1383" s="52"/>
    </row>
    <row r="1384" spans="1:8" ht="15.75">
      <c r="A1384" s="124">
        <v>41424</v>
      </c>
      <c r="B1384" s="125">
        <v>46.55</v>
      </c>
      <c r="C1384" s="52"/>
      <c r="D1384" s="52"/>
      <c r="E1384" s="52"/>
      <c r="F1384" s="52"/>
      <c r="G1384" s="52"/>
      <c r="H1384" s="52"/>
    </row>
    <row r="1385" spans="1:8" ht="15.75">
      <c r="A1385" s="124">
        <v>41425</v>
      </c>
      <c r="B1385" s="125">
        <v>46.85</v>
      </c>
      <c r="C1385" s="52"/>
      <c r="D1385" s="52"/>
      <c r="E1385" s="52"/>
      <c r="F1385" s="52"/>
      <c r="G1385" s="52"/>
      <c r="H1385" s="52"/>
    </row>
    <row r="1386" spans="1:8" ht="15.75">
      <c r="A1386" s="124">
        <v>41428</v>
      </c>
      <c r="B1386" s="125">
        <v>46.96</v>
      </c>
      <c r="C1386" s="52"/>
      <c r="D1386" s="52"/>
      <c r="E1386" s="52"/>
      <c r="F1386" s="52"/>
      <c r="G1386" s="52"/>
      <c r="H1386" s="52"/>
    </row>
    <row r="1387" spans="1:8" ht="15.75">
      <c r="A1387" s="124">
        <v>41429</v>
      </c>
      <c r="B1387" s="125">
        <v>46.53</v>
      </c>
      <c r="C1387" s="52"/>
      <c r="D1387" s="52"/>
      <c r="E1387" s="52"/>
      <c r="F1387" s="52"/>
      <c r="G1387" s="52"/>
      <c r="H1387" s="52"/>
    </row>
    <row r="1388" spans="1:8" ht="15.75">
      <c r="A1388" s="124">
        <v>41430</v>
      </c>
      <c r="B1388" s="125">
        <v>46.87</v>
      </c>
      <c r="C1388" s="52"/>
      <c r="D1388" s="52"/>
      <c r="E1388" s="52"/>
      <c r="F1388" s="52"/>
      <c r="G1388" s="52"/>
      <c r="H1388" s="52"/>
    </row>
    <row r="1389" spans="1:8" ht="15.75">
      <c r="A1389" s="124">
        <v>41431</v>
      </c>
      <c r="B1389" s="125">
        <v>46.89</v>
      </c>
      <c r="C1389" s="52"/>
      <c r="D1389" s="52"/>
      <c r="E1389" s="52"/>
      <c r="F1389" s="52"/>
      <c r="G1389" s="52"/>
      <c r="H1389" s="52"/>
    </row>
    <row r="1390" spans="1:8" ht="15.75">
      <c r="A1390" s="124">
        <v>41432</v>
      </c>
      <c r="B1390" s="125">
        <v>47.18</v>
      </c>
      <c r="C1390" s="52"/>
      <c r="D1390" s="52"/>
      <c r="E1390" s="52"/>
      <c r="F1390" s="52"/>
      <c r="G1390" s="52"/>
      <c r="H1390" s="52"/>
    </row>
    <row r="1391" spans="1:8" ht="15.75">
      <c r="A1391" s="124">
        <v>41435</v>
      </c>
      <c r="B1391" s="125">
        <v>46.53</v>
      </c>
      <c r="C1391" s="52"/>
      <c r="D1391" s="52"/>
      <c r="E1391" s="52"/>
      <c r="F1391" s="52"/>
      <c r="G1391" s="52"/>
      <c r="H1391" s="52"/>
    </row>
    <row r="1392" spans="1:8" ht="15.75">
      <c r="A1392" s="124">
        <v>41436</v>
      </c>
      <c r="B1392" s="125">
        <v>47</v>
      </c>
      <c r="C1392" s="52"/>
      <c r="D1392" s="52"/>
      <c r="E1392" s="52"/>
      <c r="F1392" s="52"/>
      <c r="G1392" s="52"/>
      <c r="H1392" s="52"/>
    </row>
    <row r="1393" spans="1:8" ht="15.75">
      <c r="A1393" s="124">
        <v>41437</v>
      </c>
      <c r="B1393" s="125">
        <v>46.53</v>
      </c>
      <c r="C1393" s="52"/>
      <c r="D1393" s="52"/>
      <c r="E1393" s="52"/>
      <c r="F1393" s="52"/>
      <c r="G1393" s="52"/>
      <c r="H1393" s="52"/>
    </row>
    <row r="1394" spans="1:8" ht="15.75">
      <c r="A1394" s="124">
        <v>41438</v>
      </c>
      <c r="B1394" s="125">
        <v>46.84</v>
      </c>
      <c r="C1394" s="52"/>
      <c r="D1394" s="52"/>
      <c r="E1394" s="52"/>
      <c r="F1394" s="52"/>
      <c r="G1394" s="52"/>
      <c r="H1394" s="52"/>
    </row>
    <row r="1395" spans="1:8" ht="15.75">
      <c r="A1395" s="124">
        <v>41439</v>
      </c>
      <c r="B1395" s="125">
        <v>46.6</v>
      </c>
      <c r="C1395" s="52"/>
      <c r="D1395" s="52"/>
      <c r="E1395" s="52"/>
      <c r="F1395" s="52"/>
      <c r="G1395" s="52"/>
      <c r="H1395" s="52"/>
    </row>
    <row r="1396" spans="1:8" ht="15.75">
      <c r="A1396" s="124">
        <v>41442</v>
      </c>
      <c r="B1396" s="125">
        <v>47.08</v>
      </c>
      <c r="C1396" s="52"/>
      <c r="D1396" s="52"/>
      <c r="E1396" s="52"/>
      <c r="F1396" s="52"/>
      <c r="G1396" s="52"/>
      <c r="H1396" s="52"/>
    </row>
    <row r="1397" spans="1:8" ht="15.75">
      <c r="A1397" s="124">
        <v>41443</v>
      </c>
      <c r="B1397" s="125">
        <v>46.9</v>
      </c>
      <c r="C1397" s="52"/>
      <c r="D1397" s="52"/>
      <c r="E1397" s="52"/>
      <c r="F1397" s="52"/>
      <c r="G1397" s="52"/>
      <c r="H1397" s="52"/>
    </row>
    <row r="1398" spans="1:8" ht="15.75">
      <c r="A1398" s="124">
        <v>41444</v>
      </c>
      <c r="B1398" s="125">
        <v>46.55</v>
      </c>
      <c r="C1398" s="52"/>
      <c r="D1398" s="52"/>
      <c r="E1398" s="52"/>
      <c r="F1398" s="52"/>
      <c r="G1398" s="52"/>
      <c r="H1398" s="52"/>
    </row>
    <row r="1399" spans="1:8" ht="15.75">
      <c r="A1399" s="124">
        <v>41445</v>
      </c>
      <c r="B1399" s="125">
        <v>46.75</v>
      </c>
      <c r="C1399" s="52"/>
      <c r="D1399" s="52"/>
      <c r="E1399" s="52"/>
      <c r="F1399" s="52"/>
      <c r="G1399" s="52"/>
      <c r="H1399" s="52"/>
    </row>
    <row r="1400" spans="1:8" ht="15.75">
      <c r="A1400" s="124">
        <v>41446</v>
      </c>
      <c r="B1400" s="125">
        <v>46.7</v>
      </c>
      <c r="C1400" s="52"/>
      <c r="D1400" s="52"/>
      <c r="E1400" s="52"/>
      <c r="F1400" s="52"/>
      <c r="G1400" s="52"/>
      <c r="H1400" s="52"/>
    </row>
    <row r="1401" spans="1:8" ht="15.75">
      <c r="A1401" s="124">
        <v>41449</v>
      </c>
      <c r="B1401" s="125">
        <v>46.74</v>
      </c>
      <c r="C1401" s="52"/>
      <c r="D1401" s="52"/>
      <c r="E1401" s="52"/>
      <c r="F1401" s="52"/>
      <c r="G1401" s="52"/>
      <c r="H1401" s="52"/>
    </row>
    <row r="1402" spans="1:8" ht="15.75">
      <c r="A1402" s="124">
        <v>41450</v>
      </c>
      <c r="B1402" s="125">
        <v>46.75</v>
      </c>
      <c r="C1402" s="52"/>
      <c r="D1402" s="52"/>
      <c r="E1402" s="52"/>
      <c r="F1402" s="52"/>
      <c r="G1402" s="52"/>
      <c r="H1402" s="52"/>
    </row>
    <row r="1403" spans="1:8" ht="15.75">
      <c r="A1403" s="124">
        <v>41451</v>
      </c>
      <c r="B1403" s="125">
        <v>46.89</v>
      </c>
      <c r="C1403" s="52"/>
      <c r="D1403" s="52"/>
      <c r="E1403" s="52"/>
      <c r="F1403" s="52"/>
      <c r="G1403" s="52"/>
      <c r="H1403" s="52"/>
    </row>
    <row r="1404" spans="1:8" ht="15.75">
      <c r="A1404" s="124">
        <v>41452</v>
      </c>
      <c r="B1404" s="125">
        <v>46.5</v>
      </c>
      <c r="C1404" s="52"/>
      <c r="D1404" s="52"/>
      <c r="E1404" s="52"/>
      <c r="F1404" s="52"/>
      <c r="G1404" s="52"/>
      <c r="H1404" s="52"/>
    </row>
    <row r="1405" spans="1:8" ht="15.75">
      <c r="A1405" s="124">
        <v>41453</v>
      </c>
      <c r="B1405" s="125">
        <v>46.64</v>
      </c>
      <c r="C1405" s="52"/>
      <c r="D1405" s="52"/>
      <c r="E1405" s="52"/>
      <c r="F1405" s="52"/>
      <c r="G1405" s="52"/>
      <c r="H1405" s="52"/>
    </row>
    <row r="1406" spans="1:8" ht="15.75">
      <c r="A1406" s="124">
        <v>41456</v>
      </c>
      <c r="B1406" s="125">
        <v>47.5</v>
      </c>
      <c r="C1406" s="52"/>
      <c r="D1406" s="52"/>
      <c r="E1406" s="52"/>
      <c r="F1406" s="52"/>
      <c r="G1406" s="52"/>
      <c r="H1406" s="52"/>
    </row>
    <row r="1407" spans="1:8" ht="15.75">
      <c r="A1407" s="124">
        <v>41457</v>
      </c>
      <c r="B1407" s="125">
        <v>47</v>
      </c>
      <c r="C1407" s="52"/>
      <c r="D1407" s="52"/>
      <c r="E1407" s="52"/>
      <c r="F1407" s="52"/>
      <c r="G1407" s="52"/>
      <c r="H1407" s="52"/>
    </row>
    <row r="1408" spans="1:8" ht="15.75">
      <c r="A1408" s="124">
        <v>41458</v>
      </c>
      <c r="B1408" s="125">
        <v>46.8</v>
      </c>
      <c r="C1408" s="52"/>
      <c r="D1408" s="52"/>
      <c r="E1408" s="52"/>
      <c r="F1408" s="52"/>
      <c r="G1408" s="52"/>
      <c r="H1408" s="52"/>
    </row>
    <row r="1409" spans="1:8" ht="15.75">
      <c r="A1409" s="124">
        <v>41459</v>
      </c>
      <c r="B1409" s="125">
        <v>46.73</v>
      </c>
      <c r="C1409" s="52"/>
      <c r="D1409" s="52"/>
      <c r="E1409" s="52"/>
      <c r="F1409" s="52"/>
      <c r="G1409" s="52"/>
      <c r="H1409" s="52"/>
    </row>
    <row r="1410" spans="1:8" ht="15.75">
      <c r="A1410" s="124">
        <v>41460</v>
      </c>
      <c r="B1410" s="125">
        <v>46.82</v>
      </c>
      <c r="C1410" s="52"/>
      <c r="D1410" s="52"/>
      <c r="E1410" s="52"/>
      <c r="F1410" s="52"/>
      <c r="G1410" s="52"/>
      <c r="H1410" s="52"/>
    </row>
    <row r="1411" spans="1:8" ht="15.75">
      <c r="A1411" s="124">
        <v>41463</v>
      </c>
      <c r="B1411" s="125">
        <v>46.86</v>
      </c>
      <c r="C1411" s="52"/>
      <c r="D1411" s="52"/>
      <c r="E1411" s="52"/>
      <c r="F1411" s="52"/>
      <c r="G1411" s="52"/>
      <c r="H1411" s="52"/>
    </row>
    <row r="1412" spans="1:8" ht="15.75">
      <c r="A1412" s="124">
        <v>41464</v>
      </c>
      <c r="B1412" s="125">
        <v>46.63</v>
      </c>
      <c r="C1412" s="52"/>
      <c r="D1412" s="52"/>
      <c r="E1412" s="52"/>
      <c r="F1412" s="52"/>
      <c r="G1412" s="52"/>
      <c r="H1412" s="52"/>
    </row>
    <row r="1413" spans="1:8" ht="15.75">
      <c r="A1413" s="124">
        <v>41465</v>
      </c>
      <c r="B1413" s="125">
        <v>46.99</v>
      </c>
      <c r="C1413" s="52"/>
      <c r="D1413" s="52"/>
      <c r="E1413" s="52"/>
      <c r="F1413" s="52"/>
      <c r="G1413" s="52"/>
      <c r="H1413" s="52"/>
    </row>
    <row r="1414" spans="1:8" ht="15.75">
      <c r="A1414" s="124">
        <v>41466</v>
      </c>
      <c r="B1414" s="125">
        <v>47.2</v>
      </c>
      <c r="C1414" s="52"/>
      <c r="D1414" s="52"/>
      <c r="E1414" s="52"/>
      <c r="F1414" s="52"/>
      <c r="G1414" s="52"/>
      <c r="H1414" s="52"/>
    </row>
    <row r="1415" spans="1:8" ht="15.75">
      <c r="A1415" s="124">
        <v>41467</v>
      </c>
      <c r="B1415" s="125">
        <v>46.9</v>
      </c>
      <c r="C1415" s="52"/>
      <c r="D1415" s="52"/>
      <c r="E1415" s="52"/>
      <c r="F1415" s="52"/>
      <c r="G1415" s="52"/>
      <c r="H1415" s="52"/>
    </row>
    <row r="1416" spans="1:8" ht="15.75">
      <c r="A1416" s="124">
        <v>41470</v>
      </c>
      <c r="B1416" s="125">
        <v>46.7</v>
      </c>
      <c r="C1416" s="52"/>
      <c r="D1416" s="52"/>
      <c r="E1416" s="52"/>
      <c r="F1416" s="52"/>
      <c r="G1416" s="52"/>
      <c r="H1416" s="52"/>
    </row>
    <row r="1417" spans="1:8" ht="15.75">
      <c r="A1417" s="124">
        <v>41471</v>
      </c>
      <c r="B1417" s="125">
        <v>47.5</v>
      </c>
      <c r="C1417" s="52"/>
      <c r="D1417" s="52"/>
      <c r="E1417" s="52"/>
      <c r="F1417" s="52"/>
      <c r="G1417" s="52"/>
      <c r="H1417" s="52"/>
    </row>
    <row r="1418" spans="1:8" ht="15.75">
      <c r="A1418" s="124">
        <v>41472</v>
      </c>
      <c r="B1418" s="125">
        <v>46.6</v>
      </c>
      <c r="C1418" s="52"/>
      <c r="D1418" s="52"/>
      <c r="E1418" s="52"/>
      <c r="F1418" s="52"/>
      <c r="G1418" s="52"/>
      <c r="H1418" s="52"/>
    </row>
    <row r="1419" spans="1:8" ht="15.75">
      <c r="A1419" s="124">
        <v>41473</v>
      </c>
      <c r="B1419" s="125">
        <v>46.98</v>
      </c>
      <c r="C1419" s="52"/>
      <c r="D1419" s="52"/>
      <c r="E1419" s="52"/>
      <c r="F1419" s="52"/>
      <c r="G1419" s="52"/>
      <c r="H1419" s="52"/>
    </row>
    <row r="1420" spans="1:8" ht="15.75">
      <c r="A1420" s="124">
        <v>41474</v>
      </c>
      <c r="B1420" s="125">
        <v>47</v>
      </c>
      <c r="C1420" s="52"/>
      <c r="D1420" s="52"/>
      <c r="E1420" s="52"/>
      <c r="F1420" s="52"/>
      <c r="G1420" s="52"/>
      <c r="H1420" s="52"/>
    </row>
    <row r="1421" spans="1:8" ht="15.75">
      <c r="A1421" s="124">
        <v>41477</v>
      </c>
      <c r="B1421" s="125">
        <v>46.52</v>
      </c>
      <c r="C1421" s="52"/>
      <c r="D1421" s="52"/>
      <c r="E1421" s="52"/>
      <c r="F1421" s="52"/>
      <c r="G1421" s="52"/>
      <c r="H1421" s="52"/>
    </row>
    <row r="1422" spans="1:8" ht="15.75">
      <c r="A1422" s="124">
        <v>41478</v>
      </c>
      <c r="B1422" s="125">
        <v>46.55</v>
      </c>
      <c r="C1422" s="52"/>
      <c r="D1422" s="52"/>
      <c r="E1422" s="52"/>
      <c r="F1422" s="52"/>
      <c r="G1422" s="52"/>
      <c r="H1422" s="52"/>
    </row>
    <row r="1423" spans="1:8" ht="15.75">
      <c r="A1423" s="124">
        <v>41479</v>
      </c>
      <c r="B1423" s="125">
        <v>46.53</v>
      </c>
      <c r="C1423" s="52"/>
      <c r="D1423" s="52"/>
      <c r="E1423" s="52"/>
      <c r="F1423" s="52"/>
      <c r="G1423" s="52"/>
      <c r="H1423" s="52"/>
    </row>
    <row r="1424" spans="1:8" ht="15.75">
      <c r="A1424" s="124">
        <v>41480</v>
      </c>
      <c r="B1424" s="125">
        <v>46.53</v>
      </c>
      <c r="C1424" s="52"/>
      <c r="D1424" s="52"/>
      <c r="E1424" s="52"/>
      <c r="F1424" s="52"/>
      <c r="G1424" s="52"/>
      <c r="H1424" s="52"/>
    </row>
    <row r="1425" spans="1:8" ht="15.75">
      <c r="A1425" s="124">
        <v>41481</v>
      </c>
      <c r="B1425" s="125">
        <v>46.5</v>
      </c>
      <c r="C1425" s="52"/>
      <c r="D1425" s="52"/>
      <c r="E1425" s="52"/>
      <c r="F1425" s="52"/>
      <c r="G1425" s="52"/>
      <c r="H1425" s="52"/>
    </row>
    <row r="1426" spans="1:8" ht="15.75">
      <c r="A1426" s="124">
        <v>41484</v>
      </c>
      <c r="B1426" s="125">
        <v>46.61</v>
      </c>
      <c r="C1426" s="52"/>
      <c r="D1426" s="52"/>
      <c r="E1426" s="52"/>
      <c r="F1426" s="52"/>
      <c r="G1426" s="52"/>
      <c r="H1426" s="52"/>
    </row>
    <row r="1427" spans="1:8" ht="15.75">
      <c r="A1427" s="124">
        <v>41485</v>
      </c>
      <c r="B1427" s="125">
        <v>46.51</v>
      </c>
      <c r="C1427" s="52"/>
      <c r="D1427" s="52"/>
      <c r="E1427" s="52"/>
      <c r="F1427" s="52"/>
      <c r="G1427" s="52"/>
      <c r="H1427" s="52"/>
    </row>
    <row r="1428" spans="1:8" ht="15.75">
      <c r="A1428" s="124">
        <v>41486</v>
      </c>
      <c r="B1428" s="125">
        <v>46.31</v>
      </c>
      <c r="C1428" s="52"/>
      <c r="D1428" s="52"/>
      <c r="E1428" s="52"/>
      <c r="F1428" s="52"/>
      <c r="G1428" s="52"/>
      <c r="H1428" s="52"/>
    </row>
    <row r="1429" spans="1:8" ht="15.75">
      <c r="A1429" s="124">
        <v>41487</v>
      </c>
      <c r="B1429" s="125">
        <v>46.05</v>
      </c>
      <c r="C1429" s="52"/>
      <c r="D1429" s="52"/>
      <c r="E1429" s="52"/>
      <c r="F1429" s="52"/>
      <c r="G1429" s="52"/>
      <c r="H1429" s="52"/>
    </row>
    <row r="1430" spans="1:8" ht="15.75">
      <c r="A1430" s="124">
        <v>41488</v>
      </c>
      <c r="B1430" s="125">
        <v>46.08</v>
      </c>
      <c r="C1430" s="52"/>
      <c r="D1430" s="52"/>
      <c r="E1430" s="52"/>
      <c r="F1430" s="52"/>
      <c r="G1430" s="52"/>
      <c r="H1430" s="52"/>
    </row>
    <row r="1431" spans="1:8" ht="15.75">
      <c r="A1431" s="124">
        <v>41491</v>
      </c>
      <c r="B1431" s="125">
        <v>45.85</v>
      </c>
      <c r="C1431" s="52"/>
      <c r="D1431" s="52"/>
      <c r="E1431" s="52"/>
      <c r="F1431" s="52"/>
      <c r="G1431" s="52"/>
      <c r="H1431" s="52"/>
    </row>
    <row r="1432" spans="1:8" ht="15.75">
      <c r="A1432" s="124">
        <v>41492</v>
      </c>
      <c r="B1432" s="125">
        <v>46.37</v>
      </c>
      <c r="C1432" s="52"/>
      <c r="D1432" s="52"/>
      <c r="E1432" s="52"/>
      <c r="F1432" s="52"/>
      <c r="G1432" s="52"/>
      <c r="H1432" s="52"/>
    </row>
    <row r="1433" spans="1:8" ht="15.75">
      <c r="A1433" s="124">
        <v>41493</v>
      </c>
      <c r="B1433" s="125">
        <v>45.5</v>
      </c>
      <c r="C1433" s="52"/>
      <c r="D1433" s="52"/>
      <c r="E1433" s="52"/>
      <c r="F1433" s="52"/>
      <c r="G1433" s="52"/>
      <c r="H1433" s="52"/>
    </row>
    <row r="1434" spans="1:8" ht="15.75">
      <c r="A1434" s="124">
        <v>41494</v>
      </c>
      <c r="B1434" s="125">
        <v>43.11</v>
      </c>
      <c r="C1434" s="52"/>
      <c r="D1434" s="52"/>
      <c r="E1434" s="52"/>
      <c r="F1434" s="52"/>
      <c r="G1434" s="52"/>
      <c r="H1434" s="52"/>
    </row>
    <row r="1435" spans="1:8" ht="15.75">
      <c r="A1435" s="124">
        <v>41495</v>
      </c>
      <c r="B1435" s="125">
        <v>42.89</v>
      </c>
      <c r="C1435" s="52"/>
      <c r="D1435" s="52"/>
      <c r="E1435" s="52"/>
      <c r="F1435" s="52"/>
      <c r="G1435" s="52"/>
      <c r="H1435" s="52"/>
    </row>
    <row r="1436" spans="1:8" ht="15.75">
      <c r="A1436" s="124">
        <v>41498</v>
      </c>
      <c r="B1436" s="125">
        <v>44.29</v>
      </c>
      <c r="C1436" s="52"/>
      <c r="D1436" s="52"/>
      <c r="E1436" s="52"/>
      <c r="F1436" s="52"/>
      <c r="G1436" s="52"/>
      <c r="H1436" s="52"/>
    </row>
    <row r="1437" spans="1:8" ht="15.75">
      <c r="A1437" s="124">
        <v>41499</v>
      </c>
      <c r="B1437" s="125">
        <v>43.5</v>
      </c>
      <c r="C1437" s="52"/>
      <c r="D1437" s="52"/>
      <c r="E1437" s="52"/>
      <c r="F1437" s="52"/>
      <c r="G1437" s="52"/>
      <c r="H1437" s="52"/>
    </row>
    <row r="1438" spans="1:8" ht="15.75">
      <c r="A1438" s="124">
        <v>41500</v>
      </c>
      <c r="B1438" s="125">
        <v>44.39</v>
      </c>
      <c r="C1438" s="52"/>
      <c r="D1438" s="52"/>
      <c r="E1438" s="52"/>
      <c r="F1438" s="52"/>
      <c r="G1438" s="52"/>
      <c r="H1438" s="52"/>
    </row>
    <row r="1439" spans="1:8" ht="15.75">
      <c r="A1439" s="124">
        <v>41501</v>
      </c>
      <c r="B1439" s="125">
        <v>44.4</v>
      </c>
      <c r="C1439" s="52"/>
      <c r="D1439" s="52"/>
      <c r="E1439" s="52"/>
      <c r="F1439" s="52"/>
      <c r="G1439" s="52"/>
      <c r="H1439" s="52"/>
    </row>
    <row r="1440" spans="1:8" ht="15.75">
      <c r="A1440" s="124">
        <v>41502</v>
      </c>
      <c r="B1440" s="125">
        <v>44.26</v>
      </c>
      <c r="C1440" s="52"/>
      <c r="D1440" s="52"/>
      <c r="E1440" s="52"/>
      <c r="F1440" s="52"/>
      <c r="G1440" s="52"/>
      <c r="H1440" s="52"/>
    </row>
    <row r="1441" spans="1:8" ht="15.75">
      <c r="A1441" s="124">
        <v>41505</v>
      </c>
      <c r="B1441" s="125">
        <v>44.55</v>
      </c>
      <c r="C1441" s="52"/>
      <c r="D1441" s="52"/>
      <c r="E1441" s="52"/>
      <c r="F1441" s="52"/>
      <c r="G1441" s="52"/>
      <c r="H1441" s="52"/>
    </row>
    <row r="1442" spans="1:8" ht="15.75">
      <c r="A1442" s="124">
        <v>41506</v>
      </c>
      <c r="B1442" s="125">
        <v>43.78</v>
      </c>
      <c r="C1442" s="52"/>
      <c r="D1442" s="52"/>
      <c r="E1442" s="52"/>
      <c r="F1442" s="52"/>
      <c r="G1442" s="52"/>
      <c r="H1442" s="52"/>
    </row>
    <row r="1443" spans="1:8" ht="15.75">
      <c r="A1443" s="124">
        <v>41507</v>
      </c>
      <c r="B1443" s="125">
        <v>44.02</v>
      </c>
      <c r="C1443" s="52"/>
      <c r="D1443" s="52"/>
      <c r="E1443" s="52"/>
      <c r="F1443" s="52"/>
      <c r="G1443" s="52"/>
      <c r="H1443" s="52"/>
    </row>
    <row r="1444" spans="1:8" ht="15.75">
      <c r="A1444" s="124">
        <v>41508</v>
      </c>
      <c r="B1444" s="125">
        <v>44.26</v>
      </c>
      <c r="C1444" s="52"/>
      <c r="D1444" s="52"/>
      <c r="E1444" s="52"/>
      <c r="F1444" s="52"/>
      <c r="G1444" s="52"/>
      <c r="H1444" s="52"/>
    </row>
    <row r="1445" spans="1:8" ht="15.75">
      <c r="A1445" s="124">
        <v>41509</v>
      </c>
      <c r="B1445" s="125">
        <v>44.5</v>
      </c>
      <c r="C1445" s="52"/>
      <c r="D1445" s="52"/>
      <c r="E1445" s="52"/>
      <c r="F1445" s="52"/>
      <c r="G1445" s="52"/>
      <c r="H1445" s="52"/>
    </row>
    <row r="1446" spans="1:8" ht="15.75">
      <c r="A1446" s="124">
        <v>41512</v>
      </c>
      <c r="B1446" s="125">
        <v>45.21</v>
      </c>
      <c r="C1446" s="52"/>
      <c r="D1446" s="52"/>
      <c r="E1446" s="52"/>
      <c r="F1446" s="52"/>
      <c r="G1446" s="52"/>
      <c r="H1446" s="52"/>
    </row>
    <row r="1447" spans="1:8" ht="15.75">
      <c r="A1447" s="124">
        <v>41513</v>
      </c>
      <c r="B1447" s="125">
        <v>45.9</v>
      </c>
      <c r="C1447" s="52"/>
      <c r="D1447" s="52"/>
      <c r="E1447" s="52"/>
      <c r="F1447" s="52"/>
      <c r="G1447" s="52"/>
      <c r="H1447" s="52"/>
    </row>
    <row r="1448" spans="1:8" ht="15.75">
      <c r="A1448" s="124">
        <v>41514</v>
      </c>
      <c r="B1448" s="125">
        <v>46.2</v>
      </c>
      <c r="C1448" s="52"/>
      <c r="D1448" s="52"/>
      <c r="E1448" s="52"/>
      <c r="F1448" s="52"/>
      <c r="G1448" s="52"/>
      <c r="H1448" s="52"/>
    </row>
    <row r="1449" spans="1:8" ht="15.75">
      <c r="A1449" s="124">
        <v>41515</v>
      </c>
      <c r="B1449" s="125">
        <v>45.5</v>
      </c>
      <c r="C1449" s="52"/>
      <c r="D1449" s="52"/>
      <c r="E1449" s="52"/>
      <c r="F1449" s="52"/>
      <c r="G1449" s="52"/>
      <c r="H1449" s="52"/>
    </row>
    <row r="1450" spans="1:8" ht="15.75">
      <c r="A1450" s="124">
        <v>41516</v>
      </c>
      <c r="B1450" s="125">
        <v>46.21</v>
      </c>
      <c r="C1450" s="52"/>
      <c r="D1450" s="52"/>
      <c r="E1450" s="52"/>
      <c r="F1450" s="52"/>
      <c r="G1450" s="52"/>
      <c r="H1450" s="52"/>
    </row>
    <row r="1451" spans="1:8" ht="15.75">
      <c r="A1451" s="124">
        <v>41519</v>
      </c>
      <c r="B1451" s="125">
        <v>46.21</v>
      </c>
      <c r="C1451" s="52"/>
      <c r="D1451" s="52"/>
      <c r="E1451" s="52"/>
      <c r="F1451" s="52"/>
      <c r="G1451" s="52"/>
      <c r="H1451" s="52"/>
    </row>
    <row r="1452" spans="1:8" ht="15.75">
      <c r="A1452" s="124">
        <v>41520</v>
      </c>
      <c r="B1452" s="125">
        <v>46.3</v>
      </c>
      <c r="C1452" s="52"/>
      <c r="D1452" s="52"/>
      <c r="E1452" s="52"/>
      <c r="F1452" s="52"/>
      <c r="G1452" s="52"/>
      <c r="H1452" s="52"/>
    </row>
    <row r="1453" spans="1:8" ht="15.75">
      <c r="A1453" s="124">
        <v>41521</v>
      </c>
      <c r="B1453" s="125">
        <v>46.3</v>
      </c>
      <c r="C1453" s="52"/>
      <c r="D1453" s="52"/>
      <c r="E1453" s="52"/>
      <c r="F1453" s="52"/>
      <c r="G1453" s="52"/>
      <c r="H1453" s="52"/>
    </row>
    <row r="1454" spans="1:8" ht="15.75">
      <c r="A1454" s="124">
        <v>41522</v>
      </c>
      <c r="B1454" s="125">
        <v>46.31</v>
      </c>
      <c r="C1454" s="52"/>
      <c r="D1454" s="52"/>
      <c r="E1454" s="52"/>
      <c r="F1454" s="52"/>
      <c r="G1454" s="52"/>
      <c r="H1454" s="52"/>
    </row>
    <row r="1455" spans="1:8" ht="15.75">
      <c r="A1455" s="124">
        <v>41523</v>
      </c>
      <c r="B1455" s="125">
        <v>46.32</v>
      </c>
      <c r="C1455" s="52"/>
      <c r="D1455" s="52"/>
      <c r="E1455" s="52"/>
      <c r="F1455" s="52"/>
      <c r="G1455" s="52"/>
      <c r="H1455" s="52"/>
    </row>
    <row r="1456" spans="1:8" ht="15.75">
      <c r="A1456" s="124">
        <v>41526</v>
      </c>
      <c r="B1456" s="125">
        <v>46</v>
      </c>
      <c r="C1456" s="52"/>
      <c r="D1456" s="52"/>
      <c r="E1456" s="52"/>
      <c r="F1456" s="52"/>
      <c r="G1456" s="52"/>
      <c r="H1456" s="52"/>
    </row>
    <row r="1457" spans="1:8" ht="15.75">
      <c r="A1457" s="124">
        <v>41527</v>
      </c>
      <c r="B1457" s="125">
        <v>45.58</v>
      </c>
      <c r="C1457" s="52"/>
      <c r="D1457" s="52"/>
      <c r="E1457" s="52"/>
      <c r="F1457" s="52"/>
      <c r="G1457" s="52"/>
      <c r="H1457" s="52"/>
    </row>
    <row r="1458" spans="1:8" ht="15.75">
      <c r="A1458" s="124">
        <v>41528</v>
      </c>
      <c r="B1458" s="125">
        <v>45.75</v>
      </c>
      <c r="C1458" s="52"/>
      <c r="D1458" s="52"/>
      <c r="E1458" s="52"/>
      <c r="F1458" s="52"/>
      <c r="G1458" s="52"/>
      <c r="H1458" s="52"/>
    </row>
    <row r="1459" spans="1:8" ht="15.75">
      <c r="A1459" s="124">
        <v>41529</v>
      </c>
      <c r="B1459" s="125">
        <v>46.3</v>
      </c>
      <c r="C1459" s="52"/>
      <c r="D1459" s="52"/>
      <c r="E1459" s="52"/>
      <c r="F1459" s="52"/>
      <c r="G1459" s="52"/>
      <c r="H1459" s="52"/>
    </row>
    <row r="1460" spans="1:8" ht="15.75">
      <c r="A1460" s="124">
        <v>41530</v>
      </c>
      <c r="B1460" s="125">
        <v>46.35</v>
      </c>
      <c r="C1460" s="52"/>
      <c r="D1460" s="52"/>
      <c r="E1460" s="52"/>
      <c r="F1460" s="52"/>
      <c r="G1460" s="52"/>
      <c r="H1460" s="52"/>
    </row>
    <row r="1461" spans="1:8" ht="15.75">
      <c r="A1461" s="124">
        <v>41533</v>
      </c>
      <c r="B1461" s="125">
        <v>46.01</v>
      </c>
      <c r="C1461" s="52"/>
      <c r="D1461" s="52"/>
      <c r="E1461" s="52"/>
      <c r="F1461" s="52"/>
      <c r="G1461" s="52"/>
      <c r="H1461" s="52"/>
    </row>
    <row r="1462" spans="1:8" ht="15.75">
      <c r="A1462" s="124">
        <v>41534</v>
      </c>
      <c r="B1462" s="125">
        <v>46.15</v>
      </c>
      <c r="C1462" s="52"/>
      <c r="D1462" s="52"/>
      <c r="E1462" s="52"/>
      <c r="F1462" s="52"/>
      <c r="G1462" s="52"/>
      <c r="H1462" s="52"/>
    </row>
    <row r="1463" spans="1:8" ht="15.75">
      <c r="A1463" s="124">
        <v>41535</v>
      </c>
      <c r="B1463" s="125">
        <v>46.01</v>
      </c>
      <c r="C1463" s="52"/>
      <c r="D1463" s="52"/>
      <c r="E1463" s="52"/>
      <c r="F1463" s="52"/>
      <c r="G1463" s="52"/>
      <c r="H1463" s="52"/>
    </row>
    <row r="1464" spans="1:8" ht="15.75">
      <c r="A1464" s="124">
        <v>41536</v>
      </c>
      <c r="B1464" s="125">
        <v>45.6</v>
      </c>
      <c r="C1464" s="52"/>
      <c r="D1464" s="52"/>
      <c r="E1464" s="52"/>
      <c r="F1464" s="52"/>
      <c r="G1464" s="52"/>
      <c r="H1464" s="52"/>
    </row>
    <row r="1465" spans="1:8" ht="15.75">
      <c r="A1465" s="124">
        <v>41537</v>
      </c>
      <c r="B1465" s="125">
        <v>45.8</v>
      </c>
      <c r="C1465" s="52"/>
      <c r="D1465" s="52"/>
      <c r="E1465" s="52"/>
      <c r="F1465" s="52"/>
      <c r="G1465" s="52"/>
      <c r="H1465" s="52"/>
    </row>
    <row r="1466" spans="1:8" ht="15.75">
      <c r="A1466" s="124">
        <v>41540</v>
      </c>
      <c r="B1466" s="125">
        <v>45.67</v>
      </c>
      <c r="C1466" s="52"/>
      <c r="D1466" s="52"/>
      <c r="E1466" s="52"/>
      <c r="F1466" s="52"/>
      <c r="G1466" s="52"/>
      <c r="H1466" s="52"/>
    </row>
    <row r="1467" spans="1:8" ht="15.75">
      <c r="A1467" s="124">
        <v>41541</v>
      </c>
      <c r="B1467" s="125">
        <v>45.6</v>
      </c>
      <c r="C1467" s="52"/>
      <c r="D1467" s="52"/>
      <c r="E1467" s="52"/>
      <c r="F1467" s="52"/>
      <c r="G1467" s="52"/>
      <c r="H1467" s="52"/>
    </row>
    <row r="1468" spans="1:8" ht="15.75">
      <c r="A1468" s="124">
        <v>41542</v>
      </c>
      <c r="B1468" s="125">
        <v>45.99</v>
      </c>
      <c r="C1468" s="52"/>
      <c r="D1468" s="52"/>
      <c r="E1468" s="52"/>
      <c r="F1468" s="52"/>
      <c r="G1468" s="52"/>
      <c r="H1468" s="52"/>
    </row>
    <row r="1469" spans="1:8" ht="15.75">
      <c r="A1469" s="124">
        <v>41543</v>
      </c>
      <c r="B1469" s="125">
        <v>45.25</v>
      </c>
      <c r="C1469" s="52"/>
      <c r="D1469" s="52"/>
      <c r="E1469" s="52"/>
      <c r="F1469" s="52"/>
      <c r="G1469" s="52"/>
      <c r="H1469" s="52"/>
    </row>
    <row r="1470" spans="1:8" ht="15.75">
      <c r="A1470" s="124">
        <v>41544</v>
      </c>
      <c r="B1470" s="125">
        <v>45.5</v>
      </c>
      <c r="C1470" s="52"/>
      <c r="D1470" s="52"/>
      <c r="E1470" s="52"/>
      <c r="F1470" s="52"/>
      <c r="G1470" s="52"/>
      <c r="H1470" s="52"/>
    </row>
    <row r="1471" spans="1:8" ht="15.75">
      <c r="A1471" s="124">
        <v>41547</v>
      </c>
      <c r="B1471" s="125">
        <v>45.25</v>
      </c>
      <c r="C1471" s="52"/>
      <c r="D1471" s="52"/>
      <c r="E1471" s="52"/>
      <c r="F1471" s="52"/>
      <c r="G1471" s="52"/>
      <c r="H1471" s="52"/>
    </row>
    <row r="1472" spans="1:8" ht="15.75">
      <c r="A1472" s="124">
        <v>41548</v>
      </c>
      <c r="B1472" s="125">
        <v>45.51</v>
      </c>
      <c r="C1472" s="52"/>
      <c r="D1472" s="52"/>
      <c r="E1472" s="52"/>
      <c r="F1472" s="52"/>
      <c r="G1472" s="52"/>
      <c r="H1472" s="52"/>
    </row>
    <row r="1473" spans="1:8" ht="15.75">
      <c r="A1473" s="124">
        <v>41549</v>
      </c>
      <c r="B1473" s="125">
        <v>45.57</v>
      </c>
      <c r="C1473" s="52"/>
      <c r="D1473" s="52"/>
      <c r="E1473" s="52"/>
      <c r="F1473" s="52"/>
      <c r="G1473" s="52"/>
      <c r="H1473" s="52"/>
    </row>
    <row r="1474" spans="1:8" ht="15.75">
      <c r="A1474" s="124">
        <v>41550</v>
      </c>
      <c r="B1474" s="125">
        <v>45.5</v>
      </c>
      <c r="C1474" s="52"/>
      <c r="D1474" s="52"/>
      <c r="E1474" s="52"/>
      <c r="F1474" s="52"/>
      <c r="G1474" s="52"/>
      <c r="H1474" s="52"/>
    </row>
    <row r="1475" spans="1:8" ht="15.75">
      <c r="A1475" s="124">
        <v>41551</v>
      </c>
      <c r="B1475" s="125">
        <v>45.63</v>
      </c>
      <c r="C1475" s="52"/>
      <c r="D1475" s="52"/>
      <c r="E1475" s="52"/>
      <c r="F1475" s="52"/>
      <c r="G1475" s="52"/>
      <c r="H1475" s="52"/>
    </row>
    <row r="1476" spans="1:8" ht="15.75">
      <c r="A1476" s="124">
        <v>41554</v>
      </c>
      <c r="B1476" s="125">
        <v>45.2</v>
      </c>
      <c r="C1476" s="52"/>
      <c r="D1476" s="52"/>
      <c r="E1476" s="52"/>
      <c r="F1476" s="52"/>
      <c r="G1476" s="52"/>
      <c r="H1476" s="52"/>
    </row>
    <row r="1477" spans="1:8" ht="15.75">
      <c r="A1477" s="124">
        <v>41555</v>
      </c>
      <c r="B1477" s="125">
        <v>45.35</v>
      </c>
      <c r="C1477" s="52"/>
      <c r="D1477" s="52"/>
      <c r="E1477" s="52"/>
      <c r="F1477" s="52"/>
      <c r="G1477" s="52"/>
      <c r="H1477" s="52"/>
    </row>
    <row r="1478" spans="1:8" ht="15.75">
      <c r="A1478" s="124">
        <v>41556</v>
      </c>
      <c r="B1478" s="125">
        <v>45.85</v>
      </c>
      <c r="C1478" s="52"/>
      <c r="D1478" s="52"/>
      <c r="E1478" s="52"/>
      <c r="F1478" s="52"/>
      <c r="G1478" s="52"/>
      <c r="H1478" s="52"/>
    </row>
    <row r="1479" spans="1:8" ht="15.75">
      <c r="A1479" s="124">
        <v>41557</v>
      </c>
      <c r="B1479" s="125">
        <v>45.55</v>
      </c>
      <c r="C1479" s="52"/>
      <c r="D1479" s="52"/>
      <c r="E1479" s="52"/>
      <c r="F1479" s="52"/>
      <c r="G1479" s="52"/>
      <c r="H1479" s="52"/>
    </row>
    <row r="1480" spans="1:8" ht="15.75">
      <c r="A1480" s="124">
        <v>41558</v>
      </c>
      <c r="B1480" s="125">
        <v>45.57</v>
      </c>
      <c r="C1480" s="52"/>
      <c r="D1480" s="52"/>
      <c r="E1480" s="52"/>
      <c r="F1480" s="52"/>
      <c r="G1480" s="52"/>
      <c r="H1480" s="52"/>
    </row>
    <row r="1481" spans="1:8" ht="15.75">
      <c r="A1481" s="124">
        <v>41561</v>
      </c>
      <c r="B1481" s="125">
        <v>45.78</v>
      </c>
      <c r="C1481" s="52"/>
      <c r="D1481" s="52"/>
      <c r="E1481" s="52"/>
      <c r="F1481" s="52"/>
      <c r="G1481" s="52"/>
      <c r="H1481" s="52"/>
    </row>
    <row r="1482" spans="1:8" ht="15.75">
      <c r="A1482" s="124">
        <v>41562</v>
      </c>
      <c r="B1482" s="125">
        <v>45.99</v>
      </c>
      <c r="C1482" s="52"/>
      <c r="D1482" s="52"/>
      <c r="E1482" s="52"/>
      <c r="F1482" s="52"/>
      <c r="G1482" s="52"/>
      <c r="H1482" s="52"/>
    </row>
    <row r="1483" spans="1:8" ht="15.75">
      <c r="A1483" s="124">
        <v>41563</v>
      </c>
      <c r="B1483" s="125">
        <v>45.31</v>
      </c>
      <c r="C1483" s="52"/>
      <c r="D1483" s="52"/>
      <c r="E1483" s="52"/>
      <c r="F1483" s="52"/>
      <c r="G1483" s="52"/>
      <c r="H1483" s="52"/>
    </row>
    <row r="1484" spans="1:8" ht="15.75">
      <c r="A1484" s="124">
        <v>41564</v>
      </c>
      <c r="B1484" s="125">
        <v>46.03</v>
      </c>
      <c r="C1484" s="52"/>
      <c r="D1484" s="52"/>
      <c r="E1484" s="52"/>
      <c r="F1484" s="52"/>
      <c r="G1484" s="52"/>
      <c r="H1484" s="52"/>
    </row>
    <row r="1485" spans="1:8" ht="15.75">
      <c r="A1485" s="124">
        <v>41565</v>
      </c>
      <c r="B1485" s="125">
        <v>45.21</v>
      </c>
      <c r="C1485" s="52"/>
      <c r="D1485" s="52"/>
      <c r="E1485" s="52"/>
      <c r="F1485" s="52"/>
      <c r="G1485" s="52"/>
      <c r="H1485" s="52"/>
    </row>
    <row r="1486" spans="1:8" ht="15.75">
      <c r="A1486" s="124">
        <v>41568</v>
      </c>
      <c r="B1486" s="125">
        <v>45.22</v>
      </c>
      <c r="C1486" s="52"/>
      <c r="D1486" s="52"/>
      <c r="E1486" s="52"/>
      <c r="F1486" s="52"/>
      <c r="G1486" s="52"/>
      <c r="H1486" s="52"/>
    </row>
    <row r="1487" spans="1:8" ht="15.75">
      <c r="A1487" s="124">
        <v>41569</v>
      </c>
      <c r="B1487" s="125">
        <v>45.59</v>
      </c>
      <c r="C1487" s="52"/>
      <c r="D1487" s="52"/>
      <c r="E1487" s="52"/>
      <c r="F1487" s="52"/>
      <c r="G1487" s="52"/>
      <c r="H1487" s="52"/>
    </row>
    <row r="1488" spans="1:8" ht="15.75">
      <c r="A1488" s="124">
        <v>41570</v>
      </c>
      <c r="B1488" s="125">
        <v>45.6</v>
      </c>
      <c r="C1488" s="52"/>
      <c r="D1488" s="52"/>
      <c r="E1488" s="52"/>
      <c r="F1488" s="52"/>
      <c r="G1488" s="52"/>
      <c r="H1488" s="52"/>
    </row>
    <row r="1489" spans="1:8" ht="15.75">
      <c r="A1489" s="124">
        <v>41571</v>
      </c>
      <c r="B1489" s="125">
        <v>46.08</v>
      </c>
      <c r="C1489" s="52"/>
      <c r="D1489" s="52"/>
      <c r="E1489" s="52"/>
      <c r="F1489" s="52"/>
      <c r="G1489" s="52"/>
      <c r="H1489" s="52"/>
    </row>
    <row r="1490" spans="1:8" ht="15.75">
      <c r="A1490" s="124">
        <v>41572</v>
      </c>
      <c r="B1490" s="125">
        <v>45.61</v>
      </c>
      <c r="C1490" s="52"/>
      <c r="D1490" s="52"/>
      <c r="E1490" s="52"/>
      <c r="F1490" s="52"/>
      <c r="G1490" s="52"/>
      <c r="H1490" s="52"/>
    </row>
    <row r="1491" spans="1:8" ht="15.75">
      <c r="A1491" s="124">
        <v>41575</v>
      </c>
      <c r="B1491" s="125">
        <v>45.51</v>
      </c>
      <c r="C1491" s="52"/>
      <c r="D1491" s="52"/>
      <c r="E1491" s="52"/>
      <c r="F1491" s="52"/>
      <c r="G1491" s="52"/>
      <c r="H1491" s="52"/>
    </row>
    <row r="1492" spans="1:8" ht="15.75">
      <c r="A1492" s="124">
        <v>41576</v>
      </c>
      <c r="B1492" s="125">
        <v>45.01</v>
      </c>
      <c r="C1492" s="52"/>
      <c r="D1492" s="52"/>
      <c r="E1492" s="52"/>
      <c r="F1492" s="52"/>
      <c r="G1492" s="52"/>
      <c r="H1492" s="52"/>
    </row>
    <row r="1493" spans="1:8" ht="15.75">
      <c r="A1493" s="124">
        <v>41577</v>
      </c>
      <c r="B1493" s="125">
        <v>45.78</v>
      </c>
      <c r="C1493" s="52"/>
      <c r="D1493" s="52"/>
      <c r="E1493" s="52"/>
      <c r="F1493" s="52"/>
      <c r="G1493" s="52"/>
      <c r="H1493" s="52"/>
    </row>
    <row r="1494" spans="1:8" ht="15.75">
      <c r="A1494" s="124">
        <v>41578</v>
      </c>
      <c r="B1494" s="125">
        <v>45.64</v>
      </c>
      <c r="C1494" s="52"/>
      <c r="D1494" s="52"/>
      <c r="E1494" s="52"/>
      <c r="F1494" s="52"/>
      <c r="G1494" s="52"/>
      <c r="H1494" s="52"/>
    </row>
    <row r="1495" spans="1:8" ht="15.75">
      <c r="A1495" s="124">
        <v>41579</v>
      </c>
      <c r="B1495" s="125">
        <v>45.36</v>
      </c>
      <c r="C1495" s="52"/>
      <c r="D1495" s="52"/>
      <c r="E1495" s="52"/>
      <c r="F1495" s="52"/>
      <c r="G1495" s="52"/>
      <c r="H1495" s="52"/>
    </row>
    <row r="1496" spans="1:8" ht="15.75">
      <c r="A1496" s="124">
        <v>41582</v>
      </c>
      <c r="B1496" s="125">
        <v>45.44</v>
      </c>
      <c r="C1496" s="52"/>
      <c r="D1496" s="52"/>
      <c r="E1496" s="52"/>
      <c r="F1496" s="52"/>
      <c r="G1496" s="52"/>
      <c r="H1496" s="52"/>
    </row>
    <row r="1497" spans="1:8" ht="15.75">
      <c r="A1497" s="124">
        <v>41583</v>
      </c>
      <c r="B1497" s="125">
        <v>45.51</v>
      </c>
      <c r="C1497" s="52"/>
      <c r="D1497" s="52"/>
      <c r="E1497" s="52"/>
      <c r="F1497" s="52"/>
      <c r="G1497" s="52"/>
      <c r="H1497" s="52"/>
    </row>
    <row r="1498" spans="1:8" ht="15.75">
      <c r="A1498" s="124">
        <v>41584</v>
      </c>
      <c r="B1498" s="125">
        <v>45.71</v>
      </c>
      <c r="C1498" s="52"/>
      <c r="D1498" s="52"/>
      <c r="E1498" s="52"/>
      <c r="F1498" s="52"/>
      <c r="G1498" s="52"/>
      <c r="H1498" s="52"/>
    </row>
    <row r="1499" spans="1:8" ht="15.75">
      <c r="A1499" s="124">
        <v>41585</v>
      </c>
      <c r="B1499" s="125">
        <v>45.54</v>
      </c>
      <c r="C1499" s="52"/>
      <c r="D1499" s="52"/>
      <c r="E1499" s="52"/>
      <c r="F1499" s="52"/>
      <c r="G1499" s="52"/>
      <c r="H1499" s="52"/>
    </row>
    <row r="1500" spans="1:8" ht="15.75">
      <c r="A1500" s="124">
        <v>41586</v>
      </c>
      <c r="B1500" s="125">
        <v>45.77</v>
      </c>
      <c r="C1500" s="52"/>
      <c r="D1500" s="52"/>
      <c r="E1500" s="52"/>
      <c r="F1500" s="52"/>
      <c r="G1500" s="52"/>
      <c r="H1500" s="52"/>
    </row>
    <row r="1501" spans="1:8" ht="15.75">
      <c r="A1501" s="124">
        <v>41589</v>
      </c>
      <c r="B1501" s="125">
        <v>45.6</v>
      </c>
      <c r="C1501" s="52"/>
      <c r="D1501" s="52"/>
      <c r="E1501" s="52"/>
      <c r="F1501" s="52"/>
      <c r="G1501" s="52"/>
      <c r="H1501" s="52"/>
    </row>
    <row r="1502" spans="1:8" ht="15.75">
      <c r="A1502" s="124">
        <v>41590</v>
      </c>
      <c r="B1502" s="125">
        <v>45.58</v>
      </c>
      <c r="C1502" s="52"/>
      <c r="D1502" s="52"/>
      <c r="E1502" s="52"/>
      <c r="F1502" s="52"/>
      <c r="G1502" s="52"/>
      <c r="H1502" s="52"/>
    </row>
    <row r="1503" spans="1:8" ht="15.75">
      <c r="A1503" s="124">
        <v>41591</v>
      </c>
      <c r="B1503" s="125">
        <v>45.57</v>
      </c>
      <c r="C1503" s="52"/>
      <c r="D1503" s="52"/>
      <c r="E1503" s="52"/>
      <c r="F1503" s="52"/>
      <c r="G1503" s="52"/>
      <c r="H1503" s="52"/>
    </row>
    <row r="1504" spans="1:8" ht="15.75">
      <c r="A1504" s="124">
        <v>41592</v>
      </c>
      <c r="B1504" s="125">
        <v>45.51</v>
      </c>
      <c r="C1504" s="52"/>
      <c r="D1504" s="52"/>
      <c r="E1504" s="52"/>
      <c r="F1504" s="52"/>
      <c r="G1504" s="52"/>
      <c r="H1504" s="52"/>
    </row>
    <row r="1505" spans="1:8" ht="15.75">
      <c r="A1505" s="124">
        <v>41593</v>
      </c>
      <c r="B1505" s="125">
        <v>45.51</v>
      </c>
      <c r="C1505" s="52"/>
      <c r="D1505" s="52"/>
      <c r="E1505" s="52"/>
      <c r="F1505" s="52"/>
      <c r="G1505" s="52"/>
      <c r="H1505" s="52"/>
    </row>
    <row r="1506" spans="1:8" ht="15.75">
      <c r="A1506" s="124">
        <v>41596</v>
      </c>
      <c r="B1506" s="125">
        <v>45.99</v>
      </c>
      <c r="C1506" s="52"/>
      <c r="D1506" s="52"/>
      <c r="E1506" s="52"/>
      <c r="F1506" s="52"/>
      <c r="G1506" s="52"/>
      <c r="H1506" s="52"/>
    </row>
    <row r="1507" spans="1:8" ht="15.75">
      <c r="A1507" s="124">
        <v>41597</v>
      </c>
      <c r="B1507" s="125">
        <v>45.56</v>
      </c>
      <c r="C1507" s="52"/>
      <c r="D1507" s="52"/>
      <c r="E1507" s="52"/>
      <c r="F1507" s="52"/>
      <c r="G1507" s="52"/>
      <c r="H1507" s="52"/>
    </row>
    <row r="1508" spans="1:8" ht="15.75">
      <c r="A1508" s="124">
        <v>41598</v>
      </c>
      <c r="B1508" s="125">
        <v>46</v>
      </c>
      <c r="C1508" s="52"/>
      <c r="D1508" s="52"/>
      <c r="E1508" s="52"/>
      <c r="F1508" s="52"/>
      <c r="G1508" s="52"/>
      <c r="H1508" s="52"/>
    </row>
    <row r="1509" spans="1:8" ht="15.75">
      <c r="A1509" s="124">
        <v>41599</v>
      </c>
      <c r="B1509" s="125">
        <v>46.49</v>
      </c>
      <c r="C1509" s="52"/>
      <c r="D1509" s="52"/>
      <c r="E1509" s="52"/>
      <c r="F1509" s="52"/>
      <c r="G1509" s="52"/>
      <c r="H1509" s="52"/>
    </row>
    <row r="1510" spans="1:8" ht="15.75">
      <c r="A1510" s="124">
        <v>41600</v>
      </c>
      <c r="B1510" s="125">
        <v>46.49</v>
      </c>
      <c r="C1510" s="52"/>
      <c r="D1510" s="52"/>
      <c r="E1510" s="52"/>
      <c r="F1510" s="52"/>
      <c r="G1510" s="52"/>
      <c r="H1510" s="52"/>
    </row>
    <row r="1511" spans="1:8" ht="15.75">
      <c r="A1511" s="124">
        <v>41603</v>
      </c>
      <c r="B1511" s="125">
        <v>46.3</v>
      </c>
      <c r="C1511" s="52"/>
      <c r="D1511" s="52"/>
      <c r="E1511" s="52"/>
      <c r="F1511" s="52"/>
      <c r="G1511" s="52"/>
      <c r="H1511" s="52"/>
    </row>
    <row r="1512" spans="1:8" ht="15.75">
      <c r="A1512" s="124">
        <v>41604</v>
      </c>
      <c r="B1512" s="125">
        <v>45.95</v>
      </c>
      <c r="C1512" s="52"/>
      <c r="D1512" s="52"/>
      <c r="E1512" s="52"/>
      <c r="F1512" s="52"/>
      <c r="G1512" s="52"/>
      <c r="H1512" s="52"/>
    </row>
    <row r="1513" spans="1:8" ht="15.75">
      <c r="A1513" s="124">
        <v>41605</v>
      </c>
      <c r="B1513" s="125">
        <v>45.7</v>
      </c>
      <c r="C1513" s="52"/>
      <c r="D1513" s="52"/>
      <c r="E1513" s="52"/>
      <c r="F1513" s="52"/>
      <c r="G1513" s="52"/>
      <c r="H1513" s="52"/>
    </row>
    <row r="1514" spans="1:8" ht="15.75">
      <c r="A1514" s="124">
        <v>41606</v>
      </c>
      <c r="B1514" s="125">
        <v>45.35</v>
      </c>
      <c r="C1514" s="52"/>
      <c r="D1514" s="52"/>
      <c r="E1514" s="52"/>
      <c r="F1514" s="52"/>
      <c r="G1514" s="52"/>
      <c r="H1514" s="52"/>
    </row>
    <row r="1515" spans="1:8" ht="15.75">
      <c r="A1515" s="124">
        <v>41607</v>
      </c>
      <c r="B1515" s="125">
        <v>45.37</v>
      </c>
      <c r="C1515" s="52"/>
      <c r="D1515" s="52"/>
      <c r="E1515" s="52"/>
      <c r="F1515" s="52"/>
      <c r="G1515" s="52"/>
      <c r="H1515" s="52"/>
    </row>
    <row r="1516" spans="1:8" ht="15.75">
      <c r="A1516" s="124">
        <v>41610</v>
      </c>
      <c r="B1516" s="125">
        <v>45.98</v>
      </c>
      <c r="C1516" s="52"/>
      <c r="D1516" s="52"/>
      <c r="E1516" s="52"/>
      <c r="F1516" s="52"/>
      <c r="G1516" s="52"/>
      <c r="H1516" s="52"/>
    </row>
    <row r="1517" spans="1:8" ht="15.75">
      <c r="A1517" s="124">
        <v>41611</v>
      </c>
      <c r="B1517" s="125">
        <v>45.91</v>
      </c>
      <c r="C1517" s="52"/>
      <c r="D1517" s="52"/>
      <c r="E1517" s="52"/>
      <c r="F1517" s="52"/>
      <c r="G1517" s="52"/>
      <c r="H1517" s="52"/>
    </row>
    <row r="1518" spans="1:8" ht="15.75">
      <c r="A1518" s="124">
        <v>41612</v>
      </c>
      <c r="B1518" s="125">
        <v>45.64</v>
      </c>
      <c r="C1518" s="52"/>
      <c r="D1518" s="52"/>
      <c r="E1518" s="52"/>
      <c r="F1518" s="52"/>
      <c r="G1518" s="52"/>
      <c r="H1518" s="52"/>
    </row>
    <row r="1519" spans="1:8" ht="15.75">
      <c r="A1519" s="124">
        <v>41613</v>
      </c>
      <c r="B1519" s="125">
        <v>45.91</v>
      </c>
      <c r="C1519" s="52"/>
      <c r="D1519" s="52"/>
      <c r="E1519" s="52"/>
      <c r="F1519" s="52"/>
      <c r="G1519" s="52"/>
      <c r="H1519" s="52"/>
    </row>
    <row r="1520" spans="1:8" ht="15.75">
      <c r="A1520" s="124">
        <v>41614</v>
      </c>
      <c r="B1520" s="125">
        <v>46.45</v>
      </c>
      <c r="C1520" s="52"/>
      <c r="D1520" s="52"/>
      <c r="E1520" s="52"/>
      <c r="F1520" s="52"/>
      <c r="G1520" s="52"/>
      <c r="H1520" s="52"/>
    </row>
    <row r="1521" spans="1:8" ht="15.75">
      <c r="A1521" s="124">
        <v>41617</v>
      </c>
      <c r="B1521" s="125">
        <v>46.65</v>
      </c>
      <c r="C1521" s="52"/>
      <c r="D1521" s="52"/>
      <c r="E1521" s="52"/>
      <c r="F1521" s="52"/>
      <c r="G1521" s="52"/>
      <c r="H1521" s="52"/>
    </row>
    <row r="1522" spans="1:8" ht="15.75">
      <c r="A1522" s="124">
        <v>41618</v>
      </c>
      <c r="B1522" s="125">
        <v>45.9</v>
      </c>
      <c r="C1522" s="52"/>
      <c r="D1522" s="52"/>
      <c r="E1522" s="52"/>
      <c r="F1522" s="52"/>
      <c r="G1522" s="52"/>
      <c r="H1522" s="52"/>
    </row>
    <row r="1523" spans="1:8" ht="15.75">
      <c r="A1523" s="124">
        <v>41619</v>
      </c>
      <c r="B1523" s="125">
        <v>45.92</v>
      </c>
      <c r="C1523" s="52"/>
      <c r="D1523" s="52"/>
      <c r="E1523" s="52"/>
      <c r="F1523" s="52"/>
      <c r="G1523" s="52"/>
      <c r="H1523" s="52"/>
    </row>
    <row r="1524" spans="1:8" ht="15.75">
      <c r="A1524" s="124">
        <v>41620</v>
      </c>
      <c r="B1524" s="125">
        <v>46.02</v>
      </c>
      <c r="C1524" s="52"/>
      <c r="D1524" s="52"/>
      <c r="E1524" s="52"/>
      <c r="F1524" s="52"/>
      <c r="G1524" s="52"/>
      <c r="H1524" s="52"/>
    </row>
    <row r="1525" spans="1:8" ht="15.75">
      <c r="A1525" s="124">
        <v>41621</v>
      </c>
      <c r="B1525" s="125">
        <v>46</v>
      </c>
      <c r="C1525" s="52"/>
      <c r="D1525" s="52"/>
      <c r="E1525" s="52"/>
      <c r="F1525" s="52"/>
      <c r="G1525" s="52"/>
      <c r="H1525" s="52"/>
    </row>
    <row r="1526" spans="1:8" ht="15.75">
      <c r="A1526" s="124">
        <v>41624</v>
      </c>
      <c r="B1526" s="125">
        <v>46.03</v>
      </c>
      <c r="C1526" s="52"/>
      <c r="D1526" s="52"/>
      <c r="E1526" s="52"/>
      <c r="F1526" s="52"/>
      <c r="G1526" s="52"/>
      <c r="H1526" s="52"/>
    </row>
    <row r="1527" spans="1:8" ht="15.75">
      <c r="A1527" s="124">
        <v>41625</v>
      </c>
      <c r="B1527" s="125">
        <v>45.72</v>
      </c>
      <c r="C1527" s="52"/>
      <c r="D1527" s="52"/>
      <c r="E1527" s="52"/>
      <c r="F1527" s="52"/>
      <c r="G1527" s="52"/>
      <c r="H1527" s="52"/>
    </row>
    <row r="1528" spans="1:8" ht="15.75">
      <c r="A1528" s="124">
        <v>41626</v>
      </c>
      <c r="B1528" s="125">
        <v>45.85</v>
      </c>
      <c r="C1528" s="52"/>
      <c r="D1528" s="52"/>
      <c r="E1528" s="52"/>
      <c r="F1528" s="52"/>
      <c r="G1528" s="52"/>
      <c r="H1528" s="52"/>
    </row>
    <row r="1529" spans="1:8" ht="15.75">
      <c r="A1529" s="124">
        <v>41627</v>
      </c>
      <c r="B1529" s="125">
        <v>45.6</v>
      </c>
      <c r="C1529" s="52"/>
      <c r="D1529" s="52"/>
      <c r="E1529" s="52"/>
      <c r="F1529" s="52"/>
      <c r="G1529" s="52"/>
      <c r="H1529" s="52"/>
    </row>
    <row r="1530" spans="1:8" ht="15.75">
      <c r="A1530" s="124">
        <v>41628</v>
      </c>
      <c r="B1530" s="125">
        <v>45.91</v>
      </c>
      <c r="C1530" s="52"/>
      <c r="D1530" s="52"/>
      <c r="E1530" s="52"/>
      <c r="F1530" s="52"/>
      <c r="G1530" s="52"/>
      <c r="H1530" s="52"/>
    </row>
    <row r="1531" spans="1:8" ht="15.75">
      <c r="A1531" s="124">
        <v>41631</v>
      </c>
      <c r="B1531" s="125">
        <v>45.91</v>
      </c>
      <c r="C1531" s="52"/>
      <c r="D1531" s="52"/>
      <c r="E1531" s="52"/>
      <c r="F1531" s="52"/>
      <c r="G1531" s="52"/>
      <c r="H1531" s="52"/>
    </row>
    <row r="1532" spans="1:8" ht="15.75">
      <c r="A1532" s="124">
        <v>41635</v>
      </c>
      <c r="B1532" s="125">
        <v>46</v>
      </c>
      <c r="C1532" s="52"/>
      <c r="D1532" s="52"/>
      <c r="E1532" s="52"/>
      <c r="F1532" s="52"/>
      <c r="G1532" s="52"/>
      <c r="H1532" s="52"/>
    </row>
    <row r="1533" spans="1:8" ht="15.75">
      <c r="A1533" s="124">
        <v>41638</v>
      </c>
      <c r="B1533" s="125">
        <v>46.01</v>
      </c>
      <c r="C1533" s="52"/>
      <c r="D1533" s="52"/>
      <c r="E1533" s="52"/>
      <c r="F1533" s="52"/>
      <c r="G1533" s="52"/>
      <c r="H1533" s="52"/>
    </row>
    <row r="1534" spans="1:8" ht="15.75">
      <c r="A1534" s="124">
        <v>41641</v>
      </c>
      <c r="B1534" s="125">
        <v>46</v>
      </c>
      <c r="C1534" s="52"/>
      <c r="D1534" s="52"/>
      <c r="E1534" s="52"/>
      <c r="F1534" s="52"/>
      <c r="G1534" s="52"/>
      <c r="H1534" s="52"/>
    </row>
    <row r="1535" spans="1:8" ht="15.75">
      <c r="A1535" s="124">
        <v>41642</v>
      </c>
      <c r="B1535" s="125">
        <v>46.15</v>
      </c>
      <c r="C1535" s="52"/>
      <c r="D1535" s="52"/>
      <c r="E1535" s="52"/>
      <c r="F1535" s="52"/>
      <c r="G1535" s="52"/>
      <c r="H1535" s="52"/>
    </row>
    <row r="1536" spans="1:8" ht="15.75">
      <c r="A1536" s="124">
        <v>41645</v>
      </c>
      <c r="B1536" s="125">
        <v>46.01</v>
      </c>
      <c r="C1536" s="52"/>
      <c r="D1536" s="52"/>
      <c r="E1536" s="52"/>
      <c r="F1536" s="52"/>
      <c r="G1536" s="52"/>
      <c r="H1536" s="52"/>
    </row>
    <row r="1537" spans="1:8" ht="15.75">
      <c r="A1537" s="124">
        <v>41646</v>
      </c>
      <c r="B1537" s="125">
        <v>46.05</v>
      </c>
      <c r="C1537" s="52"/>
      <c r="D1537" s="52"/>
      <c r="E1537" s="52"/>
      <c r="F1537" s="52"/>
      <c r="G1537" s="52"/>
      <c r="H1537" s="52"/>
    </row>
    <row r="1538" spans="1:8" ht="15.75">
      <c r="A1538" s="124">
        <v>41647</v>
      </c>
      <c r="B1538" s="125">
        <v>45.97</v>
      </c>
      <c r="C1538" s="52"/>
      <c r="D1538" s="52"/>
      <c r="E1538" s="52"/>
      <c r="F1538" s="52"/>
      <c r="G1538" s="52"/>
      <c r="H1538" s="52"/>
    </row>
    <row r="1539" spans="1:8" ht="15.75">
      <c r="A1539" s="124">
        <v>41648</v>
      </c>
      <c r="B1539" s="125">
        <v>45.91</v>
      </c>
      <c r="C1539" s="52"/>
      <c r="D1539" s="52"/>
      <c r="E1539" s="52"/>
      <c r="F1539" s="52"/>
      <c r="G1539" s="52"/>
      <c r="H1539" s="52"/>
    </row>
    <row r="1540" spans="1:8" ht="15.75">
      <c r="A1540" s="124">
        <v>41649</v>
      </c>
      <c r="B1540" s="125">
        <v>46.3</v>
      </c>
      <c r="C1540" s="52"/>
      <c r="D1540" s="52"/>
      <c r="E1540" s="52"/>
      <c r="F1540" s="52"/>
      <c r="G1540" s="52"/>
      <c r="H1540" s="52"/>
    </row>
    <row r="1541" spans="1:8" ht="15.75">
      <c r="A1541" s="124">
        <v>41652</v>
      </c>
      <c r="B1541" s="125">
        <v>45.95</v>
      </c>
      <c r="C1541" s="52"/>
      <c r="D1541" s="52"/>
      <c r="E1541" s="52"/>
      <c r="F1541" s="52"/>
      <c r="G1541" s="52"/>
      <c r="H1541" s="52"/>
    </row>
    <row r="1542" spans="1:8" ht="15.75">
      <c r="A1542" s="124">
        <v>41653</v>
      </c>
      <c r="B1542" s="125">
        <v>45.79</v>
      </c>
      <c r="C1542" s="52"/>
      <c r="D1542" s="52"/>
      <c r="E1542" s="52"/>
      <c r="F1542" s="52"/>
      <c r="G1542" s="52"/>
      <c r="H1542" s="52"/>
    </row>
    <row r="1543" spans="1:8" ht="15.75">
      <c r="A1543" s="124">
        <v>41654</v>
      </c>
      <c r="B1543" s="125">
        <v>45.5</v>
      </c>
      <c r="C1543" s="52"/>
      <c r="D1543" s="52"/>
      <c r="E1543" s="52"/>
      <c r="F1543" s="52"/>
      <c r="G1543" s="52"/>
      <c r="H1543" s="52"/>
    </row>
    <row r="1544" spans="1:8" ht="15.75">
      <c r="A1544" s="124">
        <v>41655</v>
      </c>
      <c r="B1544" s="125">
        <v>45.65</v>
      </c>
      <c r="C1544" s="52"/>
      <c r="D1544" s="52"/>
      <c r="E1544" s="52"/>
      <c r="F1544" s="52"/>
      <c r="G1544" s="52"/>
      <c r="H1544" s="52"/>
    </row>
    <row r="1545" spans="1:8" ht="15.75">
      <c r="A1545" s="124">
        <v>41656</v>
      </c>
      <c r="B1545" s="125">
        <v>45.6</v>
      </c>
      <c r="C1545" s="52"/>
      <c r="D1545" s="52"/>
      <c r="E1545" s="52"/>
      <c r="F1545" s="52"/>
      <c r="G1545" s="52"/>
      <c r="H1545" s="52"/>
    </row>
    <row r="1546" spans="1:8" ht="15.75">
      <c r="A1546" s="124">
        <v>41659</v>
      </c>
      <c r="B1546" s="125">
        <v>45.75</v>
      </c>
      <c r="C1546" s="52"/>
      <c r="D1546" s="52"/>
      <c r="E1546" s="52"/>
      <c r="F1546" s="52"/>
      <c r="G1546" s="52"/>
      <c r="H1546" s="52"/>
    </row>
    <row r="1547" spans="1:8" ht="15.75">
      <c r="A1547" s="124">
        <v>41660</v>
      </c>
      <c r="B1547" s="125">
        <v>45.6</v>
      </c>
      <c r="C1547" s="52"/>
      <c r="D1547" s="52"/>
      <c r="E1547" s="52"/>
      <c r="F1547" s="52"/>
      <c r="G1547" s="52"/>
      <c r="H1547" s="52"/>
    </row>
    <row r="1548" spans="1:8" ht="15.75">
      <c r="A1548" s="124">
        <v>41661</v>
      </c>
      <c r="B1548" s="125">
        <v>45.5</v>
      </c>
      <c r="C1548" s="52"/>
      <c r="D1548" s="52"/>
      <c r="E1548" s="52"/>
      <c r="F1548" s="52"/>
      <c r="G1548" s="52"/>
      <c r="H1548" s="52"/>
    </row>
    <row r="1549" spans="1:8" ht="15.75">
      <c r="A1549" s="124">
        <v>41662</v>
      </c>
      <c r="B1549" s="125">
        <v>45.52</v>
      </c>
      <c r="C1549" s="52"/>
      <c r="D1549" s="52"/>
      <c r="E1549" s="52"/>
      <c r="F1549" s="52"/>
      <c r="G1549" s="52"/>
      <c r="H1549" s="52"/>
    </row>
    <row r="1550" spans="1:8" ht="15.75">
      <c r="A1550" s="124">
        <v>41663</v>
      </c>
      <c r="B1550" s="125">
        <v>45.1</v>
      </c>
      <c r="C1550" s="52"/>
      <c r="D1550" s="52"/>
      <c r="E1550" s="52"/>
      <c r="F1550" s="52"/>
      <c r="G1550" s="52"/>
      <c r="H1550" s="52"/>
    </row>
    <row r="1551" spans="1:8" ht="15.75">
      <c r="A1551" s="124">
        <v>41666</v>
      </c>
      <c r="B1551" s="125">
        <v>45.5</v>
      </c>
      <c r="C1551" s="52"/>
      <c r="D1551" s="52"/>
      <c r="E1551" s="52"/>
      <c r="F1551" s="52"/>
      <c r="G1551" s="52"/>
      <c r="H1551" s="52"/>
    </row>
    <row r="1552" spans="1:8" ht="15.75">
      <c r="A1552" s="124">
        <v>41667</v>
      </c>
      <c r="B1552" s="125">
        <v>45.41</v>
      </c>
      <c r="C1552" s="52"/>
      <c r="D1552" s="52"/>
      <c r="E1552" s="52"/>
      <c r="F1552" s="52"/>
      <c r="G1552" s="52"/>
      <c r="H1552" s="52"/>
    </row>
    <row r="1553" spans="1:8" ht="15.75">
      <c r="A1553" s="124">
        <v>41668</v>
      </c>
      <c r="B1553" s="125">
        <v>45.5</v>
      </c>
      <c r="C1553" s="52"/>
      <c r="D1553" s="52"/>
      <c r="E1553" s="52"/>
      <c r="F1553" s="52"/>
      <c r="G1553" s="52"/>
      <c r="H1553" s="52"/>
    </row>
    <row r="1554" spans="1:8" ht="15.75">
      <c r="A1554" s="124">
        <v>41669</v>
      </c>
      <c r="B1554" s="125">
        <v>45.51</v>
      </c>
      <c r="C1554" s="52"/>
      <c r="D1554" s="52"/>
      <c r="E1554" s="52"/>
      <c r="F1554" s="52"/>
      <c r="G1554" s="52"/>
      <c r="H1554" s="52"/>
    </row>
    <row r="1555" spans="1:8" ht="15.75">
      <c r="A1555" s="124">
        <v>41670</v>
      </c>
      <c r="B1555" s="125">
        <v>45.69</v>
      </c>
      <c r="C1555" s="52"/>
      <c r="D1555" s="52"/>
      <c r="E1555" s="52"/>
      <c r="F1555" s="52"/>
      <c r="G1555" s="52"/>
      <c r="H1555" s="52"/>
    </row>
    <row r="1556" spans="1:8" ht="15.75">
      <c r="A1556" s="124">
        <v>41673</v>
      </c>
      <c r="B1556" s="125">
        <v>45.51</v>
      </c>
      <c r="C1556" s="52"/>
      <c r="D1556" s="52"/>
      <c r="E1556" s="52"/>
      <c r="F1556" s="52"/>
      <c r="G1556" s="52"/>
      <c r="H1556" s="52"/>
    </row>
    <row r="1557" spans="1:8" ht="15.75">
      <c r="A1557" s="124">
        <v>41674</v>
      </c>
      <c r="B1557" s="125">
        <v>45.51</v>
      </c>
      <c r="C1557" s="52"/>
      <c r="D1557" s="52"/>
      <c r="E1557" s="52"/>
      <c r="F1557" s="52"/>
      <c r="G1557" s="52"/>
      <c r="H1557" s="52"/>
    </row>
    <row r="1558" spans="1:8" ht="15.75">
      <c r="A1558" s="124">
        <v>41675</v>
      </c>
      <c r="B1558" s="125">
        <v>45.5</v>
      </c>
      <c r="C1558" s="52"/>
      <c r="D1558" s="52"/>
      <c r="E1558" s="52"/>
      <c r="F1558" s="52"/>
      <c r="G1558" s="52"/>
      <c r="H1558" s="52"/>
    </row>
    <row r="1559" spans="1:8" ht="15.75">
      <c r="A1559" s="124">
        <v>41676</v>
      </c>
      <c r="B1559" s="125">
        <v>45.55</v>
      </c>
      <c r="C1559" s="52"/>
      <c r="D1559" s="52"/>
      <c r="E1559" s="52"/>
      <c r="F1559" s="52"/>
      <c r="G1559" s="52"/>
      <c r="H1559" s="52"/>
    </row>
    <row r="1560" spans="1:8" ht="15.75">
      <c r="A1560" s="124">
        <v>41677</v>
      </c>
      <c r="B1560" s="125">
        <v>45.5</v>
      </c>
      <c r="C1560" s="52"/>
      <c r="D1560" s="52"/>
      <c r="E1560" s="52"/>
      <c r="F1560" s="52"/>
      <c r="G1560" s="52"/>
      <c r="H1560" s="52"/>
    </row>
    <row r="1561" spans="1:8" ht="15.75">
      <c r="A1561" s="124">
        <v>41680</v>
      </c>
      <c r="B1561" s="125">
        <v>45.51</v>
      </c>
      <c r="C1561" s="52"/>
      <c r="D1561" s="52"/>
      <c r="E1561" s="52"/>
      <c r="F1561" s="52"/>
      <c r="G1561" s="52"/>
      <c r="H1561" s="52"/>
    </row>
    <row r="1562" spans="1:8" ht="15.75">
      <c r="A1562" s="124">
        <v>41681</v>
      </c>
      <c r="B1562" s="125">
        <v>45.5</v>
      </c>
      <c r="C1562" s="52"/>
      <c r="D1562" s="52"/>
      <c r="E1562" s="52"/>
      <c r="F1562" s="52"/>
      <c r="G1562" s="52"/>
      <c r="H1562" s="52"/>
    </row>
    <row r="1563" spans="1:8" ht="15.75">
      <c r="A1563" s="124">
        <v>41682</v>
      </c>
      <c r="B1563" s="125">
        <v>45.51</v>
      </c>
      <c r="C1563" s="52"/>
      <c r="D1563" s="52"/>
      <c r="E1563" s="52"/>
      <c r="F1563" s="52"/>
      <c r="G1563" s="52"/>
      <c r="H1563" s="52"/>
    </row>
    <row r="1564" spans="1:8" ht="15.75">
      <c r="A1564" s="124">
        <v>41683</v>
      </c>
      <c r="B1564" s="125">
        <v>45.5</v>
      </c>
      <c r="C1564" s="52"/>
      <c r="D1564" s="52"/>
      <c r="E1564" s="52"/>
      <c r="F1564" s="52"/>
      <c r="G1564" s="52"/>
      <c r="H1564" s="52"/>
    </row>
    <row r="1565" spans="1:8" ht="15.75">
      <c r="A1565" s="124">
        <v>41684</v>
      </c>
      <c r="B1565" s="125">
        <v>45.43</v>
      </c>
      <c r="C1565" s="52"/>
      <c r="D1565" s="52"/>
      <c r="E1565" s="52"/>
      <c r="F1565" s="52"/>
      <c r="G1565" s="52"/>
      <c r="H1565" s="52"/>
    </row>
    <row r="1566" spans="1:8" ht="15.75">
      <c r="A1566" s="124">
        <v>41687</v>
      </c>
      <c r="B1566" s="125">
        <v>45.5</v>
      </c>
      <c r="C1566" s="52"/>
      <c r="D1566" s="52"/>
      <c r="E1566" s="52"/>
      <c r="F1566" s="52"/>
      <c r="G1566" s="52"/>
      <c r="H1566" s="52"/>
    </row>
    <row r="1567" spans="1:8" ht="15.75">
      <c r="A1567" s="124">
        <v>41688</v>
      </c>
      <c r="B1567" s="125">
        <v>45.42</v>
      </c>
      <c r="C1567" s="52"/>
      <c r="D1567" s="52"/>
      <c r="E1567" s="52"/>
      <c r="F1567" s="52"/>
      <c r="G1567" s="52"/>
      <c r="H1567" s="52"/>
    </row>
    <row r="1568" spans="1:8" ht="15.75">
      <c r="A1568" s="124">
        <v>41689</v>
      </c>
      <c r="B1568" s="125">
        <v>45.5</v>
      </c>
      <c r="C1568" s="52"/>
      <c r="D1568" s="52"/>
      <c r="E1568" s="52"/>
      <c r="F1568" s="52"/>
      <c r="G1568" s="52"/>
      <c r="H1568" s="52"/>
    </row>
    <row r="1569" spans="1:8" ht="15.75">
      <c r="A1569" s="124">
        <v>41690</v>
      </c>
      <c r="B1569" s="125">
        <v>45.69</v>
      </c>
      <c r="C1569" s="52"/>
      <c r="D1569" s="52"/>
      <c r="E1569" s="52"/>
      <c r="F1569" s="52"/>
      <c r="G1569" s="52"/>
      <c r="H1569" s="52"/>
    </row>
    <row r="1570" spans="1:8" ht="15.75">
      <c r="A1570" s="124">
        <v>41691</v>
      </c>
      <c r="B1570" s="125">
        <v>45.28</v>
      </c>
      <c r="C1570" s="52"/>
      <c r="D1570" s="52"/>
      <c r="E1570" s="52"/>
      <c r="F1570" s="52"/>
      <c r="G1570" s="52"/>
      <c r="H1570" s="52"/>
    </row>
    <row r="1571" spans="1:8" ht="15.75">
      <c r="A1571" s="124">
        <v>41694</v>
      </c>
      <c r="B1571" s="125">
        <v>45.4</v>
      </c>
      <c r="C1571" s="52"/>
      <c r="D1571" s="52"/>
      <c r="E1571" s="52"/>
      <c r="F1571" s="52"/>
      <c r="G1571" s="52"/>
      <c r="H1571" s="52"/>
    </row>
    <row r="1572" spans="1:8" ht="15.75">
      <c r="A1572" s="124">
        <v>41695</v>
      </c>
      <c r="B1572" s="125">
        <v>45.27</v>
      </c>
      <c r="C1572" s="52"/>
      <c r="D1572" s="52"/>
      <c r="E1572" s="52"/>
      <c r="F1572" s="52"/>
      <c r="G1572" s="52"/>
      <c r="H1572" s="52"/>
    </row>
    <row r="1573" spans="1:8" ht="15.75">
      <c r="A1573" s="124">
        <v>41696</v>
      </c>
      <c r="B1573" s="125">
        <v>45.46</v>
      </c>
      <c r="C1573" s="52"/>
      <c r="D1573" s="52"/>
      <c r="E1573" s="52"/>
      <c r="F1573" s="52"/>
      <c r="G1573" s="52"/>
      <c r="H1573" s="52"/>
    </row>
    <row r="1574" spans="1:8" ht="15.75">
      <c r="A1574" s="124">
        <v>41697</v>
      </c>
      <c r="B1574" s="125">
        <v>45.45</v>
      </c>
      <c r="C1574" s="52"/>
      <c r="D1574" s="52"/>
      <c r="E1574" s="52"/>
      <c r="F1574" s="52"/>
      <c r="G1574" s="52"/>
      <c r="H1574" s="52"/>
    </row>
    <row r="1575" spans="1:8" ht="15.75">
      <c r="A1575" s="124">
        <v>41698</v>
      </c>
      <c r="B1575" s="125">
        <v>45.4</v>
      </c>
      <c r="C1575" s="52"/>
      <c r="D1575" s="52"/>
      <c r="E1575" s="52"/>
      <c r="F1575" s="52"/>
      <c r="G1575" s="52"/>
      <c r="H1575" s="52"/>
    </row>
    <row r="1576" spans="1:8" ht="15.75">
      <c r="A1576" s="124">
        <v>41701</v>
      </c>
      <c r="B1576" s="125">
        <v>45.58</v>
      </c>
      <c r="C1576" s="52"/>
      <c r="D1576" s="52"/>
      <c r="E1576" s="52"/>
      <c r="F1576" s="52"/>
      <c r="G1576" s="52"/>
      <c r="H1576" s="52"/>
    </row>
    <row r="1577" spans="1:8" ht="15.75">
      <c r="A1577" s="124">
        <v>41702</v>
      </c>
      <c r="B1577" s="125">
        <v>45.5</v>
      </c>
      <c r="C1577" s="52"/>
      <c r="D1577" s="52"/>
      <c r="E1577" s="52"/>
      <c r="F1577" s="52"/>
      <c r="G1577" s="52"/>
      <c r="H1577" s="52"/>
    </row>
    <row r="1578" spans="1:8" ht="15.75">
      <c r="A1578" s="124">
        <v>41703</v>
      </c>
      <c r="B1578" s="125">
        <v>45.7</v>
      </c>
      <c r="C1578" s="52"/>
      <c r="D1578" s="52"/>
      <c r="E1578" s="52"/>
      <c r="F1578" s="52"/>
      <c r="G1578" s="52"/>
      <c r="H1578" s="52"/>
    </row>
    <row r="1579" spans="1:8" ht="15.75">
      <c r="A1579" s="124">
        <v>41704</v>
      </c>
      <c r="B1579" s="125">
        <v>45.55</v>
      </c>
      <c r="C1579" s="52"/>
      <c r="D1579" s="52"/>
      <c r="E1579" s="52"/>
      <c r="F1579" s="52"/>
      <c r="G1579" s="52"/>
      <c r="H1579" s="52"/>
    </row>
    <row r="1580" spans="1:8" ht="15.75">
      <c r="A1580" s="124">
        <v>41705</v>
      </c>
      <c r="B1580" s="125">
        <v>45.55</v>
      </c>
      <c r="C1580" s="52"/>
      <c r="D1580" s="52"/>
      <c r="E1580" s="52"/>
      <c r="F1580" s="52"/>
      <c r="G1580" s="52"/>
      <c r="H1580" s="52"/>
    </row>
    <row r="1581" spans="1:8" ht="15.75">
      <c r="A1581" s="124">
        <v>41708</v>
      </c>
      <c r="B1581" s="125">
        <v>45.55</v>
      </c>
      <c r="C1581" s="52"/>
      <c r="D1581" s="52"/>
      <c r="E1581" s="52"/>
      <c r="F1581" s="52"/>
      <c r="G1581" s="52"/>
      <c r="H1581" s="52"/>
    </row>
    <row r="1582" spans="1:8" ht="15.75">
      <c r="A1582" s="124">
        <v>41709</v>
      </c>
      <c r="B1582" s="125">
        <v>45.55</v>
      </c>
      <c r="C1582" s="52"/>
      <c r="D1582" s="52"/>
      <c r="E1582" s="52"/>
      <c r="F1582" s="52"/>
      <c r="G1582" s="52"/>
      <c r="H1582" s="52"/>
    </row>
    <row r="1583" spans="1:8" ht="15.75">
      <c r="A1583" s="124">
        <v>41710</v>
      </c>
      <c r="B1583" s="125">
        <v>45.56</v>
      </c>
      <c r="C1583" s="52"/>
      <c r="D1583" s="52"/>
      <c r="E1583" s="52"/>
      <c r="F1583" s="52"/>
      <c r="G1583" s="52"/>
      <c r="H1583" s="52"/>
    </row>
    <row r="1584" spans="1:8" ht="15.75">
      <c r="A1584" s="124">
        <v>41711</v>
      </c>
      <c r="B1584" s="125">
        <v>45.55</v>
      </c>
      <c r="C1584" s="52"/>
      <c r="D1584" s="52"/>
      <c r="E1584" s="52"/>
      <c r="F1584" s="52"/>
      <c r="G1584" s="52"/>
      <c r="H1584" s="52"/>
    </row>
    <row r="1585" spans="1:8" ht="15.75">
      <c r="A1585" s="124">
        <v>41712</v>
      </c>
      <c r="B1585" s="125">
        <v>45.56</v>
      </c>
      <c r="C1585" s="52"/>
      <c r="D1585" s="52"/>
      <c r="E1585" s="52"/>
      <c r="F1585" s="52"/>
      <c r="G1585" s="52"/>
      <c r="H1585" s="52"/>
    </row>
    <row r="1586" spans="1:8" ht="15.75">
      <c r="A1586" s="124">
        <v>41715</v>
      </c>
      <c r="B1586" s="125">
        <v>45</v>
      </c>
      <c r="C1586" s="52"/>
      <c r="D1586" s="52"/>
      <c r="E1586" s="52"/>
      <c r="F1586" s="52"/>
      <c r="G1586" s="52"/>
      <c r="H1586" s="52"/>
    </row>
    <row r="1587" spans="1:8" ht="15.75">
      <c r="A1587" s="124">
        <v>41716</v>
      </c>
      <c r="B1587" s="125">
        <v>45.65</v>
      </c>
      <c r="C1587" s="52"/>
      <c r="D1587" s="52"/>
      <c r="E1587" s="52"/>
      <c r="F1587" s="52"/>
      <c r="G1587" s="52"/>
      <c r="H1587" s="52"/>
    </row>
    <row r="1588" spans="1:8" ht="15.75">
      <c r="A1588" s="124">
        <v>41717</v>
      </c>
      <c r="B1588" s="125">
        <v>45.5</v>
      </c>
      <c r="C1588" s="52"/>
      <c r="D1588" s="52"/>
      <c r="E1588" s="52"/>
      <c r="F1588" s="52"/>
      <c r="G1588" s="52"/>
      <c r="H1588" s="52"/>
    </row>
    <row r="1589" spans="1:8" ht="15.75">
      <c r="A1589" s="124">
        <v>41718</v>
      </c>
      <c r="B1589" s="125">
        <v>45.31</v>
      </c>
      <c r="C1589" s="52"/>
      <c r="D1589" s="52"/>
      <c r="E1589" s="52"/>
      <c r="F1589" s="52"/>
      <c r="G1589" s="52"/>
      <c r="H1589" s="52"/>
    </row>
    <row r="1590" spans="1:8" ht="15.75">
      <c r="A1590" s="124">
        <v>41719</v>
      </c>
      <c r="B1590" s="125">
        <v>45.39</v>
      </c>
      <c r="C1590" s="52"/>
      <c r="D1590" s="52"/>
      <c r="E1590" s="52"/>
      <c r="F1590" s="52"/>
      <c r="G1590" s="52"/>
      <c r="H1590" s="52"/>
    </row>
    <row r="1591" spans="1:8" ht="15.75">
      <c r="A1591" s="124">
        <v>41722</v>
      </c>
      <c r="B1591" s="125">
        <v>45.46</v>
      </c>
      <c r="C1591" s="52"/>
      <c r="D1591" s="52"/>
      <c r="E1591" s="52"/>
      <c r="F1591" s="52"/>
      <c r="G1591" s="52"/>
      <c r="H1591" s="52"/>
    </row>
    <row r="1592" spans="1:8" ht="15.75">
      <c r="A1592" s="124">
        <v>41723</v>
      </c>
      <c r="B1592" s="125">
        <v>45.5</v>
      </c>
      <c r="C1592" s="52"/>
      <c r="D1592" s="52"/>
      <c r="E1592" s="52"/>
      <c r="F1592" s="52"/>
      <c r="G1592" s="52"/>
      <c r="H1592" s="52"/>
    </row>
    <row r="1593" spans="1:8" ht="15.75">
      <c r="A1593" s="124">
        <v>41724</v>
      </c>
      <c r="B1593" s="125">
        <v>45.51</v>
      </c>
      <c r="C1593" s="52"/>
      <c r="D1593" s="52"/>
      <c r="E1593" s="52"/>
      <c r="F1593" s="52"/>
      <c r="G1593" s="52"/>
      <c r="H1593" s="52"/>
    </row>
    <row r="1594" spans="1:8" ht="15.75">
      <c r="A1594" s="124">
        <v>41725</v>
      </c>
      <c r="B1594" s="125">
        <v>45.41</v>
      </c>
      <c r="C1594" s="52"/>
      <c r="D1594" s="52"/>
      <c r="E1594" s="52"/>
      <c r="F1594" s="52"/>
      <c r="G1594" s="52"/>
      <c r="H1594" s="52"/>
    </row>
    <row r="1595" spans="1:8" ht="15.75">
      <c r="A1595" s="124">
        <v>41726</v>
      </c>
      <c r="B1595" s="125">
        <v>45.63</v>
      </c>
      <c r="C1595" s="52"/>
      <c r="D1595" s="52"/>
      <c r="E1595" s="52"/>
      <c r="F1595" s="52"/>
      <c r="G1595" s="52"/>
      <c r="H1595" s="52"/>
    </row>
    <row r="1596" spans="1:8" ht="15.75">
      <c r="A1596" s="124">
        <v>41729</v>
      </c>
      <c r="B1596" s="125">
        <v>45.43</v>
      </c>
      <c r="C1596" s="52"/>
      <c r="D1596" s="52"/>
      <c r="E1596" s="52"/>
      <c r="F1596" s="52"/>
      <c r="G1596" s="52"/>
      <c r="H1596" s="52"/>
    </row>
    <row r="1597" spans="1:8" ht="15.75">
      <c r="A1597" s="124">
        <v>41730</v>
      </c>
      <c r="B1597" s="125">
        <v>45.42</v>
      </c>
      <c r="C1597" s="52"/>
      <c r="D1597" s="52"/>
      <c r="E1597" s="52"/>
      <c r="F1597" s="52"/>
      <c r="G1597" s="52"/>
      <c r="H1597" s="52"/>
    </row>
    <row r="1598" spans="1:8" ht="15.75">
      <c r="A1598" s="124">
        <v>41731</v>
      </c>
      <c r="B1598" s="125">
        <v>45.42</v>
      </c>
      <c r="C1598" s="52"/>
      <c r="D1598" s="52"/>
      <c r="E1598" s="52"/>
      <c r="F1598" s="52"/>
      <c r="G1598" s="52"/>
      <c r="H1598" s="52"/>
    </row>
    <row r="1599" spans="1:8" ht="15.75">
      <c r="A1599" s="124">
        <v>41732</v>
      </c>
      <c r="B1599" s="125">
        <v>45.43</v>
      </c>
      <c r="C1599" s="52"/>
      <c r="D1599" s="52"/>
      <c r="E1599" s="52"/>
      <c r="F1599" s="52"/>
      <c r="G1599" s="52"/>
      <c r="H1599" s="52"/>
    </row>
    <row r="1600" spans="1:8" ht="15.75">
      <c r="A1600" s="124">
        <v>41733</v>
      </c>
      <c r="B1600" s="125">
        <v>45.4</v>
      </c>
      <c r="C1600" s="52"/>
      <c r="D1600" s="52"/>
      <c r="E1600" s="52"/>
      <c r="F1600" s="52"/>
      <c r="G1600" s="52"/>
      <c r="H1600" s="52"/>
    </row>
    <row r="1601" spans="1:8" ht="15.75">
      <c r="A1601" s="124">
        <v>41736</v>
      </c>
      <c r="B1601" s="125">
        <v>45.23</v>
      </c>
      <c r="C1601" s="52"/>
      <c r="D1601" s="52"/>
      <c r="E1601" s="52"/>
      <c r="F1601" s="52"/>
      <c r="G1601" s="52"/>
      <c r="H1601" s="52"/>
    </row>
    <row r="1602" spans="1:8" ht="15.75">
      <c r="A1602" s="124">
        <v>41737</v>
      </c>
      <c r="B1602" s="125">
        <v>45.4</v>
      </c>
      <c r="C1602" s="52"/>
      <c r="D1602" s="52"/>
      <c r="E1602" s="52"/>
      <c r="F1602" s="52"/>
      <c r="G1602" s="52"/>
      <c r="H1602" s="52"/>
    </row>
    <row r="1603" spans="1:8" ht="15.75">
      <c r="A1603" s="124">
        <v>41738</v>
      </c>
      <c r="B1603" s="125">
        <v>45.4</v>
      </c>
      <c r="C1603" s="52"/>
      <c r="D1603" s="52"/>
      <c r="E1603" s="52"/>
      <c r="F1603" s="52"/>
      <c r="G1603" s="52"/>
      <c r="H1603" s="52"/>
    </row>
    <row r="1604" spans="1:8" ht="15.75">
      <c r="A1604" s="124">
        <v>41739</v>
      </c>
      <c r="B1604" s="125">
        <v>45.4</v>
      </c>
      <c r="C1604" s="52"/>
      <c r="D1604" s="52"/>
      <c r="E1604" s="52"/>
      <c r="F1604" s="52"/>
      <c r="G1604" s="52"/>
      <c r="H1604" s="52"/>
    </row>
    <row r="1605" spans="1:8" ht="15.75">
      <c r="A1605" s="124">
        <v>41740</v>
      </c>
      <c r="B1605" s="125">
        <v>45.42</v>
      </c>
      <c r="C1605" s="52"/>
      <c r="D1605" s="52"/>
      <c r="E1605" s="52"/>
      <c r="F1605" s="52"/>
      <c r="G1605" s="52"/>
      <c r="H1605" s="52"/>
    </row>
    <row r="1606" spans="1:8" ht="15.75">
      <c r="A1606" s="124">
        <v>41743</v>
      </c>
      <c r="B1606" s="125">
        <v>45.43</v>
      </c>
      <c r="C1606" s="52"/>
      <c r="D1606" s="52"/>
      <c r="E1606" s="52"/>
      <c r="F1606" s="52"/>
      <c r="G1606" s="52"/>
      <c r="H1606" s="52"/>
    </row>
    <row r="1607" spans="1:8" ht="15.75">
      <c r="A1607" s="124">
        <v>41744</v>
      </c>
      <c r="B1607" s="125">
        <v>45.74</v>
      </c>
      <c r="C1607" s="52"/>
      <c r="D1607" s="52"/>
      <c r="E1607" s="52"/>
      <c r="F1607" s="52"/>
      <c r="G1607" s="52"/>
      <c r="H1607" s="52"/>
    </row>
    <row r="1608" spans="1:8" ht="15.75">
      <c r="A1608" s="124">
        <v>41745</v>
      </c>
      <c r="B1608" s="125">
        <v>45.57</v>
      </c>
      <c r="C1608" s="52"/>
      <c r="D1608" s="52"/>
      <c r="E1608" s="52"/>
      <c r="F1608" s="52"/>
      <c r="G1608" s="52"/>
      <c r="H1608" s="52"/>
    </row>
    <row r="1609" spans="1:8" ht="15.75">
      <c r="A1609" s="124">
        <v>41746</v>
      </c>
      <c r="B1609" s="125">
        <v>45.74</v>
      </c>
      <c r="C1609" s="52"/>
      <c r="D1609" s="52"/>
      <c r="E1609" s="52"/>
      <c r="F1609" s="52"/>
      <c r="G1609" s="52"/>
      <c r="H1609" s="52"/>
    </row>
    <row r="1610" spans="1:8" ht="15.75">
      <c r="A1610" s="124">
        <v>41751</v>
      </c>
      <c r="B1610" s="125">
        <v>45.48</v>
      </c>
      <c r="C1610" s="52"/>
      <c r="D1610" s="52"/>
      <c r="E1610" s="52"/>
      <c r="F1610" s="52"/>
      <c r="G1610" s="52"/>
      <c r="H1610" s="52"/>
    </row>
    <row r="1611" spans="1:8" ht="15.75">
      <c r="A1611" s="124">
        <v>41752</v>
      </c>
      <c r="B1611" s="125">
        <v>45.61</v>
      </c>
      <c r="C1611" s="52"/>
      <c r="D1611" s="52"/>
      <c r="E1611" s="52"/>
      <c r="F1611" s="52"/>
      <c r="G1611" s="52"/>
      <c r="H1611" s="52"/>
    </row>
    <row r="1612" spans="1:8" ht="15.75">
      <c r="A1612" s="124">
        <v>41753</v>
      </c>
      <c r="B1612" s="125">
        <v>45.61</v>
      </c>
      <c r="C1612" s="52"/>
      <c r="D1612" s="52"/>
      <c r="E1612" s="52"/>
      <c r="F1612" s="52"/>
      <c r="G1612" s="52"/>
      <c r="H1612" s="52"/>
    </row>
    <row r="1613" spans="1:8" ht="15.75">
      <c r="A1613" s="124">
        <v>41754</v>
      </c>
      <c r="B1613" s="125">
        <v>45.71</v>
      </c>
      <c r="C1613" s="52"/>
      <c r="D1613" s="52"/>
      <c r="E1613" s="52"/>
      <c r="F1613" s="52"/>
      <c r="G1613" s="52"/>
      <c r="H1613" s="52"/>
    </row>
    <row r="1614" spans="1:8" ht="15.75">
      <c r="A1614" s="124">
        <v>41757</v>
      </c>
      <c r="B1614" s="125">
        <v>45.26</v>
      </c>
      <c r="C1614" s="52"/>
      <c r="D1614" s="52"/>
      <c r="E1614" s="52"/>
      <c r="F1614" s="52"/>
      <c r="G1614" s="52"/>
      <c r="H1614" s="52"/>
    </row>
    <row r="1615" spans="1:8" ht="15.75">
      <c r="A1615" s="124">
        <v>41758</v>
      </c>
      <c r="B1615" s="125">
        <v>45.3</v>
      </c>
      <c r="C1615" s="52"/>
      <c r="D1615" s="52"/>
      <c r="E1615" s="52"/>
      <c r="F1615" s="52"/>
      <c r="G1615" s="52"/>
      <c r="H1615" s="52"/>
    </row>
    <row r="1616" spans="1:8" ht="15.75">
      <c r="A1616" s="124">
        <v>41759</v>
      </c>
      <c r="B1616" s="125">
        <v>45.31</v>
      </c>
      <c r="C1616" s="52"/>
      <c r="D1616" s="52"/>
      <c r="E1616" s="52"/>
      <c r="F1616" s="52"/>
      <c r="G1616" s="52"/>
      <c r="H1616" s="52"/>
    </row>
    <row r="1617" spans="1:8" ht="15.75">
      <c r="A1617" s="124">
        <v>41761</v>
      </c>
      <c r="B1617" s="125">
        <v>45.3</v>
      </c>
      <c r="C1617" s="52"/>
      <c r="D1617" s="52"/>
      <c r="E1617" s="52"/>
      <c r="F1617" s="52"/>
      <c r="G1617" s="52"/>
      <c r="H1617" s="52"/>
    </row>
    <row r="1618" spans="1:8" ht="15.75">
      <c r="A1618" s="124">
        <v>41764</v>
      </c>
      <c r="B1618" s="125">
        <v>45.2</v>
      </c>
      <c r="C1618" s="52"/>
      <c r="D1618" s="52"/>
      <c r="E1618" s="52"/>
      <c r="F1618" s="52"/>
      <c r="G1618" s="52"/>
      <c r="H1618" s="52"/>
    </row>
    <row r="1619" spans="1:8" ht="15.75">
      <c r="A1619" s="124">
        <v>41765</v>
      </c>
      <c r="B1619" s="125">
        <v>45.13</v>
      </c>
      <c r="C1619" s="52"/>
      <c r="D1619" s="52"/>
      <c r="E1619" s="52"/>
      <c r="F1619" s="52"/>
      <c r="G1619" s="52"/>
      <c r="H1619" s="52"/>
    </row>
    <row r="1620" spans="1:8" ht="15.75">
      <c r="A1620" s="124">
        <v>41766</v>
      </c>
      <c r="B1620" s="125">
        <v>45.15</v>
      </c>
      <c r="C1620" s="52"/>
      <c r="D1620" s="52"/>
      <c r="E1620" s="52"/>
      <c r="F1620" s="52"/>
      <c r="G1620" s="52"/>
      <c r="H1620" s="52"/>
    </row>
    <row r="1621" spans="1:8" ht="15.75">
      <c r="A1621" s="124">
        <v>41767</v>
      </c>
      <c r="B1621" s="125">
        <v>45.13</v>
      </c>
      <c r="C1621" s="52"/>
      <c r="D1621" s="52"/>
      <c r="E1621" s="52"/>
      <c r="F1621" s="52"/>
      <c r="G1621" s="52"/>
      <c r="H1621" s="52"/>
    </row>
    <row r="1622" spans="1:8" ht="15.75">
      <c r="A1622" s="124">
        <v>41768</v>
      </c>
      <c r="B1622" s="125">
        <v>45.14</v>
      </c>
      <c r="C1622" s="52"/>
      <c r="D1622" s="52"/>
      <c r="E1622" s="52"/>
      <c r="F1622" s="52"/>
      <c r="G1622" s="52"/>
      <c r="H1622" s="52"/>
    </row>
    <row r="1623" spans="1:8" ht="15.75">
      <c r="A1623" s="124">
        <v>41771</v>
      </c>
      <c r="B1623" s="125">
        <v>45.11</v>
      </c>
      <c r="C1623" s="52"/>
      <c r="D1623" s="52"/>
      <c r="E1623" s="52"/>
      <c r="F1623" s="52"/>
      <c r="G1623" s="52"/>
      <c r="H1623" s="52"/>
    </row>
    <row r="1624" spans="1:8" ht="15.75">
      <c r="A1624" s="124">
        <v>41772</v>
      </c>
      <c r="B1624" s="125">
        <v>45.15</v>
      </c>
      <c r="C1624" s="52"/>
      <c r="D1624" s="52"/>
      <c r="E1624" s="52"/>
      <c r="F1624" s="52"/>
      <c r="G1624" s="52"/>
      <c r="H1624" s="52"/>
    </row>
    <row r="1625" spans="1:8" ht="15.75">
      <c r="A1625" s="124">
        <v>41773</v>
      </c>
      <c r="B1625" s="125">
        <v>45.1</v>
      </c>
      <c r="C1625" s="52"/>
      <c r="D1625" s="52"/>
      <c r="E1625" s="52"/>
      <c r="F1625" s="52"/>
      <c r="G1625" s="52"/>
      <c r="H1625" s="52"/>
    </row>
    <row r="1626" spans="1:8" ht="15.75">
      <c r="A1626" s="124">
        <v>41774</v>
      </c>
      <c r="B1626" s="125">
        <v>45.31</v>
      </c>
      <c r="C1626" s="52"/>
      <c r="D1626" s="52"/>
      <c r="E1626" s="52"/>
      <c r="F1626" s="52"/>
      <c r="G1626" s="52"/>
      <c r="H1626" s="52"/>
    </row>
    <row r="1627" spans="1:8" ht="15.75">
      <c r="A1627" s="124">
        <v>41775</v>
      </c>
      <c r="B1627" s="125">
        <v>45.06</v>
      </c>
      <c r="C1627" s="52"/>
      <c r="D1627" s="52"/>
      <c r="E1627" s="52"/>
      <c r="F1627" s="52"/>
      <c r="G1627" s="52"/>
      <c r="H1627" s="52"/>
    </row>
    <row r="1628" spans="1:8" ht="15.75">
      <c r="A1628" s="124">
        <v>41778</v>
      </c>
      <c r="B1628" s="125">
        <v>45.41</v>
      </c>
      <c r="C1628" s="52"/>
      <c r="D1628" s="52"/>
      <c r="E1628" s="52"/>
      <c r="F1628" s="52"/>
      <c r="G1628" s="52"/>
      <c r="H1628" s="52"/>
    </row>
    <row r="1629" spans="1:8" ht="15.75">
      <c r="A1629" s="124">
        <v>41779</v>
      </c>
      <c r="B1629" s="125">
        <v>45.36</v>
      </c>
      <c r="C1629" s="52"/>
      <c r="D1629" s="52"/>
      <c r="E1629" s="52"/>
      <c r="F1629" s="52"/>
      <c r="G1629" s="52"/>
      <c r="H1629" s="52"/>
    </row>
    <row r="1630" spans="1:8" ht="15.75">
      <c r="A1630" s="124">
        <v>41780</v>
      </c>
      <c r="B1630" s="125">
        <v>45.35</v>
      </c>
      <c r="C1630" s="52"/>
      <c r="D1630" s="52"/>
      <c r="E1630" s="52"/>
      <c r="F1630" s="52"/>
      <c r="G1630" s="52"/>
      <c r="H1630" s="52"/>
    </row>
    <row r="1631" spans="1:8" ht="15.75">
      <c r="A1631" s="124">
        <v>41781</v>
      </c>
      <c r="B1631" s="125">
        <v>45.36</v>
      </c>
      <c r="C1631" s="52"/>
      <c r="D1631" s="52"/>
      <c r="E1631" s="52"/>
      <c r="F1631" s="52"/>
      <c r="G1631" s="52"/>
      <c r="H1631" s="52"/>
    </row>
    <row r="1632" spans="1:8" ht="15.75">
      <c r="A1632" s="124">
        <v>41782</v>
      </c>
      <c r="B1632" s="125">
        <v>45.25</v>
      </c>
      <c r="C1632" s="52"/>
      <c r="D1632" s="52"/>
      <c r="E1632" s="52"/>
      <c r="F1632" s="52"/>
      <c r="G1632" s="52"/>
      <c r="H1632" s="52"/>
    </row>
    <row r="1633" spans="1:8" ht="15.75">
      <c r="A1633" s="124">
        <v>41785</v>
      </c>
      <c r="B1633" s="125">
        <v>45.26</v>
      </c>
      <c r="C1633" s="52"/>
      <c r="D1633" s="52"/>
      <c r="E1633" s="52"/>
      <c r="F1633" s="52"/>
      <c r="G1633" s="52"/>
      <c r="H1633" s="52"/>
    </row>
    <row r="1634" spans="1:8" ht="15.75">
      <c r="A1634" s="124">
        <v>41786</v>
      </c>
      <c r="B1634" s="125">
        <v>45.26</v>
      </c>
      <c r="C1634" s="52"/>
      <c r="D1634" s="52"/>
      <c r="E1634" s="52"/>
      <c r="F1634" s="52"/>
      <c r="G1634" s="52"/>
      <c r="H1634" s="52"/>
    </row>
    <row r="1635" spans="1:8" ht="15.75">
      <c r="A1635" s="124">
        <v>41787</v>
      </c>
      <c r="B1635" s="125">
        <v>45.25</v>
      </c>
      <c r="C1635" s="52"/>
      <c r="D1635" s="52"/>
      <c r="E1635" s="52"/>
      <c r="F1635" s="52"/>
      <c r="G1635" s="52"/>
      <c r="H1635" s="52"/>
    </row>
    <row r="1636" spans="1:8" ht="15.75">
      <c r="A1636" s="124">
        <v>41788</v>
      </c>
      <c r="B1636" s="125">
        <v>45.11</v>
      </c>
      <c r="C1636" s="52"/>
      <c r="D1636" s="52"/>
      <c r="E1636" s="52"/>
      <c r="F1636" s="52"/>
      <c r="G1636" s="52"/>
      <c r="H1636" s="52"/>
    </row>
    <row r="1637" spans="1:8" ht="15.75">
      <c r="A1637" s="124">
        <v>41789</v>
      </c>
      <c r="B1637" s="125">
        <v>45.38</v>
      </c>
      <c r="C1637" s="52"/>
      <c r="D1637" s="52"/>
      <c r="E1637" s="52"/>
      <c r="F1637" s="52"/>
      <c r="G1637" s="52"/>
      <c r="H1637" s="52"/>
    </row>
    <row r="1638" spans="1:8" ht="15.75">
      <c r="A1638" s="124">
        <v>41792</v>
      </c>
      <c r="B1638" s="125">
        <v>45.02</v>
      </c>
      <c r="C1638" s="52"/>
      <c r="D1638" s="52"/>
      <c r="E1638" s="52"/>
      <c r="F1638" s="52"/>
      <c r="G1638" s="52"/>
      <c r="H1638" s="52"/>
    </row>
    <row r="1639" spans="1:8" ht="15.75">
      <c r="A1639" s="124">
        <v>41793</v>
      </c>
      <c r="B1639" s="125">
        <v>45.26</v>
      </c>
      <c r="C1639" s="52"/>
      <c r="D1639" s="52"/>
      <c r="E1639" s="52"/>
      <c r="F1639" s="52"/>
      <c r="G1639" s="52"/>
      <c r="H1639" s="52"/>
    </row>
    <row r="1640" spans="1:8" ht="15.75">
      <c r="A1640" s="124">
        <v>41794</v>
      </c>
      <c r="B1640" s="125">
        <v>45.25</v>
      </c>
      <c r="C1640" s="52"/>
      <c r="D1640" s="52"/>
      <c r="E1640" s="52"/>
      <c r="F1640" s="52"/>
      <c r="G1640" s="52"/>
      <c r="H1640" s="52"/>
    </row>
    <row r="1641" spans="1:8" ht="15.75">
      <c r="A1641" s="124">
        <v>41795</v>
      </c>
      <c r="B1641" s="125">
        <v>45.2</v>
      </c>
      <c r="C1641" s="52"/>
      <c r="D1641" s="52"/>
      <c r="E1641" s="52"/>
      <c r="F1641" s="52"/>
      <c r="G1641" s="52"/>
      <c r="H1641" s="52"/>
    </row>
    <row r="1642" spans="1:8" ht="15.75">
      <c r="A1642" s="124">
        <v>41796</v>
      </c>
      <c r="B1642" s="125">
        <v>45.26</v>
      </c>
      <c r="C1642" s="52"/>
      <c r="D1642" s="52"/>
      <c r="E1642" s="52"/>
      <c r="F1642" s="52"/>
      <c r="G1642" s="52"/>
      <c r="H1642" s="52"/>
    </row>
    <row r="1643" spans="1:8" ht="15.75">
      <c r="A1643" s="124">
        <v>41799</v>
      </c>
      <c r="B1643" s="125">
        <v>45.26</v>
      </c>
      <c r="C1643" s="52"/>
      <c r="D1643" s="52"/>
      <c r="E1643" s="52"/>
      <c r="F1643" s="52"/>
      <c r="G1643" s="52"/>
      <c r="H1643" s="52"/>
    </row>
    <row r="1644" spans="1:8" ht="15.75">
      <c r="A1644" s="124">
        <v>41800</v>
      </c>
      <c r="B1644" s="125">
        <v>45.26</v>
      </c>
      <c r="C1644" s="52"/>
      <c r="D1644" s="52"/>
      <c r="E1644" s="52"/>
      <c r="F1644" s="52"/>
      <c r="G1644" s="52"/>
      <c r="H1644" s="52"/>
    </row>
    <row r="1645" spans="1:8" ht="15.75">
      <c r="A1645" s="124">
        <v>41801</v>
      </c>
      <c r="B1645" s="125">
        <v>45.3</v>
      </c>
      <c r="C1645" s="52"/>
      <c r="D1645" s="52"/>
      <c r="E1645" s="52"/>
      <c r="F1645" s="52"/>
      <c r="G1645" s="52"/>
      <c r="H1645" s="52"/>
    </row>
    <row r="1646" spans="1:8" ht="15.75">
      <c r="A1646" s="124">
        <v>41802</v>
      </c>
      <c r="B1646" s="125">
        <v>45.3</v>
      </c>
      <c r="C1646" s="52"/>
      <c r="D1646" s="52"/>
      <c r="E1646" s="52"/>
      <c r="F1646" s="52"/>
      <c r="G1646" s="52"/>
      <c r="H1646" s="52"/>
    </row>
    <row r="1647" spans="1:8" ht="15.75">
      <c r="A1647" s="124">
        <v>41803</v>
      </c>
      <c r="B1647" s="125">
        <v>45.47</v>
      </c>
      <c r="C1647" s="52"/>
      <c r="D1647" s="52"/>
      <c r="E1647" s="52"/>
      <c r="F1647" s="52"/>
      <c r="G1647" s="52"/>
      <c r="H1647" s="52"/>
    </row>
    <row r="1648" spans="1:8" ht="15.75">
      <c r="A1648" s="124">
        <v>41806</v>
      </c>
      <c r="B1648" s="125">
        <v>45.25</v>
      </c>
      <c r="C1648" s="52"/>
      <c r="D1648" s="52"/>
      <c r="E1648" s="52"/>
      <c r="F1648" s="52"/>
      <c r="G1648" s="52"/>
      <c r="H1648" s="52"/>
    </row>
    <row r="1649" spans="1:8" ht="15.75">
      <c r="A1649" s="124">
        <v>41807</v>
      </c>
      <c r="B1649" s="125">
        <v>45.23</v>
      </c>
      <c r="C1649" s="52"/>
      <c r="D1649" s="52"/>
      <c r="E1649" s="52"/>
      <c r="F1649" s="52"/>
      <c r="G1649" s="52"/>
      <c r="H1649" s="52"/>
    </row>
    <row r="1650" spans="1:8" ht="15.75">
      <c r="A1650" s="124">
        <v>41808</v>
      </c>
      <c r="B1650" s="125">
        <v>45.17</v>
      </c>
      <c r="C1650" s="52"/>
      <c r="D1650" s="52"/>
      <c r="E1650" s="52"/>
      <c r="F1650" s="52"/>
      <c r="G1650" s="52"/>
      <c r="H1650" s="52"/>
    </row>
    <row r="1651" spans="1:8" ht="15.75">
      <c r="A1651" s="124">
        <v>41809</v>
      </c>
      <c r="B1651" s="125">
        <v>45.16</v>
      </c>
      <c r="C1651" s="52"/>
      <c r="D1651" s="52"/>
      <c r="E1651" s="52"/>
      <c r="F1651" s="52"/>
      <c r="G1651" s="52"/>
      <c r="H1651" s="52"/>
    </row>
    <row r="1652" spans="1:8" ht="15.75">
      <c r="A1652" s="124">
        <v>41810</v>
      </c>
      <c r="B1652" s="125">
        <v>45.22</v>
      </c>
      <c r="C1652" s="52"/>
      <c r="D1652" s="52"/>
      <c r="E1652" s="52"/>
      <c r="F1652" s="52"/>
      <c r="G1652" s="52"/>
      <c r="H1652" s="52"/>
    </row>
    <row r="1653" spans="1:8" ht="15.75">
      <c r="A1653" s="124">
        <v>41813</v>
      </c>
      <c r="B1653" s="125">
        <v>45.22</v>
      </c>
      <c r="C1653" s="52"/>
      <c r="D1653" s="52"/>
      <c r="E1653" s="52"/>
      <c r="F1653" s="52"/>
      <c r="G1653" s="52"/>
      <c r="H1653" s="52"/>
    </row>
    <row r="1654" spans="1:8" ht="15.75">
      <c r="A1654" s="124">
        <v>41814</v>
      </c>
      <c r="B1654" s="125">
        <v>45.43</v>
      </c>
      <c r="C1654" s="52"/>
      <c r="D1654" s="52"/>
      <c r="E1654" s="52"/>
      <c r="F1654" s="52"/>
      <c r="G1654" s="52"/>
      <c r="H1654" s="52"/>
    </row>
    <row r="1655" spans="1:8" ht="15.75">
      <c r="A1655" s="124">
        <v>41815</v>
      </c>
      <c r="B1655" s="125">
        <v>45.2</v>
      </c>
      <c r="C1655" s="52"/>
      <c r="D1655" s="52"/>
      <c r="E1655" s="52"/>
      <c r="F1655" s="52"/>
      <c r="G1655" s="52"/>
      <c r="H1655" s="52"/>
    </row>
    <row r="1656" spans="1:8" ht="15.75">
      <c r="A1656" s="124">
        <v>41816</v>
      </c>
      <c r="B1656" s="125">
        <v>45.3</v>
      </c>
      <c r="C1656" s="52"/>
      <c r="D1656" s="52"/>
      <c r="E1656" s="52"/>
      <c r="F1656" s="52"/>
      <c r="G1656" s="52"/>
      <c r="H1656" s="52"/>
    </row>
    <row r="1657" spans="1:8" ht="15.75">
      <c r="A1657" s="124">
        <v>41817</v>
      </c>
      <c r="B1657" s="125">
        <v>45.22</v>
      </c>
      <c r="C1657" s="52"/>
      <c r="D1657" s="52"/>
      <c r="E1657" s="52"/>
      <c r="F1657" s="52"/>
      <c r="G1657" s="52"/>
      <c r="H1657" s="52"/>
    </row>
    <row r="1658" spans="1:8" ht="15.75">
      <c r="A1658" s="124">
        <v>41820</v>
      </c>
      <c r="B1658" s="125">
        <v>45.06</v>
      </c>
      <c r="C1658" s="52"/>
      <c r="D1658" s="52"/>
      <c r="E1658" s="52"/>
      <c r="F1658" s="52"/>
      <c r="G1658" s="52"/>
      <c r="H1658" s="52"/>
    </row>
    <row r="1659" spans="1:8" ht="15.75">
      <c r="A1659" s="124">
        <v>41821</v>
      </c>
      <c r="B1659" s="125">
        <v>45.05</v>
      </c>
      <c r="C1659" s="52"/>
      <c r="D1659" s="52"/>
      <c r="E1659" s="52"/>
      <c r="F1659" s="52"/>
      <c r="G1659" s="52"/>
      <c r="H1659" s="52"/>
    </row>
    <row r="1660" spans="1:8" ht="15.75">
      <c r="A1660" s="124">
        <v>41822</v>
      </c>
      <c r="B1660" s="125">
        <v>45.27</v>
      </c>
      <c r="C1660" s="52"/>
      <c r="D1660" s="52"/>
      <c r="E1660" s="52"/>
      <c r="F1660" s="52"/>
      <c r="G1660" s="52"/>
      <c r="H1660" s="52"/>
    </row>
    <row r="1661" spans="1:8" ht="15.75">
      <c r="A1661" s="124">
        <v>41823</v>
      </c>
      <c r="B1661" s="125">
        <v>45.24</v>
      </c>
      <c r="C1661" s="52"/>
      <c r="D1661" s="52"/>
      <c r="E1661" s="52"/>
      <c r="F1661" s="52"/>
      <c r="G1661" s="52"/>
      <c r="H1661" s="52"/>
    </row>
    <row r="1662" spans="1:8" ht="15.75">
      <c r="A1662" s="124">
        <v>41824</v>
      </c>
      <c r="B1662" s="125">
        <v>45.08</v>
      </c>
      <c r="C1662" s="52"/>
      <c r="D1662" s="52"/>
      <c r="E1662" s="52"/>
      <c r="F1662" s="52"/>
      <c r="G1662" s="52"/>
      <c r="H1662" s="52"/>
    </row>
    <row r="1663" spans="1:8" ht="15.75">
      <c r="A1663" s="124">
        <v>41827</v>
      </c>
      <c r="B1663" s="125">
        <v>45.01</v>
      </c>
      <c r="C1663" s="52"/>
      <c r="D1663" s="52"/>
      <c r="E1663" s="52"/>
      <c r="F1663" s="52"/>
      <c r="G1663" s="52"/>
      <c r="H1663" s="52"/>
    </row>
    <row r="1664" spans="1:8" ht="15.75">
      <c r="A1664" s="124">
        <v>41828</v>
      </c>
      <c r="B1664" s="125">
        <v>45.22</v>
      </c>
      <c r="C1664" s="52"/>
      <c r="D1664" s="52"/>
      <c r="E1664" s="52"/>
      <c r="F1664" s="52"/>
      <c r="G1664" s="52"/>
      <c r="H1664" s="52"/>
    </row>
    <row r="1665" spans="1:8" ht="15.75">
      <c r="A1665" s="124">
        <v>41829</v>
      </c>
      <c r="B1665" s="125">
        <v>45.05</v>
      </c>
      <c r="C1665" s="52"/>
      <c r="D1665" s="52"/>
      <c r="E1665" s="52"/>
      <c r="F1665" s="52"/>
      <c r="G1665" s="52"/>
      <c r="H1665" s="52"/>
    </row>
    <row r="1666" spans="1:8" ht="15.75">
      <c r="A1666" s="124">
        <v>41830</v>
      </c>
      <c r="B1666" s="125">
        <v>45.05</v>
      </c>
      <c r="C1666" s="52"/>
      <c r="D1666" s="52"/>
      <c r="E1666" s="52"/>
      <c r="F1666" s="52"/>
      <c r="G1666" s="52"/>
      <c r="H1666" s="52"/>
    </row>
    <row r="1667" spans="1:8" ht="15.75">
      <c r="A1667" s="124">
        <v>41831</v>
      </c>
      <c r="B1667" s="125">
        <v>45.16</v>
      </c>
      <c r="C1667" s="52"/>
      <c r="D1667" s="52"/>
      <c r="E1667" s="52"/>
      <c r="F1667" s="52"/>
      <c r="G1667" s="52"/>
      <c r="H1667" s="52"/>
    </row>
    <row r="1668" spans="1:8" ht="15.75">
      <c r="A1668" s="124">
        <v>41834</v>
      </c>
      <c r="B1668" s="125">
        <v>44.9</v>
      </c>
      <c r="C1668" s="52"/>
      <c r="D1668" s="52"/>
      <c r="E1668" s="52"/>
      <c r="F1668" s="52"/>
      <c r="G1668" s="52"/>
      <c r="H1668" s="52"/>
    </row>
    <row r="1669" spans="1:8" ht="15.75">
      <c r="A1669" s="124">
        <v>41835</v>
      </c>
      <c r="B1669" s="125">
        <v>44.88</v>
      </c>
      <c r="C1669" s="52"/>
      <c r="D1669" s="52"/>
      <c r="E1669" s="52"/>
      <c r="F1669" s="52"/>
      <c r="G1669" s="52"/>
      <c r="H1669" s="52"/>
    </row>
    <row r="1670" spans="1:8" ht="15.75">
      <c r="A1670" s="124">
        <v>41836</v>
      </c>
      <c r="B1670" s="125">
        <v>44.91</v>
      </c>
      <c r="C1670" s="52"/>
      <c r="D1670" s="52"/>
      <c r="E1670" s="52"/>
      <c r="F1670" s="52"/>
      <c r="G1670" s="52"/>
      <c r="H1670" s="52"/>
    </row>
    <row r="1671" spans="1:8" ht="15.75">
      <c r="A1671" s="124">
        <v>41837</v>
      </c>
      <c r="B1671" s="125">
        <v>44.87</v>
      </c>
      <c r="C1671" s="52"/>
      <c r="D1671" s="52"/>
      <c r="E1671" s="52"/>
      <c r="F1671" s="52"/>
      <c r="G1671" s="52"/>
      <c r="H1671" s="52"/>
    </row>
    <row r="1672" spans="1:8" ht="15.75">
      <c r="A1672" s="124">
        <v>41838</v>
      </c>
      <c r="B1672" s="125">
        <v>44.86</v>
      </c>
      <c r="C1672" s="52"/>
      <c r="D1672" s="52"/>
      <c r="E1672" s="52"/>
      <c r="F1672" s="52"/>
      <c r="G1672" s="52"/>
      <c r="H1672" s="52"/>
    </row>
    <row r="1673" spans="1:8" ht="15.75">
      <c r="A1673" s="124">
        <v>41841</v>
      </c>
      <c r="B1673" s="125">
        <v>45.02</v>
      </c>
      <c r="C1673" s="52"/>
      <c r="D1673" s="52"/>
      <c r="E1673" s="52"/>
      <c r="F1673" s="52"/>
      <c r="G1673" s="52"/>
      <c r="H1673" s="52"/>
    </row>
    <row r="1674" spans="1:8" ht="15.75">
      <c r="A1674" s="124">
        <v>41842</v>
      </c>
      <c r="B1674" s="125">
        <v>45.05</v>
      </c>
      <c r="C1674" s="52"/>
      <c r="D1674" s="52"/>
      <c r="E1674" s="52"/>
      <c r="F1674" s="52"/>
      <c r="G1674" s="52"/>
      <c r="H1674" s="52"/>
    </row>
    <row r="1675" spans="1:8" ht="15.75">
      <c r="A1675" s="124">
        <v>41843</v>
      </c>
      <c r="B1675" s="125">
        <v>44.8</v>
      </c>
      <c r="C1675" s="52"/>
      <c r="D1675" s="52"/>
      <c r="E1675" s="52"/>
      <c r="F1675" s="52"/>
      <c r="G1675" s="52"/>
      <c r="H1675" s="52"/>
    </row>
    <row r="1676" spans="1:8" ht="15.75">
      <c r="A1676" s="124">
        <v>41844</v>
      </c>
      <c r="B1676" s="125">
        <v>44.97</v>
      </c>
      <c r="C1676" s="52"/>
      <c r="D1676" s="52"/>
      <c r="E1676" s="52"/>
      <c r="F1676" s="52"/>
      <c r="G1676" s="52"/>
      <c r="H1676" s="52"/>
    </row>
    <row r="1677" spans="1:8" ht="15.75">
      <c r="A1677" s="124">
        <v>41845</v>
      </c>
      <c r="B1677" s="125">
        <v>44.76</v>
      </c>
      <c r="C1677" s="52"/>
      <c r="D1677" s="52"/>
      <c r="E1677" s="52"/>
      <c r="F1677" s="52"/>
      <c r="G1677" s="52"/>
      <c r="H1677" s="52"/>
    </row>
    <row r="1678" spans="1:8" ht="15.75">
      <c r="A1678" s="124">
        <v>41848</v>
      </c>
      <c r="B1678" s="125">
        <v>44.64</v>
      </c>
      <c r="C1678" s="52"/>
      <c r="D1678" s="52"/>
      <c r="E1678" s="52"/>
      <c r="F1678" s="52"/>
      <c r="G1678" s="52"/>
      <c r="H1678" s="52"/>
    </row>
    <row r="1679" spans="1:8" ht="15.75">
      <c r="A1679" s="124">
        <v>41849</v>
      </c>
      <c r="B1679" s="125">
        <v>44.81</v>
      </c>
      <c r="C1679" s="52"/>
      <c r="D1679" s="52"/>
      <c r="E1679" s="52"/>
      <c r="F1679" s="52"/>
      <c r="G1679" s="52"/>
      <c r="H1679" s="52"/>
    </row>
    <row r="1680" spans="1:8" ht="15.75">
      <c r="A1680" s="124">
        <v>41850</v>
      </c>
      <c r="B1680" s="125">
        <v>44.86</v>
      </c>
      <c r="C1680" s="52"/>
      <c r="D1680" s="52"/>
      <c r="E1680" s="52"/>
      <c r="F1680" s="52"/>
      <c r="G1680" s="52"/>
      <c r="H1680" s="52"/>
    </row>
    <row r="1681" spans="1:8" ht="15.75">
      <c r="A1681" s="124">
        <v>41851</v>
      </c>
      <c r="B1681" s="125">
        <v>44.87</v>
      </c>
      <c r="C1681" s="52"/>
      <c r="D1681" s="52"/>
      <c r="E1681" s="52"/>
      <c r="F1681" s="52"/>
      <c r="G1681" s="52"/>
      <c r="H1681" s="52"/>
    </row>
    <row r="1682" spans="1:8" ht="15.75">
      <c r="A1682" s="124">
        <v>41852</v>
      </c>
      <c r="B1682" s="125">
        <v>45.02</v>
      </c>
      <c r="C1682" s="52"/>
      <c r="D1682" s="52"/>
      <c r="E1682" s="52"/>
      <c r="F1682" s="52"/>
      <c r="G1682" s="52"/>
      <c r="H1682" s="52"/>
    </row>
    <row r="1683" spans="1:8" ht="15.75">
      <c r="A1683" s="124">
        <v>41855</v>
      </c>
      <c r="B1683" s="125">
        <v>45.27</v>
      </c>
      <c r="C1683" s="52"/>
      <c r="D1683" s="52"/>
      <c r="E1683" s="52"/>
      <c r="F1683" s="52"/>
      <c r="G1683" s="52"/>
      <c r="H1683" s="52"/>
    </row>
    <row r="1684" spans="1:8" ht="15.75">
      <c r="A1684" s="124">
        <v>41856</v>
      </c>
      <c r="B1684" s="125">
        <v>45.04</v>
      </c>
      <c r="C1684" s="52"/>
      <c r="D1684" s="52"/>
      <c r="E1684" s="52"/>
      <c r="F1684" s="52"/>
      <c r="G1684" s="52"/>
      <c r="H1684" s="52"/>
    </row>
    <row r="1685" spans="1:8" ht="15.75">
      <c r="A1685" s="124">
        <v>41857</v>
      </c>
      <c r="B1685" s="125">
        <v>45.1</v>
      </c>
      <c r="C1685" s="52"/>
      <c r="D1685" s="52"/>
      <c r="E1685" s="52"/>
      <c r="F1685" s="52"/>
      <c r="G1685" s="52"/>
      <c r="H1685" s="52"/>
    </row>
    <row r="1686" spans="1:8" ht="15.75">
      <c r="A1686" s="124">
        <v>41858</v>
      </c>
      <c r="B1686" s="125">
        <v>45.37</v>
      </c>
      <c r="C1686" s="52"/>
      <c r="D1686" s="52"/>
      <c r="E1686" s="52"/>
      <c r="F1686" s="52"/>
      <c r="G1686" s="52"/>
      <c r="H1686" s="52"/>
    </row>
    <row r="1687" spans="1:8" ht="15.75">
      <c r="A1687" s="124">
        <v>41859</v>
      </c>
      <c r="B1687" s="125">
        <v>45.1</v>
      </c>
      <c r="C1687" s="52"/>
      <c r="D1687" s="52"/>
      <c r="E1687" s="52"/>
      <c r="F1687" s="52"/>
      <c r="G1687" s="52"/>
      <c r="H1687" s="52"/>
    </row>
    <row r="1688" spans="1:8" ht="15.75">
      <c r="A1688" s="124">
        <v>41862</v>
      </c>
      <c r="B1688" s="125">
        <v>44.88</v>
      </c>
      <c r="C1688" s="52"/>
      <c r="D1688" s="52"/>
      <c r="E1688" s="52"/>
      <c r="F1688" s="52"/>
      <c r="G1688" s="52"/>
      <c r="H1688" s="52"/>
    </row>
    <row r="1689" spans="1:8" ht="15.75">
      <c r="A1689" s="124">
        <v>41863</v>
      </c>
      <c r="B1689" s="125">
        <v>44.77</v>
      </c>
      <c r="C1689" s="52"/>
      <c r="D1689" s="52"/>
      <c r="E1689" s="52"/>
      <c r="F1689" s="52"/>
      <c r="G1689" s="52"/>
      <c r="H1689" s="52"/>
    </row>
    <row r="1690" spans="1:8" ht="15.75">
      <c r="A1690" s="124">
        <v>41864</v>
      </c>
      <c r="B1690" s="125">
        <v>44.78</v>
      </c>
      <c r="C1690" s="52"/>
      <c r="D1690" s="52"/>
      <c r="E1690" s="52"/>
      <c r="F1690" s="52"/>
      <c r="G1690" s="52"/>
      <c r="H1690" s="52"/>
    </row>
    <row r="1691" spans="1:8" ht="15.75">
      <c r="A1691" s="124">
        <v>41865</v>
      </c>
      <c r="B1691" s="125">
        <v>44.9</v>
      </c>
      <c r="C1691" s="52"/>
      <c r="D1691" s="52"/>
      <c r="E1691" s="52"/>
      <c r="F1691" s="52"/>
      <c r="G1691" s="52"/>
      <c r="H1691" s="52"/>
    </row>
    <row r="1692" spans="1:8" ht="15.75">
      <c r="A1692" s="124">
        <v>41866</v>
      </c>
      <c r="B1692" s="125">
        <v>44.82</v>
      </c>
      <c r="C1692" s="52"/>
      <c r="D1692" s="52"/>
      <c r="E1692" s="52"/>
      <c r="F1692" s="52"/>
      <c r="G1692" s="52"/>
      <c r="H1692" s="52"/>
    </row>
    <row r="1693" spans="1:8" ht="15.75">
      <c r="A1693" s="124">
        <v>41869</v>
      </c>
      <c r="B1693" s="125">
        <v>44.8</v>
      </c>
      <c r="C1693" s="52"/>
      <c r="D1693" s="52"/>
      <c r="E1693" s="52"/>
      <c r="F1693" s="52"/>
      <c r="G1693" s="52"/>
      <c r="H1693" s="52"/>
    </row>
    <row r="1694" spans="1:8" ht="15.75">
      <c r="A1694" s="124">
        <v>41870</v>
      </c>
      <c r="B1694" s="125">
        <v>45.02</v>
      </c>
      <c r="C1694" s="52"/>
      <c r="D1694" s="52"/>
      <c r="E1694" s="52"/>
      <c r="F1694" s="52"/>
      <c r="G1694" s="52"/>
      <c r="H1694" s="52"/>
    </row>
    <row r="1695" spans="1:8" ht="15.75">
      <c r="A1695" s="124">
        <v>41871</v>
      </c>
      <c r="B1695" s="125">
        <v>45.04</v>
      </c>
      <c r="C1695" s="52"/>
      <c r="D1695" s="52"/>
      <c r="E1695" s="52"/>
      <c r="F1695" s="52"/>
      <c r="G1695" s="52"/>
      <c r="H1695" s="52"/>
    </row>
    <row r="1696" spans="1:8" ht="15.75">
      <c r="A1696" s="124">
        <v>41872</v>
      </c>
      <c r="B1696" s="125">
        <v>45.19</v>
      </c>
      <c r="C1696" s="52"/>
      <c r="D1696" s="52"/>
      <c r="E1696" s="52"/>
      <c r="F1696" s="52"/>
      <c r="G1696" s="52"/>
      <c r="H1696" s="52"/>
    </row>
    <row r="1697" spans="1:8" ht="15.75">
      <c r="A1697" s="124">
        <v>41873</v>
      </c>
      <c r="B1697" s="125">
        <v>45.2</v>
      </c>
      <c r="C1697" s="52"/>
      <c r="D1697" s="52"/>
      <c r="E1697" s="52"/>
      <c r="F1697" s="52"/>
      <c r="G1697" s="52"/>
      <c r="H1697" s="52"/>
    </row>
    <row r="1698" spans="1:8" ht="15.75">
      <c r="A1698" s="124">
        <v>41876</v>
      </c>
      <c r="B1698" s="125">
        <v>45.48</v>
      </c>
      <c r="C1698" s="52"/>
      <c r="D1698" s="52"/>
      <c r="E1698" s="52"/>
      <c r="F1698" s="52"/>
      <c r="G1698" s="52"/>
      <c r="H1698" s="52"/>
    </row>
    <row r="1699" spans="1:8" ht="15.75">
      <c r="A1699" s="124">
        <v>41877</v>
      </c>
      <c r="B1699" s="125">
        <v>45.16</v>
      </c>
      <c r="C1699" s="52"/>
      <c r="D1699" s="52"/>
      <c r="E1699" s="52"/>
      <c r="F1699" s="52"/>
      <c r="G1699" s="52"/>
      <c r="H1699" s="52"/>
    </row>
    <row r="1700" spans="1:8" ht="15.75">
      <c r="A1700" s="124">
        <v>41878</v>
      </c>
      <c r="B1700" s="125">
        <v>45.07</v>
      </c>
      <c r="C1700" s="52"/>
      <c r="D1700" s="52"/>
      <c r="E1700" s="52"/>
      <c r="F1700" s="52"/>
      <c r="G1700" s="52"/>
      <c r="H1700" s="52"/>
    </row>
    <row r="1701" spans="1:8" ht="15.75">
      <c r="A1701" s="124">
        <v>41879</v>
      </c>
      <c r="B1701" s="125">
        <v>45.24</v>
      </c>
      <c r="C1701" s="52"/>
      <c r="D1701" s="52"/>
      <c r="E1701" s="52"/>
      <c r="F1701" s="52"/>
      <c r="G1701" s="52"/>
      <c r="H1701" s="52"/>
    </row>
    <row r="1702" spans="1:8" ht="15.75">
      <c r="A1702" s="124">
        <v>41880</v>
      </c>
      <c r="B1702" s="125">
        <v>45.23</v>
      </c>
      <c r="C1702" s="52"/>
      <c r="D1702" s="52"/>
      <c r="E1702" s="52"/>
      <c r="F1702" s="52"/>
      <c r="G1702" s="52"/>
      <c r="H1702" s="52"/>
    </row>
    <row r="1703" spans="1:8" ht="15.75">
      <c r="A1703" s="124">
        <v>41883</v>
      </c>
      <c r="B1703" s="125">
        <v>45</v>
      </c>
      <c r="C1703" s="52"/>
      <c r="D1703" s="52"/>
      <c r="E1703" s="52"/>
      <c r="F1703" s="52"/>
      <c r="G1703" s="52"/>
      <c r="H1703" s="52"/>
    </row>
    <row r="1704" spans="1:8" ht="15.75">
      <c r="A1704" s="124">
        <v>41884</v>
      </c>
      <c r="B1704" s="125">
        <v>45.12</v>
      </c>
      <c r="C1704" s="52"/>
      <c r="D1704" s="52"/>
      <c r="E1704" s="52"/>
      <c r="F1704" s="52"/>
      <c r="G1704" s="52"/>
      <c r="H1704" s="52"/>
    </row>
    <row r="1705" spans="1:8" ht="15.75">
      <c r="A1705" s="124">
        <v>41885</v>
      </c>
      <c r="B1705" s="125">
        <v>45.11</v>
      </c>
      <c r="C1705" s="52"/>
      <c r="D1705" s="52"/>
      <c r="E1705" s="52"/>
      <c r="F1705" s="52"/>
      <c r="G1705" s="52"/>
      <c r="H1705" s="52"/>
    </row>
    <row r="1706" spans="1:8" ht="15.75">
      <c r="A1706" s="124">
        <v>41886</v>
      </c>
      <c r="B1706" s="125">
        <v>45.11</v>
      </c>
      <c r="C1706" s="52"/>
      <c r="D1706" s="52"/>
      <c r="E1706" s="52"/>
      <c r="F1706" s="52"/>
      <c r="G1706" s="52"/>
      <c r="H1706" s="52"/>
    </row>
    <row r="1707" spans="1:8" ht="15.75">
      <c r="A1707" s="124">
        <v>41887</v>
      </c>
      <c r="B1707" s="125">
        <v>45.01</v>
      </c>
      <c r="C1707" s="52"/>
      <c r="D1707" s="52"/>
      <c r="E1707" s="52"/>
      <c r="F1707" s="52"/>
      <c r="G1707" s="52"/>
      <c r="H1707" s="52"/>
    </row>
    <row r="1708" spans="1:8" ht="15.75">
      <c r="A1708" s="124">
        <v>41890</v>
      </c>
      <c r="B1708" s="125">
        <v>45.03</v>
      </c>
      <c r="C1708" s="52"/>
      <c r="D1708" s="52"/>
      <c r="E1708" s="52"/>
      <c r="F1708" s="52"/>
      <c r="G1708" s="52"/>
      <c r="H1708" s="52"/>
    </row>
    <row r="1709" spans="1:8" ht="15.75">
      <c r="A1709" s="124">
        <v>41891</v>
      </c>
      <c r="B1709" s="125">
        <v>44.95</v>
      </c>
      <c r="C1709" s="52"/>
      <c r="D1709" s="52"/>
      <c r="E1709" s="52"/>
      <c r="F1709" s="52"/>
      <c r="G1709" s="52"/>
      <c r="H1709" s="52"/>
    </row>
    <row r="1710" spans="1:8" ht="15.75">
      <c r="A1710" s="124">
        <v>41892</v>
      </c>
      <c r="B1710" s="125">
        <v>44.93</v>
      </c>
      <c r="C1710" s="52"/>
      <c r="D1710" s="52"/>
      <c r="E1710" s="52"/>
      <c r="F1710" s="52"/>
      <c r="G1710" s="52"/>
      <c r="H1710" s="52"/>
    </row>
    <row r="1711" spans="1:8" ht="15.75">
      <c r="A1711" s="124">
        <v>41893</v>
      </c>
      <c r="B1711" s="125">
        <v>44.97</v>
      </c>
      <c r="C1711" s="52"/>
      <c r="D1711" s="52"/>
      <c r="E1711" s="52"/>
      <c r="F1711" s="52"/>
      <c r="G1711" s="52"/>
      <c r="H1711" s="52"/>
    </row>
    <row r="1712" spans="1:8" ht="15.75">
      <c r="A1712" s="124">
        <v>41894</v>
      </c>
      <c r="B1712" s="125">
        <v>44.78</v>
      </c>
      <c r="C1712" s="52"/>
      <c r="D1712" s="52"/>
      <c r="E1712" s="52"/>
      <c r="F1712" s="52"/>
      <c r="G1712" s="52"/>
      <c r="H1712" s="52"/>
    </row>
    <row r="1713" spans="1:8" ht="15.75">
      <c r="A1713" s="124">
        <v>41897</v>
      </c>
      <c r="B1713" s="125">
        <v>44.89</v>
      </c>
      <c r="C1713" s="52"/>
      <c r="D1713" s="52"/>
      <c r="E1713" s="52"/>
      <c r="F1713" s="52"/>
      <c r="G1713" s="52"/>
      <c r="H1713" s="52"/>
    </row>
    <row r="1714" spans="1:8" ht="15.75">
      <c r="A1714" s="124">
        <v>41898</v>
      </c>
      <c r="B1714" s="125">
        <v>44.88</v>
      </c>
      <c r="C1714" s="52"/>
      <c r="D1714" s="52"/>
      <c r="E1714" s="52"/>
      <c r="F1714" s="52"/>
      <c r="G1714" s="52"/>
      <c r="H1714" s="52"/>
    </row>
    <row r="1715" spans="1:8" ht="15.75">
      <c r="A1715" s="124">
        <v>41899</v>
      </c>
      <c r="B1715" s="125">
        <v>44.89</v>
      </c>
      <c r="C1715" s="52"/>
      <c r="D1715" s="52"/>
      <c r="E1715" s="52"/>
      <c r="F1715" s="52"/>
      <c r="G1715" s="52"/>
      <c r="H1715" s="52"/>
    </row>
    <row r="1716" spans="1:8" ht="15.75">
      <c r="A1716" s="124">
        <v>41900</v>
      </c>
      <c r="B1716" s="125">
        <v>44.76</v>
      </c>
      <c r="C1716" s="52"/>
      <c r="D1716" s="52"/>
      <c r="E1716" s="52"/>
      <c r="F1716" s="52"/>
      <c r="G1716" s="52"/>
      <c r="H1716" s="52"/>
    </row>
    <row r="1717" spans="1:8" ht="15.75">
      <c r="A1717" s="124">
        <v>41901</v>
      </c>
      <c r="B1717" s="125">
        <v>44.98</v>
      </c>
      <c r="C1717" s="52"/>
      <c r="D1717" s="52"/>
      <c r="E1717" s="52"/>
      <c r="F1717" s="52"/>
      <c r="G1717" s="52"/>
      <c r="H1717" s="52"/>
    </row>
    <row r="1718" spans="1:8" ht="15.75">
      <c r="A1718" s="124">
        <v>41904</v>
      </c>
      <c r="B1718" s="125">
        <v>44.97</v>
      </c>
      <c r="C1718" s="52"/>
      <c r="D1718" s="52"/>
      <c r="E1718" s="52"/>
      <c r="F1718" s="52"/>
      <c r="G1718" s="52"/>
      <c r="H1718" s="52"/>
    </row>
    <row r="1719" spans="1:8" ht="15.75">
      <c r="A1719" s="124">
        <v>41905</v>
      </c>
      <c r="B1719" s="125">
        <v>44.9</v>
      </c>
      <c r="C1719" s="52"/>
      <c r="D1719" s="52"/>
      <c r="E1719" s="52"/>
      <c r="F1719" s="52"/>
      <c r="G1719" s="52"/>
      <c r="H1719" s="52"/>
    </row>
    <row r="1720" spans="1:8" ht="15.75">
      <c r="A1720" s="124">
        <v>41906</v>
      </c>
      <c r="B1720" s="125">
        <v>44.8</v>
      </c>
      <c r="C1720" s="52"/>
      <c r="D1720" s="52"/>
      <c r="E1720" s="52"/>
      <c r="F1720" s="52"/>
      <c r="G1720" s="52"/>
      <c r="H1720" s="52"/>
    </row>
    <row r="1721" spans="1:8" ht="15.75">
      <c r="A1721" s="124">
        <v>41907</v>
      </c>
      <c r="B1721" s="125">
        <v>44.77</v>
      </c>
      <c r="C1721" s="52"/>
      <c r="D1721" s="52"/>
      <c r="E1721" s="52"/>
      <c r="F1721" s="52"/>
      <c r="G1721" s="52"/>
      <c r="H1721" s="52"/>
    </row>
    <row r="1722" spans="1:8" ht="15.75">
      <c r="A1722" s="124">
        <v>41908</v>
      </c>
      <c r="B1722" s="125">
        <v>45.1</v>
      </c>
      <c r="C1722" s="52"/>
      <c r="D1722" s="52"/>
      <c r="E1722" s="52"/>
      <c r="F1722" s="52"/>
      <c r="G1722" s="52"/>
      <c r="H1722" s="52"/>
    </row>
    <row r="1723" spans="1:8" ht="15.75">
      <c r="A1723" s="124">
        <v>41911</v>
      </c>
      <c r="B1723" s="125">
        <v>45.07</v>
      </c>
      <c r="C1723" s="52"/>
      <c r="D1723" s="52"/>
      <c r="E1723" s="52"/>
      <c r="F1723" s="52"/>
      <c r="G1723" s="52"/>
      <c r="H1723" s="52"/>
    </row>
    <row r="1724" spans="1:8" ht="15.75">
      <c r="A1724" s="124">
        <v>41912</v>
      </c>
      <c r="B1724" s="125">
        <v>44.9</v>
      </c>
      <c r="C1724" s="52"/>
      <c r="D1724" s="52"/>
      <c r="E1724" s="52"/>
      <c r="F1724" s="52"/>
      <c r="G1724" s="52"/>
      <c r="H1724" s="52"/>
    </row>
    <row r="1725" spans="1:8" ht="15.75">
      <c r="A1725" s="124">
        <v>41913</v>
      </c>
      <c r="B1725" s="125">
        <v>45.02</v>
      </c>
      <c r="C1725" s="52"/>
      <c r="D1725" s="52"/>
      <c r="E1725" s="52"/>
      <c r="F1725" s="52"/>
      <c r="G1725" s="52"/>
      <c r="H1725" s="52"/>
    </row>
    <row r="1726" spans="1:8" ht="15.75">
      <c r="A1726" s="124">
        <v>41914</v>
      </c>
      <c r="B1726" s="125">
        <v>45.01</v>
      </c>
      <c r="C1726" s="52"/>
      <c r="D1726" s="52"/>
      <c r="E1726" s="52"/>
      <c r="F1726" s="52"/>
      <c r="G1726" s="52"/>
      <c r="H1726" s="52"/>
    </row>
    <row r="1727" spans="1:8" ht="15.75">
      <c r="A1727" s="124">
        <v>41918</v>
      </c>
      <c r="B1727" s="125">
        <v>45.01</v>
      </c>
      <c r="C1727" s="52"/>
      <c r="D1727" s="52"/>
      <c r="E1727" s="52"/>
      <c r="F1727" s="52"/>
      <c r="G1727" s="52"/>
      <c r="H1727" s="52"/>
    </row>
    <row r="1728" spans="1:8" ht="15.75">
      <c r="A1728" s="124">
        <v>41919</v>
      </c>
      <c r="B1728" s="125">
        <v>45</v>
      </c>
      <c r="C1728" s="52"/>
      <c r="D1728" s="52"/>
      <c r="E1728" s="52"/>
      <c r="F1728" s="52"/>
      <c r="G1728" s="52"/>
      <c r="H1728" s="52"/>
    </row>
    <row r="1729" spans="1:8" ht="15.75">
      <c r="A1729" s="124">
        <v>41920</v>
      </c>
      <c r="B1729" s="125">
        <v>45.19</v>
      </c>
      <c r="C1729" s="52"/>
      <c r="D1729" s="52"/>
      <c r="E1729" s="52"/>
      <c r="F1729" s="52"/>
      <c r="G1729" s="52"/>
      <c r="H1729" s="52"/>
    </row>
    <row r="1730" spans="1:8" ht="15.75">
      <c r="A1730" s="124">
        <v>41921</v>
      </c>
      <c r="B1730" s="125">
        <v>44.86</v>
      </c>
      <c r="C1730" s="52"/>
      <c r="D1730" s="52"/>
      <c r="E1730" s="52"/>
      <c r="F1730" s="52"/>
      <c r="G1730" s="52"/>
      <c r="H1730" s="52"/>
    </row>
    <row r="1731" spans="1:8" ht="15.75">
      <c r="A1731" s="124">
        <v>41922</v>
      </c>
      <c r="B1731" s="125">
        <v>44.82</v>
      </c>
      <c r="C1731" s="52"/>
      <c r="D1731" s="52"/>
      <c r="E1731" s="52"/>
      <c r="F1731" s="52"/>
      <c r="G1731" s="52"/>
      <c r="H1731" s="52"/>
    </row>
    <row r="1732" spans="1:8" ht="15.75">
      <c r="A1732" s="124">
        <v>41925</v>
      </c>
      <c r="B1732" s="125">
        <v>45</v>
      </c>
      <c r="C1732" s="52"/>
      <c r="D1732" s="52"/>
      <c r="E1732" s="52"/>
      <c r="F1732" s="52"/>
      <c r="G1732" s="52"/>
      <c r="H1732" s="52"/>
    </row>
    <row r="1733" spans="1:8" ht="15.75">
      <c r="A1733" s="124">
        <v>41926</v>
      </c>
      <c r="B1733" s="125">
        <v>45</v>
      </c>
      <c r="C1733" s="52"/>
      <c r="D1733" s="52"/>
      <c r="E1733" s="52"/>
      <c r="F1733" s="52"/>
      <c r="G1733" s="52"/>
      <c r="H1733" s="52"/>
    </row>
    <row r="1734" spans="1:8" ht="15.75">
      <c r="A1734" s="124">
        <v>41927</v>
      </c>
      <c r="B1734" s="125">
        <v>44.91</v>
      </c>
      <c r="C1734" s="52"/>
      <c r="D1734" s="52"/>
      <c r="E1734" s="52"/>
      <c r="F1734" s="52"/>
      <c r="G1734" s="52"/>
      <c r="H1734" s="52"/>
    </row>
    <row r="1735" spans="1:8" ht="15.75">
      <c r="A1735" s="124">
        <v>41928</v>
      </c>
      <c r="B1735" s="125">
        <v>44.93</v>
      </c>
      <c r="C1735" s="52"/>
      <c r="D1735" s="52"/>
      <c r="E1735" s="52"/>
      <c r="F1735" s="52"/>
      <c r="G1735" s="52"/>
      <c r="H1735" s="52"/>
    </row>
    <row r="1736" spans="1:8" ht="15.75">
      <c r="A1736" s="124">
        <v>41929</v>
      </c>
      <c r="B1736" s="125">
        <v>45.24</v>
      </c>
      <c r="C1736" s="52"/>
      <c r="D1736" s="52"/>
      <c r="E1736" s="52"/>
      <c r="F1736" s="52"/>
      <c r="G1736" s="52"/>
      <c r="H1736" s="52"/>
    </row>
    <row r="1737" spans="1:8" ht="15.75">
      <c r="A1737" s="124">
        <v>41932</v>
      </c>
      <c r="B1737" s="125">
        <v>44.78</v>
      </c>
      <c r="C1737" s="52"/>
      <c r="D1737" s="52"/>
      <c r="E1737" s="52"/>
      <c r="F1737" s="52"/>
      <c r="G1737" s="52"/>
      <c r="H1737" s="52"/>
    </row>
    <row r="1738" spans="1:8" ht="15.75">
      <c r="A1738" s="124">
        <v>41933</v>
      </c>
      <c r="B1738" s="125">
        <v>45.16</v>
      </c>
      <c r="C1738" s="52"/>
      <c r="D1738" s="52"/>
      <c r="E1738" s="52"/>
      <c r="F1738" s="52"/>
      <c r="G1738" s="52"/>
      <c r="H1738" s="52"/>
    </row>
    <row r="1739" spans="1:8" ht="15.75">
      <c r="A1739" s="124">
        <v>41934</v>
      </c>
      <c r="B1739" s="125">
        <v>45.21</v>
      </c>
      <c r="C1739" s="52"/>
      <c r="D1739" s="52"/>
      <c r="E1739" s="52"/>
      <c r="F1739" s="52"/>
      <c r="G1739" s="52"/>
      <c r="H1739" s="52"/>
    </row>
    <row r="1740" spans="1:8" ht="15.75">
      <c r="A1740" s="124">
        <v>41935</v>
      </c>
      <c r="B1740" s="125">
        <v>45.19</v>
      </c>
      <c r="C1740" s="52"/>
      <c r="D1740" s="52"/>
      <c r="E1740" s="52"/>
      <c r="F1740" s="52"/>
      <c r="G1740" s="52"/>
      <c r="H1740" s="52"/>
    </row>
    <row r="1741" spans="1:8" ht="15.75">
      <c r="A1741" s="124">
        <v>41936</v>
      </c>
      <c r="B1741" s="125">
        <v>45.1</v>
      </c>
      <c r="C1741" s="52"/>
      <c r="D1741" s="52"/>
      <c r="E1741" s="52"/>
      <c r="F1741" s="52"/>
      <c r="G1741" s="52"/>
      <c r="H1741" s="52"/>
    </row>
    <row r="1742" spans="1:8" ht="15.75">
      <c r="A1742" s="124">
        <v>41939</v>
      </c>
      <c r="B1742" s="125">
        <v>45.2</v>
      </c>
      <c r="C1742" s="52"/>
      <c r="D1742" s="52"/>
      <c r="E1742" s="52"/>
      <c r="F1742" s="52"/>
      <c r="G1742" s="52"/>
      <c r="H1742" s="52"/>
    </row>
    <row r="1743" spans="1:8" ht="15.75">
      <c r="A1743" s="124">
        <v>41940</v>
      </c>
      <c r="B1743" s="125">
        <v>45.33</v>
      </c>
      <c r="C1743" s="52"/>
      <c r="D1743" s="52"/>
      <c r="E1743" s="52"/>
      <c r="F1743" s="52"/>
      <c r="G1743" s="52"/>
      <c r="H1743" s="52"/>
    </row>
    <row r="1744" spans="1:8" ht="15.75">
      <c r="A1744" s="124">
        <v>41941</v>
      </c>
      <c r="B1744" s="125">
        <v>45.21</v>
      </c>
      <c r="C1744" s="52"/>
      <c r="D1744" s="52"/>
      <c r="E1744" s="52"/>
      <c r="F1744" s="52"/>
      <c r="G1744" s="52"/>
      <c r="H1744" s="52"/>
    </row>
    <row r="1745" spans="1:8" ht="15.75">
      <c r="A1745" s="124">
        <v>41942</v>
      </c>
      <c r="B1745" s="125">
        <v>45.16</v>
      </c>
      <c r="C1745" s="52"/>
      <c r="D1745" s="52"/>
      <c r="E1745" s="52"/>
      <c r="F1745" s="52"/>
      <c r="G1745" s="52"/>
      <c r="H1745" s="52"/>
    </row>
    <row r="1746" spans="1:8" ht="15.75">
      <c r="A1746" s="124">
        <v>41943</v>
      </c>
      <c r="B1746" s="125">
        <v>45.43</v>
      </c>
      <c r="C1746" s="52"/>
      <c r="D1746" s="52"/>
      <c r="E1746" s="52"/>
      <c r="F1746" s="52"/>
      <c r="G1746" s="52"/>
      <c r="H1746" s="52"/>
    </row>
    <row r="1747" spans="1:8" ht="15.75">
      <c r="A1747" s="124">
        <v>41946</v>
      </c>
      <c r="B1747" s="125">
        <v>45.06</v>
      </c>
      <c r="C1747" s="52"/>
      <c r="D1747" s="52"/>
      <c r="E1747" s="52"/>
      <c r="F1747" s="52"/>
      <c r="G1747" s="52"/>
      <c r="H1747" s="52"/>
    </row>
    <row r="1748" spans="1:8" ht="15.75">
      <c r="A1748" s="124">
        <v>41947</v>
      </c>
      <c r="B1748" s="125">
        <v>44.92</v>
      </c>
      <c r="C1748" s="52"/>
      <c r="D1748" s="52"/>
      <c r="E1748" s="52"/>
      <c r="F1748" s="52"/>
      <c r="G1748" s="52"/>
      <c r="H1748" s="52"/>
    </row>
    <row r="1749" spans="1:8" ht="15.75">
      <c r="A1749" s="124">
        <v>41948</v>
      </c>
      <c r="B1749" s="125">
        <v>44.96</v>
      </c>
      <c r="C1749" s="52"/>
      <c r="D1749" s="52"/>
      <c r="E1749" s="52"/>
      <c r="F1749" s="52"/>
      <c r="G1749" s="52"/>
      <c r="H1749" s="52"/>
    </row>
    <row r="1750" spans="1:8" ht="15.75">
      <c r="A1750" s="124">
        <v>41949</v>
      </c>
      <c r="B1750" s="125">
        <v>45.15</v>
      </c>
      <c r="C1750" s="52"/>
      <c r="D1750" s="52"/>
      <c r="E1750" s="52"/>
      <c r="F1750" s="52"/>
      <c r="G1750" s="52"/>
      <c r="H1750" s="52"/>
    </row>
    <row r="1751" spans="1:8" ht="15.75">
      <c r="A1751" s="124">
        <v>41950</v>
      </c>
      <c r="B1751" s="125">
        <v>44.9</v>
      </c>
      <c r="C1751" s="52"/>
      <c r="D1751" s="52"/>
      <c r="E1751" s="52"/>
      <c r="F1751" s="52"/>
      <c r="G1751" s="52"/>
      <c r="H1751" s="52"/>
    </row>
    <row r="1752" spans="1:8" ht="15.75">
      <c r="A1752" s="124">
        <v>41953</v>
      </c>
      <c r="B1752" s="125">
        <v>44.81</v>
      </c>
      <c r="C1752" s="52"/>
      <c r="D1752" s="52"/>
      <c r="E1752" s="52"/>
      <c r="F1752" s="52"/>
      <c r="G1752" s="52"/>
      <c r="H1752" s="52"/>
    </row>
    <row r="1753" spans="1:8" ht="15.75">
      <c r="A1753" s="124">
        <v>41955</v>
      </c>
      <c r="B1753" s="125">
        <v>45</v>
      </c>
      <c r="C1753" s="52"/>
      <c r="D1753" s="52"/>
      <c r="E1753" s="52"/>
      <c r="F1753" s="52"/>
      <c r="G1753" s="52"/>
      <c r="H1753" s="52"/>
    </row>
    <row r="1754" spans="1:8" ht="15.75">
      <c r="A1754" s="124">
        <v>41956</v>
      </c>
      <c r="B1754" s="125">
        <v>44.83</v>
      </c>
      <c r="C1754" s="52"/>
      <c r="D1754" s="52"/>
      <c r="E1754" s="52"/>
      <c r="F1754" s="52"/>
      <c r="G1754" s="52"/>
      <c r="H1754" s="52"/>
    </row>
    <row r="1755" spans="1:8" ht="15.75">
      <c r="A1755" s="124">
        <v>41957</v>
      </c>
      <c r="B1755" s="125">
        <v>45</v>
      </c>
      <c r="C1755" s="52"/>
      <c r="D1755" s="52"/>
      <c r="E1755" s="52"/>
      <c r="F1755" s="52"/>
      <c r="G1755" s="52"/>
      <c r="H1755" s="52"/>
    </row>
    <row r="1756" spans="1:8" ht="15.75">
      <c r="A1756" s="124">
        <v>41960</v>
      </c>
      <c r="B1756" s="125">
        <v>44.85</v>
      </c>
      <c r="C1756" s="52"/>
      <c r="D1756" s="52"/>
      <c r="E1756" s="52"/>
      <c r="F1756" s="52"/>
      <c r="G1756" s="52"/>
      <c r="H1756" s="52"/>
    </row>
    <row r="1757" spans="1:8" ht="15.75">
      <c r="A1757" s="124">
        <v>41961</v>
      </c>
      <c r="B1757" s="125">
        <v>45.07</v>
      </c>
      <c r="C1757" s="52"/>
      <c r="D1757" s="52"/>
      <c r="E1757" s="52"/>
      <c r="F1757" s="52"/>
      <c r="G1757" s="52"/>
      <c r="H1757" s="52"/>
    </row>
    <row r="1758" spans="1:8" ht="15.75">
      <c r="A1758" s="124">
        <v>41962</v>
      </c>
      <c r="B1758" s="125">
        <v>45.4</v>
      </c>
      <c r="C1758" s="52"/>
      <c r="D1758" s="52"/>
      <c r="E1758" s="52"/>
      <c r="F1758" s="52"/>
      <c r="G1758" s="52"/>
      <c r="H1758" s="52"/>
    </row>
    <row r="1759" spans="1:8" ht="15.75">
      <c r="A1759" s="124">
        <v>41963</v>
      </c>
      <c r="B1759" s="125">
        <v>45.17</v>
      </c>
      <c r="C1759" s="52"/>
      <c r="D1759" s="52"/>
      <c r="E1759" s="52"/>
      <c r="F1759" s="52"/>
      <c r="G1759" s="52"/>
      <c r="H1759" s="52"/>
    </row>
    <row r="1760" spans="1:8" ht="15.75">
      <c r="A1760" s="124">
        <v>41964</v>
      </c>
      <c r="B1760" s="125">
        <v>45.7</v>
      </c>
      <c r="C1760" s="52"/>
      <c r="D1760" s="52"/>
      <c r="E1760" s="52"/>
      <c r="F1760" s="52"/>
      <c r="G1760" s="52"/>
      <c r="H1760" s="52"/>
    </row>
    <row r="1761" spans="1:8" ht="15.75">
      <c r="A1761" s="124">
        <v>41967</v>
      </c>
      <c r="B1761" s="125">
        <v>45.85</v>
      </c>
      <c r="C1761" s="52"/>
      <c r="D1761" s="52"/>
      <c r="E1761" s="52"/>
      <c r="F1761" s="52"/>
      <c r="G1761" s="52"/>
      <c r="H1761" s="52"/>
    </row>
    <row r="1762" spans="1:8" ht="15.75">
      <c r="A1762" s="124">
        <v>41968</v>
      </c>
      <c r="B1762" s="125">
        <v>45.37</v>
      </c>
      <c r="C1762" s="52"/>
      <c r="D1762" s="52"/>
      <c r="E1762" s="52"/>
      <c r="F1762" s="52"/>
      <c r="G1762" s="52"/>
      <c r="H1762" s="52"/>
    </row>
    <row r="1763" spans="1:8" ht="15.75">
      <c r="A1763" s="124">
        <v>41969</v>
      </c>
      <c r="B1763" s="125">
        <v>45.2</v>
      </c>
      <c r="C1763" s="52"/>
      <c r="D1763" s="52"/>
      <c r="E1763" s="52"/>
      <c r="F1763" s="52"/>
      <c r="G1763" s="52"/>
      <c r="H1763" s="52"/>
    </row>
    <row r="1764" spans="1:8" ht="15.75">
      <c r="A1764" s="124">
        <v>41970</v>
      </c>
      <c r="B1764" s="125">
        <v>45.21</v>
      </c>
      <c r="C1764" s="52"/>
      <c r="D1764" s="52"/>
      <c r="E1764" s="52"/>
      <c r="F1764" s="52"/>
      <c r="G1764" s="52"/>
      <c r="H1764" s="52"/>
    </row>
    <row r="1765" spans="1:8" ht="15.75">
      <c r="A1765" s="124">
        <v>41971</v>
      </c>
      <c r="B1765" s="125">
        <v>45.21</v>
      </c>
      <c r="C1765" s="52"/>
      <c r="D1765" s="52"/>
      <c r="E1765" s="52"/>
      <c r="F1765" s="52"/>
      <c r="G1765" s="52"/>
      <c r="H1765" s="52"/>
    </row>
    <row r="1766" spans="1:8" ht="15.75">
      <c r="A1766" s="124">
        <v>41974</v>
      </c>
      <c r="B1766" s="125">
        <v>45.5</v>
      </c>
      <c r="C1766" s="52"/>
      <c r="D1766" s="52"/>
      <c r="E1766" s="52"/>
      <c r="F1766" s="52"/>
      <c r="G1766" s="52"/>
      <c r="H1766" s="52"/>
    </row>
    <row r="1767" spans="1:8" ht="15.75">
      <c r="A1767" s="124">
        <v>41975</v>
      </c>
      <c r="B1767" s="125">
        <v>45.88</v>
      </c>
      <c r="C1767" s="52"/>
      <c r="D1767" s="52"/>
      <c r="E1767" s="52"/>
      <c r="F1767" s="52"/>
      <c r="G1767" s="52"/>
      <c r="H1767" s="52"/>
    </row>
    <row r="1768" spans="1:8" ht="15.75">
      <c r="A1768" s="124">
        <v>41976</v>
      </c>
      <c r="B1768" s="125">
        <v>45.8</v>
      </c>
      <c r="C1768" s="52"/>
      <c r="D1768" s="52"/>
      <c r="E1768" s="52"/>
      <c r="F1768" s="52"/>
      <c r="G1768" s="52"/>
      <c r="H1768" s="52"/>
    </row>
    <row r="1769" spans="1:8" ht="15.75">
      <c r="A1769" s="124">
        <v>41977</v>
      </c>
      <c r="B1769" s="125">
        <v>45.65</v>
      </c>
      <c r="C1769" s="52"/>
      <c r="D1769" s="52"/>
      <c r="E1769" s="52"/>
      <c r="F1769" s="52"/>
      <c r="G1769" s="52"/>
      <c r="H1769" s="52"/>
    </row>
    <row r="1770" spans="1:8" ht="15.75">
      <c r="A1770" s="124">
        <v>41978</v>
      </c>
      <c r="B1770" s="125">
        <v>45.7</v>
      </c>
      <c r="C1770" s="52"/>
      <c r="D1770" s="52"/>
      <c r="E1770" s="52"/>
      <c r="F1770" s="52"/>
      <c r="G1770" s="52"/>
      <c r="H1770" s="52"/>
    </row>
    <row r="1771" spans="1:8" ht="15.75">
      <c r="A1771" s="124">
        <v>41981</v>
      </c>
      <c r="B1771" s="125">
        <v>45.65</v>
      </c>
      <c r="C1771" s="52"/>
      <c r="D1771" s="52"/>
      <c r="E1771" s="52"/>
      <c r="F1771" s="52"/>
      <c r="G1771" s="52"/>
      <c r="H1771" s="52"/>
    </row>
    <row r="1772" spans="1:8" ht="15.75">
      <c r="A1772" s="124">
        <v>41982</v>
      </c>
      <c r="B1772" s="125">
        <v>45.58</v>
      </c>
      <c r="C1772" s="52"/>
      <c r="D1772" s="52"/>
      <c r="E1772" s="52"/>
      <c r="F1772" s="52"/>
      <c r="G1772" s="52"/>
      <c r="H1772" s="52"/>
    </row>
    <row r="1773" spans="1:8" ht="15.75">
      <c r="A1773" s="124">
        <v>41983</v>
      </c>
      <c r="B1773" s="125">
        <v>45.5</v>
      </c>
      <c r="C1773" s="52"/>
      <c r="D1773" s="52"/>
      <c r="E1773" s="52"/>
      <c r="F1773" s="52"/>
      <c r="G1773" s="52"/>
      <c r="H1773" s="52"/>
    </row>
    <row r="1774" spans="1:8" ht="15.75">
      <c r="A1774" s="124">
        <v>41984</v>
      </c>
      <c r="B1774" s="125">
        <v>45.41</v>
      </c>
      <c r="C1774" s="52"/>
      <c r="D1774" s="52"/>
      <c r="E1774" s="52"/>
      <c r="F1774" s="52"/>
      <c r="G1774" s="52"/>
      <c r="H1774" s="52"/>
    </row>
    <row r="1775" spans="1:8" ht="15.75">
      <c r="A1775" s="124">
        <v>41985</v>
      </c>
      <c r="B1775" s="125">
        <v>45.36</v>
      </c>
      <c r="C1775" s="52"/>
      <c r="D1775" s="52"/>
      <c r="E1775" s="52"/>
      <c r="F1775" s="52"/>
      <c r="G1775" s="52"/>
      <c r="H1775" s="52"/>
    </row>
    <row r="1776" spans="1:8" ht="15.75">
      <c r="A1776" s="124">
        <v>41988</v>
      </c>
      <c r="B1776" s="125">
        <v>45.41</v>
      </c>
      <c r="C1776" s="52"/>
      <c r="D1776" s="52"/>
      <c r="E1776" s="52"/>
      <c r="F1776" s="52"/>
      <c r="G1776" s="52"/>
      <c r="H1776" s="52"/>
    </row>
    <row r="1777" spans="1:8" ht="15.75">
      <c r="A1777" s="124">
        <v>41989</v>
      </c>
      <c r="B1777" s="125">
        <v>45.4</v>
      </c>
      <c r="C1777" s="52"/>
      <c r="D1777" s="52"/>
      <c r="E1777" s="52"/>
      <c r="F1777" s="52"/>
      <c r="G1777" s="52"/>
      <c r="H1777" s="52"/>
    </row>
    <row r="1778" spans="1:8" ht="15.75">
      <c r="A1778" s="124">
        <v>41990</v>
      </c>
      <c r="B1778" s="125">
        <v>45.4</v>
      </c>
      <c r="C1778" s="52"/>
      <c r="D1778" s="52"/>
      <c r="E1778" s="52"/>
      <c r="F1778" s="52"/>
      <c r="G1778" s="52"/>
      <c r="H1778" s="52"/>
    </row>
    <row r="1779" spans="1:8" ht="15.75">
      <c r="A1779" s="124">
        <v>41991</v>
      </c>
      <c r="B1779" s="125">
        <v>45.41</v>
      </c>
      <c r="C1779" s="52"/>
      <c r="D1779" s="52"/>
      <c r="E1779" s="52"/>
      <c r="F1779" s="52"/>
      <c r="G1779" s="52"/>
      <c r="H1779" s="52"/>
    </row>
    <row r="1780" spans="1:8" ht="15.75">
      <c r="A1780" s="124">
        <v>41992</v>
      </c>
      <c r="B1780" s="125">
        <v>45.4</v>
      </c>
      <c r="C1780" s="52"/>
      <c r="D1780" s="52"/>
      <c r="E1780" s="52"/>
      <c r="F1780" s="52"/>
      <c r="G1780" s="52"/>
      <c r="H1780" s="52"/>
    </row>
    <row r="1781" spans="1:8" ht="15.75">
      <c r="A1781" s="124">
        <v>41995</v>
      </c>
      <c r="B1781" s="125">
        <v>45.71</v>
      </c>
      <c r="C1781" s="52"/>
      <c r="D1781" s="52"/>
      <c r="E1781" s="52"/>
      <c r="F1781" s="52"/>
      <c r="G1781" s="52"/>
      <c r="H1781" s="52"/>
    </row>
    <row r="1782" spans="1:8" ht="15.75">
      <c r="A1782" s="124">
        <v>41996</v>
      </c>
      <c r="B1782" s="125">
        <v>45.41</v>
      </c>
      <c r="C1782" s="52"/>
      <c r="D1782" s="52"/>
      <c r="E1782" s="52"/>
      <c r="F1782" s="52"/>
      <c r="G1782" s="52"/>
      <c r="H1782" s="52"/>
    </row>
    <row r="1783" spans="1:8" ht="15.75">
      <c r="A1783" s="124">
        <v>42002</v>
      </c>
      <c r="B1783" s="125">
        <v>45.58</v>
      </c>
      <c r="C1783" s="52"/>
      <c r="D1783" s="52"/>
      <c r="E1783" s="52"/>
      <c r="F1783" s="52"/>
      <c r="G1783" s="52"/>
      <c r="H1783" s="52"/>
    </row>
    <row r="1784" spans="1:8" ht="15.75">
      <c r="A1784" s="124">
        <v>42003</v>
      </c>
      <c r="B1784" s="125">
        <v>45.58</v>
      </c>
      <c r="C1784" s="52"/>
      <c r="D1784" s="52"/>
      <c r="E1784" s="52"/>
      <c r="F1784" s="52"/>
      <c r="G1784" s="52"/>
      <c r="H1784" s="52"/>
    </row>
    <row r="1785" spans="1:8" ht="15.75">
      <c r="A1785" s="124">
        <v>42006</v>
      </c>
      <c r="B1785" s="125">
        <v>45.23</v>
      </c>
      <c r="C1785" s="52"/>
      <c r="D1785" s="52"/>
      <c r="E1785" s="52"/>
      <c r="F1785" s="52"/>
      <c r="G1785" s="52"/>
      <c r="H1785" s="52"/>
    </row>
    <row r="1786" spans="1:8" ht="15.75">
      <c r="A1786" s="124">
        <v>42009</v>
      </c>
      <c r="B1786" s="125">
        <v>45.42</v>
      </c>
      <c r="C1786" s="52"/>
      <c r="D1786" s="52"/>
      <c r="E1786" s="52"/>
      <c r="F1786" s="52"/>
      <c r="G1786" s="52"/>
      <c r="H1786" s="52"/>
    </row>
    <row r="1787" spans="1:8" ht="15.75">
      <c r="A1787" s="124">
        <v>42010</v>
      </c>
      <c r="B1787" s="125">
        <v>45.3</v>
      </c>
      <c r="C1787" s="52"/>
      <c r="D1787" s="52"/>
      <c r="E1787" s="52"/>
      <c r="F1787" s="52"/>
      <c r="G1787" s="52"/>
      <c r="H1787" s="52"/>
    </row>
    <row r="1788" spans="1:8" ht="15.75">
      <c r="A1788" s="124">
        <v>42011</v>
      </c>
      <c r="B1788" s="125">
        <v>45.42</v>
      </c>
      <c r="C1788" s="52"/>
      <c r="D1788" s="52"/>
      <c r="E1788" s="52"/>
      <c r="F1788" s="52"/>
      <c r="G1788" s="52"/>
      <c r="H1788" s="52"/>
    </row>
    <row r="1789" spans="1:8" ht="15.75">
      <c r="A1789" s="124">
        <v>42012</v>
      </c>
      <c r="B1789" s="125">
        <v>45.44</v>
      </c>
      <c r="C1789" s="52"/>
      <c r="D1789" s="52"/>
      <c r="E1789" s="52"/>
      <c r="F1789" s="52"/>
      <c r="G1789" s="52"/>
      <c r="H1789" s="52"/>
    </row>
    <row r="1790" spans="1:8" ht="15.75">
      <c r="A1790" s="124">
        <v>42013</v>
      </c>
      <c r="B1790" s="125">
        <v>44.5</v>
      </c>
      <c r="C1790" s="52"/>
      <c r="D1790" s="52"/>
      <c r="E1790" s="52"/>
      <c r="F1790" s="52"/>
      <c r="G1790" s="52"/>
      <c r="H1790" s="52"/>
    </row>
    <row r="1791" spans="1:8" ht="15.75">
      <c r="A1791" s="124">
        <v>42016</v>
      </c>
      <c r="B1791" s="125">
        <v>44.63</v>
      </c>
      <c r="C1791" s="52"/>
      <c r="D1791" s="52"/>
      <c r="E1791" s="52"/>
      <c r="F1791" s="52"/>
      <c r="G1791" s="52"/>
      <c r="H1791" s="52"/>
    </row>
    <row r="1792" spans="1:8" ht="15.75">
      <c r="A1792" s="124">
        <v>42017</v>
      </c>
      <c r="B1792" s="125">
        <v>45.28</v>
      </c>
      <c r="C1792" s="52"/>
      <c r="D1792" s="52"/>
      <c r="E1792" s="52"/>
      <c r="F1792" s="52"/>
      <c r="G1792" s="52"/>
      <c r="H1792" s="52"/>
    </row>
    <row r="1793" spans="1:8" ht="15.75">
      <c r="A1793" s="124">
        <v>42018</v>
      </c>
      <c r="B1793" s="125">
        <v>45.1</v>
      </c>
      <c r="C1793" s="52"/>
      <c r="D1793" s="52"/>
      <c r="E1793" s="52"/>
      <c r="F1793" s="52"/>
      <c r="G1793" s="52"/>
      <c r="H1793" s="52"/>
    </row>
    <row r="1794" spans="1:8" ht="15.75">
      <c r="A1794" s="124">
        <v>42019</v>
      </c>
      <c r="B1794" s="125">
        <v>45.17</v>
      </c>
      <c r="C1794" s="52"/>
      <c r="D1794" s="52"/>
      <c r="E1794" s="52"/>
      <c r="F1794" s="52"/>
      <c r="G1794" s="52"/>
      <c r="H1794" s="52"/>
    </row>
    <row r="1795" spans="1:8" ht="15.75">
      <c r="A1795" s="124">
        <v>42020</v>
      </c>
      <c r="B1795" s="125">
        <v>45.19</v>
      </c>
      <c r="C1795" s="52"/>
      <c r="D1795" s="52"/>
      <c r="E1795" s="52"/>
      <c r="F1795" s="52"/>
      <c r="G1795" s="52"/>
      <c r="H1795" s="52"/>
    </row>
    <row r="1796" spans="1:8" ht="15.75">
      <c r="A1796" s="124">
        <v>42023</v>
      </c>
      <c r="B1796" s="125">
        <v>45.18</v>
      </c>
      <c r="C1796" s="52"/>
      <c r="D1796" s="52"/>
      <c r="E1796" s="52"/>
      <c r="F1796" s="52"/>
      <c r="G1796" s="52"/>
      <c r="H1796" s="52"/>
    </row>
    <row r="1797" spans="1:8" ht="15.75">
      <c r="A1797" s="124">
        <v>42024</v>
      </c>
      <c r="B1797" s="125">
        <v>45.07</v>
      </c>
      <c r="C1797" s="52"/>
      <c r="D1797" s="52"/>
      <c r="E1797" s="52"/>
      <c r="F1797" s="52"/>
      <c r="G1797" s="52"/>
      <c r="H1797" s="52"/>
    </row>
    <row r="1798" spans="1:8" ht="15.75">
      <c r="A1798" s="124">
        <v>42025</v>
      </c>
      <c r="B1798" s="125">
        <v>45.07</v>
      </c>
      <c r="C1798" s="52"/>
      <c r="D1798" s="52"/>
      <c r="E1798" s="52"/>
      <c r="F1798" s="52"/>
      <c r="G1798" s="52"/>
      <c r="H1798" s="52"/>
    </row>
    <row r="1799" spans="1:8" ht="15.75">
      <c r="A1799" s="124">
        <v>42026</v>
      </c>
      <c r="B1799" s="125">
        <v>45.33</v>
      </c>
      <c r="C1799" s="52"/>
      <c r="D1799" s="52"/>
      <c r="E1799" s="52"/>
      <c r="F1799" s="52"/>
      <c r="G1799" s="52"/>
      <c r="H1799" s="52"/>
    </row>
    <row r="1800" spans="1:8" ht="15.75">
      <c r="A1800" s="124">
        <v>42027</v>
      </c>
      <c r="B1800" s="125">
        <v>45.33</v>
      </c>
      <c r="C1800" s="52"/>
      <c r="D1800" s="52"/>
      <c r="E1800" s="52"/>
      <c r="F1800" s="52"/>
      <c r="G1800" s="52"/>
      <c r="H1800" s="52"/>
    </row>
    <row r="1801" spans="1:8" ht="15.75">
      <c r="A1801" s="124">
        <v>42030</v>
      </c>
      <c r="B1801" s="125">
        <v>45.21</v>
      </c>
      <c r="C1801" s="52"/>
      <c r="D1801" s="52"/>
      <c r="E1801" s="52"/>
      <c r="F1801" s="52"/>
      <c r="G1801" s="52"/>
      <c r="H1801" s="52"/>
    </row>
    <row r="1802" spans="1:8" ht="15.75">
      <c r="A1802" s="124">
        <v>42031</v>
      </c>
      <c r="B1802" s="125">
        <v>45.31</v>
      </c>
      <c r="C1802" s="52"/>
      <c r="D1802" s="52"/>
      <c r="E1802" s="52"/>
      <c r="F1802" s="52"/>
      <c r="G1802" s="52"/>
      <c r="H1802" s="52"/>
    </row>
    <row r="1803" spans="1:8" ht="15.75">
      <c r="A1803" s="124">
        <v>42032</v>
      </c>
      <c r="B1803" s="125">
        <v>45.48</v>
      </c>
      <c r="C1803" s="52"/>
      <c r="D1803" s="52"/>
      <c r="E1803" s="52"/>
      <c r="F1803" s="52"/>
      <c r="G1803" s="52"/>
      <c r="H1803" s="52"/>
    </row>
    <row r="1804" spans="1:8" ht="15.75">
      <c r="A1804" s="124">
        <v>42033</v>
      </c>
      <c r="B1804" s="125">
        <v>45.12</v>
      </c>
      <c r="C1804" s="52"/>
      <c r="D1804" s="52"/>
      <c r="E1804" s="52"/>
      <c r="F1804" s="52"/>
      <c r="G1804" s="52"/>
      <c r="H1804" s="52"/>
    </row>
    <row r="1805" spans="1:8" ht="15.75">
      <c r="A1805" s="124">
        <v>42034</v>
      </c>
      <c r="B1805" s="125">
        <v>45.17</v>
      </c>
      <c r="C1805" s="52"/>
      <c r="D1805" s="52"/>
      <c r="E1805" s="52"/>
      <c r="F1805" s="52"/>
      <c r="G1805" s="52"/>
      <c r="H1805" s="52"/>
    </row>
    <row r="1806" spans="1:8" ht="15.75">
      <c r="A1806" s="124">
        <v>42037</v>
      </c>
      <c r="B1806" s="125">
        <v>45.16</v>
      </c>
      <c r="C1806" s="52"/>
      <c r="D1806" s="52"/>
      <c r="E1806" s="52"/>
      <c r="F1806" s="52"/>
      <c r="G1806" s="52"/>
      <c r="H1806" s="52"/>
    </row>
    <row r="1807" spans="1:8" ht="15.75">
      <c r="A1807" s="124">
        <v>42038</v>
      </c>
      <c r="B1807" s="125">
        <v>45.17</v>
      </c>
      <c r="C1807" s="52"/>
      <c r="D1807" s="52"/>
      <c r="E1807" s="52"/>
      <c r="F1807" s="52"/>
      <c r="G1807" s="52"/>
      <c r="H1807" s="52"/>
    </row>
    <row r="1808" spans="1:8" ht="15.75">
      <c r="A1808" s="124">
        <v>42039</v>
      </c>
      <c r="B1808" s="125">
        <v>45.25</v>
      </c>
      <c r="C1808" s="52"/>
      <c r="D1808" s="52"/>
      <c r="E1808" s="52"/>
      <c r="F1808" s="52"/>
      <c r="G1808" s="52"/>
      <c r="H1808" s="52"/>
    </row>
    <row r="1809" spans="1:8" ht="15.75">
      <c r="A1809" s="124">
        <v>42040</v>
      </c>
      <c r="B1809" s="125">
        <v>45.2</v>
      </c>
      <c r="C1809" s="52"/>
      <c r="D1809" s="52"/>
      <c r="E1809" s="52"/>
      <c r="F1809" s="52"/>
      <c r="G1809" s="52"/>
      <c r="H1809" s="52"/>
    </row>
    <row r="1810" spans="1:8" ht="15.75">
      <c r="A1810" s="124">
        <v>42041</v>
      </c>
      <c r="B1810" s="125">
        <v>45.17</v>
      </c>
      <c r="C1810" s="52"/>
      <c r="D1810" s="52"/>
      <c r="E1810" s="52"/>
      <c r="F1810" s="52"/>
      <c r="G1810" s="52"/>
      <c r="H1810" s="52"/>
    </row>
    <row r="1811" spans="1:8" ht="15.75">
      <c r="A1811" s="124">
        <v>42044</v>
      </c>
      <c r="B1811" s="125">
        <v>45.17</v>
      </c>
      <c r="C1811" s="52"/>
      <c r="D1811" s="52"/>
      <c r="E1811" s="52"/>
      <c r="F1811" s="52"/>
      <c r="G1811" s="52"/>
      <c r="H1811" s="52"/>
    </row>
    <row r="1812" spans="1:8" ht="15.75">
      <c r="A1812" s="124">
        <v>42045</v>
      </c>
      <c r="B1812" s="125">
        <v>45.33</v>
      </c>
      <c r="C1812" s="52"/>
      <c r="D1812" s="52"/>
      <c r="E1812" s="52"/>
      <c r="F1812" s="52"/>
      <c r="G1812" s="52"/>
      <c r="H1812" s="52"/>
    </row>
    <row r="1813" spans="1:8" ht="15.75">
      <c r="A1813" s="124">
        <v>42046</v>
      </c>
      <c r="B1813" s="125">
        <v>45.34</v>
      </c>
      <c r="C1813" s="52"/>
      <c r="D1813" s="52"/>
      <c r="E1813" s="52"/>
      <c r="F1813" s="52"/>
      <c r="G1813" s="52"/>
      <c r="H1813" s="52"/>
    </row>
    <row r="1814" spans="1:8" ht="15.75">
      <c r="A1814" s="124">
        <v>42047</v>
      </c>
      <c r="B1814" s="125">
        <v>45.25</v>
      </c>
      <c r="C1814" s="52"/>
      <c r="D1814" s="52"/>
      <c r="E1814" s="52"/>
      <c r="F1814" s="52"/>
      <c r="G1814" s="52"/>
      <c r="H1814" s="52"/>
    </row>
    <row r="1815" spans="1:8" ht="15.75">
      <c r="A1815" s="124">
        <v>42048</v>
      </c>
      <c r="B1815" s="125">
        <v>45.23</v>
      </c>
      <c r="C1815" s="52"/>
      <c r="D1815" s="52"/>
      <c r="E1815" s="52"/>
      <c r="F1815" s="52"/>
      <c r="G1815" s="52"/>
      <c r="H1815" s="52"/>
    </row>
    <row r="1816" spans="1:8" ht="15.75">
      <c r="A1816" s="124">
        <v>42051</v>
      </c>
      <c r="B1816" s="125">
        <v>45.25</v>
      </c>
      <c r="C1816" s="52"/>
      <c r="D1816" s="52"/>
      <c r="E1816" s="52"/>
      <c r="F1816" s="52"/>
      <c r="G1816" s="52"/>
      <c r="H1816" s="52"/>
    </row>
    <row r="1817" spans="1:8" ht="15.75">
      <c r="A1817" s="124">
        <v>42052</v>
      </c>
      <c r="B1817" s="125">
        <v>45.11</v>
      </c>
      <c r="C1817" s="52"/>
      <c r="D1817" s="52"/>
      <c r="E1817" s="52"/>
      <c r="F1817" s="52"/>
      <c r="G1817" s="52"/>
      <c r="H1817" s="52"/>
    </row>
    <row r="1818" spans="1:8" ht="15.75">
      <c r="A1818" s="124">
        <v>42053</v>
      </c>
      <c r="B1818" s="125">
        <v>45.3</v>
      </c>
      <c r="C1818" s="52"/>
      <c r="D1818" s="52"/>
      <c r="E1818" s="52"/>
      <c r="F1818" s="52"/>
      <c r="G1818" s="52"/>
      <c r="H1818" s="52"/>
    </row>
    <row r="1819" spans="1:8" ht="15.75">
      <c r="A1819" s="124">
        <v>42054</v>
      </c>
      <c r="B1819" s="125">
        <v>45.14</v>
      </c>
      <c r="C1819" s="52"/>
      <c r="D1819" s="52"/>
      <c r="E1819" s="52"/>
      <c r="F1819" s="52"/>
      <c r="G1819" s="52"/>
      <c r="H1819" s="52"/>
    </row>
    <row r="1820" spans="1:8" ht="15.75">
      <c r="A1820" s="124">
        <v>42055</v>
      </c>
      <c r="B1820" s="125">
        <v>45.34</v>
      </c>
      <c r="C1820" s="52"/>
      <c r="D1820" s="52"/>
      <c r="E1820" s="52"/>
      <c r="F1820" s="52"/>
      <c r="G1820" s="52"/>
      <c r="H1820" s="52"/>
    </row>
    <row r="1821" spans="1:8" ht="15.75">
      <c r="A1821" s="124">
        <v>42058</v>
      </c>
      <c r="B1821" s="125">
        <v>45.06</v>
      </c>
      <c r="C1821" s="52"/>
      <c r="D1821" s="52"/>
      <c r="E1821" s="52"/>
      <c r="F1821" s="52"/>
      <c r="G1821" s="52"/>
      <c r="H1821" s="52"/>
    </row>
    <row r="1822" spans="1:8" ht="15.75">
      <c r="A1822" s="124">
        <v>42059</v>
      </c>
      <c r="B1822" s="125">
        <v>45.11</v>
      </c>
      <c r="C1822" s="52"/>
      <c r="D1822" s="52"/>
      <c r="E1822" s="52"/>
      <c r="F1822" s="52"/>
      <c r="G1822" s="52"/>
      <c r="H1822" s="52"/>
    </row>
    <row r="1823" spans="1:8" ht="15.75">
      <c r="A1823" s="124">
        <v>42060</v>
      </c>
      <c r="B1823" s="125">
        <v>45.33</v>
      </c>
      <c r="C1823" s="52"/>
      <c r="D1823" s="52"/>
      <c r="E1823" s="52"/>
      <c r="F1823" s="52"/>
      <c r="G1823" s="52"/>
      <c r="H1823" s="52"/>
    </row>
    <row r="1824" spans="1:8" ht="15.75">
      <c r="A1824" s="124">
        <v>42061</v>
      </c>
      <c r="B1824" s="125">
        <v>45.29</v>
      </c>
      <c r="C1824" s="52"/>
      <c r="D1824" s="52"/>
      <c r="E1824" s="52"/>
      <c r="F1824" s="52"/>
      <c r="G1824" s="52"/>
      <c r="H1824" s="52"/>
    </row>
    <row r="1825" spans="1:8" ht="15.75">
      <c r="A1825" s="124">
        <v>42062</v>
      </c>
      <c r="B1825" s="125">
        <v>45.33</v>
      </c>
      <c r="C1825" s="52"/>
      <c r="D1825" s="52"/>
      <c r="E1825" s="52"/>
      <c r="F1825" s="52"/>
      <c r="G1825" s="52"/>
      <c r="H1825" s="52"/>
    </row>
    <row r="1826" spans="1:8" ht="15.75">
      <c r="A1826" s="124">
        <v>42065</v>
      </c>
      <c r="B1826" s="125">
        <v>45.27</v>
      </c>
      <c r="C1826" s="52"/>
      <c r="D1826" s="52"/>
      <c r="E1826" s="52"/>
      <c r="F1826" s="52"/>
      <c r="G1826" s="52"/>
      <c r="H1826" s="52"/>
    </row>
    <row r="1827" spans="1:8" ht="15.75">
      <c r="A1827" s="124">
        <v>42066</v>
      </c>
      <c r="B1827" s="125">
        <v>45.27</v>
      </c>
      <c r="C1827" s="52"/>
      <c r="D1827" s="52"/>
      <c r="E1827" s="52"/>
      <c r="F1827" s="52"/>
      <c r="G1827" s="52"/>
      <c r="H1827" s="52"/>
    </row>
    <row r="1828" spans="1:8" ht="15.75">
      <c r="A1828" s="124">
        <v>42067</v>
      </c>
      <c r="B1828" s="125">
        <v>45.47</v>
      </c>
      <c r="C1828" s="52"/>
      <c r="D1828" s="52"/>
      <c r="E1828" s="52"/>
      <c r="F1828" s="52"/>
      <c r="G1828" s="52"/>
      <c r="H1828" s="52"/>
    </row>
    <row r="1829" spans="1:8" ht="15.75">
      <c r="A1829" s="124">
        <v>42068</v>
      </c>
      <c r="B1829" s="125">
        <v>45.37</v>
      </c>
      <c r="C1829" s="52"/>
      <c r="D1829" s="52"/>
      <c r="E1829" s="52"/>
      <c r="F1829" s="52"/>
      <c r="G1829" s="52"/>
      <c r="H1829" s="52"/>
    </row>
    <row r="1830" spans="1:8" ht="15.75">
      <c r="A1830" s="124">
        <v>42069</v>
      </c>
      <c r="B1830" s="125">
        <v>45.3</v>
      </c>
      <c r="C1830" s="52"/>
      <c r="D1830" s="52"/>
      <c r="E1830" s="52"/>
      <c r="F1830" s="52"/>
      <c r="G1830" s="52"/>
      <c r="H1830" s="52"/>
    </row>
    <row r="1831" spans="1:8" ht="15.75">
      <c r="A1831" s="124">
        <v>42072</v>
      </c>
      <c r="B1831" s="125">
        <v>45.23</v>
      </c>
      <c r="C1831" s="52"/>
      <c r="D1831" s="52"/>
      <c r="E1831" s="52"/>
      <c r="F1831" s="52"/>
      <c r="G1831" s="52"/>
      <c r="H1831" s="52"/>
    </row>
    <row r="1832" spans="1:8" ht="15.75">
      <c r="A1832" s="124">
        <v>42073</v>
      </c>
      <c r="B1832" s="125">
        <v>45.23</v>
      </c>
      <c r="C1832" s="52"/>
      <c r="D1832" s="52"/>
      <c r="E1832" s="52"/>
      <c r="F1832" s="52"/>
      <c r="G1832" s="52"/>
      <c r="H1832" s="52"/>
    </row>
    <row r="1833" spans="1:8" ht="15.75">
      <c r="A1833" s="124">
        <v>42074</v>
      </c>
      <c r="B1833" s="125">
        <v>45.22</v>
      </c>
      <c r="C1833" s="52"/>
      <c r="D1833" s="52"/>
      <c r="E1833" s="52"/>
      <c r="F1833" s="52"/>
      <c r="G1833" s="52"/>
      <c r="H1833" s="52"/>
    </row>
    <row r="1834" spans="1:8" ht="15.75">
      <c r="A1834" s="124">
        <v>42075</v>
      </c>
      <c r="B1834" s="125">
        <v>45.23</v>
      </c>
      <c r="C1834" s="52"/>
      <c r="D1834" s="52"/>
      <c r="E1834" s="52"/>
      <c r="F1834" s="52"/>
      <c r="G1834" s="52"/>
      <c r="H1834" s="52"/>
    </row>
    <row r="1835" spans="1:8" ht="15.75">
      <c r="A1835" s="124">
        <v>42076</v>
      </c>
      <c r="B1835" s="125">
        <v>45.21</v>
      </c>
      <c r="C1835" s="52"/>
      <c r="D1835" s="52"/>
      <c r="E1835" s="52"/>
      <c r="F1835" s="52"/>
      <c r="G1835" s="52"/>
      <c r="H1835" s="52"/>
    </row>
    <row r="1836" spans="1:8" ht="15.75">
      <c r="A1836" s="124">
        <v>42079</v>
      </c>
      <c r="B1836" s="125">
        <v>45.29</v>
      </c>
      <c r="C1836" s="52"/>
      <c r="D1836" s="52"/>
      <c r="E1836" s="52"/>
      <c r="F1836" s="52"/>
      <c r="G1836" s="52"/>
      <c r="H1836" s="52"/>
    </row>
    <row r="1837" spans="1:8" ht="15.75">
      <c r="A1837" s="124">
        <v>42080</v>
      </c>
      <c r="B1837" s="125">
        <v>45.48</v>
      </c>
      <c r="C1837" s="52"/>
      <c r="D1837" s="52"/>
      <c r="E1837" s="52"/>
      <c r="F1837" s="52"/>
      <c r="G1837" s="52"/>
      <c r="H1837" s="52"/>
    </row>
    <row r="1838" spans="1:8" ht="15.75">
      <c r="A1838" s="124">
        <v>42081</v>
      </c>
      <c r="B1838" s="125">
        <v>45.55</v>
      </c>
      <c r="C1838" s="52"/>
      <c r="D1838" s="52"/>
      <c r="E1838" s="52"/>
      <c r="F1838" s="52"/>
      <c r="G1838" s="52"/>
      <c r="H1838" s="52"/>
    </row>
    <row r="1839" spans="1:8" ht="15.75">
      <c r="A1839" s="124">
        <v>42082</v>
      </c>
      <c r="B1839" s="125">
        <v>45.5</v>
      </c>
      <c r="C1839" s="52"/>
      <c r="D1839" s="52"/>
      <c r="E1839" s="52"/>
      <c r="F1839" s="52"/>
      <c r="G1839" s="52"/>
      <c r="H1839" s="52"/>
    </row>
    <row r="1840" spans="1:8" ht="15.75">
      <c r="A1840" s="124">
        <v>42083</v>
      </c>
      <c r="B1840" s="125">
        <v>45.68</v>
      </c>
      <c r="C1840" s="52"/>
      <c r="D1840" s="52"/>
      <c r="E1840" s="52"/>
      <c r="F1840" s="52"/>
      <c r="G1840" s="52"/>
      <c r="H1840" s="52"/>
    </row>
    <row r="1841" spans="1:8" ht="15.75">
      <c r="A1841" s="124">
        <v>42086</v>
      </c>
      <c r="B1841" s="125">
        <v>45.42</v>
      </c>
      <c r="C1841" s="52"/>
      <c r="D1841" s="52"/>
      <c r="E1841" s="52"/>
      <c r="F1841" s="52"/>
      <c r="G1841" s="52"/>
      <c r="H1841" s="52"/>
    </row>
    <row r="1842" spans="1:8" ht="15.75">
      <c r="A1842" s="124">
        <v>42087</v>
      </c>
      <c r="B1842" s="125">
        <v>45.44</v>
      </c>
      <c r="C1842" s="52"/>
      <c r="D1842" s="52"/>
      <c r="E1842" s="52"/>
      <c r="F1842" s="52"/>
      <c r="G1842" s="52"/>
      <c r="H1842" s="52"/>
    </row>
    <row r="1843" spans="1:8" ht="15.75">
      <c r="A1843" s="124">
        <v>42088</v>
      </c>
      <c r="B1843" s="125">
        <v>45.45</v>
      </c>
      <c r="C1843" s="52"/>
      <c r="D1843" s="52"/>
      <c r="E1843" s="52"/>
      <c r="F1843" s="52"/>
      <c r="G1843" s="52"/>
      <c r="H1843" s="52"/>
    </row>
    <row r="1844" spans="1:8" ht="15.75">
      <c r="A1844" s="124">
        <v>42089</v>
      </c>
      <c r="B1844" s="125">
        <v>45.6</v>
      </c>
      <c r="C1844" s="52"/>
      <c r="D1844" s="52"/>
      <c r="E1844" s="52"/>
      <c r="F1844" s="52"/>
      <c r="G1844" s="52"/>
      <c r="H1844" s="52"/>
    </row>
    <row r="1845" spans="1:8" ht="15.75">
      <c r="A1845" s="124">
        <v>42090</v>
      </c>
      <c r="B1845" s="125">
        <v>45.45</v>
      </c>
      <c r="C1845" s="52"/>
      <c r="D1845" s="52"/>
      <c r="E1845" s="52"/>
      <c r="F1845" s="52"/>
      <c r="G1845" s="52"/>
      <c r="H1845" s="52"/>
    </row>
    <row r="1846" spans="1:8" ht="15.75">
      <c r="A1846" s="124">
        <v>42093</v>
      </c>
      <c r="B1846" s="125">
        <v>45.31</v>
      </c>
      <c r="C1846" s="52"/>
      <c r="D1846" s="52"/>
      <c r="E1846" s="52"/>
      <c r="F1846" s="52"/>
      <c r="G1846" s="52"/>
      <c r="H1846" s="52"/>
    </row>
    <row r="1847" spans="1:8" ht="15.75">
      <c r="A1847" s="124">
        <v>42094</v>
      </c>
      <c r="B1847" s="125">
        <v>45.3</v>
      </c>
      <c r="C1847" s="52"/>
      <c r="D1847" s="52"/>
      <c r="E1847" s="52"/>
      <c r="F1847" s="52"/>
      <c r="G1847" s="52"/>
      <c r="H1847" s="52"/>
    </row>
    <row r="1848" spans="1:8" ht="15.75">
      <c r="A1848" s="124">
        <v>42095</v>
      </c>
      <c r="B1848" s="125">
        <v>45.38</v>
      </c>
      <c r="C1848" s="52"/>
      <c r="D1848" s="52"/>
      <c r="E1848" s="52"/>
      <c r="F1848" s="52"/>
      <c r="G1848" s="52"/>
      <c r="H1848" s="52"/>
    </row>
    <row r="1849" spans="1:8" ht="15.75">
      <c r="A1849" s="124">
        <v>42096</v>
      </c>
      <c r="B1849" s="125">
        <v>45.44</v>
      </c>
      <c r="C1849" s="52"/>
      <c r="D1849" s="52"/>
      <c r="E1849" s="52"/>
      <c r="F1849" s="52"/>
      <c r="G1849" s="52"/>
      <c r="H1849" s="52"/>
    </row>
    <row r="1850" spans="1:8" ht="15.75">
      <c r="A1850" s="124">
        <v>42101</v>
      </c>
      <c r="B1850" s="125">
        <v>45.25</v>
      </c>
      <c r="C1850" s="52"/>
      <c r="D1850" s="52"/>
      <c r="E1850" s="52"/>
      <c r="F1850" s="52"/>
      <c r="G1850" s="52"/>
      <c r="H1850" s="52"/>
    </row>
    <row r="1851" spans="1:8" ht="15.75">
      <c r="A1851" s="124">
        <v>42102</v>
      </c>
      <c r="B1851" s="125">
        <v>45.16</v>
      </c>
      <c r="C1851" s="52"/>
      <c r="D1851" s="52"/>
      <c r="E1851" s="52"/>
      <c r="F1851" s="52"/>
      <c r="G1851" s="52"/>
      <c r="H1851" s="52"/>
    </row>
    <row r="1852" spans="1:8" ht="15.75">
      <c r="A1852" s="124">
        <v>42103</v>
      </c>
      <c r="B1852" s="125">
        <v>45.18</v>
      </c>
      <c r="C1852" s="52"/>
      <c r="D1852" s="52"/>
      <c r="E1852" s="52"/>
      <c r="F1852" s="52"/>
      <c r="G1852" s="52"/>
      <c r="H1852" s="52"/>
    </row>
    <row r="1853" spans="1:8" ht="15.75">
      <c r="A1853" s="124">
        <v>42104</v>
      </c>
      <c r="B1853" s="125">
        <v>45.25</v>
      </c>
      <c r="C1853" s="52"/>
      <c r="D1853" s="52"/>
      <c r="E1853" s="52"/>
      <c r="F1853" s="52"/>
      <c r="G1853" s="52"/>
      <c r="H1853" s="52"/>
    </row>
    <row r="1854" spans="1:8" ht="15.75">
      <c r="A1854" s="124">
        <v>42107</v>
      </c>
      <c r="B1854" s="125">
        <v>45.16</v>
      </c>
      <c r="C1854" s="52"/>
      <c r="D1854" s="52"/>
      <c r="E1854" s="52"/>
      <c r="F1854" s="52"/>
      <c r="G1854" s="52"/>
      <c r="H1854" s="52"/>
    </row>
    <row r="1855" spans="1:8" ht="15.75">
      <c r="A1855" s="124">
        <v>42108</v>
      </c>
      <c r="B1855" s="125">
        <v>45.34</v>
      </c>
      <c r="C1855" s="52"/>
      <c r="D1855" s="52"/>
      <c r="E1855" s="52"/>
      <c r="F1855" s="52"/>
      <c r="G1855" s="52"/>
      <c r="H1855" s="52"/>
    </row>
    <row r="1856" spans="1:8" ht="15.75">
      <c r="A1856" s="124">
        <v>42109</v>
      </c>
      <c r="B1856" s="125">
        <v>45.23</v>
      </c>
      <c r="C1856" s="52"/>
      <c r="D1856" s="52"/>
      <c r="E1856" s="52"/>
      <c r="F1856" s="52"/>
      <c r="G1856" s="52"/>
      <c r="H1856" s="52"/>
    </row>
    <row r="1857" spans="1:8" ht="15.75">
      <c r="A1857" s="124">
        <v>42110</v>
      </c>
      <c r="B1857" s="125">
        <v>45.35</v>
      </c>
      <c r="C1857" s="52"/>
      <c r="D1857" s="52"/>
      <c r="E1857" s="52"/>
      <c r="F1857" s="52"/>
      <c r="G1857" s="52"/>
      <c r="H1857" s="52"/>
    </row>
    <row r="1858" spans="1:8" ht="15.75">
      <c r="A1858" s="124">
        <v>42111</v>
      </c>
      <c r="B1858" s="125">
        <v>45.22</v>
      </c>
      <c r="C1858" s="52"/>
      <c r="D1858" s="52"/>
      <c r="E1858" s="52"/>
      <c r="F1858" s="52"/>
      <c r="G1858" s="52"/>
      <c r="H1858" s="52"/>
    </row>
    <row r="1859" spans="1:8" ht="15.75">
      <c r="A1859" s="124">
        <v>42114</v>
      </c>
      <c r="B1859" s="125">
        <v>45.22</v>
      </c>
      <c r="C1859" s="52"/>
      <c r="D1859" s="52"/>
      <c r="E1859" s="52"/>
      <c r="F1859" s="52"/>
      <c r="G1859" s="52"/>
      <c r="H1859" s="52"/>
    </row>
    <row r="1860" spans="1:8" ht="15.75">
      <c r="A1860" s="124">
        <v>42115</v>
      </c>
      <c r="B1860" s="125">
        <v>45.48</v>
      </c>
      <c r="C1860" s="52"/>
      <c r="D1860" s="52"/>
      <c r="E1860" s="52"/>
      <c r="F1860" s="52"/>
      <c r="G1860" s="52"/>
      <c r="H1860" s="52"/>
    </row>
    <row r="1861" spans="1:8" ht="15.75">
      <c r="A1861" s="124">
        <v>42116</v>
      </c>
      <c r="B1861" s="125">
        <v>45.25</v>
      </c>
      <c r="C1861" s="52"/>
      <c r="D1861" s="52"/>
      <c r="E1861" s="52"/>
      <c r="F1861" s="52"/>
      <c r="G1861" s="52"/>
      <c r="H1861" s="52"/>
    </row>
    <row r="1862" spans="1:8" ht="15.75">
      <c r="A1862" s="124">
        <v>42117</v>
      </c>
      <c r="B1862" s="125">
        <v>45.18</v>
      </c>
      <c r="C1862" s="52"/>
      <c r="D1862" s="52"/>
      <c r="E1862" s="52"/>
      <c r="F1862" s="52"/>
      <c r="G1862" s="52"/>
      <c r="H1862" s="52"/>
    </row>
    <row r="1863" spans="1:8" ht="15.75">
      <c r="A1863" s="124">
        <v>42118</v>
      </c>
      <c r="B1863" s="125">
        <v>45.19</v>
      </c>
      <c r="C1863" s="52"/>
      <c r="D1863" s="52"/>
      <c r="E1863" s="52"/>
      <c r="F1863" s="52"/>
      <c r="G1863" s="52"/>
      <c r="H1863" s="52"/>
    </row>
    <row r="1864" spans="1:8" ht="15.75">
      <c r="A1864" s="124">
        <v>42121</v>
      </c>
      <c r="B1864" s="125">
        <v>45.13</v>
      </c>
      <c r="C1864" s="52"/>
      <c r="D1864" s="52"/>
      <c r="E1864" s="52"/>
      <c r="F1864" s="52"/>
      <c r="G1864" s="52"/>
      <c r="H1864" s="52"/>
    </row>
    <row r="1865" spans="1:8" ht="15.75">
      <c r="A1865" s="124">
        <v>42122</v>
      </c>
      <c r="B1865" s="125">
        <v>45.16</v>
      </c>
      <c r="C1865" s="52"/>
      <c r="D1865" s="52"/>
      <c r="E1865" s="52"/>
      <c r="F1865" s="52"/>
      <c r="G1865" s="52"/>
      <c r="H1865" s="52"/>
    </row>
    <row r="1866" spans="1:8" ht="15.75">
      <c r="A1866" s="124">
        <v>42123</v>
      </c>
      <c r="B1866" s="125">
        <v>45.15</v>
      </c>
      <c r="C1866" s="52"/>
      <c r="D1866" s="52"/>
      <c r="E1866" s="52"/>
      <c r="F1866" s="52"/>
      <c r="G1866" s="52"/>
      <c r="H1866" s="52"/>
    </row>
    <row r="1867" spans="1:8" ht="15.75">
      <c r="A1867" s="124">
        <v>42124</v>
      </c>
      <c r="B1867" s="125">
        <v>45.2</v>
      </c>
      <c r="C1867" s="52"/>
      <c r="D1867" s="52"/>
      <c r="E1867" s="52"/>
      <c r="F1867" s="52"/>
      <c r="G1867" s="52"/>
      <c r="H1867" s="52"/>
    </row>
    <row r="1868" spans="1:8" ht="15.75">
      <c r="A1868" s="124">
        <v>42128</v>
      </c>
      <c r="B1868" s="125">
        <v>45.17</v>
      </c>
      <c r="C1868" s="52"/>
      <c r="D1868" s="52"/>
      <c r="E1868" s="52"/>
      <c r="F1868" s="52"/>
      <c r="G1868" s="52"/>
      <c r="H1868" s="52"/>
    </row>
    <row r="1869" spans="1:8" ht="15.75">
      <c r="A1869" s="124">
        <v>42129</v>
      </c>
      <c r="B1869" s="125">
        <v>45.48</v>
      </c>
      <c r="C1869" s="52"/>
      <c r="D1869" s="52"/>
      <c r="E1869" s="52"/>
      <c r="F1869" s="52"/>
      <c r="G1869" s="52"/>
      <c r="H1869" s="52"/>
    </row>
    <row r="1870" spans="1:8" ht="15.75">
      <c r="A1870" s="124">
        <v>42130</v>
      </c>
      <c r="B1870" s="125">
        <v>45.49</v>
      </c>
      <c r="C1870" s="52"/>
      <c r="D1870" s="52"/>
      <c r="E1870" s="52"/>
      <c r="F1870" s="52"/>
      <c r="G1870" s="52"/>
      <c r="H1870" s="52"/>
    </row>
    <row r="1871" spans="1:8" ht="15.75">
      <c r="A1871" s="124">
        <v>42131</v>
      </c>
      <c r="B1871" s="125">
        <v>45.59</v>
      </c>
      <c r="C1871" s="52"/>
      <c r="D1871" s="52"/>
      <c r="E1871" s="52"/>
      <c r="F1871" s="52"/>
      <c r="G1871" s="52"/>
      <c r="H1871" s="52"/>
    </row>
    <row r="1872" spans="1:8" ht="15.75">
      <c r="A1872" s="124">
        <v>42132</v>
      </c>
      <c r="B1872" s="125">
        <v>45.6</v>
      </c>
      <c r="C1872" s="52"/>
      <c r="D1872" s="52"/>
      <c r="E1872" s="52"/>
      <c r="F1872" s="52"/>
      <c r="G1872" s="52"/>
      <c r="H1872" s="52"/>
    </row>
    <row r="1873" spans="1:8" ht="15.75">
      <c r="A1873" s="124">
        <v>42135</v>
      </c>
      <c r="B1873" s="125">
        <v>45.5</v>
      </c>
      <c r="C1873" s="52"/>
      <c r="D1873" s="52"/>
      <c r="E1873" s="52"/>
      <c r="F1873" s="52"/>
      <c r="G1873" s="52"/>
      <c r="H1873" s="52"/>
    </row>
    <row r="1874" spans="1:8" ht="15.75">
      <c r="A1874" s="124">
        <v>42136</v>
      </c>
      <c r="B1874" s="125">
        <v>45.42</v>
      </c>
      <c r="C1874" s="52"/>
      <c r="D1874" s="52"/>
      <c r="E1874" s="52"/>
      <c r="F1874" s="52"/>
      <c r="G1874" s="52"/>
      <c r="H1874" s="52"/>
    </row>
    <row r="1875" spans="1:8" ht="15.75">
      <c r="A1875" s="124">
        <v>42137</v>
      </c>
      <c r="B1875" s="125">
        <v>45.59</v>
      </c>
      <c r="C1875" s="52"/>
      <c r="D1875" s="52"/>
      <c r="E1875" s="52"/>
      <c r="F1875" s="52"/>
      <c r="G1875" s="52"/>
      <c r="H1875" s="52"/>
    </row>
    <row r="1876" spans="1:8" ht="15.75">
      <c r="A1876" s="124">
        <v>42138</v>
      </c>
      <c r="B1876" s="125">
        <v>45.45</v>
      </c>
      <c r="C1876" s="52"/>
      <c r="D1876" s="52"/>
      <c r="E1876" s="52"/>
      <c r="F1876" s="52"/>
      <c r="G1876" s="52"/>
      <c r="H1876" s="52"/>
    </row>
    <row r="1877" spans="1:8" ht="15.75">
      <c r="A1877" s="124">
        <v>42139</v>
      </c>
      <c r="B1877" s="125">
        <v>45.28</v>
      </c>
      <c r="C1877" s="52"/>
      <c r="D1877" s="52"/>
      <c r="E1877" s="52"/>
      <c r="F1877" s="52"/>
      <c r="G1877" s="52"/>
      <c r="H1877" s="52"/>
    </row>
    <row r="1878" spans="1:8" ht="15.75">
      <c r="A1878" s="124">
        <v>42142</v>
      </c>
      <c r="B1878" s="125">
        <v>45.59</v>
      </c>
      <c r="C1878" s="52"/>
      <c r="D1878" s="52"/>
      <c r="E1878" s="52"/>
      <c r="F1878" s="52"/>
      <c r="G1878" s="52"/>
      <c r="H1878" s="52"/>
    </row>
    <row r="1879" spans="1:8" ht="15.75">
      <c r="A1879" s="124">
        <v>42143</v>
      </c>
      <c r="B1879" s="125">
        <v>45.5</v>
      </c>
      <c r="C1879" s="52"/>
      <c r="D1879" s="52"/>
      <c r="E1879" s="52"/>
      <c r="F1879" s="52"/>
      <c r="G1879" s="52"/>
      <c r="H1879" s="52"/>
    </row>
    <row r="1880" spans="1:8" ht="15.75">
      <c r="A1880" s="124">
        <v>42144</v>
      </c>
      <c r="B1880" s="125">
        <v>45.46</v>
      </c>
      <c r="C1880" s="52"/>
      <c r="D1880" s="52"/>
      <c r="E1880" s="52"/>
      <c r="F1880" s="52"/>
      <c r="G1880" s="52"/>
      <c r="H1880" s="52"/>
    </row>
    <row r="1881" spans="1:8" ht="15.75">
      <c r="A1881" s="124">
        <v>42145</v>
      </c>
      <c r="B1881" s="125">
        <v>45.4</v>
      </c>
      <c r="C1881" s="52"/>
      <c r="D1881" s="52"/>
      <c r="E1881" s="52"/>
      <c r="F1881" s="52"/>
      <c r="G1881" s="52"/>
      <c r="H1881" s="52"/>
    </row>
    <row r="1882" spans="1:8" ht="15.75">
      <c r="A1882" s="124">
        <v>42146</v>
      </c>
      <c r="B1882" s="125">
        <v>45.59</v>
      </c>
      <c r="C1882" s="52"/>
      <c r="D1882" s="52"/>
      <c r="E1882" s="52"/>
      <c r="F1882" s="52"/>
      <c r="G1882" s="52"/>
      <c r="H1882" s="52"/>
    </row>
    <row r="1883" spans="1:8" ht="15.75">
      <c r="A1883" s="124">
        <v>42150</v>
      </c>
      <c r="B1883" s="125">
        <v>45.45</v>
      </c>
      <c r="C1883" s="52"/>
      <c r="D1883" s="52"/>
      <c r="E1883" s="52"/>
      <c r="F1883" s="52"/>
      <c r="G1883" s="52"/>
      <c r="H1883" s="52"/>
    </row>
    <row r="1884" spans="1:8" ht="15.75">
      <c r="A1884" s="124">
        <v>42151</v>
      </c>
      <c r="B1884" s="125">
        <v>45.46</v>
      </c>
      <c r="C1884" s="52"/>
      <c r="D1884" s="52"/>
      <c r="E1884" s="52"/>
      <c r="F1884" s="52"/>
      <c r="G1884" s="52"/>
      <c r="H1884" s="52"/>
    </row>
    <row r="1885" spans="1:8" ht="15.75">
      <c r="A1885" s="124">
        <v>42152</v>
      </c>
      <c r="B1885" s="125">
        <v>45.45</v>
      </c>
      <c r="C1885" s="52"/>
      <c r="D1885" s="52"/>
      <c r="E1885" s="52"/>
      <c r="F1885" s="52"/>
      <c r="G1885" s="52"/>
      <c r="H1885" s="52"/>
    </row>
    <row r="1886" spans="1:8" ht="15.75">
      <c r="A1886" s="124">
        <v>42153</v>
      </c>
      <c r="B1886" s="125">
        <v>45.5</v>
      </c>
      <c r="C1886" s="52"/>
      <c r="D1886" s="52"/>
      <c r="E1886" s="52"/>
      <c r="F1886" s="52"/>
      <c r="G1886" s="52"/>
      <c r="H1886" s="52"/>
    </row>
    <row r="1887" spans="1:8" ht="15.75">
      <c r="A1887" s="124">
        <v>42156</v>
      </c>
      <c r="B1887" s="125">
        <v>45.47</v>
      </c>
      <c r="C1887" s="52"/>
      <c r="D1887" s="52"/>
      <c r="E1887" s="52"/>
      <c r="F1887" s="52"/>
      <c r="G1887" s="52"/>
      <c r="H1887" s="52"/>
    </row>
    <row r="1888" spans="1:8" ht="15.75">
      <c r="A1888" s="124">
        <v>42157</v>
      </c>
      <c r="B1888" s="125">
        <v>45.41</v>
      </c>
      <c r="C1888" s="52"/>
      <c r="D1888" s="52"/>
      <c r="E1888" s="52"/>
      <c r="F1888" s="52"/>
      <c r="G1888" s="52"/>
      <c r="H1888" s="52"/>
    </row>
    <row r="1889" spans="1:8" ht="15.75">
      <c r="A1889" s="124">
        <v>42158</v>
      </c>
      <c r="B1889" s="125">
        <v>45.68</v>
      </c>
      <c r="C1889" s="52"/>
      <c r="D1889" s="52"/>
      <c r="E1889" s="52"/>
      <c r="F1889" s="52"/>
      <c r="G1889" s="52"/>
      <c r="H1889" s="52"/>
    </row>
    <row r="1890" spans="1:8" ht="15.75">
      <c r="A1890" s="124">
        <v>42159</v>
      </c>
      <c r="B1890" s="125">
        <v>45.54</v>
      </c>
      <c r="C1890" s="52"/>
      <c r="D1890" s="52"/>
      <c r="E1890" s="52"/>
      <c r="F1890" s="52"/>
      <c r="G1890" s="52"/>
      <c r="H1890" s="52"/>
    </row>
    <row r="1891" spans="1:8" ht="15.75">
      <c r="A1891" s="124">
        <v>42160</v>
      </c>
      <c r="B1891" s="125">
        <v>45.49</v>
      </c>
      <c r="C1891" s="52"/>
      <c r="D1891" s="52"/>
      <c r="E1891" s="52"/>
      <c r="F1891" s="52"/>
      <c r="G1891" s="52"/>
      <c r="H1891" s="52"/>
    </row>
    <row r="1892" spans="1:8" ht="15.75">
      <c r="A1892" s="124">
        <v>42163</v>
      </c>
      <c r="B1892" s="125">
        <v>45.66</v>
      </c>
      <c r="C1892" s="52"/>
      <c r="D1892" s="52"/>
      <c r="E1892" s="52"/>
      <c r="F1892" s="52"/>
      <c r="G1892" s="52"/>
      <c r="H1892" s="52"/>
    </row>
    <row r="1893" spans="1:8" ht="15.75">
      <c r="A1893" s="124">
        <v>42164</v>
      </c>
      <c r="B1893" s="125">
        <v>45.41</v>
      </c>
      <c r="C1893" s="52"/>
      <c r="D1893" s="52"/>
      <c r="E1893" s="52"/>
      <c r="F1893" s="52"/>
      <c r="G1893" s="52"/>
      <c r="H1893" s="52"/>
    </row>
    <row r="1894" spans="1:8" ht="15.75">
      <c r="A1894" s="124">
        <v>42165</v>
      </c>
      <c r="B1894" s="125">
        <v>45.41</v>
      </c>
      <c r="C1894" s="52"/>
      <c r="D1894" s="52"/>
      <c r="E1894" s="52"/>
      <c r="F1894" s="52"/>
      <c r="G1894" s="52"/>
      <c r="H1894" s="52"/>
    </row>
    <row r="1895" spans="1:8" ht="15.75">
      <c r="A1895" s="124">
        <v>42166</v>
      </c>
      <c r="B1895" s="125">
        <v>45.37</v>
      </c>
      <c r="C1895" s="52"/>
      <c r="D1895" s="52"/>
      <c r="E1895" s="52"/>
      <c r="F1895" s="52"/>
      <c r="G1895" s="52"/>
      <c r="H1895" s="52"/>
    </row>
    <row r="1896" spans="1:8" ht="15.75">
      <c r="A1896" s="124">
        <v>42167</v>
      </c>
      <c r="B1896" s="125">
        <v>45.43</v>
      </c>
      <c r="C1896" s="52"/>
      <c r="D1896" s="52"/>
      <c r="E1896" s="52"/>
      <c r="F1896" s="52"/>
      <c r="G1896" s="52"/>
      <c r="H1896" s="52"/>
    </row>
    <row r="1897" spans="1:8" ht="15.75">
      <c r="A1897" s="124">
        <v>42170</v>
      </c>
      <c r="B1897" s="125">
        <v>45.36</v>
      </c>
      <c r="C1897" s="52"/>
      <c r="D1897" s="52"/>
      <c r="E1897" s="52"/>
      <c r="F1897" s="52"/>
      <c r="G1897" s="52"/>
      <c r="H1897" s="52"/>
    </row>
    <row r="1898" spans="1:8" ht="15.75">
      <c r="A1898" s="124">
        <v>42171</v>
      </c>
      <c r="B1898" s="125">
        <v>44.95</v>
      </c>
      <c r="C1898" s="52"/>
      <c r="D1898" s="52"/>
      <c r="E1898" s="52"/>
      <c r="F1898" s="52"/>
      <c r="G1898" s="52"/>
      <c r="H1898" s="52"/>
    </row>
    <row r="1899" spans="1:8" ht="15.75">
      <c r="A1899" s="124">
        <v>42172</v>
      </c>
      <c r="B1899" s="125">
        <v>45.05</v>
      </c>
      <c r="C1899" s="52"/>
      <c r="D1899" s="52"/>
      <c r="E1899" s="52"/>
      <c r="F1899" s="52"/>
      <c r="G1899" s="52"/>
      <c r="H1899" s="52"/>
    </row>
    <row r="1900" spans="1:8" ht="15.75">
      <c r="A1900" s="124">
        <v>42173</v>
      </c>
      <c r="B1900" s="125">
        <v>45.1</v>
      </c>
      <c r="C1900" s="52"/>
      <c r="D1900" s="52"/>
      <c r="E1900" s="52"/>
      <c r="F1900" s="52"/>
      <c r="G1900" s="52"/>
      <c r="H1900" s="52"/>
    </row>
    <row r="1901" spans="1:8" ht="15.75">
      <c r="A1901" s="124">
        <v>42174</v>
      </c>
      <c r="B1901" s="125">
        <v>45.13</v>
      </c>
      <c r="C1901" s="52"/>
      <c r="D1901" s="52"/>
      <c r="E1901" s="52"/>
      <c r="F1901" s="52"/>
      <c r="G1901" s="52"/>
      <c r="H1901" s="52"/>
    </row>
    <row r="1902" spans="1:8" ht="15.75">
      <c r="A1902" s="124">
        <v>42177</v>
      </c>
      <c r="B1902" s="125">
        <v>45.39</v>
      </c>
      <c r="C1902" s="52"/>
      <c r="D1902" s="52"/>
      <c r="E1902" s="52"/>
      <c r="F1902" s="52"/>
      <c r="G1902" s="52"/>
      <c r="H1902" s="52"/>
    </row>
    <row r="1903" spans="1:8" ht="15.75">
      <c r="A1903" s="124">
        <v>42178</v>
      </c>
      <c r="B1903" s="125">
        <v>45.35</v>
      </c>
      <c r="C1903" s="52"/>
      <c r="D1903" s="52"/>
      <c r="E1903" s="52"/>
      <c r="F1903" s="52"/>
      <c r="G1903" s="52"/>
      <c r="H1903" s="52"/>
    </row>
    <row r="1904" spans="1:8" ht="15.75">
      <c r="A1904" s="124">
        <v>42179</v>
      </c>
      <c r="B1904" s="125">
        <v>45.18</v>
      </c>
      <c r="C1904" s="52"/>
      <c r="D1904" s="52"/>
      <c r="E1904" s="52"/>
      <c r="F1904" s="52"/>
      <c r="G1904" s="52"/>
      <c r="H1904" s="52"/>
    </row>
    <row r="1905" spans="1:8" ht="15.75">
      <c r="A1905" s="124">
        <v>42180</v>
      </c>
      <c r="B1905" s="125">
        <v>45.33</v>
      </c>
      <c r="C1905" s="52"/>
      <c r="D1905" s="52"/>
      <c r="E1905" s="52"/>
      <c r="F1905" s="52"/>
      <c r="G1905" s="52"/>
      <c r="H1905" s="52"/>
    </row>
    <row r="1906" spans="1:8" ht="15.75">
      <c r="A1906" s="124">
        <v>42181</v>
      </c>
      <c r="B1906" s="125">
        <v>45.23</v>
      </c>
      <c r="C1906" s="52"/>
      <c r="D1906" s="52"/>
      <c r="E1906" s="52"/>
      <c r="F1906" s="52"/>
      <c r="G1906" s="52"/>
      <c r="H1906" s="52"/>
    </row>
    <row r="1907" spans="1:8" ht="15.75">
      <c r="A1907" s="124">
        <v>42184</v>
      </c>
      <c r="B1907" s="125">
        <v>45.18</v>
      </c>
      <c r="C1907" s="52"/>
      <c r="D1907" s="52"/>
      <c r="E1907" s="52"/>
      <c r="F1907" s="52"/>
      <c r="G1907" s="52"/>
      <c r="H1907" s="52"/>
    </row>
    <row r="1908" spans="1:8" ht="15.75">
      <c r="A1908" s="124">
        <v>42185</v>
      </c>
      <c r="B1908" s="125">
        <v>45.1</v>
      </c>
      <c r="C1908" s="52"/>
      <c r="D1908" s="52"/>
      <c r="E1908" s="52"/>
      <c r="F1908" s="52"/>
      <c r="G1908" s="52"/>
      <c r="H1908" s="52"/>
    </row>
    <row r="1909" spans="1:8" ht="15.75">
      <c r="A1909" s="124">
        <v>42186</v>
      </c>
      <c r="B1909" s="125">
        <v>45.15</v>
      </c>
      <c r="C1909" s="52"/>
      <c r="D1909" s="52"/>
      <c r="E1909" s="52"/>
      <c r="F1909" s="52"/>
      <c r="G1909" s="52"/>
      <c r="H1909" s="52"/>
    </row>
    <row r="1910" spans="1:8" ht="15.75">
      <c r="A1910" s="124">
        <v>42187</v>
      </c>
      <c r="B1910" s="125">
        <v>45.16</v>
      </c>
      <c r="C1910" s="52"/>
      <c r="D1910" s="52"/>
      <c r="E1910" s="52"/>
      <c r="F1910" s="52"/>
      <c r="G1910" s="52"/>
      <c r="H1910" s="52"/>
    </row>
    <row r="1911" spans="1:8" ht="15.75">
      <c r="A1911" s="124">
        <v>42188</v>
      </c>
      <c r="B1911" s="125">
        <v>45.45</v>
      </c>
      <c r="C1911" s="52"/>
      <c r="D1911" s="52"/>
      <c r="E1911" s="52"/>
      <c r="F1911" s="52"/>
      <c r="G1911" s="52"/>
      <c r="H1911" s="52"/>
    </row>
    <row r="1912" spans="1:8" ht="15.75">
      <c r="A1912" s="124">
        <v>42191</v>
      </c>
      <c r="B1912" s="125">
        <v>45.4</v>
      </c>
      <c r="C1912" s="52"/>
      <c r="D1912" s="52"/>
      <c r="E1912" s="52"/>
      <c r="F1912" s="52"/>
      <c r="G1912" s="52"/>
      <c r="H1912" s="52"/>
    </row>
    <row r="1913" spans="1:8" ht="15.75">
      <c r="A1913" s="124">
        <v>42192</v>
      </c>
      <c r="B1913" s="125">
        <v>45.38</v>
      </c>
      <c r="C1913" s="52"/>
      <c r="D1913" s="52"/>
      <c r="E1913" s="52"/>
      <c r="F1913" s="52"/>
      <c r="G1913" s="52"/>
      <c r="H1913" s="52"/>
    </row>
    <row r="1914" spans="1:8" ht="15.75">
      <c r="A1914" s="124">
        <v>42193</v>
      </c>
      <c r="B1914" s="125">
        <v>45.19</v>
      </c>
      <c r="C1914" s="52"/>
      <c r="D1914" s="52"/>
      <c r="E1914" s="52"/>
      <c r="F1914" s="52"/>
      <c r="G1914" s="52"/>
      <c r="H1914" s="52"/>
    </row>
    <row r="1915" spans="1:8" ht="15.75">
      <c r="A1915" s="124">
        <v>42194</v>
      </c>
      <c r="B1915" s="125">
        <v>45.21</v>
      </c>
      <c r="C1915" s="52"/>
      <c r="D1915" s="52"/>
      <c r="E1915" s="52"/>
      <c r="F1915" s="52"/>
      <c r="G1915" s="52"/>
      <c r="H1915" s="52"/>
    </row>
    <row r="1916" spans="1:8" ht="15.75">
      <c r="A1916" s="124">
        <v>42195</v>
      </c>
      <c r="B1916" s="125">
        <v>45.25</v>
      </c>
      <c r="C1916" s="52"/>
      <c r="D1916" s="52"/>
      <c r="E1916" s="52"/>
      <c r="F1916" s="52"/>
      <c r="G1916" s="52"/>
      <c r="H1916" s="52"/>
    </row>
    <row r="1917" spans="1:8" ht="15.75">
      <c r="A1917" s="124">
        <v>42198</v>
      </c>
      <c r="B1917" s="125">
        <v>45.34</v>
      </c>
      <c r="C1917" s="52"/>
      <c r="D1917" s="52"/>
      <c r="E1917" s="52"/>
      <c r="F1917" s="52"/>
      <c r="G1917" s="52"/>
      <c r="H1917" s="52"/>
    </row>
    <row r="1918" spans="1:8" ht="15.75">
      <c r="A1918" s="124">
        <v>42199</v>
      </c>
      <c r="B1918" s="125">
        <v>45.4</v>
      </c>
      <c r="C1918" s="52"/>
      <c r="D1918" s="52"/>
      <c r="E1918" s="52"/>
      <c r="F1918" s="52"/>
      <c r="G1918" s="52"/>
      <c r="H1918" s="52"/>
    </row>
    <row r="1919" spans="1:8" ht="15.75">
      <c r="A1919" s="124">
        <v>42200</v>
      </c>
      <c r="B1919" s="125">
        <v>45.47</v>
      </c>
      <c r="C1919" s="52"/>
      <c r="D1919" s="52"/>
      <c r="E1919" s="52"/>
      <c r="F1919" s="52"/>
      <c r="G1919" s="52"/>
      <c r="H1919" s="52"/>
    </row>
    <row r="1920" spans="1:8" ht="15.75">
      <c r="A1920" s="124">
        <v>42201</v>
      </c>
      <c r="B1920" s="125">
        <v>45.51</v>
      </c>
      <c r="C1920" s="52"/>
      <c r="D1920" s="52"/>
      <c r="E1920" s="52"/>
      <c r="F1920" s="52"/>
      <c r="G1920" s="52"/>
      <c r="H1920" s="52"/>
    </row>
    <row r="1921" spans="1:8" ht="15.75">
      <c r="A1921" s="124">
        <v>42202</v>
      </c>
      <c r="B1921" s="125">
        <v>45.55</v>
      </c>
      <c r="C1921" s="52"/>
      <c r="D1921" s="52"/>
      <c r="E1921" s="52"/>
      <c r="F1921" s="52"/>
      <c r="G1921" s="52"/>
      <c r="H1921" s="52"/>
    </row>
    <row r="1922" spans="1:8" ht="15.75">
      <c r="A1922" s="124">
        <v>42205</v>
      </c>
      <c r="B1922" s="125">
        <v>45.55</v>
      </c>
      <c r="C1922" s="52"/>
      <c r="D1922" s="52"/>
      <c r="E1922" s="52"/>
      <c r="F1922" s="52"/>
      <c r="G1922" s="52"/>
      <c r="H1922" s="52"/>
    </row>
    <row r="1923" spans="1:8" ht="15.75">
      <c r="A1923" s="124">
        <v>42206</v>
      </c>
      <c r="B1923" s="125">
        <v>45.55</v>
      </c>
      <c r="C1923" s="52"/>
      <c r="D1923" s="52"/>
      <c r="E1923" s="52"/>
      <c r="F1923" s="52"/>
      <c r="G1923" s="52"/>
      <c r="H1923" s="52"/>
    </row>
    <row r="1924" spans="1:8" ht="15.75">
      <c r="A1924" s="124">
        <v>42207</v>
      </c>
      <c r="B1924" s="125">
        <v>45.75</v>
      </c>
      <c r="C1924" s="52"/>
      <c r="D1924" s="52"/>
      <c r="E1924" s="52"/>
      <c r="F1924" s="52"/>
      <c r="G1924" s="52"/>
      <c r="H1924" s="52"/>
    </row>
    <row r="1925" spans="1:8" ht="15.75">
      <c r="A1925" s="124">
        <v>42208</v>
      </c>
      <c r="B1925" s="125">
        <v>45.58</v>
      </c>
      <c r="C1925" s="52"/>
      <c r="D1925" s="52"/>
      <c r="E1925" s="52"/>
      <c r="F1925" s="52"/>
      <c r="G1925" s="52"/>
      <c r="H1925" s="52"/>
    </row>
    <row r="1926" spans="1:8" ht="15.75">
      <c r="A1926" s="124">
        <v>42209</v>
      </c>
      <c r="B1926" s="125">
        <v>45.58</v>
      </c>
      <c r="C1926" s="52"/>
      <c r="D1926" s="52"/>
      <c r="E1926" s="52"/>
      <c r="F1926" s="52"/>
      <c r="G1926" s="52"/>
      <c r="H1926" s="52"/>
    </row>
    <row r="1927" spans="1:8" ht="15.75">
      <c r="A1927" s="124">
        <v>42212</v>
      </c>
      <c r="B1927" s="125">
        <v>45.61</v>
      </c>
      <c r="C1927" s="52"/>
      <c r="D1927" s="52"/>
      <c r="E1927" s="52"/>
      <c r="F1927" s="52"/>
      <c r="G1927" s="52"/>
      <c r="H1927" s="52"/>
    </row>
    <row r="1928" spans="1:8" ht="15.75">
      <c r="A1928" s="124">
        <v>42213</v>
      </c>
      <c r="B1928" s="125">
        <v>45.59</v>
      </c>
      <c r="C1928" s="52"/>
      <c r="D1928" s="52"/>
      <c r="E1928" s="52"/>
      <c r="F1928" s="52"/>
      <c r="G1928" s="52"/>
      <c r="H1928" s="52"/>
    </row>
    <row r="1929" spans="1:8" ht="15.75">
      <c r="A1929" s="124">
        <v>42214</v>
      </c>
      <c r="B1929" s="125">
        <v>45.59</v>
      </c>
      <c r="C1929" s="52"/>
      <c r="D1929" s="52"/>
      <c r="E1929" s="52"/>
      <c r="F1929" s="52"/>
      <c r="G1929" s="52"/>
      <c r="H1929" s="52"/>
    </row>
    <row r="1930" spans="1:8" ht="15.75">
      <c r="A1930" s="124">
        <v>42215</v>
      </c>
      <c r="B1930" s="125">
        <v>45.62</v>
      </c>
      <c r="C1930" s="52"/>
      <c r="D1930" s="52"/>
      <c r="E1930" s="52"/>
      <c r="F1930" s="52"/>
      <c r="G1930" s="52"/>
      <c r="H1930" s="52"/>
    </row>
    <row r="1931" spans="1:8" ht="15.75">
      <c r="A1931" s="124">
        <v>42216</v>
      </c>
      <c r="B1931" s="125">
        <v>45.61</v>
      </c>
      <c r="C1931" s="52"/>
      <c r="D1931" s="52"/>
      <c r="E1931" s="52"/>
      <c r="F1931" s="52"/>
      <c r="G1931" s="52"/>
      <c r="H1931" s="52"/>
    </row>
    <row r="1932" spans="1:8" ht="15.75">
      <c r="A1932" s="124">
        <v>42219</v>
      </c>
      <c r="B1932" s="125">
        <v>45.76</v>
      </c>
      <c r="C1932" s="52"/>
      <c r="D1932" s="52"/>
      <c r="E1932" s="52"/>
      <c r="F1932" s="52"/>
      <c r="G1932" s="52"/>
      <c r="H1932" s="52"/>
    </row>
    <row r="1933" spans="1:8" ht="15.75">
      <c r="A1933" s="124">
        <v>42220</v>
      </c>
      <c r="B1933" s="125">
        <v>45.75</v>
      </c>
      <c r="C1933" s="52"/>
      <c r="D1933" s="52"/>
      <c r="E1933" s="52"/>
      <c r="F1933" s="52"/>
      <c r="G1933" s="52"/>
      <c r="H1933" s="52"/>
    </row>
    <row r="1934" spans="1:8" ht="15.75">
      <c r="A1934" s="124">
        <v>42221</v>
      </c>
      <c r="B1934" s="125">
        <v>45.77</v>
      </c>
      <c r="C1934" s="52"/>
      <c r="D1934" s="52"/>
      <c r="E1934" s="52"/>
      <c r="F1934" s="52"/>
      <c r="G1934" s="52"/>
      <c r="H1934" s="52"/>
    </row>
    <row r="1935" spans="1:8" ht="15.75">
      <c r="A1935" s="124">
        <v>42222</v>
      </c>
      <c r="B1935" s="125">
        <v>45.76</v>
      </c>
      <c r="C1935" s="52"/>
      <c r="D1935" s="52"/>
      <c r="E1935" s="52"/>
      <c r="F1935" s="52"/>
      <c r="G1935" s="52"/>
      <c r="H1935" s="52"/>
    </row>
    <row r="1936" spans="1:8" ht="15.75">
      <c r="A1936" s="124">
        <v>42223</v>
      </c>
      <c r="B1936" s="125">
        <v>45.76</v>
      </c>
      <c r="C1936" s="52"/>
      <c r="D1936" s="52"/>
      <c r="E1936" s="52"/>
      <c r="F1936" s="52"/>
      <c r="G1936" s="52"/>
      <c r="H1936" s="52"/>
    </row>
    <row r="1937" spans="1:8" ht="15.75">
      <c r="A1937" s="124">
        <v>42226</v>
      </c>
      <c r="B1937" s="125">
        <v>45.75</v>
      </c>
      <c r="C1937" s="52"/>
      <c r="D1937" s="52"/>
      <c r="E1937" s="52"/>
      <c r="F1937" s="52"/>
      <c r="G1937" s="52"/>
      <c r="H1937" s="52"/>
    </row>
    <row r="1938" spans="1:8" ht="15.75">
      <c r="A1938" s="124">
        <v>42227</v>
      </c>
      <c r="B1938" s="125">
        <v>45.66</v>
      </c>
      <c r="C1938" s="52"/>
      <c r="D1938" s="52"/>
      <c r="E1938" s="52"/>
      <c r="F1938" s="52"/>
      <c r="G1938" s="52"/>
      <c r="H1938" s="52"/>
    </row>
    <row r="1939" spans="1:8" ht="15.75">
      <c r="A1939" s="124">
        <v>42228</v>
      </c>
      <c r="B1939" s="125">
        <v>45.66</v>
      </c>
      <c r="C1939" s="52"/>
      <c r="D1939" s="52"/>
      <c r="E1939" s="52"/>
      <c r="F1939" s="52"/>
      <c r="G1939" s="52"/>
      <c r="H1939" s="52"/>
    </row>
    <row r="1940" spans="1:8" ht="15.75">
      <c r="A1940" s="124">
        <v>42229</v>
      </c>
      <c r="B1940" s="125">
        <v>45.76</v>
      </c>
      <c r="C1940" s="52"/>
      <c r="D1940" s="52"/>
      <c r="E1940" s="52"/>
      <c r="F1940" s="52"/>
      <c r="G1940" s="52"/>
      <c r="H1940" s="52"/>
    </row>
    <row r="1941" spans="1:8" ht="15.75">
      <c r="A1941" s="124">
        <v>42230</v>
      </c>
      <c r="B1941" s="125">
        <v>45.55</v>
      </c>
      <c r="C1941" s="52"/>
      <c r="D1941" s="52"/>
      <c r="E1941" s="52"/>
      <c r="F1941" s="52"/>
      <c r="G1941" s="52"/>
      <c r="H1941" s="52"/>
    </row>
    <row r="1942" spans="1:8" ht="15.75">
      <c r="A1942" s="124">
        <v>42233</v>
      </c>
      <c r="B1942" s="125">
        <v>45.75</v>
      </c>
      <c r="C1942" s="52"/>
      <c r="D1942" s="52"/>
      <c r="E1942" s="52"/>
      <c r="F1942" s="52"/>
      <c r="G1942" s="52"/>
      <c r="H1942" s="52"/>
    </row>
    <row r="1943" spans="1:8" ht="15.75">
      <c r="A1943" s="124">
        <v>42234</v>
      </c>
      <c r="B1943" s="125">
        <v>45.77</v>
      </c>
      <c r="C1943" s="52"/>
      <c r="D1943" s="52"/>
      <c r="E1943" s="52"/>
      <c r="F1943" s="52"/>
      <c r="G1943" s="52"/>
      <c r="H1943" s="52"/>
    </row>
    <row r="1944" spans="1:8" ht="15.75">
      <c r="A1944" s="124">
        <v>42235</v>
      </c>
      <c r="B1944" s="125">
        <v>45.77</v>
      </c>
      <c r="C1944" s="52"/>
      <c r="D1944" s="52"/>
      <c r="E1944" s="52"/>
      <c r="F1944" s="52"/>
      <c r="G1944" s="52"/>
      <c r="H1944" s="52"/>
    </row>
    <row r="1945" spans="1:8" ht="15.75">
      <c r="A1945" s="124">
        <v>42236</v>
      </c>
      <c r="B1945" s="125">
        <v>45.83</v>
      </c>
      <c r="C1945" s="52"/>
      <c r="D1945" s="52"/>
      <c r="E1945" s="52"/>
      <c r="F1945" s="52"/>
      <c r="G1945" s="52"/>
      <c r="H1945" s="52"/>
    </row>
    <row r="1946" spans="1:8" ht="15.75">
      <c r="A1946" s="124">
        <v>42237</v>
      </c>
      <c r="B1946" s="125">
        <v>45.78</v>
      </c>
      <c r="C1946" s="52"/>
      <c r="D1946" s="52"/>
      <c r="E1946" s="52"/>
      <c r="F1946" s="52"/>
      <c r="G1946" s="52"/>
      <c r="H1946" s="52"/>
    </row>
    <row r="1947" spans="1:8" ht="15.75">
      <c r="A1947" s="124">
        <v>42240</v>
      </c>
      <c r="B1947" s="125">
        <v>45.77</v>
      </c>
      <c r="C1947" s="52"/>
      <c r="D1947" s="52"/>
      <c r="E1947" s="52"/>
      <c r="F1947" s="52"/>
      <c r="G1947" s="52"/>
      <c r="H1947" s="52"/>
    </row>
    <row r="1948" spans="1:8" ht="15.75">
      <c r="A1948" s="124">
        <v>42241</v>
      </c>
      <c r="B1948" s="125">
        <v>45.65</v>
      </c>
      <c r="C1948" s="52"/>
      <c r="D1948" s="52"/>
      <c r="E1948" s="52"/>
      <c r="F1948" s="52"/>
      <c r="G1948" s="52"/>
      <c r="H1948" s="52"/>
    </row>
    <row r="1949" spans="1:8" ht="15.75">
      <c r="A1949" s="124">
        <v>42242</v>
      </c>
      <c r="B1949" s="125">
        <v>45.69</v>
      </c>
      <c r="C1949" s="52"/>
      <c r="D1949" s="52"/>
      <c r="E1949" s="52"/>
      <c r="F1949" s="52"/>
      <c r="G1949" s="52"/>
      <c r="H1949" s="52"/>
    </row>
    <row r="1950" spans="1:8" ht="15.75">
      <c r="A1950" s="124">
        <v>42243</v>
      </c>
      <c r="B1950" s="125">
        <v>45.71</v>
      </c>
      <c r="C1950" s="52"/>
      <c r="D1950" s="52"/>
      <c r="E1950" s="52"/>
      <c r="F1950" s="52"/>
      <c r="G1950" s="52"/>
      <c r="H1950" s="52"/>
    </row>
    <row r="1951" spans="1:8" ht="15.75">
      <c r="A1951" s="124">
        <v>42244</v>
      </c>
      <c r="B1951" s="125">
        <v>45.69</v>
      </c>
      <c r="C1951" s="52"/>
      <c r="D1951" s="52"/>
      <c r="E1951" s="52"/>
      <c r="F1951" s="52"/>
      <c r="G1951" s="52"/>
      <c r="H1951" s="52"/>
    </row>
    <row r="1952" spans="1:8" ht="15.75">
      <c r="A1952" s="124">
        <v>42247</v>
      </c>
      <c r="B1952" s="125">
        <v>45.8</v>
      </c>
      <c r="C1952" s="52"/>
      <c r="D1952" s="52"/>
      <c r="E1952" s="52"/>
      <c r="F1952" s="52"/>
      <c r="G1952" s="52"/>
      <c r="H1952" s="52"/>
    </row>
    <row r="1953" spans="1:8" ht="15.75">
      <c r="A1953" s="124">
        <v>42248</v>
      </c>
      <c r="B1953" s="125">
        <v>45.61</v>
      </c>
      <c r="C1953" s="52"/>
      <c r="D1953" s="52"/>
      <c r="E1953" s="52"/>
      <c r="F1953" s="52"/>
      <c r="G1953" s="52"/>
      <c r="H1953" s="52"/>
    </row>
    <row r="1954" spans="1:8" ht="15.75">
      <c r="A1954" s="124">
        <v>42249</v>
      </c>
      <c r="B1954" s="125">
        <v>45.56</v>
      </c>
      <c r="C1954" s="52"/>
      <c r="D1954" s="52"/>
      <c r="E1954" s="52"/>
      <c r="F1954" s="52"/>
      <c r="G1954" s="52"/>
      <c r="H1954" s="52"/>
    </row>
    <row r="1955" spans="1:8" ht="15.75">
      <c r="A1955" s="124">
        <v>42250</v>
      </c>
      <c r="B1955" s="125">
        <v>45.31</v>
      </c>
      <c r="C1955" s="52"/>
      <c r="D1955" s="52"/>
      <c r="E1955" s="52"/>
      <c r="F1955" s="52"/>
      <c r="G1955" s="52"/>
      <c r="H1955" s="52"/>
    </row>
    <row r="1956" spans="1:8" ht="15.75">
      <c r="A1956" s="124">
        <v>42251</v>
      </c>
      <c r="B1956" s="125">
        <v>45.29</v>
      </c>
      <c r="C1956" s="52"/>
      <c r="D1956" s="52"/>
      <c r="E1956" s="52"/>
      <c r="F1956" s="52"/>
      <c r="G1956" s="52"/>
      <c r="H1956" s="52"/>
    </row>
    <row r="1957" spans="1:8" ht="15.75">
      <c r="A1957" s="124">
        <v>42254</v>
      </c>
      <c r="B1957" s="125">
        <v>45.3</v>
      </c>
      <c r="C1957" s="52"/>
      <c r="D1957" s="52"/>
      <c r="E1957" s="52"/>
      <c r="F1957" s="52"/>
      <c r="G1957" s="52"/>
      <c r="H1957" s="52"/>
    </row>
    <row r="1958" spans="1:8" ht="15.75">
      <c r="A1958" s="124">
        <v>42255</v>
      </c>
      <c r="B1958" s="125">
        <v>45.33</v>
      </c>
      <c r="C1958" s="52"/>
      <c r="D1958" s="52"/>
      <c r="E1958" s="52"/>
      <c r="F1958" s="52"/>
      <c r="G1958" s="52"/>
      <c r="H1958" s="52"/>
    </row>
    <row r="1959" spans="1:8" ht="15.75">
      <c r="A1959" s="124">
        <v>42256</v>
      </c>
      <c r="B1959" s="125">
        <v>45.36</v>
      </c>
      <c r="C1959" s="52"/>
      <c r="D1959" s="52"/>
      <c r="E1959" s="52"/>
      <c r="F1959" s="52"/>
      <c r="G1959" s="52"/>
      <c r="H1959" s="52"/>
    </row>
    <row r="1960" spans="1:8" ht="15.75">
      <c r="A1960" s="124">
        <v>42257</v>
      </c>
      <c r="B1960" s="125">
        <v>45.36</v>
      </c>
      <c r="C1960" s="52"/>
      <c r="D1960" s="52"/>
      <c r="E1960" s="52"/>
      <c r="F1960" s="52"/>
      <c r="G1960" s="52"/>
      <c r="H1960" s="52"/>
    </row>
    <row r="1961" spans="1:8" ht="15.75">
      <c r="A1961" s="124">
        <v>42258</v>
      </c>
      <c r="B1961" s="125">
        <v>45.41</v>
      </c>
      <c r="C1961" s="52"/>
      <c r="D1961" s="52"/>
      <c r="E1961" s="52"/>
      <c r="F1961" s="52"/>
      <c r="G1961" s="52"/>
      <c r="H1961" s="52"/>
    </row>
    <row r="1962" spans="1:8" ht="15.75">
      <c r="A1962" s="124">
        <v>42261</v>
      </c>
      <c r="B1962" s="125">
        <v>45.34</v>
      </c>
      <c r="C1962" s="52"/>
      <c r="D1962" s="52"/>
      <c r="E1962" s="52"/>
      <c r="F1962" s="52"/>
      <c r="G1962" s="52"/>
      <c r="H1962" s="52"/>
    </row>
    <row r="1963" spans="1:8" ht="15.75">
      <c r="A1963" s="124">
        <v>42262</v>
      </c>
      <c r="B1963" s="125">
        <v>45.3</v>
      </c>
      <c r="C1963" s="52"/>
      <c r="D1963" s="52"/>
      <c r="E1963" s="52"/>
      <c r="F1963" s="52"/>
      <c r="G1963" s="52"/>
      <c r="H1963" s="52"/>
    </row>
    <row r="1964" spans="1:8" ht="15.75">
      <c r="A1964" s="124">
        <v>42263</v>
      </c>
      <c r="B1964" s="125">
        <v>45.2</v>
      </c>
      <c r="C1964" s="52"/>
      <c r="D1964" s="52"/>
      <c r="E1964" s="52"/>
      <c r="F1964" s="52"/>
      <c r="G1964" s="52"/>
      <c r="H1964" s="52"/>
    </row>
    <row r="1965" spans="1:8" ht="15.75">
      <c r="A1965" s="124">
        <v>42264</v>
      </c>
      <c r="B1965" s="125">
        <v>45.45</v>
      </c>
      <c r="C1965" s="52"/>
      <c r="D1965" s="52"/>
      <c r="E1965" s="52"/>
      <c r="F1965" s="52"/>
      <c r="G1965" s="52"/>
      <c r="H1965" s="52"/>
    </row>
    <row r="1966" spans="1:8" ht="15.75">
      <c r="A1966" s="124">
        <v>42265</v>
      </c>
      <c r="B1966" s="125">
        <v>45.43</v>
      </c>
      <c r="C1966" s="52"/>
      <c r="D1966" s="52"/>
      <c r="E1966" s="52"/>
      <c r="F1966" s="52"/>
      <c r="G1966" s="52"/>
      <c r="H1966" s="52"/>
    </row>
    <row r="1967" spans="1:8" ht="15.75">
      <c r="A1967" s="124">
        <v>42268</v>
      </c>
      <c r="B1967" s="125">
        <v>45.36</v>
      </c>
      <c r="C1967" s="52"/>
      <c r="D1967" s="52"/>
      <c r="E1967" s="52"/>
      <c r="F1967" s="52"/>
      <c r="G1967" s="52"/>
      <c r="H1967" s="52"/>
    </row>
    <row r="1968" spans="1:8" ht="15.75">
      <c r="A1968" s="124">
        <v>42269</v>
      </c>
      <c r="B1968" s="125">
        <v>45.25</v>
      </c>
      <c r="C1968" s="52"/>
      <c r="D1968" s="52"/>
      <c r="E1968" s="52"/>
      <c r="F1968" s="52"/>
      <c r="G1968" s="52"/>
      <c r="H1968" s="52"/>
    </row>
    <row r="1969" spans="1:8" ht="15.75">
      <c r="A1969" s="124">
        <v>42270</v>
      </c>
      <c r="B1969" s="125">
        <v>45.46</v>
      </c>
      <c r="C1969" s="52"/>
      <c r="D1969" s="52"/>
      <c r="E1969" s="52"/>
      <c r="F1969" s="52"/>
      <c r="G1969" s="52"/>
      <c r="H1969" s="52"/>
    </row>
    <row r="1970" spans="1:8" ht="15.75">
      <c r="A1970" s="124">
        <v>42271</v>
      </c>
      <c r="B1970" s="125">
        <v>45.34</v>
      </c>
      <c r="C1970" s="52"/>
      <c r="D1970" s="52"/>
      <c r="E1970" s="52"/>
      <c r="F1970" s="52"/>
      <c r="G1970" s="52"/>
      <c r="H1970" s="52"/>
    </row>
    <row r="1971" spans="1:8" ht="15.75">
      <c r="A1971" s="124">
        <v>42272</v>
      </c>
      <c r="B1971" s="125">
        <v>45.41</v>
      </c>
      <c r="C1971" s="52"/>
      <c r="D1971" s="52"/>
      <c r="E1971" s="52"/>
      <c r="F1971" s="52"/>
      <c r="G1971" s="52"/>
      <c r="H1971" s="52"/>
    </row>
    <row r="1972" spans="1:8" ht="15.75">
      <c r="A1972" s="124">
        <v>42275</v>
      </c>
      <c r="B1972" s="125">
        <v>45.42</v>
      </c>
      <c r="C1972" s="52"/>
      <c r="D1972" s="52"/>
      <c r="E1972" s="52"/>
      <c r="F1972" s="52"/>
      <c r="G1972" s="52"/>
      <c r="H1972" s="52"/>
    </row>
    <row r="1973" spans="1:8" ht="15.75">
      <c r="A1973" s="124">
        <v>42276</v>
      </c>
      <c r="B1973" s="125">
        <v>45.42</v>
      </c>
      <c r="C1973" s="52"/>
      <c r="D1973" s="52"/>
      <c r="E1973" s="52"/>
      <c r="F1973" s="52"/>
      <c r="G1973" s="52"/>
      <c r="H1973" s="52"/>
    </row>
    <row r="1974" spans="1:8" ht="15.75">
      <c r="A1974" s="124">
        <v>42277</v>
      </c>
      <c r="B1974" s="125">
        <v>45.69</v>
      </c>
      <c r="C1974" s="52"/>
      <c r="D1974" s="52"/>
      <c r="E1974" s="52"/>
      <c r="F1974" s="52"/>
      <c r="G1974" s="52"/>
      <c r="H1974" s="52"/>
    </row>
    <row r="1975" spans="1:8" ht="15.75">
      <c r="A1975" s="124">
        <v>42278</v>
      </c>
      <c r="B1975" s="125">
        <v>45.46</v>
      </c>
      <c r="C1975" s="52"/>
      <c r="D1975" s="52"/>
      <c r="E1975" s="52"/>
      <c r="F1975" s="52"/>
      <c r="G1975" s="52"/>
      <c r="H1975" s="52"/>
    </row>
    <row r="1976" spans="1:8" ht="15.75">
      <c r="A1976" s="124">
        <v>42279</v>
      </c>
      <c r="B1976" s="125">
        <v>45.63</v>
      </c>
      <c r="C1976" s="52"/>
      <c r="D1976" s="52"/>
      <c r="E1976" s="52"/>
      <c r="F1976" s="52"/>
      <c r="G1976" s="52"/>
      <c r="H1976" s="52"/>
    </row>
    <row r="1977" spans="1:8" ht="15.75">
      <c r="A1977" s="124">
        <v>42282</v>
      </c>
      <c r="B1977" s="125">
        <v>45.63</v>
      </c>
      <c r="C1977" s="52"/>
      <c r="D1977" s="52"/>
      <c r="E1977" s="52"/>
      <c r="F1977" s="52"/>
      <c r="G1977" s="52"/>
      <c r="H1977" s="52"/>
    </row>
    <row r="1978" spans="1:8" ht="15.75">
      <c r="A1978" s="124">
        <v>42283</v>
      </c>
      <c r="B1978" s="125">
        <v>45.42</v>
      </c>
      <c r="C1978" s="52"/>
      <c r="D1978" s="52"/>
      <c r="E1978" s="52"/>
      <c r="F1978" s="52"/>
      <c r="G1978" s="52"/>
      <c r="H1978" s="52"/>
    </row>
    <row r="1979" spans="1:8" ht="15.75">
      <c r="A1979" s="124">
        <v>42284</v>
      </c>
      <c r="B1979" s="125">
        <v>45.35</v>
      </c>
      <c r="C1979" s="52"/>
      <c r="D1979" s="52"/>
      <c r="E1979" s="52"/>
      <c r="F1979" s="52"/>
      <c r="G1979" s="52"/>
      <c r="H1979" s="52"/>
    </row>
    <row r="1980" spans="1:8" ht="15.75">
      <c r="A1980" s="124">
        <v>42285</v>
      </c>
      <c r="B1980" s="125">
        <v>45.34</v>
      </c>
      <c r="C1980" s="52"/>
      <c r="D1980" s="52"/>
      <c r="E1980" s="52"/>
      <c r="F1980" s="52"/>
      <c r="G1980" s="52"/>
      <c r="H1980" s="52"/>
    </row>
    <row r="1981" spans="1:8" ht="15.75">
      <c r="A1981" s="124">
        <v>42286</v>
      </c>
      <c r="B1981" s="125">
        <v>45.34</v>
      </c>
      <c r="C1981" s="52"/>
      <c r="D1981" s="52"/>
      <c r="E1981" s="52"/>
      <c r="F1981" s="52"/>
      <c r="G1981" s="52"/>
      <c r="H1981" s="52"/>
    </row>
    <row r="1982" spans="1:8" ht="15.75">
      <c r="A1982" s="124">
        <v>42289</v>
      </c>
      <c r="B1982" s="125">
        <v>45.42</v>
      </c>
      <c r="C1982" s="52"/>
      <c r="D1982" s="52"/>
      <c r="E1982" s="52"/>
      <c r="F1982" s="52"/>
      <c r="G1982" s="52"/>
      <c r="H1982" s="52"/>
    </row>
    <row r="1983" spans="1:8" ht="15.75">
      <c r="A1983" s="124">
        <v>42290</v>
      </c>
      <c r="B1983" s="125">
        <v>45.65</v>
      </c>
      <c r="C1983" s="52"/>
      <c r="D1983" s="52"/>
      <c r="E1983" s="52"/>
      <c r="F1983" s="52"/>
      <c r="G1983" s="52"/>
      <c r="H1983" s="52"/>
    </row>
    <row r="1984" spans="1:8" ht="15.75">
      <c r="A1984" s="124">
        <v>42291</v>
      </c>
      <c r="B1984" s="125">
        <v>45.7</v>
      </c>
      <c r="C1984" s="52"/>
      <c r="D1984" s="52"/>
      <c r="E1984" s="52"/>
      <c r="F1984" s="52"/>
      <c r="G1984" s="52"/>
      <c r="H1984" s="52"/>
    </row>
    <row r="1985" spans="1:8" ht="15.75">
      <c r="A1985" s="124">
        <v>42292</v>
      </c>
      <c r="B1985" s="125">
        <v>45.81</v>
      </c>
      <c r="C1985" s="52"/>
      <c r="D1985" s="52"/>
      <c r="E1985" s="52"/>
      <c r="F1985" s="52"/>
      <c r="G1985" s="52"/>
      <c r="H1985" s="52"/>
    </row>
    <row r="1986" spans="1:8" ht="15.75">
      <c r="A1986" s="124">
        <v>42293</v>
      </c>
      <c r="B1986" s="125">
        <v>45.93</v>
      </c>
      <c r="C1986" s="52"/>
      <c r="D1986" s="52"/>
      <c r="E1986" s="52"/>
      <c r="F1986" s="52"/>
      <c r="G1986" s="52"/>
      <c r="H1986" s="52"/>
    </row>
    <row r="1987" spans="1:8" ht="15.75">
      <c r="A1987" s="124">
        <v>42296</v>
      </c>
      <c r="B1987" s="125">
        <v>45.79</v>
      </c>
      <c r="C1987" s="52"/>
      <c r="D1987" s="52"/>
      <c r="E1987" s="52"/>
      <c r="F1987" s="52"/>
      <c r="G1987" s="52"/>
      <c r="H1987" s="52"/>
    </row>
    <row r="1988" spans="1:8" ht="15.75">
      <c r="A1988" s="124">
        <v>42297</v>
      </c>
      <c r="B1988" s="125">
        <v>45.64</v>
      </c>
      <c r="C1988" s="52"/>
      <c r="D1988" s="52"/>
      <c r="E1988" s="52"/>
      <c r="F1988" s="52"/>
      <c r="G1988" s="52"/>
      <c r="H1988" s="52"/>
    </row>
    <row r="1989" spans="1:8" ht="15.75">
      <c r="A1989" s="124">
        <v>42298</v>
      </c>
      <c r="B1989" s="125">
        <v>45.71</v>
      </c>
      <c r="C1989" s="52"/>
      <c r="D1989" s="52"/>
      <c r="E1989" s="52"/>
      <c r="F1989" s="52"/>
      <c r="G1989" s="52"/>
      <c r="H1989" s="52"/>
    </row>
    <row r="1990" spans="1:8" ht="15.75">
      <c r="A1990" s="124">
        <v>42299</v>
      </c>
      <c r="B1990" s="125">
        <v>45.68</v>
      </c>
      <c r="C1990" s="52"/>
      <c r="D1990" s="52"/>
      <c r="E1990" s="52"/>
      <c r="F1990" s="52"/>
      <c r="G1990" s="52"/>
      <c r="H1990" s="52"/>
    </row>
    <row r="1991" spans="1:8" ht="15.75">
      <c r="A1991" s="124">
        <v>42300</v>
      </c>
      <c r="B1991" s="125">
        <v>45.71</v>
      </c>
      <c r="C1991" s="52"/>
      <c r="D1991" s="52"/>
      <c r="E1991" s="52"/>
      <c r="F1991" s="52"/>
      <c r="G1991" s="52"/>
      <c r="H1991" s="52"/>
    </row>
    <row r="1992" spans="1:8" ht="15.75">
      <c r="A1992" s="124">
        <v>42303</v>
      </c>
      <c r="B1992" s="125">
        <v>45.65</v>
      </c>
      <c r="C1992" s="52"/>
      <c r="D1992" s="52"/>
      <c r="E1992" s="52"/>
      <c r="F1992" s="52"/>
      <c r="G1992" s="52"/>
      <c r="H1992" s="52"/>
    </row>
    <row r="1993" spans="1:8" ht="15.75">
      <c r="A1993" s="124">
        <v>42304</v>
      </c>
      <c r="B1993" s="125">
        <v>45.77</v>
      </c>
      <c r="C1993" s="52"/>
      <c r="D1993" s="52"/>
      <c r="E1993" s="52"/>
      <c r="F1993" s="52"/>
      <c r="G1993" s="52"/>
      <c r="H1993" s="52"/>
    </row>
    <row r="1994" spans="1:8" ht="15.75">
      <c r="A1994" s="124">
        <v>42305</v>
      </c>
      <c r="B1994" s="125">
        <v>45.95</v>
      </c>
      <c r="C1994" s="52"/>
      <c r="D1994" s="52"/>
      <c r="E1994" s="52"/>
      <c r="F1994" s="52"/>
      <c r="G1994" s="52"/>
      <c r="H1994" s="52"/>
    </row>
    <row r="1995" spans="1:8" ht="15.75">
      <c r="A1995" s="124">
        <v>42306</v>
      </c>
      <c r="B1995" s="125">
        <v>45.91</v>
      </c>
      <c r="C1995" s="52"/>
      <c r="D1995" s="52"/>
      <c r="E1995" s="52"/>
      <c r="F1995" s="52"/>
      <c r="G1995" s="52"/>
      <c r="H1995" s="52"/>
    </row>
    <row r="1996" spans="1:8" ht="15.75">
      <c r="A1996" s="124">
        <v>42307</v>
      </c>
      <c r="B1996" s="125">
        <v>45.86</v>
      </c>
      <c r="C1996" s="52"/>
      <c r="D1996" s="52"/>
      <c r="E1996" s="52"/>
      <c r="F1996" s="52"/>
      <c r="G1996" s="52"/>
      <c r="H1996" s="52"/>
    </row>
    <row r="1997" spans="1:8" ht="15.75">
      <c r="A1997" s="124">
        <v>42310</v>
      </c>
      <c r="B1997" s="125">
        <v>45.95</v>
      </c>
      <c r="C1997" s="52"/>
      <c r="D1997" s="52"/>
      <c r="E1997" s="52"/>
      <c r="F1997" s="52"/>
      <c r="G1997" s="52"/>
      <c r="H1997" s="52"/>
    </row>
    <row r="1998" spans="1:8" ht="15.75">
      <c r="A1998" s="124">
        <v>42311</v>
      </c>
      <c r="B1998" s="125">
        <v>45.7</v>
      </c>
      <c r="C1998" s="52"/>
      <c r="D1998" s="52"/>
      <c r="E1998" s="52"/>
      <c r="F1998" s="52"/>
      <c r="G1998" s="52"/>
      <c r="H1998" s="52"/>
    </row>
    <row r="1999" spans="1:8" ht="15.75">
      <c r="A1999" s="124">
        <v>42312</v>
      </c>
      <c r="B1999" s="125">
        <v>45.8</v>
      </c>
      <c r="C1999" s="52"/>
      <c r="D1999" s="52"/>
      <c r="E1999" s="52"/>
      <c r="F1999" s="52"/>
      <c r="G1999" s="52"/>
      <c r="H1999" s="52"/>
    </row>
    <row r="2000" spans="1:8" ht="15.75">
      <c r="A2000" s="124">
        <v>42313</v>
      </c>
      <c r="B2000" s="125">
        <v>45.85</v>
      </c>
      <c r="C2000" s="52"/>
      <c r="D2000" s="52"/>
      <c r="E2000" s="52"/>
      <c r="F2000" s="52"/>
      <c r="G2000" s="52"/>
      <c r="H2000" s="52"/>
    </row>
    <row r="2001" spans="1:8" ht="15.75">
      <c r="A2001" s="124">
        <v>42314</v>
      </c>
      <c r="B2001" s="125">
        <v>45.81</v>
      </c>
      <c r="C2001" s="52"/>
      <c r="D2001" s="52"/>
      <c r="E2001" s="52"/>
      <c r="F2001" s="52"/>
      <c r="G2001" s="52"/>
      <c r="H2001" s="52"/>
    </row>
    <row r="2002" spans="1:8" ht="15.75">
      <c r="A2002" s="124">
        <v>42317</v>
      </c>
      <c r="B2002" s="125">
        <v>45.96</v>
      </c>
      <c r="C2002" s="52"/>
      <c r="D2002" s="52"/>
      <c r="E2002" s="52"/>
      <c r="F2002" s="52"/>
      <c r="G2002" s="52"/>
      <c r="H2002" s="52"/>
    </row>
    <row r="2003" spans="1:8" ht="15.75">
      <c r="A2003" s="124">
        <v>42318</v>
      </c>
      <c r="B2003" s="125">
        <v>45.85</v>
      </c>
      <c r="C2003" s="52"/>
      <c r="D2003" s="52"/>
      <c r="E2003" s="52"/>
      <c r="F2003" s="52"/>
      <c r="G2003" s="52"/>
      <c r="H2003" s="52"/>
    </row>
    <row r="2004" spans="1:8" ht="15.75">
      <c r="A2004" s="124">
        <v>42319</v>
      </c>
      <c r="B2004" s="125">
        <v>45.87</v>
      </c>
      <c r="C2004" s="52"/>
      <c r="D2004" s="52"/>
      <c r="E2004" s="52"/>
      <c r="F2004" s="52"/>
      <c r="G2004" s="52"/>
      <c r="H2004" s="52"/>
    </row>
    <row r="2005" spans="1:8" ht="15.75">
      <c r="A2005" s="124">
        <v>42320</v>
      </c>
      <c r="B2005" s="125">
        <v>45.91</v>
      </c>
      <c r="C2005" s="52"/>
      <c r="D2005" s="52"/>
      <c r="E2005" s="52"/>
      <c r="F2005" s="52"/>
      <c r="G2005" s="52"/>
      <c r="H2005" s="52"/>
    </row>
    <row r="2006" spans="1:8" ht="15.75">
      <c r="A2006" s="124">
        <v>42321</v>
      </c>
      <c r="B2006" s="125">
        <v>45.96</v>
      </c>
      <c r="C2006" s="52"/>
      <c r="D2006" s="52"/>
      <c r="E2006" s="52"/>
      <c r="F2006" s="52"/>
      <c r="G2006" s="52"/>
      <c r="H2006" s="52"/>
    </row>
    <row r="2007" spans="1:8" ht="15.75">
      <c r="A2007" s="124">
        <v>42324</v>
      </c>
      <c r="B2007" s="125">
        <v>45.89</v>
      </c>
      <c r="C2007" s="52"/>
      <c r="D2007" s="52"/>
      <c r="E2007" s="52"/>
      <c r="F2007" s="52"/>
      <c r="G2007" s="52"/>
      <c r="H2007" s="52"/>
    </row>
    <row r="2008" spans="1:8" ht="15.75">
      <c r="A2008" s="124">
        <v>42325</v>
      </c>
      <c r="B2008" s="125">
        <v>45.98</v>
      </c>
      <c r="C2008" s="52"/>
      <c r="D2008" s="52"/>
      <c r="E2008" s="52"/>
      <c r="F2008" s="52"/>
      <c r="G2008" s="52"/>
      <c r="H2008" s="52"/>
    </row>
    <row r="2009" spans="1:8" ht="15.75">
      <c r="A2009" s="124">
        <v>42326</v>
      </c>
      <c r="B2009" s="125">
        <v>46.02</v>
      </c>
      <c r="C2009" s="52"/>
      <c r="D2009" s="52"/>
      <c r="E2009" s="52"/>
      <c r="F2009" s="52"/>
      <c r="G2009" s="52"/>
      <c r="H2009" s="52"/>
    </row>
    <row r="2010" spans="1:8" ht="15.75">
      <c r="A2010" s="124">
        <v>42327</v>
      </c>
      <c r="B2010" s="125">
        <v>46.06</v>
      </c>
      <c r="C2010" s="52"/>
      <c r="D2010" s="52"/>
      <c r="E2010" s="52"/>
      <c r="F2010" s="52"/>
      <c r="G2010" s="52"/>
      <c r="H2010" s="52"/>
    </row>
    <row r="2011" spans="1:8" ht="15.75">
      <c r="A2011" s="124">
        <v>42328</v>
      </c>
      <c r="B2011" s="125">
        <v>46.01</v>
      </c>
      <c r="C2011" s="52"/>
      <c r="D2011" s="52"/>
      <c r="E2011" s="52"/>
      <c r="F2011" s="52"/>
      <c r="G2011" s="52"/>
      <c r="H2011" s="52"/>
    </row>
    <row r="2012" spans="1:8" ht="15.75">
      <c r="A2012" s="124">
        <v>42331</v>
      </c>
      <c r="B2012" s="125">
        <v>46.03</v>
      </c>
      <c r="C2012" s="52"/>
      <c r="D2012" s="52"/>
      <c r="E2012" s="52"/>
      <c r="F2012" s="52"/>
      <c r="G2012" s="52"/>
      <c r="H2012" s="52"/>
    </row>
    <row r="2013" spans="1:8" ht="15.75">
      <c r="A2013" s="124">
        <v>42332</v>
      </c>
      <c r="B2013" s="125">
        <v>46.01</v>
      </c>
      <c r="C2013" s="52"/>
      <c r="D2013" s="52"/>
      <c r="E2013" s="52"/>
      <c r="F2013" s="52"/>
      <c r="G2013" s="52"/>
      <c r="H2013" s="52"/>
    </row>
    <row r="2014" spans="1:8" ht="15.75">
      <c r="A2014" s="124">
        <v>42333</v>
      </c>
      <c r="B2014" s="125">
        <v>46.05</v>
      </c>
      <c r="C2014" s="52"/>
      <c r="D2014" s="52"/>
      <c r="E2014" s="52"/>
      <c r="F2014" s="52"/>
      <c r="G2014" s="52"/>
      <c r="H2014" s="52"/>
    </row>
    <row r="2015" spans="1:8" ht="15.75">
      <c r="A2015" s="124">
        <v>42334</v>
      </c>
      <c r="B2015" s="125">
        <v>46.08</v>
      </c>
      <c r="C2015" s="52"/>
      <c r="D2015" s="52"/>
      <c r="E2015" s="52"/>
      <c r="F2015" s="52"/>
      <c r="G2015" s="52"/>
      <c r="H2015" s="52"/>
    </row>
    <row r="2016" spans="1:8" ht="15.75">
      <c r="A2016" s="124">
        <v>42335</v>
      </c>
      <c r="B2016" s="125">
        <v>46</v>
      </c>
      <c r="C2016" s="52"/>
      <c r="D2016" s="52"/>
      <c r="E2016" s="52"/>
      <c r="F2016" s="52"/>
      <c r="G2016" s="52"/>
      <c r="H2016" s="52"/>
    </row>
    <row r="2017" spans="1:8" ht="15.75">
      <c r="A2017" s="124">
        <v>42338</v>
      </c>
      <c r="B2017" s="125">
        <v>46.09</v>
      </c>
      <c r="C2017" s="52"/>
      <c r="D2017" s="52"/>
      <c r="E2017" s="52"/>
      <c r="F2017" s="52"/>
      <c r="G2017" s="52"/>
      <c r="H2017" s="52"/>
    </row>
    <row r="2018" spans="1:8" ht="15.75">
      <c r="A2018" s="124">
        <v>42339</v>
      </c>
      <c r="B2018" s="125">
        <v>46.06</v>
      </c>
      <c r="C2018" s="52"/>
      <c r="D2018" s="52"/>
      <c r="E2018" s="52"/>
      <c r="F2018" s="52"/>
      <c r="G2018" s="52"/>
      <c r="H2018" s="52"/>
    </row>
    <row r="2019" spans="1:8" ht="15.75">
      <c r="A2019" s="124">
        <v>42340</v>
      </c>
      <c r="B2019" s="125">
        <v>46.05</v>
      </c>
      <c r="C2019" s="52"/>
      <c r="D2019" s="52"/>
      <c r="E2019" s="52"/>
      <c r="F2019" s="52"/>
      <c r="G2019" s="52"/>
      <c r="H2019" s="52"/>
    </row>
    <row r="2020" spans="1:8" ht="15.75">
      <c r="A2020" s="124">
        <v>42341</v>
      </c>
      <c r="B2020" s="125">
        <v>45.93</v>
      </c>
      <c r="C2020" s="52"/>
      <c r="D2020" s="52"/>
      <c r="E2020" s="52"/>
      <c r="F2020" s="52"/>
      <c r="G2020" s="52"/>
      <c r="H2020" s="52"/>
    </row>
    <row r="2021" spans="1:8" ht="15.75">
      <c r="A2021" s="124">
        <v>42342</v>
      </c>
      <c r="B2021" s="125">
        <v>46.01</v>
      </c>
      <c r="C2021" s="52"/>
      <c r="D2021" s="52"/>
      <c r="E2021" s="52"/>
      <c r="F2021" s="52"/>
      <c r="G2021" s="52"/>
      <c r="H2021" s="52"/>
    </row>
    <row r="2022" spans="1:8" ht="15.75">
      <c r="A2022" s="124">
        <v>42345</v>
      </c>
      <c r="B2022" s="125">
        <v>45.97</v>
      </c>
      <c r="C2022" s="52"/>
      <c r="D2022" s="52"/>
      <c r="E2022" s="52"/>
      <c r="F2022" s="52"/>
      <c r="G2022" s="52"/>
      <c r="H2022" s="52"/>
    </row>
    <row r="2023" spans="1:8" ht="15.75">
      <c r="A2023" s="124">
        <v>42346</v>
      </c>
      <c r="B2023" s="125">
        <v>46.04</v>
      </c>
      <c r="C2023" s="52"/>
      <c r="D2023" s="52"/>
      <c r="E2023" s="52"/>
      <c r="F2023" s="52"/>
      <c r="G2023" s="52"/>
      <c r="H2023" s="52"/>
    </row>
    <row r="2024" spans="1:8" ht="15.75">
      <c r="A2024" s="124">
        <v>42347</v>
      </c>
      <c r="B2024" s="125">
        <v>46.06</v>
      </c>
      <c r="C2024" s="52"/>
      <c r="D2024" s="52"/>
      <c r="E2024" s="52"/>
      <c r="F2024" s="52"/>
      <c r="G2024" s="52"/>
      <c r="H2024" s="52"/>
    </row>
    <row r="2025" spans="1:8" ht="15.75">
      <c r="A2025" s="124">
        <v>42348</v>
      </c>
      <c r="B2025" s="125">
        <v>46.06</v>
      </c>
      <c r="C2025" s="52"/>
      <c r="D2025" s="52"/>
      <c r="E2025" s="52"/>
      <c r="F2025" s="52"/>
      <c r="G2025" s="52"/>
      <c r="H2025" s="52"/>
    </row>
    <row r="2026" spans="1:8" ht="15.75">
      <c r="A2026" s="124">
        <v>42349</v>
      </c>
      <c r="B2026" s="125">
        <v>46.02</v>
      </c>
      <c r="C2026" s="52"/>
      <c r="D2026" s="52"/>
      <c r="E2026" s="52"/>
      <c r="F2026" s="52"/>
      <c r="G2026" s="52"/>
      <c r="H2026" s="52"/>
    </row>
    <row r="2027" spans="1:8" ht="15.75">
      <c r="A2027" s="124">
        <v>42352</v>
      </c>
      <c r="B2027" s="125">
        <v>45.9</v>
      </c>
      <c r="C2027" s="52"/>
      <c r="D2027" s="52"/>
      <c r="E2027" s="52"/>
      <c r="F2027" s="52"/>
      <c r="G2027" s="52"/>
      <c r="H2027" s="52"/>
    </row>
    <row r="2028" spans="1:8" ht="15.75">
      <c r="A2028" s="124">
        <v>42353</v>
      </c>
      <c r="B2028" s="125">
        <v>45.99</v>
      </c>
      <c r="C2028" s="52"/>
      <c r="D2028" s="52"/>
      <c r="E2028" s="52"/>
      <c r="F2028" s="52"/>
      <c r="G2028" s="52"/>
      <c r="H2028" s="52"/>
    </row>
    <row r="2029" spans="1:8" ht="15.75">
      <c r="A2029" s="124">
        <v>42354</v>
      </c>
      <c r="B2029" s="125">
        <v>45.99</v>
      </c>
      <c r="C2029" s="52"/>
      <c r="D2029" s="52"/>
      <c r="E2029" s="52"/>
      <c r="F2029" s="52"/>
      <c r="G2029" s="52"/>
      <c r="H2029" s="52"/>
    </row>
    <row r="2030" spans="1:8" ht="15.75">
      <c r="A2030" s="124">
        <v>42355</v>
      </c>
      <c r="B2030" s="125">
        <v>46</v>
      </c>
      <c r="C2030" s="52"/>
      <c r="D2030" s="52"/>
      <c r="E2030" s="52"/>
      <c r="F2030" s="52"/>
      <c r="G2030" s="52"/>
      <c r="H2030" s="52"/>
    </row>
    <row r="2031" spans="1:8" ht="15.75">
      <c r="A2031" s="124">
        <v>42356</v>
      </c>
      <c r="B2031" s="125">
        <v>46.13</v>
      </c>
      <c r="C2031" s="52"/>
      <c r="D2031" s="52"/>
      <c r="E2031" s="52"/>
      <c r="F2031" s="52"/>
      <c r="G2031" s="52"/>
      <c r="H2031" s="52"/>
    </row>
    <row r="2032" spans="1:8" ht="15.75">
      <c r="A2032" s="124">
        <v>42359</v>
      </c>
      <c r="B2032" s="125">
        <v>46.08</v>
      </c>
      <c r="C2032" s="52"/>
      <c r="D2032" s="52"/>
      <c r="E2032" s="52"/>
      <c r="F2032" s="52"/>
      <c r="G2032" s="52"/>
      <c r="H2032" s="52"/>
    </row>
    <row r="2033" spans="1:8" ht="15.75">
      <c r="A2033" s="124">
        <v>42360</v>
      </c>
      <c r="B2033" s="125">
        <v>46.07</v>
      </c>
      <c r="C2033" s="52"/>
      <c r="D2033" s="52"/>
      <c r="E2033" s="52"/>
      <c r="F2033" s="52"/>
      <c r="G2033" s="52"/>
      <c r="H2033" s="52"/>
    </row>
    <row r="2034" spans="1:8" ht="15.75">
      <c r="A2034" s="124">
        <v>42361</v>
      </c>
      <c r="B2034" s="125">
        <v>46.29</v>
      </c>
      <c r="C2034" s="52"/>
      <c r="D2034" s="52"/>
      <c r="E2034" s="52"/>
      <c r="F2034" s="52"/>
      <c r="G2034" s="52"/>
      <c r="H2034" s="52"/>
    </row>
    <row r="2035" spans="1:8" ht="15.75">
      <c r="A2035" s="124">
        <v>42366</v>
      </c>
      <c r="B2035" s="125">
        <v>46.4</v>
      </c>
      <c r="C2035" s="52"/>
      <c r="D2035" s="52"/>
      <c r="E2035" s="52"/>
      <c r="F2035" s="52"/>
      <c r="G2035" s="52"/>
      <c r="H2035" s="52"/>
    </row>
    <row r="2036" spans="1:8" ht="15.75">
      <c r="A2036" s="124">
        <v>42367</v>
      </c>
      <c r="B2036" s="125">
        <v>46.01</v>
      </c>
      <c r="C2036" s="52"/>
      <c r="D2036" s="52"/>
      <c r="E2036" s="52"/>
      <c r="F2036" s="52"/>
      <c r="G2036" s="52"/>
      <c r="H2036" s="52"/>
    </row>
    <row r="2037" spans="1:8" ht="15.75">
      <c r="A2037" s="124">
        <v>42368</v>
      </c>
      <c r="B2037" s="125">
        <v>46</v>
      </c>
      <c r="C2037" s="52"/>
      <c r="D2037" s="52"/>
      <c r="E2037" s="52"/>
      <c r="F2037" s="52"/>
      <c r="G2037" s="52"/>
      <c r="H2037" s="52"/>
    </row>
    <row r="2038" spans="1:8" ht="15.75">
      <c r="A2038" s="124">
        <v>42373</v>
      </c>
      <c r="B2038" s="125">
        <v>45.86</v>
      </c>
      <c r="C2038" s="52"/>
      <c r="D2038" s="52"/>
      <c r="E2038" s="52"/>
      <c r="F2038" s="52"/>
      <c r="G2038" s="52"/>
      <c r="H2038" s="52"/>
    </row>
    <row r="2039" spans="1:8" ht="15.75">
      <c r="A2039" s="124">
        <v>42374</v>
      </c>
      <c r="B2039" s="125">
        <v>46.05</v>
      </c>
      <c r="C2039" s="52"/>
      <c r="D2039" s="52"/>
      <c r="E2039" s="52"/>
      <c r="F2039" s="52"/>
      <c r="G2039" s="52"/>
      <c r="H2039" s="52"/>
    </row>
    <row r="2040" spans="1:8" ht="15.75">
      <c r="A2040" s="124">
        <v>42375</v>
      </c>
      <c r="B2040" s="125">
        <v>46.29</v>
      </c>
      <c r="C2040" s="52"/>
      <c r="D2040" s="52"/>
      <c r="E2040" s="52"/>
      <c r="F2040" s="52"/>
      <c r="G2040" s="52"/>
      <c r="H2040" s="52"/>
    </row>
    <row r="2041" spans="1:8" ht="15.75">
      <c r="A2041" s="124">
        <v>42376</v>
      </c>
      <c r="B2041" s="125">
        <v>46.15</v>
      </c>
      <c r="C2041" s="52"/>
      <c r="D2041" s="52"/>
      <c r="E2041" s="52"/>
      <c r="F2041" s="52"/>
      <c r="G2041" s="52"/>
      <c r="H2041" s="52"/>
    </row>
    <row r="2042" spans="1:8" ht="15.75">
      <c r="A2042" s="124">
        <v>42377</v>
      </c>
      <c r="B2042" s="125">
        <v>45.26</v>
      </c>
      <c r="C2042" s="52"/>
      <c r="D2042" s="52"/>
      <c r="E2042" s="52"/>
      <c r="F2042" s="52"/>
      <c r="G2042" s="52"/>
      <c r="H2042" s="52"/>
    </row>
    <row r="2043" spans="1:8" ht="15.75">
      <c r="A2043" s="124">
        <v>42380</v>
      </c>
      <c r="B2043" s="125">
        <v>45.5</v>
      </c>
      <c r="C2043" s="52"/>
      <c r="D2043" s="52"/>
      <c r="E2043" s="52"/>
      <c r="F2043" s="52"/>
      <c r="G2043" s="52"/>
      <c r="H2043" s="52"/>
    </row>
    <row r="2044" spans="1:8" ht="15.75">
      <c r="A2044" s="124">
        <v>42381</v>
      </c>
      <c r="B2044" s="125">
        <v>45.36</v>
      </c>
      <c r="C2044" s="52"/>
      <c r="D2044" s="52"/>
      <c r="E2044" s="52"/>
      <c r="F2044" s="52"/>
      <c r="G2044" s="52"/>
      <c r="H2044" s="52"/>
    </row>
    <row r="2045" spans="1:8" ht="15.75">
      <c r="A2045" s="124">
        <v>42382</v>
      </c>
      <c r="B2045" s="125">
        <v>45.39</v>
      </c>
      <c r="C2045" s="52"/>
      <c r="D2045" s="52"/>
      <c r="E2045" s="52"/>
      <c r="F2045" s="52"/>
      <c r="G2045" s="52"/>
      <c r="H2045" s="52"/>
    </row>
    <row r="2046" spans="1:8" ht="15.75">
      <c r="A2046" s="124">
        <v>42383</v>
      </c>
      <c r="B2046" s="125">
        <v>45.45</v>
      </c>
      <c r="C2046" s="52"/>
      <c r="D2046" s="52"/>
      <c r="E2046" s="52"/>
      <c r="F2046" s="52"/>
      <c r="G2046" s="52"/>
      <c r="H2046" s="52"/>
    </row>
    <row r="2047" spans="1:8" ht="15.75">
      <c r="A2047" s="124">
        <v>42384</v>
      </c>
      <c r="B2047" s="125">
        <v>45.59</v>
      </c>
      <c r="C2047" s="52"/>
      <c r="D2047" s="52"/>
      <c r="E2047" s="52"/>
      <c r="F2047" s="52"/>
      <c r="G2047" s="52"/>
      <c r="H2047" s="52"/>
    </row>
    <row r="2048" spans="1:8" ht="15.75">
      <c r="A2048" s="124">
        <v>42387</v>
      </c>
      <c r="B2048" s="125">
        <v>45.59</v>
      </c>
      <c r="C2048" s="52"/>
      <c r="D2048" s="52"/>
      <c r="E2048" s="52"/>
      <c r="F2048" s="52"/>
      <c r="G2048" s="52"/>
      <c r="H2048" s="52"/>
    </row>
    <row r="2049" spans="1:8" ht="15.75">
      <c r="A2049" s="124">
        <v>42388</v>
      </c>
      <c r="B2049" s="125">
        <v>45.52</v>
      </c>
      <c r="C2049" s="52"/>
      <c r="D2049" s="52"/>
      <c r="E2049" s="52"/>
      <c r="F2049" s="52"/>
      <c r="G2049" s="52"/>
      <c r="H2049" s="52"/>
    </row>
    <row r="2050" spans="1:8" ht="15.75">
      <c r="A2050" s="124">
        <v>42389</v>
      </c>
      <c r="B2050" s="125">
        <v>45.45</v>
      </c>
      <c r="C2050" s="52"/>
      <c r="D2050" s="52"/>
      <c r="E2050" s="52"/>
      <c r="F2050" s="52"/>
      <c r="G2050" s="52"/>
      <c r="H2050" s="52"/>
    </row>
    <row r="2051" spans="1:8" ht="15.75">
      <c r="A2051" s="124">
        <v>42390</v>
      </c>
      <c r="B2051" s="125">
        <v>45.4</v>
      </c>
      <c r="C2051" s="52"/>
      <c r="D2051" s="52"/>
      <c r="E2051" s="52"/>
      <c r="F2051" s="52"/>
      <c r="G2051" s="52"/>
      <c r="H2051" s="52"/>
    </row>
    <row r="2052" spans="1:8" ht="15.75">
      <c r="A2052" s="124">
        <v>42391</v>
      </c>
      <c r="B2052" s="125">
        <v>45.38</v>
      </c>
      <c r="C2052" s="52"/>
      <c r="D2052" s="52"/>
      <c r="E2052" s="52"/>
      <c r="F2052" s="52"/>
      <c r="G2052" s="52"/>
      <c r="H2052" s="52"/>
    </row>
    <row r="2053" spans="1:8" ht="15.75">
      <c r="A2053" s="124">
        <v>42394</v>
      </c>
      <c r="B2053" s="125">
        <v>45.35</v>
      </c>
      <c r="C2053" s="52"/>
      <c r="D2053" s="52"/>
      <c r="E2053" s="52"/>
      <c r="F2053" s="52"/>
      <c r="G2053" s="52"/>
      <c r="H2053" s="52"/>
    </row>
    <row r="2054" spans="1:8" ht="15.75">
      <c r="A2054" s="124">
        <v>42395</v>
      </c>
      <c r="B2054" s="125">
        <v>45.38</v>
      </c>
      <c r="C2054" s="52"/>
      <c r="D2054" s="52"/>
      <c r="E2054" s="52"/>
      <c r="F2054" s="52"/>
      <c r="G2054" s="52"/>
      <c r="H2054" s="52"/>
    </row>
    <row r="2055" spans="1:8" ht="15.75">
      <c r="A2055" s="124">
        <v>42396</v>
      </c>
      <c r="B2055" s="125">
        <v>45.46</v>
      </c>
      <c r="C2055" s="52"/>
      <c r="D2055" s="52"/>
      <c r="E2055" s="52"/>
      <c r="F2055" s="52"/>
      <c r="G2055" s="52"/>
      <c r="H2055" s="52"/>
    </row>
    <row r="2056" spans="1:8" ht="15.75">
      <c r="A2056" s="124">
        <v>42397</v>
      </c>
      <c r="B2056" s="125">
        <v>45.36</v>
      </c>
      <c r="C2056" s="52"/>
      <c r="D2056" s="52"/>
      <c r="E2056" s="52"/>
      <c r="F2056" s="52"/>
      <c r="G2056" s="52"/>
      <c r="H2056" s="52"/>
    </row>
    <row r="2057" spans="1:8" ht="15.75">
      <c r="A2057" s="124">
        <v>42398</v>
      </c>
      <c r="B2057" s="125">
        <v>45.51</v>
      </c>
      <c r="C2057" s="52"/>
      <c r="D2057" s="52"/>
      <c r="E2057" s="52"/>
      <c r="F2057" s="52"/>
      <c r="G2057" s="52"/>
      <c r="H2057" s="52"/>
    </row>
    <row r="2058" spans="1:8" ht="15.75">
      <c r="A2058" s="124">
        <v>42401</v>
      </c>
      <c r="B2058" s="125">
        <v>46</v>
      </c>
      <c r="C2058" s="52"/>
      <c r="D2058" s="52"/>
      <c r="E2058" s="52"/>
      <c r="F2058" s="52"/>
      <c r="G2058" s="52"/>
      <c r="H2058" s="52"/>
    </row>
    <row r="2059" spans="1:8" ht="15.75">
      <c r="A2059" s="124">
        <v>42402</v>
      </c>
      <c r="B2059" s="125">
        <v>45.75</v>
      </c>
      <c r="C2059" s="52"/>
      <c r="D2059" s="52"/>
      <c r="E2059" s="52"/>
      <c r="F2059" s="52"/>
      <c r="G2059" s="52"/>
      <c r="H2059" s="52"/>
    </row>
    <row r="2060" spans="1:8" ht="15.75">
      <c r="A2060" s="124">
        <v>42403</v>
      </c>
      <c r="B2060" s="125">
        <v>46</v>
      </c>
      <c r="C2060" s="52"/>
      <c r="D2060" s="52"/>
      <c r="E2060" s="52"/>
      <c r="F2060" s="52"/>
      <c r="G2060" s="52"/>
      <c r="H2060" s="52"/>
    </row>
    <row r="2061" spans="1:8" ht="15.75">
      <c r="A2061" s="124">
        <v>42404</v>
      </c>
      <c r="B2061" s="125">
        <v>46</v>
      </c>
      <c r="C2061" s="52"/>
      <c r="D2061" s="52"/>
      <c r="E2061" s="52"/>
      <c r="F2061" s="52"/>
      <c r="G2061" s="52"/>
      <c r="H2061" s="52"/>
    </row>
    <row r="2062" spans="1:8" ht="15.75">
      <c r="A2062" s="124">
        <v>42405</v>
      </c>
      <c r="B2062" s="125">
        <v>46.35</v>
      </c>
      <c r="C2062" s="52"/>
      <c r="D2062" s="52"/>
      <c r="E2062" s="52"/>
      <c r="F2062" s="52"/>
      <c r="G2062" s="52"/>
      <c r="H2062" s="52"/>
    </row>
    <row r="2063" spans="1:8" ht="15.75">
      <c r="A2063" s="124">
        <v>42408</v>
      </c>
      <c r="B2063" s="125">
        <v>46.28</v>
      </c>
      <c r="C2063" s="52"/>
      <c r="D2063" s="52"/>
      <c r="E2063" s="52"/>
      <c r="F2063" s="52"/>
      <c r="G2063" s="52"/>
      <c r="H2063" s="52"/>
    </row>
    <row r="2064" spans="1:8" ht="15.75">
      <c r="A2064" s="124">
        <v>42409</v>
      </c>
      <c r="B2064" s="125">
        <v>45.52</v>
      </c>
      <c r="C2064" s="52"/>
      <c r="D2064" s="52"/>
      <c r="E2064" s="52"/>
      <c r="F2064" s="52"/>
      <c r="G2064" s="52"/>
      <c r="H2064" s="52"/>
    </row>
    <row r="2065" spans="1:8" ht="15.75">
      <c r="A2065" s="124">
        <v>42410</v>
      </c>
      <c r="B2065" s="125">
        <v>45.52</v>
      </c>
      <c r="C2065" s="52"/>
      <c r="D2065" s="52"/>
      <c r="E2065" s="52"/>
      <c r="F2065" s="52"/>
      <c r="G2065" s="52"/>
      <c r="H2065" s="52"/>
    </row>
    <row r="2066" spans="1:8" ht="15.75">
      <c r="A2066" s="124">
        <v>42411</v>
      </c>
      <c r="B2066" s="125">
        <v>45.44</v>
      </c>
      <c r="C2066" s="52"/>
      <c r="D2066" s="52"/>
      <c r="E2066" s="52"/>
      <c r="F2066" s="52"/>
      <c r="G2066" s="52"/>
      <c r="H2066" s="52"/>
    </row>
    <row r="2067" spans="1:8" ht="15.75">
      <c r="A2067" s="124">
        <v>42412</v>
      </c>
      <c r="B2067" s="125">
        <v>45.5</v>
      </c>
      <c r="C2067" s="52"/>
      <c r="D2067" s="52"/>
      <c r="E2067" s="52"/>
      <c r="F2067" s="52"/>
      <c r="G2067" s="52"/>
      <c r="H2067" s="52"/>
    </row>
    <row r="2068" spans="1:8" ht="15.75">
      <c r="A2068" s="124">
        <v>42415</v>
      </c>
      <c r="B2068" s="125">
        <v>45.54</v>
      </c>
      <c r="C2068" s="52"/>
      <c r="D2068" s="52"/>
      <c r="E2068" s="52"/>
      <c r="F2068" s="52"/>
      <c r="G2068" s="52"/>
      <c r="H2068" s="52"/>
    </row>
    <row r="2069" spans="1:8" ht="15.75">
      <c r="A2069" s="124">
        <v>42416</v>
      </c>
      <c r="B2069" s="125">
        <v>45.69</v>
      </c>
      <c r="C2069" s="52"/>
      <c r="D2069" s="52"/>
      <c r="E2069" s="52"/>
      <c r="F2069" s="52"/>
      <c r="G2069" s="52"/>
      <c r="H2069" s="52"/>
    </row>
    <row r="2070" spans="1:8" ht="15.75">
      <c r="A2070" s="124">
        <v>42417</v>
      </c>
      <c r="B2070" s="125">
        <v>45.66</v>
      </c>
      <c r="C2070" s="52"/>
      <c r="D2070" s="52"/>
      <c r="E2070" s="52"/>
      <c r="F2070" s="52"/>
      <c r="G2070" s="52"/>
      <c r="H2070" s="52"/>
    </row>
    <row r="2071" spans="1:8" ht="15.75">
      <c r="A2071" s="124">
        <v>42418</v>
      </c>
      <c r="B2071" s="125">
        <v>45.66</v>
      </c>
      <c r="C2071" s="52"/>
      <c r="D2071" s="52"/>
      <c r="E2071" s="52"/>
      <c r="F2071" s="52"/>
      <c r="G2071" s="52"/>
      <c r="H2071" s="52"/>
    </row>
    <row r="2072" spans="1:8" ht="15.75">
      <c r="A2072" s="124">
        <v>42419</v>
      </c>
      <c r="B2072" s="125">
        <v>46.19</v>
      </c>
      <c r="C2072" s="52"/>
      <c r="D2072" s="52"/>
      <c r="E2072" s="52"/>
      <c r="F2072" s="52"/>
      <c r="G2072" s="52"/>
      <c r="H2072" s="52"/>
    </row>
    <row r="2073" spans="1:8" ht="15.75">
      <c r="A2073" s="124">
        <v>42422</v>
      </c>
      <c r="B2073" s="125">
        <v>45.82</v>
      </c>
      <c r="C2073" s="52"/>
      <c r="D2073" s="52"/>
      <c r="E2073" s="52"/>
      <c r="F2073" s="52"/>
      <c r="G2073" s="52"/>
      <c r="H2073" s="52"/>
    </row>
    <row r="2074" spans="1:8" ht="15.75">
      <c r="A2074" s="124">
        <v>42423</v>
      </c>
      <c r="B2074" s="125">
        <v>45.82</v>
      </c>
      <c r="C2074" s="52"/>
      <c r="D2074" s="52"/>
      <c r="E2074" s="52"/>
      <c r="F2074" s="52"/>
      <c r="G2074" s="52"/>
      <c r="H2074" s="52"/>
    </row>
    <row r="2075" spans="1:8" ht="15.75">
      <c r="A2075" s="124">
        <v>42424</v>
      </c>
      <c r="B2075" s="125">
        <v>46</v>
      </c>
      <c r="C2075" s="52"/>
      <c r="D2075" s="52"/>
      <c r="E2075" s="52"/>
      <c r="F2075" s="52"/>
      <c r="G2075" s="52"/>
      <c r="H2075" s="52"/>
    </row>
    <row r="2076" spans="1:8" ht="15.75">
      <c r="A2076" s="124">
        <v>42425</v>
      </c>
      <c r="B2076" s="125">
        <v>45.81</v>
      </c>
      <c r="C2076" s="52"/>
      <c r="D2076" s="52"/>
      <c r="E2076" s="52"/>
      <c r="F2076" s="52"/>
      <c r="G2076" s="52"/>
      <c r="H2076" s="52"/>
    </row>
    <row r="2077" spans="1:8" ht="15.75">
      <c r="A2077" s="124">
        <v>42426</v>
      </c>
      <c r="B2077" s="125">
        <v>45.8</v>
      </c>
      <c r="C2077" s="52"/>
      <c r="D2077" s="52"/>
      <c r="E2077" s="52"/>
      <c r="F2077" s="52"/>
      <c r="G2077" s="52"/>
      <c r="H2077" s="52"/>
    </row>
    <row r="2078" spans="1:8" ht="15.75">
      <c r="A2078" s="124">
        <v>42429</v>
      </c>
      <c r="B2078" s="125">
        <v>46</v>
      </c>
      <c r="C2078" s="52"/>
      <c r="D2078" s="52"/>
      <c r="E2078" s="52"/>
      <c r="F2078" s="52"/>
      <c r="G2078" s="52"/>
      <c r="H2078" s="52"/>
    </row>
    <row r="2079" spans="1:8" ht="15.75">
      <c r="A2079" s="124">
        <v>42430</v>
      </c>
      <c r="B2079" s="125">
        <v>46.3</v>
      </c>
      <c r="C2079" s="52"/>
      <c r="D2079" s="52"/>
      <c r="E2079" s="52"/>
      <c r="F2079" s="52"/>
      <c r="G2079" s="52"/>
      <c r="H2079" s="52"/>
    </row>
    <row r="2080" spans="1:8" ht="15.75">
      <c r="A2080" s="124">
        <v>42431</v>
      </c>
      <c r="B2080" s="125">
        <v>46.13</v>
      </c>
      <c r="C2080" s="52"/>
      <c r="D2080" s="52"/>
      <c r="E2080" s="52"/>
      <c r="F2080" s="52"/>
      <c r="G2080" s="52"/>
      <c r="H2080" s="52"/>
    </row>
    <row r="2081" spans="1:8" ht="15.75">
      <c r="A2081" s="124">
        <v>42432</v>
      </c>
      <c r="B2081" s="125">
        <v>46.5</v>
      </c>
      <c r="C2081" s="52"/>
      <c r="D2081" s="52"/>
      <c r="E2081" s="52"/>
      <c r="F2081" s="52"/>
      <c r="G2081" s="52"/>
      <c r="H2081" s="52"/>
    </row>
    <row r="2082" spans="1:8" ht="15.75">
      <c r="A2082" s="124">
        <v>42433</v>
      </c>
      <c r="B2082" s="125">
        <v>46.35</v>
      </c>
      <c r="C2082" s="52"/>
      <c r="D2082" s="52"/>
      <c r="E2082" s="52"/>
      <c r="F2082" s="52"/>
      <c r="G2082" s="52"/>
      <c r="H2082" s="52"/>
    </row>
    <row r="2083" spans="1:8" ht="15.75">
      <c r="A2083" s="124">
        <v>42436</v>
      </c>
      <c r="B2083" s="125">
        <v>46.38</v>
      </c>
      <c r="C2083" s="52"/>
      <c r="D2083" s="52"/>
      <c r="E2083" s="52"/>
      <c r="F2083" s="52"/>
      <c r="G2083" s="52"/>
      <c r="H2083" s="52"/>
    </row>
    <row r="2084" spans="1:8" ht="15.75">
      <c r="A2084" s="124">
        <v>42437</v>
      </c>
      <c r="B2084" s="125">
        <v>46.42</v>
      </c>
      <c r="C2084" s="52"/>
      <c r="D2084" s="52"/>
      <c r="E2084" s="52"/>
      <c r="F2084" s="52"/>
      <c r="G2084" s="52"/>
      <c r="H2084" s="52"/>
    </row>
    <row r="2085" spans="1:8" ht="15.75">
      <c r="A2085" s="124">
        <v>42438</v>
      </c>
      <c r="B2085" s="125">
        <v>46.35</v>
      </c>
      <c r="C2085" s="52"/>
      <c r="D2085" s="52"/>
      <c r="E2085" s="52"/>
      <c r="F2085" s="52"/>
      <c r="G2085" s="52"/>
      <c r="H2085" s="52"/>
    </row>
    <row r="2086" spans="1:8" ht="15.75">
      <c r="A2086" s="124">
        <v>42439</v>
      </c>
      <c r="B2086" s="125">
        <v>46.16</v>
      </c>
      <c r="C2086" s="52"/>
      <c r="D2086" s="52"/>
      <c r="E2086" s="52"/>
      <c r="F2086" s="52"/>
      <c r="G2086" s="52"/>
      <c r="H2086" s="52"/>
    </row>
    <row r="2087" spans="1:8" ht="15.75">
      <c r="A2087" s="124">
        <v>42440</v>
      </c>
      <c r="B2087" s="125">
        <v>46.08</v>
      </c>
      <c r="C2087" s="52"/>
      <c r="D2087" s="52"/>
      <c r="E2087" s="52"/>
      <c r="F2087" s="52"/>
      <c r="G2087" s="52"/>
      <c r="H2087" s="52"/>
    </row>
    <row r="2088" spans="1:8" ht="15.75">
      <c r="A2088" s="124">
        <v>42443</v>
      </c>
      <c r="B2088" s="125">
        <v>46.11</v>
      </c>
      <c r="C2088" s="52"/>
      <c r="D2088" s="52"/>
      <c r="E2088" s="52"/>
      <c r="F2088" s="52"/>
      <c r="G2088" s="52"/>
      <c r="H2088" s="52"/>
    </row>
    <row r="2089" spans="1:8" ht="15.75">
      <c r="A2089" s="124">
        <v>42444</v>
      </c>
      <c r="B2089" s="125">
        <v>46.32</v>
      </c>
      <c r="C2089" s="52"/>
      <c r="D2089" s="52"/>
      <c r="E2089" s="52"/>
      <c r="F2089" s="52"/>
      <c r="G2089" s="52"/>
      <c r="H2089" s="52"/>
    </row>
    <row r="2090" spans="1:8" ht="15.75">
      <c r="A2090" s="124">
        <v>42445</v>
      </c>
      <c r="B2090" s="125">
        <v>46.49</v>
      </c>
      <c r="C2090" s="52"/>
      <c r="D2090" s="52"/>
      <c r="E2090" s="52"/>
      <c r="F2090" s="52"/>
      <c r="G2090" s="52"/>
      <c r="H2090" s="52"/>
    </row>
    <row r="2091" spans="1:8" ht="15.75">
      <c r="A2091" s="124">
        <v>42446</v>
      </c>
      <c r="B2091" s="125">
        <v>46.27</v>
      </c>
      <c r="C2091" s="52"/>
      <c r="D2091" s="52"/>
      <c r="E2091" s="52"/>
      <c r="F2091" s="52"/>
      <c r="G2091" s="52"/>
      <c r="H2091" s="52"/>
    </row>
    <row r="2092" spans="1:8" ht="15.75">
      <c r="A2092" s="124">
        <v>42447</v>
      </c>
      <c r="B2092" s="125">
        <v>46.29</v>
      </c>
      <c r="C2092" s="52"/>
      <c r="D2092" s="52"/>
      <c r="E2092" s="52"/>
      <c r="F2092" s="52"/>
      <c r="G2092" s="52"/>
      <c r="H2092" s="52"/>
    </row>
    <row r="2093" spans="1:8" ht="15.75">
      <c r="A2093" s="124">
        <v>42450</v>
      </c>
      <c r="B2093" s="125">
        <v>46.5</v>
      </c>
      <c r="C2093" s="52"/>
      <c r="D2093" s="52"/>
      <c r="E2093" s="52"/>
      <c r="F2093" s="52"/>
      <c r="G2093" s="52"/>
      <c r="H2093" s="52"/>
    </row>
    <row r="2094" spans="1:8" ht="15.75">
      <c r="A2094" s="124">
        <v>42451</v>
      </c>
      <c r="B2094" s="125">
        <v>46.85</v>
      </c>
      <c r="C2094" s="52"/>
      <c r="D2094" s="52"/>
      <c r="E2094" s="52"/>
      <c r="F2094" s="52"/>
      <c r="G2094" s="52"/>
      <c r="H2094" s="52"/>
    </row>
    <row r="2095" spans="1:8" ht="15.75">
      <c r="A2095" s="124">
        <v>42452</v>
      </c>
      <c r="B2095" s="125">
        <v>46.36</v>
      </c>
      <c r="C2095" s="52"/>
      <c r="D2095" s="52"/>
      <c r="E2095" s="52"/>
      <c r="F2095" s="52"/>
      <c r="G2095" s="52"/>
      <c r="H2095" s="52"/>
    </row>
    <row r="2096" spans="1:8" ht="15.75">
      <c r="A2096" s="124">
        <v>42453</v>
      </c>
      <c r="B2096" s="125">
        <v>46.36</v>
      </c>
      <c r="C2096" s="52"/>
      <c r="D2096" s="52"/>
      <c r="E2096" s="52"/>
      <c r="F2096" s="52"/>
      <c r="G2096" s="52"/>
      <c r="H2096" s="52"/>
    </row>
    <row r="2097" spans="1:8" ht="15.75">
      <c r="A2097" s="124">
        <v>42458</v>
      </c>
      <c r="B2097" s="125">
        <v>46.39</v>
      </c>
      <c r="C2097" s="52"/>
      <c r="D2097" s="52"/>
      <c r="E2097" s="52"/>
      <c r="F2097" s="52"/>
      <c r="G2097" s="52"/>
      <c r="H2097" s="52"/>
    </row>
    <row r="2098" spans="1:8" ht="15.75">
      <c r="A2098" s="124">
        <v>42459</v>
      </c>
      <c r="B2098" s="125">
        <v>46.43</v>
      </c>
      <c r="C2098" s="52"/>
      <c r="D2098" s="52"/>
      <c r="E2098" s="52"/>
      <c r="F2098" s="52"/>
      <c r="G2098" s="52"/>
      <c r="H2098" s="52"/>
    </row>
    <row r="2099" spans="1:8" ht="15.75">
      <c r="A2099" s="124">
        <v>42460</v>
      </c>
      <c r="B2099" s="125">
        <v>46.43</v>
      </c>
      <c r="C2099" s="52"/>
      <c r="D2099" s="52"/>
      <c r="E2099" s="52"/>
      <c r="F2099" s="52"/>
      <c r="G2099" s="52"/>
      <c r="H2099" s="52"/>
    </row>
    <row r="2100" spans="1:8" ht="15.75">
      <c r="A2100" s="124">
        <v>42461</v>
      </c>
      <c r="B2100" s="125">
        <v>46.2</v>
      </c>
      <c r="C2100" s="52"/>
      <c r="D2100" s="52"/>
      <c r="E2100" s="52"/>
      <c r="F2100" s="52"/>
      <c r="G2100" s="52"/>
      <c r="H2100" s="52"/>
    </row>
    <row r="2101" spans="1:8" ht="15.75">
      <c r="A2101" s="124">
        <v>42464</v>
      </c>
      <c r="B2101" s="125">
        <v>46.36</v>
      </c>
      <c r="C2101" s="52"/>
      <c r="D2101" s="52"/>
      <c r="E2101" s="52"/>
      <c r="F2101" s="52"/>
      <c r="G2101" s="52"/>
      <c r="H2101" s="52"/>
    </row>
    <row r="2102" spans="1:8" ht="15.75">
      <c r="A2102" s="124">
        <v>42465</v>
      </c>
      <c r="B2102" s="125">
        <v>46.53</v>
      </c>
      <c r="C2102" s="52"/>
      <c r="D2102" s="52"/>
      <c r="E2102" s="52"/>
      <c r="F2102" s="52"/>
      <c r="G2102" s="52"/>
      <c r="H2102" s="52"/>
    </row>
    <row r="2103" spans="1:8" ht="15.75">
      <c r="A2103" s="124">
        <v>42466</v>
      </c>
      <c r="B2103" s="125">
        <v>46.53</v>
      </c>
      <c r="C2103" s="52"/>
      <c r="D2103" s="52"/>
      <c r="E2103" s="52"/>
      <c r="F2103" s="52"/>
      <c r="G2103" s="52"/>
      <c r="H2103" s="52"/>
    </row>
    <row r="2104" spans="1:8" ht="15.75">
      <c r="A2104" s="124">
        <v>42467</v>
      </c>
      <c r="B2104" s="125">
        <v>46.35</v>
      </c>
      <c r="C2104" s="52"/>
      <c r="D2104" s="52"/>
      <c r="E2104" s="52"/>
      <c r="F2104" s="52"/>
      <c r="G2104" s="52"/>
      <c r="H2104" s="52"/>
    </row>
    <row r="2105" spans="1:8" ht="15.75">
      <c r="A2105" s="124">
        <v>42468</v>
      </c>
      <c r="B2105" s="125">
        <v>46.42</v>
      </c>
      <c r="C2105" s="52"/>
      <c r="D2105" s="52"/>
      <c r="E2105" s="52"/>
      <c r="F2105" s="52"/>
      <c r="G2105" s="52"/>
      <c r="H2105" s="52"/>
    </row>
    <row r="2106" spans="1:8" ht="15.75">
      <c r="A2106" s="124">
        <v>42471</v>
      </c>
      <c r="B2106" s="125">
        <v>46.38</v>
      </c>
      <c r="C2106" s="52"/>
      <c r="D2106" s="52"/>
      <c r="E2106" s="52"/>
      <c r="F2106" s="52"/>
      <c r="G2106" s="52"/>
      <c r="H2106" s="52"/>
    </row>
    <row r="2107" spans="1:8" ht="15.75">
      <c r="A2107" s="124">
        <v>42472</v>
      </c>
      <c r="B2107" s="125">
        <v>46.3</v>
      </c>
      <c r="C2107" s="52"/>
      <c r="D2107" s="52"/>
      <c r="E2107" s="52"/>
      <c r="F2107" s="52"/>
      <c r="G2107" s="52"/>
      <c r="H2107" s="52"/>
    </row>
    <row r="2108" spans="1:8" ht="15.75">
      <c r="A2108" s="124">
        <v>42473</v>
      </c>
      <c r="B2108" s="125">
        <v>46.3</v>
      </c>
      <c r="C2108" s="52"/>
      <c r="D2108" s="52"/>
      <c r="E2108" s="52"/>
      <c r="F2108" s="52"/>
      <c r="G2108" s="52"/>
      <c r="H2108" s="52"/>
    </row>
    <row r="2109" spans="1:8" ht="15.75">
      <c r="A2109" s="124">
        <v>42474</v>
      </c>
      <c r="B2109" s="125">
        <v>46.36</v>
      </c>
      <c r="C2109" s="52"/>
      <c r="D2109" s="52"/>
      <c r="E2109" s="52"/>
      <c r="F2109" s="52"/>
      <c r="G2109" s="52"/>
      <c r="H2109" s="52"/>
    </row>
    <row r="2110" spans="1:8" ht="15.75">
      <c r="A2110" s="124">
        <v>42475</v>
      </c>
      <c r="B2110" s="125">
        <v>46.55</v>
      </c>
      <c r="C2110" s="52"/>
      <c r="D2110" s="52"/>
      <c r="E2110" s="52"/>
      <c r="F2110" s="52"/>
      <c r="G2110" s="52"/>
      <c r="H2110" s="52"/>
    </row>
    <row r="2111" spans="1:8" ht="15.75">
      <c r="A2111" s="124">
        <v>42478</v>
      </c>
      <c r="B2111" s="125">
        <v>46.58</v>
      </c>
      <c r="C2111" s="52"/>
      <c r="D2111" s="52"/>
      <c r="E2111" s="52"/>
      <c r="F2111" s="52"/>
      <c r="G2111" s="52"/>
      <c r="H2111" s="52"/>
    </row>
    <row r="2112" spans="1:8" ht="15.75">
      <c r="A2112" s="124">
        <v>42479</v>
      </c>
      <c r="B2112" s="125">
        <v>46.65</v>
      </c>
      <c r="C2112" s="52"/>
      <c r="D2112" s="52"/>
      <c r="E2112" s="52"/>
      <c r="F2112" s="52"/>
      <c r="G2112" s="52"/>
      <c r="H2112" s="52"/>
    </row>
    <row r="2113" spans="1:8" ht="15.75">
      <c r="A2113" s="124">
        <v>42480</v>
      </c>
      <c r="B2113" s="125">
        <v>46.64</v>
      </c>
      <c r="C2113" s="52"/>
      <c r="D2113" s="52"/>
      <c r="E2113" s="52"/>
      <c r="F2113" s="52"/>
      <c r="G2113" s="52"/>
      <c r="H2113" s="52"/>
    </row>
    <row r="2114" spans="1:8" ht="15.75">
      <c r="A2114" s="124">
        <v>42481</v>
      </c>
      <c r="B2114" s="125">
        <v>46.6</v>
      </c>
      <c r="C2114" s="52"/>
      <c r="D2114" s="52"/>
      <c r="E2114" s="52"/>
      <c r="F2114" s="52"/>
      <c r="G2114" s="52"/>
      <c r="H2114" s="52"/>
    </row>
    <row r="2115" spans="1:8" ht="15.75">
      <c r="A2115" s="124">
        <v>42482</v>
      </c>
      <c r="B2115" s="125">
        <v>46.48</v>
      </c>
      <c r="C2115" s="52"/>
      <c r="D2115" s="52"/>
      <c r="E2115" s="52"/>
      <c r="F2115" s="52"/>
      <c r="G2115" s="52"/>
      <c r="H2115" s="52"/>
    </row>
    <row r="2116" spans="1:8" ht="15.75">
      <c r="A2116" s="124">
        <v>42485</v>
      </c>
      <c r="B2116" s="125">
        <v>46.45</v>
      </c>
      <c r="C2116" s="52"/>
      <c r="D2116" s="52"/>
      <c r="E2116" s="52"/>
      <c r="F2116" s="52"/>
      <c r="G2116" s="52"/>
      <c r="H2116" s="52"/>
    </row>
    <row r="2117" spans="1:8" ht="15.75">
      <c r="A2117" s="124">
        <v>42486</v>
      </c>
      <c r="B2117" s="125">
        <v>46.44</v>
      </c>
      <c r="C2117" s="52"/>
      <c r="D2117" s="52"/>
      <c r="E2117" s="52"/>
      <c r="F2117" s="52"/>
      <c r="G2117" s="52"/>
      <c r="H2117" s="52"/>
    </row>
    <row r="2118" spans="1:8" ht="15.75">
      <c r="A2118" s="124">
        <v>42487</v>
      </c>
      <c r="B2118" s="125">
        <v>46.45</v>
      </c>
      <c r="C2118" s="52"/>
      <c r="D2118" s="52"/>
      <c r="E2118" s="52"/>
      <c r="F2118" s="52"/>
      <c r="G2118" s="52"/>
      <c r="H2118" s="52"/>
    </row>
    <row r="2119" spans="1:8" ht="15.75">
      <c r="A2119" s="124">
        <v>42488</v>
      </c>
      <c r="B2119" s="125">
        <v>46.36</v>
      </c>
      <c r="C2119" s="52"/>
      <c r="D2119" s="52"/>
      <c r="E2119" s="52"/>
      <c r="F2119" s="52"/>
      <c r="G2119" s="52"/>
      <c r="H2119" s="52"/>
    </row>
    <row r="2120" spans="1:8" ht="15.75">
      <c r="A2120" s="124">
        <v>42489</v>
      </c>
      <c r="B2120" s="125">
        <v>46.35</v>
      </c>
      <c r="C2120" s="52"/>
      <c r="D2120" s="52"/>
      <c r="E2120" s="52"/>
      <c r="F2120" s="52"/>
      <c r="G2120" s="52"/>
      <c r="H2120" s="52"/>
    </row>
    <row r="2121" spans="1:8" ht="15.75">
      <c r="A2121" s="124">
        <v>42492</v>
      </c>
      <c r="B2121" s="125">
        <v>45.96</v>
      </c>
      <c r="C2121" s="52"/>
      <c r="D2121" s="52"/>
      <c r="E2121" s="52"/>
      <c r="F2121" s="52"/>
      <c r="G2121" s="52"/>
      <c r="H2121" s="52"/>
    </row>
    <row r="2122" spans="1:8" ht="15.75">
      <c r="A2122" s="124">
        <v>42493</v>
      </c>
      <c r="B2122" s="125">
        <v>46.1</v>
      </c>
      <c r="C2122" s="52"/>
      <c r="D2122" s="52"/>
      <c r="E2122" s="52"/>
      <c r="F2122" s="52"/>
      <c r="G2122" s="52"/>
      <c r="H2122" s="52"/>
    </row>
    <row r="2123" spans="1:8" ht="15.75">
      <c r="A2123" s="124">
        <v>42494</v>
      </c>
      <c r="B2123" s="125">
        <v>46.03</v>
      </c>
      <c r="C2123" s="52"/>
      <c r="D2123" s="52"/>
      <c r="E2123" s="52"/>
      <c r="F2123" s="52"/>
      <c r="G2123" s="52"/>
      <c r="H2123" s="52"/>
    </row>
    <row r="2124" spans="1:8" ht="15.75">
      <c r="A2124" s="124">
        <v>42495</v>
      </c>
      <c r="B2124" s="125">
        <v>46</v>
      </c>
      <c r="C2124" s="52"/>
      <c r="D2124" s="52"/>
      <c r="E2124" s="52"/>
      <c r="F2124" s="52"/>
      <c r="G2124" s="52"/>
      <c r="H2124" s="52"/>
    </row>
    <row r="2125" spans="1:8" ht="15.75">
      <c r="A2125" s="124">
        <v>42496</v>
      </c>
      <c r="B2125" s="125">
        <v>46.14</v>
      </c>
      <c r="C2125" s="52"/>
      <c r="D2125" s="52"/>
      <c r="E2125" s="52"/>
      <c r="F2125" s="52"/>
      <c r="G2125" s="52"/>
      <c r="H2125" s="52"/>
    </row>
    <row r="2126" spans="1:8" ht="15.75">
      <c r="A2126" s="124">
        <v>42499</v>
      </c>
      <c r="B2126" s="125">
        <v>46.15</v>
      </c>
      <c r="C2126" s="52"/>
      <c r="D2126" s="52"/>
      <c r="E2126" s="52"/>
      <c r="F2126" s="52"/>
      <c r="G2126" s="52"/>
      <c r="H2126" s="52"/>
    </row>
    <row r="2127" spans="1:8" ht="15.75">
      <c r="A2127" s="124">
        <v>42500</v>
      </c>
      <c r="B2127" s="125">
        <v>46.23</v>
      </c>
      <c r="C2127" s="52"/>
      <c r="D2127" s="52"/>
      <c r="E2127" s="52"/>
      <c r="F2127" s="52"/>
      <c r="G2127" s="52"/>
      <c r="H2127" s="52"/>
    </row>
    <row r="2128" spans="1:8" ht="15.75">
      <c r="A2128" s="124">
        <v>42501</v>
      </c>
      <c r="B2128" s="125">
        <v>46.28</v>
      </c>
      <c r="C2128" s="52"/>
      <c r="D2128" s="52"/>
      <c r="E2128" s="52"/>
      <c r="F2128" s="52"/>
      <c r="G2128" s="52"/>
      <c r="H2128" s="52"/>
    </row>
    <row r="2129" spans="1:8" ht="15.75">
      <c r="A2129" s="124">
        <v>42502</v>
      </c>
      <c r="B2129" s="125">
        <v>46.18</v>
      </c>
      <c r="C2129" s="52"/>
      <c r="D2129" s="52"/>
      <c r="E2129" s="52"/>
      <c r="F2129" s="52"/>
      <c r="G2129" s="52"/>
      <c r="H2129" s="52"/>
    </row>
    <row r="2130" spans="1:8" ht="15.75">
      <c r="A2130" s="124">
        <v>42503</v>
      </c>
      <c r="B2130" s="125">
        <v>46.48</v>
      </c>
      <c r="C2130" s="52"/>
      <c r="D2130" s="52"/>
      <c r="E2130" s="52"/>
      <c r="F2130" s="52"/>
      <c r="G2130" s="52"/>
      <c r="H2130" s="52"/>
    </row>
    <row r="2131" spans="1:8" ht="15.75">
      <c r="A2131" s="124">
        <v>42507</v>
      </c>
      <c r="B2131" s="125">
        <v>46.24</v>
      </c>
      <c r="C2131" s="52"/>
      <c r="D2131" s="52"/>
      <c r="E2131" s="52"/>
      <c r="F2131" s="52"/>
      <c r="G2131" s="52"/>
      <c r="H2131" s="52"/>
    </row>
    <row r="2132" spans="1:8" ht="15.75">
      <c r="A2132" s="124">
        <v>42508</v>
      </c>
      <c r="B2132" s="125">
        <v>46.26</v>
      </c>
      <c r="C2132" s="52"/>
      <c r="D2132" s="52"/>
      <c r="E2132" s="52"/>
      <c r="F2132" s="52"/>
      <c r="G2132" s="52"/>
      <c r="H2132" s="52"/>
    </row>
    <row r="2133" spans="1:8" ht="15.75">
      <c r="A2133" s="124">
        <v>42509</v>
      </c>
      <c r="B2133" s="125">
        <v>46.27</v>
      </c>
      <c r="C2133" s="52"/>
      <c r="D2133" s="52"/>
      <c r="E2133" s="52"/>
      <c r="F2133" s="52"/>
      <c r="G2133" s="52"/>
      <c r="H2133" s="52"/>
    </row>
    <row r="2134" spans="1:8" ht="15.75">
      <c r="A2134" s="124">
        <v>42510</v>
      </c>
      <c r="B2134" s="125">
        <v>46.26</v>
      </c>
      <c r="C2134" s="52"/>
      <c r="D2134" s="52"/>
      <c r="E2134" s="52"/>
      <c r="F2134" s="52"/>
      <c r="G2134" s="52"/>
      <c r="H2134" s="52"/>
    </row>
    <row r="2135" spans="1:8" ht="15.75">
      <c r="A2135" s="124">
        <v>42513</v>
      </c>
      <c r="B2135" s="125">
        <v>46.26</v>
      </c>
      <c r="C2135" s="52"/>
      <c r="D2135" s="52"/>
      <c r="E2135" s="52"/>
      <c r="F2135" s="52"/>
      <c r="G2135" s="52"/>
      <c r="H2135" s="52"/>
    </row>
    <row r="2136" spans="1:8" ht="15.75">
      <c r="A2136" s="124">
        <v>42514</v>
      </c>
      <c r="B2136" s="125">
        <v>46.37</v>
      </c>
      <c r="C2136" s="52"/>
      <c r="D2136" s="52"/>
      <c r="E2136" s="52"/>
      <c r="F2136" s="52"/>
      <c r="G2136" s="52"/>
      <c r="H2136" s="52"/>
    </row>
    <row r="2137" spans="1:8" ht="15.75">
      <c r="A2137" s="124">
        <v>42515</v>
      </c>
      <c r="B2137" s="125">
        <v>46.27</v>
      </c>
      <c r="C2137" s="52"/>
      <c r="D2137" s="52"/>
      <c r="E2137" s="52"/>
      <c r="F2137" s="52"/>
      <c r="G2137" s="52"/>
      <c r="H2137" s="52"/>
    </row>
    <row r="2138" spans="1:8" ht="15.75">
      <c r="A2138" s="124">
        <v>42516</v>
      </c>
      <c r="B2138" s="125">
        <v>46.27</v>
      </c>
      <c r="C2138" s="52"/>
      <c r="D2138" s="52"/>
      <c r="E2138" s="52"/>
      <c r="F2138" s="52"/>
      <c r="G2138" s="52"/>
      <c r="H2138" s="52"/>
    </row>
    <row r="2139" spans="1:8" ht="15.75">
      <c r="A2139" s="124">
        <v>42517</v>
      </c>
      <c r="B2139" s="125">
        <v>46.31</v>
      </c>
      <c r="C2139" s="52"/>
      <c r="D2139" s="52"/>
      <c r="E2139" s="52"/>
      <c r="F2139" s="52"/>
      <c r="G2139" s="52"/>
      <c r="H2139" s="52"/>
    </row>
    <row r="2140" spans="1:8" ht="15.75">
      <c r="A2140" s="124">
        <v>42520</v>
      </c>
      <c r="B2140" s="125">
        <v>46.31</v>
      </c>
      <c r="C2140" s="52"/>
      <c r="D2140" s="52"/>
      <c r="E2140" s="52"/>
      <c r="F2140" s="52"/>
      <c r="G2140" s="52"/>
      <c r="H2140" s="52"/>
    </row>
    <row r="2141" spans="1:8" ht="15.75">
      <c r="A2141" s="124">
        <v>42521</v>
      </c>
      <c r="B2141" s="125">
        <v>46.39</v>
      </c>
      <c r="C2141" s="52"/>
      <c r="D2141" s="52"/>
      <c r="E2141" s="52"/>
      <c r="F2141" s="52"/>
      <c r="G2141" s="52"/>
      <c r="H2141" s="52"/>
    </row>
    <row r="2142" spans="1:8" ht="15.75">
      <c r="A2142" s="124">
        <v>42522</v>
      </c>
      <c r="B2142" s="125">
        <v>46.31</v>
      </c>
      <c r="C2142" s="52"/>
      <c r="D2142" s="52"/>
      <c r="E2142" s="52"/>
      <c r="F2142" s="52"/>
      <c r="G2142" s="52"/>
      <c r="H2142" s="52"/>
    </row>
    <row r="2143" spans="1:8" ht="15.75">
      <c r="A2143" s="124">
        <v>42523</v>
      </c>
      <c r="B2143" s="125">
        <v>46.31</v>
      </c>
      <c r="C2143" s="52"/>
      <c r="D2143" s="52"/>
      <c r="E2143" s="52"/>
      <c r="F2143" s="52"/>
      <c r="G2143" s="52"/>
      <c r="H2143" s="52"/>
    </row>
    <row r="2144" spans="1:8" ht="15.75">
      <c r="A2144" s="124">
        <v>42524</v>
      </c>
      <c r="B2144" s="125">
        <v>46.4</v>
      </c>
      <c r="C2144" s="52"/>
      <c r="D2144" s="52"/>
      <c r="E2144" s="52"/>
      <c r="F2144" s="52"/>
      <c r="G2144" s="52"/>
      <c r="H2144" s="52"/>
    </row>
    <row r="2145" spans="1:8" ht="15.75">
      <c r="A2145" s="124">
        <v>42527</v>
      </c>
      <c r="B2145" s="125">
        <v>46.35</v>
      </c>
      <c r="C2145" s="52"/>
      <c r="D2145" s="52"/>
      <c r="E2145" s="52"/>
      <c r="F2145" s="52"/>
      <c r="G2145" s="52"/>
      <c r="H2145" s="52"/>
    </row>
    <row r="2146" spans="1:8" ht="15.75">
      <c r="A2146" s="124">
        <v>42528</v>
      </c>
      <c r="B2146" s="125">
        <v>46.35</v>
      </c>
      <c r="C2146" s="52"/>
      <c r="D2146" s="52"/>
      <c r="E2146" s="52"/>
      <c r="F2146" s="52"/>
      <c r="G2146" s="52"/>
      <c r="H2146" s="52"/>
    </row>
    <row r="2147" spans="1:8" ht="15.75">
      <c r="A2147" s="124">
        <v>42529</v>
      </c>
      <c r="B2147" s="125">
        <v>46.32</v>
      </c>
      <c r="C2147" s="52"/>
      <c r="D2147" s="52"/>
      <c r="E2147" s="52"/>
      <c r="F2147" s="52"/>
      <c r="G2147" s="52"/>
      <c r="H2147" s="52"/>
    </row>
    <row r="2148" spans="1:8" ht="15.75">
      <c r="A2148" s="124">
        <v>42530</v>
      </c>
      <c r="B2148" s="125">
        <v>46.31</v>
      </c>
      <c r="C2148" s="52"/>
      <c r="D2148" s="52"/>
      <c r="E2148" s="52"/>
      <c r="F2148" s="52"/>
      <c r="G2148" s="52"/>
      <c r="H2148" s="52"/>
    </row>
    <row r="2149" spans="1:8" ht="15.75">
      <c r="A2149" s="124">
        <v>42531</v>
      </c>
      <c r="B2149" s="125">
        <v>46.31</v>
      </c>
      <c r="C2149" s="52"/>
      <c r="D2149" s="52"/>
      <c r="E2149" s="52"/>
      <c r="F2149" s="52"/>
      <c r="G2149" s="52"/>
      <c r="H2149" s="52"/>
    </row>
    <row r="2150" spans="1:8" ht="15.75">
      <c r="A2150" s="124">
        <v>42534</v>
      </c>
      <c r="B2150" s="125">
        <v>46.35</v>
      </c>
      <c r="C2150" s="52"/>
      <c r="D2150" s="52"/>
      <c r="E2150" s="52"/>
      <c r="F2150" s="52"/>
      <c r="G2150" s="52"/>
      <c r="H2150" s="52"/>
    </row>
    <row r="2151" spans="1:8" ht="15.75">
      <c r="A2151" s="124">
        <v>42535</v>
      </c>
      <c r="B2151" s="125">
        <v>46.35</v>
      </c>
      <c r="C2151" s="52"/>
      <c r="D2151" s="52"/>
      <c r="E2151" s="52"/>
      <c r="F2151" s="52"/>
      <c r="G2151" s="52"/>
      <c r="H2151" s="52"/>
    </row>
    <row r="2152" spans="1:8" ht="15.75">
      <c r="A2152" s="124">
        <v>42536</v>
      </c>
      <c r="B2152" s="125">
        <v>46.31</v>
      </c>
      <c r="C2152" s="52"/>
      <c r="D2152" s="52"/>
      <c r="E2152" s="52"/>
      <c r="F2152" s="52"/>
      <c r="G2152" s="52"/>
      <c r="H2152" s="52"/>
    </row>
    <row r="2153" spans="1:8" ht="15.75">
      <c r="A2153" s="124">
        <v>42537</v>
      </c>
      <c r="B2153" s="125">
        <v>46.28</v>
      </c>
      <c r="C2153" s="52"/>
      <c r="D2153" s="52"/>
      <c r="E2153" s="52"/>
      <c r="F2153" s="52"/>
      <c r="G2153" s="52"/>
      <c r="H2153" s="52"/>
    </row>
    <row r="2154" spans="1:8" ht="15.75">
      <c r="A2154" s="124">
        <v>42538</v>
      </c>
      <c r="B2154" s="125">
        <v>46.22</v>
      </c>
      <c r="C2154" s="52"/>
      <c r="D2154" s="52"/>
      <c r="E2154" s="52"/>
      <c r="F2154" s="52"/>
      <c r="G2154" s="52"/>
      <c r="H2154" s="52"/>
    </row>
    <row r="2155" spans="1:8" ht="15.75">
      <c r="A2155" s="124">
        <v>42541</v>
      </c>
      <c r="B2155" s="125">
        <v>46.22</v>
      </c>
      <c r="C2155" s="52"/>
      <c r="D2155" s="52"/>
      <c r="E2155" s="52"/>
      <c r="F2155" s="52"/>
      <c r="G2155" s="52"/>
      <c r="H2155" s="52"/>
    </row>
    <row r="2156" spans="1:8" ht="15.75">
      <c r="A2156" s="124">
        <v>42542</v>
      </c>
      <c r="B2156" s="125">
        <v>46.37</v>
      </c>
      <c r="C2156" s="52"/>
      <c r="D2156" s="52"/>
      <c r="E2156" s="52"/>
      <c r="F2156" s="52"/>
      <c r="G2156" s="52"/>
      <c r="H2156" s="52"/>
    </row>
    <row r="2157" spans="1:8" ht="15.75">
      <c r="A2157" s="124">
        <v>42543</v>
      </c>
      <c r="B2157" s="125">
        <v>46.69</v>
      </c>
      <c r="C2157" s="52"/>
      <c r="D2157" s="52"/>
      <c r="E2157" s="52"/>
      <c r="F2157" s="52"/>
      <c r="G2157" s="52"/>
      <c r="H2157" s="52"/>
    </row>
    <row r="2158" spans="1:8" ht="15.75">
      <c r="A2158" s="124">
        <v>42544</v>
      </c>
      <c r="B2158" s="125">
        <v>46.93</v>
      </c>
      <c r="C2158" s="52"/>
      <c r="D2158" s="52"/>
      <c r="E2158" s="52"/>
      <c r="F2158" s="52"/>
      <c r="G2158" s="52"/>
      <c r="H2158" s="52"/>
    </row>
    <row r="2159" spans="1:8" ht="15.75">
      <c r="A2159" s="124">
        <v>42545</v>
      </c>
      <c r="B2159" s="125">
        <v>46.4</v>
      </c>
      <c r="C2159" s="52"/>
      <c r="D2159" s="52"/>
      <c r="E2159" s="52"/>
      <c r="F2159" s="52"/>
      <c r="G2159" s="52"/>
      <c r="H2159" s="52"/>
    </row>
    <row r="2160" spans="1:8" ht="15.75">
      <c r="A2160" s="124">
        <v>42548</v>
      </c>
      <c r="B2160" s="125">
        <v>46.43</v>
      </c>
      <c r="C2160" s="52"/>
      <c r="D2160" s="52"/>
      <c r="E2160" s="52"/>
      <c r="F2160" s="52"/>
      <c r="G2160" s="52"/>
      <c r="H2160" s="52"/>
    </row>
    <row r="2161" spans="1:8" ht="15.75">
      <c r="A2161" s="124">
        <v>42549</v>
      </c>
      <c r="B2161" s="125">
        <v>46.24</v>
      </c>
      <c r="C2161" s="52"/>
      <c r="D2161" s="52"/>
      <c r="E2161" s="52"/>
      <c r="F2161" s="52"/>
      <c r="G2161" s="52"/>
      <c r="H2161" s="52"/>
    </row>
    <row r="2162" spans="1:8" ht="15.75">
      <c r="A2162" s="124">
        <v>42550</v>
      </c>
      <c r="B2162" s="125">
        <v>46.23</v>
      </c>
      <c r="C2162" s="52"/>
      <c r="D2162" s="52"/>
      <c r="E2162" s="52"/>
      <c r="F2162" s="52"/>
      <c r="G2162" s="52"/>
      <c r="H2162" s="52"/>
    </row>
    <row r="2163" spans="1:8" ht="15.75">
      <c r="A2163" s="124">
        <v>42551</v>
      </c>
      <c r="B2163" s="125">
        <v>46.26</v>
      </c>
      <c r="C2163" s="52"/>
      <c r="D2163" s="52"/>
      <c r="E2163" s="52"/>
      <c r="F2163" s="52"/>
      <c r="G2163" s="52"/>
      <c r="H2163" s="52"/>
    </row>
    <row r="2164" spans="1:8" ht="15.75">
      <c r="A2164" s="124">
        <v>42552</v>
      </c>
      <c r="B2164" s="125">
        <v>46.41</v>
      </c>
      <c r="C2164" s="52"/>
      <c r="D2164" s="52"/>
      <c r="E2164" s="52"/>
      <c r="F2164" s="52"/>
      <c r="G2164" s="52"/>
      <c r="H2164" s="52"/>
    </row>
    <row r="2165" spans="1:8" ht="15.75">
      <c r="A2165" s="124">
        <v>42555</v>
      </c>
      <c r="B2165" s="125">
        <v>46.48</v>
      </c>
      <c r="C2165" s="52"/>
      <c r="D2165" s="52"/>
      <c r="E2165" s="52"/>
      <c r="F2165" s="52"/>
      <c r="G2165" s="52"/>
      <c r="H2165" s="52"/>
    </row>
    <row r="2166" spans="1:8" ht="15.75">
      <c r="A2166" s="124">
        <v>42556</v>
      </c>
      <c r="B2166" s="125">
        <v>46.47</v>
      </c>
      <c r="C2166" s="52"/>
      <c r="D2166" s="52"/>
      <c r="E2166" s="52"/>
      <c r="F2166" s="52"/>
      <c r="G2166" s="52"/>
      <c r="H2166" s="52"/>
    </row>
    <row r="2167" spans="1:8" ht="15.75">
      <c r="A2167" s="124">
        <v>42557</v>
      </c>
      <c r="B2167" s="125">
        <v>46.45</v>
      </c>
      <c r="C2167" s="52"/>
      <c r="D2167" s="52"/>
      <c r="E2167" s="52"/>
      <c r="F2167" s="52"/>
      <c r="G2167" s="52"/>
      <c r="H2167" s="52"/>
    </row>
    <row r="2168" spans="1:8" ht="15.75">
      <c r="A2168" s="124">
        <v>42558</v>
      </c>
      <c r="B2168" s="125">
        <v>46.25</v>
      </c>
      <c r="C2168" s="52"/>
      <c r="D2168" s="52"/>
      <c r="E2168" s="52"/>
      <c r="F2168" s="52"/>
      <c r="G2168" s="52"/>
      <c r="H2168" s="52"/>
    </row>
    <row r="2169" spans="1:8" ht="15.75">
      <c r="A2169" s="124">
        <v>42559</v>
      </c>
      <c r="B2169" s="125">
        <v>46.05</v>
      </c>
      <c r="C2169" s="52"/>
      <c r="D2169" s="52"/>
      <c r="E2169" s="52"/>
      <c r="F2169" s="52"/>
      <c r="G2169" s="52"/>
      <c r="H2169" s="52"/>
    </row>
    <row r="2170" spans="1:8" ht="15.75">
      <c r="A2170" s="124">
        <v>42562</v>
      </c>
      <c r="B2170" s="125">
        <v>46.27</v>
      </c>
      <c r="C2170" s="52"/>
      <c r="D2170" s="52"/>
      <c r="E2170" s="52"/>
      <c r="F2170" s="52"/>
      <c r="G2170" s="52"/>
      <c r="H2170" s="52"/>
    </row>
    <row r="2171" spans="1:8" ht="15.75">
      <c r="A2171" s="124">
        <v>42563</v>
      </c>
      <c r="B2171" s="125">
        <v>46.26</v>
      </c>
      <c r="C2171" s="52"/>
      <c r="D2171" s="52"/>
      <c r="E2171" s="52"/>
      <c r="F2171" s="52"/>
      <c r="G2171" s="52"/>
      <c r="H2171" s="52"/>
    </row>
    <row r="2172" spans="1:8" ht="15.75">
      <c r="A2172" s="124">
        <v>42564</v>
      </c>
      <c r="B2172" s="125">
        <v>46.27</v>
      </c>
      <c r="C2172" s="52"/>
      <c r="D2172" s="52"/>
      <c r="E2172" s="52"/>
      <c r="F2172" s="52"/>
      <c r="G2172" s="52"/>
      <c r="H2172" s="52"/>
    </row>
    <row r="2173" spans="1:8" ht="15.75">
      <c r="A2173" s="124">
        <v>42565</v>
      </c>
      <c r="B2173" s="125">
        <v>46.55</v>
      </c>
      <c r="C2173" s="52"/>
      <c r="D2173" s="52"/>
      <c r="E2173" s="52"/>
      <c r="F2173" s="52"/>
      <c r="G2173" s="52"/>
      <c r="H2173" s="52"/>
    </row>
    <row r="2174" spans="1:8" ht="15.75">
      <c r="A2174" s="124">
        <v>42566</v>
      </c>
      <c r="B2174" s="125">
        <v>46.34</v>
      </c>
      <c r="C2174" s="52"/>
      <c r="D2174" s="52"/>
      <c r="E2174" s="52"/>
      <c r="F2174" s="52"/>
      <c r="G2174" s="52"/>
      <c r="H2174" s="52"/>
    </row>
    <row r="2175" spans="1:8" ht="15.75">
      <c r="A2175" s="124">
        <v>42569</v>
      </c>
      <c r="B2175" s="125">
        <v>46.54</v>
      </c>
      <c r="C2175" s="52"/>
      <c r="D2175" s="52"/>
      <c r="E2175" s="52"/>
      <c r="F2175" s="52"/>
      <c r="G2175" s="52"/>
      <c r="H2175" s="52"/>
    </row>
    <row r="2176" spans="1:8" ht="15.75">
      <c r="A2176" s="124">
        <v>42570</v>
      </c>
      <c r="B2176" s="125">
        <v>46.26</v>
      </c>
      <c r="C2176" s="52"/>
      <c r="D2176" s="52"/>
      <c r="E2176" s="52"/>
      <c r="F2176" s="52"/>
      <c r="G2176" s="52"/>
      <c r="H2176" s="52"/>
    </row>
    <row r="2177" spans="1:8" ht="15.75">
      <c r="A2177" s="124">
        <v>42571</v>
      </c>
      <c r="B2177" s="125">
        <v>46.6</v>
      </c>
      <c r="C2177" s="52"/>
      <c r="D2177" s="52"/>
      <c r="E2177" s="52"/>
      <c r="F2177" s="52"/>
      <c r="G2177" s="52"/>
      <c r="H2177" s="52"/>
    </row>
    <row r="2178" spans="1:8" ht="15.75">
      <c r="A2178" s="124">
        <v>42572</v>
      </c>
      <c r="B2178" s="125">
        <v>46.25</v>
      </c>
      <c r="C2178" s="52"/>
      <c r="D2178" s="52"/>
      <c r="E2178" s="52"/>
      <c r="F2178" s="52"/>
      <c r="G2178" s="52"/>
      <c r="H2178" s="52"/>
    </row>
    <row r="2179" spans="1:8" ht="15.75">
      <c r="A2179" s="124">
        <v>42573</v>
      </c>
      <c r="B2179" s="125">
        <v>46.43</v>
      </c>
      <c r="C2179" s="52"/>
      <c r="D2179" s="52"/>
      <c r="E2179" s="52"/>
      <c r="F2179" s="52"/>
      <c r="G2179" s="52"/>
      <c r="H2179" s="52"/>
    </row>
    <row r="2180" spans="1:8" ht="15.75">
      <c r="A2180" s="124">
        <v>42576</v>
      </c>
      <c r="B2180" s="125">
        <v>46.2</v>
      </c>
      <c r="C2180" s="52"/>
      <c r="D2180" s="52"/>
      <c r="E2180" s="52"/>
      <c r="F2180" s="52"/>
      <c r="G2180" s="52"/>
      <c r="H2180" s="52"/>
    </row>
    <row r="2181" spans="1:8" ht="15.75">
      <c r="A2181" s="124">
        <v>42577</v>
      </c>
      <c r="B2181" s="125">
        <v>46.43</v>
      </c>
      <c r="C2181" s="52"/>
      <c r="D2181" s="52"/>
      <c r="E2181" s="52"/>
      <c r="F2181" s="52"/>
      <c r="G2181" s="52"/>
      <c r="H2181" s="52"/>
    </row>
    <row r="2182" spans="1:8" ht="15.75">
      <c r="A2182" s="124">
        <v>42578</v>
      </c>
      <c r="B2182" s="125">
        <v>46.35</v>
      </c>
      <c r="C2182" s="52"/>
      <c r="D2182" s="52"/>
      <c r="E2182" s="52"/>
      <c r="F2182" s="52"/>
      <c r="G2182" s="52"/>
      <c r="H2182" s="52"/>
    </row>
    <row r="2183" spans="1:8" ht="15.75">
      <c r="A2183" s="124">
        <v>42579</v>
      </c>
      <c r="B2183" s="125">
        <v>46.3</v>
      </c>
      <c r="C2183" s="52"/>
      <c r="D2183" s="52"/>
      <c r="E2183" s="52"/>
      <c r="F2183" s="52"/>
      <c r="G2183" s="52"/>
      <c r="H2183" s="52"/>
    </row>
    <row r="2184" spans="1:8" ht="15.75">
      <c r="A2184" s="124">
        <v>42580</v>
      </c>
      <c r="B2184" s="125">
        <v>46.26</v>
      </c>
      <c r="C2184" s="52"/>
      <c r="D2184" s="52"/>
      <c r="E2184" s="52"/>
      <c r="F2184" s="52"/>
      <c r="G2184" s="52"/>
      <c r="H2184" s="52"/>
    </row>
    <row r="2185" spans="1:8" ht="15.75">
      <c r="A2185" s="124">
        <v>42583</v>
      </c>
      <c r="B2185" s="125">
        <v>46.34</v>
      </c>
      <c r="C2185" s="52"/>
      <c r="D2185" s="52"/>
      <c r="E2185" s="52"/>
      <c r="F2185" s="52"/>
      <c r="G2185" s="52"/>
      <c r="H2185" s="52"/>
    </row>
    <row r="2186" spans="1:8" ht="15.75">
      <c r="A2186" s="124">
        <v>42584</v>
      </c>
      <c r="B2186" s="125">
        <v>46.58</v>
      </c>
      <c r="C2186" s="52"/>
      <c r="D2186" s="52"/>
      <c r="E2186" s="52"/>
      <c r="F2186" s="52"/>
      <c r="G2186" s="52"/>
      <c r="H2186" s="52"/>
    </row>
    <row r="2187" spans="1:8" ht="15.75">
      <c r="A2187" s="124">
        <v>42585</v>
      </c>
      <c r="B2187" s="125">
        <v>46.51</v>
      </c>
      <c r="C2187" s="52"/>
      <c r="D2187" s="52"/>
      <c r="E2187" s="52"/>
      <c r="F2187" s="52"/>
      <c r="G2187" s="52"/>
      <c r="H2187" s="52"/>
    </row>
    <row r="2188" spans="1:8" ht="15.75">
      <c r="A2188" s="124">
        <v>42586</v>
      </c>
      <c r="B2188" s="125">
        <v>46.53</v>
      </c>
      <c r="C2188" s="52"/>
      <c r="D2188" s="52"/>
      <c r="E2188" s="52"/>
      <c r="F2188" s="52"/>
      <c r="G2188" s="52"/>
      <c r="H2188" s="52"/>
    </row>
    <row r="2189" spans="1:8" ht="15.75">
      <c r="A2189" s="124">
        <v>42587</v>
      </c>
      <c r="B2189" s="125">
        <v>46.62</v>
      </c>
      <c r="C2189" s="52"/>
      <c r="D2189" s="52"/>
      <c r="E2189" s="52"/>
      <c r="F2189" s="52"/>
      <c r="G2189" s="52"/>
      <c r="H2189" s="52"/>
    </row>
    <row r="2190" spans="1:8" ht="15.75">
      <c r="A2190" s="124">
        <v>42590</v>
      </c>
      <c r="B2190" s="125">
        <v>46.51</v>
      </c>
      <c r="C2190" s="52"/>
      <c r="D2190" s="52"/>
      <c r="E2190" s="52"/>
      <c r="F2190" s="52"/>
      <c r="G2190" s="52"/>
      <c r="H2190" s="52"/>
    </row>
    <row r="2191" spans="1:8" ht="15.75">
      <c r="A2191" s="124">
        <v>42591</v>
      </c>
      <c r="B2191" s="125">
        <v>46.74</v>
      </c>
      <c r="C2191" s="52"/>
      <c r="D2191" s="52"/>
      <c r="E2191" s="52"/>
      <c r="F2191" s="52"/>
      <c r="G2191" s="52"/>
      <c r="H2191" s="52"/>
    </row>
    <row r="2192" spans="1:8" ht="15.75">
      <c r="A2192" s="124">
        <v>42592</v>
      </c>
      <c r="B2192" s="125">
        <v>46.5</v>
      </c>
      <c r="C2192" s="52"/>
      <c r="D2192" s="52"/>
      <c r="E2192" s="52"/>
      <c r="F2192" s="52"/>
      <c r="G2192" s="52"/>
      <c r="H2192" s="52"/>
    </row>
    <row r="2193" spans="1:8" ht="15.75">
      <c r="A2193" s="124">
        <v>42593</v>
      </c>
      <c r="B2193" s="125">
        <v>46.41</v>
      </c>
      <c r="C2193" s="52"/>
      <c r="D2193" s="52"/>
      <c r="E2193" s="52"/>
      <c r="F2193" s="52"/>
      <c r="G2193" s="52"/>
      <c r="H2193" s="52"/>
    </row>
    <row r="2194" spans="1:8" ht="15.75">
      <c r="A2194" s="124">
        <v>42594</v>
      </c>
      <c r="B2194" s="125">
        <v>46.65</v>
      </c>
      <c r="C2194" s="52"/>
      <c r="D2194" s="52"/>
      <c r="E2194" s="52"/>
      <c r="F2194" s="52"/>
      <c r="G2194" s="52"/>
      <c r="H2194" s="52"/>
    </row>
    <row r="2195" spans="1:8" ht="15.75">
      <c r="A2195" s="124">
        <v>42597</v>
      </c>
      <c r="B2195" s="125">
        <v>46.56</v>
      </c>
      <c r="C2195" s="52"/>
      <c r="D2195" s="52"/>
      <c r="E2195" s="52"/>
      <c r="F2195" s="52"/>
      <c r="G2195" s="52"/>
      <c r="H2195" s="52"/>
    </row>
    <row r="2196" spans="1:8" ht="15.75">
      <c r="A2196" s="124">
        <v>42598</v>
      </c>
      <c r="B2196" s="125">
        <v>46.61</v>
      </c>
      <c r="C2196" s="52"/>
      <c r="D2196" s="52"/>
      <c r="E2196" s="52"/>
      <c r="F2196" s="52"/>
      <c r="G2196" s="52"/>
      <c r="H2196" s="52"/>
    </row>
    <row r="2197" spans="1:8" ht="15.75">
      <c r="A2197" s="124">
        <v>42599</v>
      </c>
      <c r="B2197" s="125">
        <v>46.75</v>
      </c>
      <c r="C2197" s="52"/>
      <c r="D2197" s="52"/>
      <c r="E2197" s="52"/>
      <c r="F2197" s="52"/>
      <c r="G2197" s="52"/>
      <c r="H2197" s="52"/>
    </row>
    <row r="2198" spans="1:8" ht="15.75">
      <c r="A2198" s="124">
        <v>42600</v>
      </c>
      <c r="B2198" s="125">
        <v>46.58</v>
      </c>
      <c r="C2198" s="52"/>
      <c r="D2198" s="52"/>
      <c r="E2198" s="52"/>
      <c r="F2198" s="52"/>
      <c r="G2198" s="52"/>
      <c r="H2198" s="52"/>
    </row>
    <row r="2199" spans="1:8" ht="15.75">
      <c r="A2199" s="124">
        <v>42601</v>
      </c>
      <c r="B2199" s="125">
        <v>46.56</v>
      </c>
      <c r="C2199" s="52"/>
      <c r="D2199" s="52"/>
      <c r="E2199" s="52"/>
      <c r="F2199" s="52"/>
      <c r="G2199" s="52"/>
      <c r="H2199" s="52"/>
    </row>
    <row r="2200" spans="1:8" ht="15.75">
      <c r="A2200" s="124">
        <v>42604</v>
      </c>
      <c r="B2200" s="125">
        <v>46.67</v>
      </c>
      <c r="C2200" s="52"/>
      <c r="D2200" s="52"/>
      <c r="E2200" s="52"/>
      <c r="F2200" s="52"/>
      <c r="G2200" s="52"/>
      <c r="H2200" s="52"/>
    </row>
    <row r="2201" spans="1:8" ht="15.75">
      <c r="A2201" s="124">
        <v>42605</v>
      </c>
      <c r="B2201" s="125">
        <v>46.58</v>
      </c>
      <c r="C2201" s="52"/>
      <c r="D2201" s="52"/>
      <c r="E2201" s="52"/>
      <c r="F2201" s="52"/>
      <c r="G2201" s="52"/>
      <c r="H2201" s="52"/>
    </row>
    <row r="2202" spans="1:8" ht="15.75">
      <c r="A2202" s="124">
        <v>42606</v>
      </c>
      <c r="B2202" s="125">
        <v>46.6</v>
      </c>
      <c r="C2202" s="52"/>
      <c r="D2202" s="52"/>
      <c r="E2202" s="52"/>
      <c r="F2202" s="52"/>
      <c r="G2202" s="52"/>
      <c r="H2202" s="52"/>
    </row>
    <row r="2203" spans="1:8" ht="15.75">
      <c r="A2203" s="124">
        <v>42607</v>
      </c>
      <c r="B2203" s="125">
        <v>46.56</v>
      </c>
      <c r="C2203" s="52"/>
      <c r="D2203" s="52"/>
      <c r="E2203" s="52"/>
      <c r="F2203" s="52"/>
      <c r="G2203" s="52"/>
      <c r="H2203" s="52"/>
    </row>
    <row r="2204" spans="1:8" ht="15.75">
      <c r="A2204" s="124">
        <v>42608</v>
      </c>
      <c r="B2204" s="125">
        <v>46.55</v>
      </c>
      <c r="C2204" s="52"/>
      <c r="D2204" s="52"/>
      <c r="E2204" s="52"/>
      <c r="F2204" s="52"/>
      <c r="G2204" s="52"/>
      <c r="H2204" s="52"/>
    </row>
    <row r="2205" spans="1:8" ht="15.75">
      <c r="A2205" s="124">
        <v>42611</v>
      </c>
      <c r="B2205" s="125">
        <v>46.67</v>
      </c>
      <c r="C2205" s="52"/>
      <c r="D2205" s="52"/>
      <c r="E2205" s="52"/>
      <c r="F2205" s="52"/>
      <c r="G2205" s="52"/>
      <c r="H2205" s="52"/>
    </row>
    <row r="2206" spans="1:8" ht="15.75">
      <c r="A2206" s="124">
        <v>42612</v>
      </c>
      <c r="B2206" s="125">
        <v>46.8</v>
      </c>
      <c r="C2206" s="52"/>
      <c r="D2206" s="52"/>
      <c r="E2206" s="52"/>
      <c r="F2206" s="52"/>
      <c r="G2206" s="52"/>
      <c r="H2206" s="52"/>
    </row>
    <row r="2207" spans="1:8" ht="15.75">
      <c r="A2207" s="124">
        <v>42613</v>
      </c>
      <c r="B2207" s="125">
        <v>46.99</v>
      </c>
      <c r="C2207" s="52"/>
      <c r="D2207" s="52"/>
      <c r="E2207" s="52"/>
      <c r="F2207" s="52"/>
      <c r="G2207" s="52"/>
      <c r="H2207" s="52"/>
    </row>
    <row r="2208" spans="1:8" ht="15.75">
      <c r="A2208" s="124">
        <v>42614</v>
      </c>
      <c r="B2208" s="125">
        <v>46.81</v>
      </c>
      <c r="C2208" s="52"/>
      <c r="D2208" s="52"/>
      <c r="E2208" s="52"/>
      <c r="F2208" s="52"/>
      <c r="G2208" s="52"/>
      <c r="H2208" s="52"/>
    </row>
    <row r="2209" spans="1:8" ht="15.75">
      <c r="A2209" s="124">
        <v>42615</v>
      </c>
      <c r="B2209" s="125">
        <v>46.81</v>
      </c>
      <c r="C2209" s="52"/>
      <c r="D2209" s="52"/>
      <c r="E2209" s="52"/>
      <c r="F2209" s="52"/>
      <c r="G2209" s="52"/>
      <c r="H2209" s="52"/>
    </row>
    <row r="2210" spans="1:8" ht="15.75">
      <c r="A2210" s="124">
        <v>42618</v>
      </c>
      <c r="B2210" s="125">
        <v>46.9</v>
      </c>
      <c r="C2210" s="52"/>
      <c r="D2210" s="52"/>
      <c r="E2210" s="52"/>
      <c r="F2210" s="52"/>
      <c r="G2210" s="52"/>
      <c r="H2210" s="52"/>
    </row>
    <row r="2211" spans="1:8" ht="15.75">
      <c r="A2211" s="124">
        <v>42619</v>
      </c>
      <c r="B2211" s="125">
        <v>46.91</v>
      </c>
      <c r="C2211" s="52"/>
      <c r="D2211" s="52"/>
      <c r="E2211" s="52"/>
      <c r="F2211" s="52"/>
      <c r="G2211" s="52"/>
      <c r="H2211" s="52"/>
    </row>
    <row r="2212" spans="1:8" ht="15.75">
      <c r="A2212" s="124">
        <v>42620</v>
      </c>
      <c r="B2212" s="125">
        <v>46.92</v>
      </c>
      <c r="C2212" s="52"/>
      <c r="D2212" s="52"/>
      <c r="E2212" s="52"/>
      <c r="F2212" s="52"/>
      <c r="G2212" s="52"/>
      <c r="H2212" s="52"/>
    </row>
    <row r="2213" spans="1:8" ht="15.75">
      <c r="A2213" s="124">
        <v>42621</v>
      </c>
      <c r="B2213" s="125">
        <v>47.13</v>
      </c>
      <c r="C2213" s="52"/>
      <c r="D2213" s="52"/>
      <c r="E2213" s="52"/>
      <c r="F2213" s="52"/>
      <c r="G2213" s="52"/>
      <c r="H2213" s="52"/>
    </row>
    <row r="2214" spans="1:8" ht="15.75">
      <c r="A2214" s="124">
        <v>42622</v>
      </c>
      <c r="B2214" s="125">
        <v>47.13</v>
      </c>
      <c r="C2214" s="52"/>
      <c r="D2214" s="52"/>
      <c r="E2214" s="52"/>
      <c r="F2214" s="52"/>
      <c r="G2214" s="52"/>
      <c r="H2214" s="52"/>
    </row>
    <row r="2215" spans="1:8" ht="15.75">
      <c r="A2215" s="124">
        <v>42625</v>
      </c>
      <c r="B2215" s="125">
        <v>46.96</v>
      </c>
      <c r="C2215" s="52"/>
      <c r="D2215" s="52"/>
      <c r="E2215" s="52"/>
      <c r="F2215" s="52"/>
      <c r="G2215" s="52"/>
      <c r="H2215" s="52"/>
    </row>
    <row r="2216" spans="1:8" ht="15.75">
      <c r="A2216" s="124">
        <v>42626</v>
      </c>
      <c r="B2216" s="125">
        <v>47.03</v>
      </c>
      <c r="C2216" s="52"/>
      <c r="D2216" s="52"/>
      <c r="E2216" s="52"/>
      <c r="F2216" s="52"/>
      <c r="G2216" s="52"/>
      <c r="H2216" s="52"/>
    </row>
    <row r="2217" spans="1:8" ht="15.75">
      <c r="A2217" s="124">
        <v>42627</v>
      </c>
      <c r="B2217" s="125">
        <v>47.04</v>
      </c>
      <c r="C2217" s="52"/>
      <c r="D2217" s="52"/>
      <c r="E2217" s="52"/>
      <c r="F2217" s="52"/>
      <c r="G2217" s="52"/>
      <c r="H2217" s="52"/>
    </row>
    <row r="2218" spans="1:8" ht="15.75">
      <c r="A2218" s="124">
        <v>42628</v>
      </c>
      <c r="B2218" s="125">
        <v>47.02</v>
      </c>
      <c r="C2218" s="52"/>
      <c r="D2218" s="52"/>
      <c r="E2218" s="52"/>
      <c r="F2218" s="52"/>
      <c r="G2218" s="52"/>
      <c r="H2218" s="52"/>
    </row>
    <row r="2219" spans="1:8" ht="15.75">
      <c r="A2219" s="124">
        <v>42629</v>
      </c>
      <c r="B2219" s="125">
        <v>47.02</v>
      </c>
      <c r="C2219" s="52"/>
      <c r="D2219" s="52"/>
      <c r="E2219" s="52"/>
      <c r="F2219" s="52"/>
      <c r="G2219" s="52"/>
      <c r="H2219" s="52"/>
    </row>
    <row r="2220" spans="1:8" ht="15.75">
      <c r="A2220" s="124">
        <v>42632</v>
      </c>
      <c r="B2220" s="125">
        <v>47.29</v>
      </c>
      <c r="C2220" s="52"/>
      <c r="D2220" s="52"/>
      <c r="E2220" s="52"/>
      <c r="F2220" s="52"/>
      <c r="G2220" s="52"/>
      <c r="H2220" s="52"/>
    </row>
    <row r="2221" spans="1:8" ht="15.75">
      <c r="A2221" s="124">
        <v>42633</v>
      </c>
      <c r="B2221" s="125">
        <v>46.97</v>
      </c>
      <c r="C2221" s="52"/>
      <c r="D2221" s="52"/>
      <c r="E2221" s="52"/>
      <c r="F2221" s="52"/>
      <c r="G2221" s="52"/>
      <c r="H2221" s="52"/>
    </row>
    <row r="2222" spans="1:8" ht="15.75">
      <c r="A2222" s="124">
        <v>42634</v>
      </c>
      <c r="B2222" s="125">
        <v>46.9</v>
      </c>
      <c r="C2222" s="52"/>
      <c r="D2222" s="52"/>
      <c r="E2222" s="52"/>
      <c r="F2222" s="52"/>
      <c r="G2222" s="52"/>
      <c r="H2222" s="52"/>
    </row>
    <row r="2223" spans="1:8" ht="15.75">
      <c r="A2223" s="124">
        <v>42635</v>
      </c>
      <c r="B2223" s="125">
        <v>47</v>
      </c>
      <c r="C2223" s="52"/>
      <c r="D2223" s="52"/>
      <c r="E2223" s="52"/>
      <c r="F2223" s="52"/>
      <c r="G2223" s="52"/>
      <c r="H2223" s="52"/>
    </row>
    <row r="2224" spans="1:8" ht="15.75">
      <c r="A2224" s="124">
        <v>42636</v>
      </c>
      <c r="B2224" s="125">
        <v>46.87</v>
      </c>
      <c r="C2224" s="52"/>
      <c r="D2224" s="52"/>
      <c r="E2224" s="52"/>
      <c r="F2224" s="52"/>
      <c r="G2224" s="52"/>
      <c r="H2224" s="52"/>
    </row>
    <row r="2225" spans="1:8" ht="15.75">
      <c r="A2225" s="124">
        <v>42639</v>
      </c>
      <c r="B2225" s="125">
        <v>46.87</v>
      </c>
      <c r="C2225" s="52"/>
      <c r="D2225" s="52"/>
      <c r="E2225" s="52"/>
      <c r="F2225" s="52"/>
      <c r="G2225" s="52"/>
      <c r="H2225" s="52"/>
    </row>
    <row r="2226" spans="1:8" ht="15.75">
      <c r="A2226" s="124">
        <v>42640</v>
      </c>
      <c r="B2226" s="125">
        <v>46.91</v>
      </c>
      <c r="C2226" s="52"/>
      <c r="D2226" s="52"/>
      <c r="E2226" s="52"/>
      <c r="F2226" s="52"/>
      <c r="G2226" s="52"/>
      <c r="H2226" s="52"/>
    </row>
    <row r="2227" spans="1:8" ht="15.75">
      <c r="A2227" s="124">
        <v>42641</v>
      </c>
      <c r="B2227" s="125">
        <v>46.87</v>
      </c>
      <c r="C2227" s="52"/>
      <c r="D2227" s="52"/>
      <c r="E2227" s="52"/>
      <c r="F2227" s="52"/>
      <c r="G2227" s="52"/>
      <c r="H2227" s="52"/>
    </row>
    <row r="2228" spans="1:8" ht="15.75">
      <c r="A2228" s="124">
        <v>42642</v>
      </c>
      <c r="B2228" s="125">
        <v>46.83</v>
      </c>
      <c r="C2228" s="52"/>
      <c r="D2228" s="52"/>
      <c r="E2228" s="52"/>
      <c r="F2228" s="52"/>
      <c r="G2228" s="52"/>
      <c r="H2228" s="52"/>
    </row>
    <row r="2229" spans="1:8" ht="15.75">
      <c r="A2229" s="124">
        <v>42643</v>
      </c>
      <c r="B2229" s="125">
        <v>46.67</v>
      </c>
      <c r="C2229" s="52"/>
      <c r="D2229" s="52"/>
      <c r="E2229" s="52"/>
      <c r="F2229" s="52"/>
      <c r="G2229" s="52"/>
      <c r="H2229" s="52"/>
    </row>
    <row r="2230" spans="1:8" ht="15.75">
      <c r="A2230" s="124">
        <v>42647</v>
      </c>
      <c r="B2230" s="125">
        <v>46.74</v>
      </c>
      <c r="C2230" s="52"/>
      <c r="D2230" s="52"/>
      <c r="E2230" s="52"/>
      <c r="F2230" s="52"/>
      <c r="G2230" s="52"/>
      <c r="H2230" s="52"/>
    </row>
    <row r="2231" spans="1:8" ht="15.75">
      <c r="A2231" s="124">
        <v>42648</v>
      </c>
      <c r="B2231" s="125">
        <v>46.9</v>
      </c>
      <c r="C2231" s="52"/>
      <c r="D2231" s="52"/>
      <c r="E2231" s="52"/>
      <c r="F2231" s="52"/>
      <c r="G2231" s="52"/>
      <c r="H2231" s="52"/>
    </row>
    <row r="2232" spans="1:8" ht="15.75">
      <c r="A2232" s="124">
        <v>42649</v>
      </c>
      <c r="B2232" s="125">
        <v>46.8</v>
      </c>
      <c r="C2232" s="52"/>
      <c r="D2232" s="52"/>
      <c r="E2232" s="52"/>
      <c r="F2232" s="52"/>
      <c r="G2232" s="52"/>
      <c r="H2232" s="52"/>
    </row>
    <row r="2233" spans="1:8" ht="15.75">
      <c r="A2233" s="124">
        <v>42650</v>
      </c>
      <c r="B2233" s="125">
        <v>47.28</v>
      </c>
      <c r="C2233" s="52"/>
      <c r="D2233" s="52"/>
      <c r="E2233" s="52"/>
      <c r="F2233" s="52"/>
      <c r="G2233" s="52"/>
      <c r="H2233" s="52"/>
    </row>
    <row r="2234" spans="1:8" ht="15.75">
      <c r="A2234" s="124">
        <v>42653</v>
      </c>
      <c r="B2234" s="125">
        <v>46.82</v>
      </c>
      <c r="C2234" s="52"/>
      <c r="D2234" s="52"/>
      <c r="E2234" s="52"/>
      <c r="F2234" s="52"/>
      <c r="G2234" s="52"/>
      <c r="H2234" s="52"/>
    </row>
    <row r="2235" spans="1:8" ht="15.75">
      <c r="A2235" s="124">
        <v>42654</v>
      </c>
      <c r="B2235" s="125">
        <v>47.01</v>
      </c>
      <c r="C2235" s="52"/>
      <c r="D2235" s="52"/>
      <c r="E2235" s="52"/>
      <c r="F2235" s="52"/>
      <c r="G2235" s="52"/>
      <c r="H2235" s="52"/>
    </row>
    <row r="2236" spans="1:8" ht="15.75">
      <c r="A2236" s="124">
        <v>42655</v>
      </c>
      <c r="B2236" s="125">
        <v>46.94</v>
      </c>
      <c r="C2236" s="52"/>
      <c r="D2236" s="52"/>
      <c r="E2236" s="52"/>
      <c r="F2236" s="52"/>
      <c r="G2236" s="52"/>
      <c r="H2236" s="52"/>
    </row>
    <row r="2237" spans="1:8" ht="15.75">
      <c r="A2237" s="124">
        <v>42656</v>
      </c>
      <c r="B2237" s="125">
        <v>47.21</v>
      </c>
      <c r="C2237" s="52"/>
      <c r="D2237" s="52"/>
      <c r="E2237" s="52"/>
      <c r="F2237" s="52"/>
      <c r="G2237" s="52"/>
      <c r="H2237" s="52"/>
    </row>
    <row r="2238" spans="1:8" ht="15.75">
      <c r="A2238" s="124">
        <v>42657</v>
      </c>
      <c r="B2238" s="125">
        <v>47.04</v>
      </c>
      <c r="C2238" s="52"/>
      <c r="D2238" s="52"/>
      <c r="E2238" s="52"/>
      <c r="F2238" s="52"/>
      <c r="G2238" s="52"/>
      <c r="H2238" s="52"/>
    </row>
    <row r="2239" spans="1:8" ht="15.75">
      <c r="A2239" s="124">
        <v>42660</v>
      </c>
      <c r="B2239" s="125">
        <v>47.05</v>
      </c>
      <c r="C2239" s="52"/>
      <c r="D2239" s="52"/>
      <c r="E2239" s="52"/>
      <c r="F2239" s="52"/>
      <c r="G2239" s="52"/>
      <c r="H2239" s="52"/>
    </row>
    <row r="2240" spans="1:8" ht="15.75">
      <c r="A2240" s="124">
        <v>42661</v>
      </c>
      <c r="B2240" s="125">
        <v>47.16</v>
      </c>
      <c r="C2240" s="52"/>
      <c r="D2240" s="52"/>
      <c r="E2240" s="52"/>
      <c r="F2240" s="52"/>
      <c r="G2240" s="52"/>
      <c r="H2240" s="52"/>
    </row>
    <row r="2241" spans="1:8" ht="15.75">
      <c r="A2241" s="124">
        <v>42662</v>
      </c>
      <c r="B2241" s="125">
        <v>46.86</v>
      </c>
      <c r="C2241" s="52"/>
      <c r="D2241" s="52"/>
      <c r="E2241" s="52"/>
      <c r="F2241" s="52"/>
      <c r="G2241" s="52"/>
      <c r="H2241" s="52"/>
    </row>
    <row r="2242" spans="1:8" ht="15.75">
      <c r="A2242" s="124">
        <v>42663</v>
      </c>
      <c r="B2242" s="125">
        <v>46.91</v>
      </c>
      <c r="C2242" s="52"/>
      <c r="D2242" s="52"/>
      <c r="E2242" s="52"/>
      <c r="F2242" s="52"/>
      <c r="G2242" s="52"/>
      <c r="H2242" s="52"/>
    </row>
    <row r="2243" spans="1:8" ht="15.75">
      <c r="A2243" s="124">
        <v>42664</v>
      </c>
      <c r="B2243" s="125">
        <v>46.94</v>
      </c>
      <c r="C2243" s="52"/>
      <c r="D2243" s="52"/>
      <c r="E2243" s="52"/>
      <c r="F2243" s="52"/>
      <c r="G2243" s="52"/>
      <c r="H2243" s="52"/>
    </row>
    <row r="2244" spans="1:8" ht="15.75">
      <c r="A2244" s="124">
        <v>42667</v>
      </c>
      <c r="B2244" s="125">
        <v>47.11</v>
      </c>
      <c r="C2244" s="52"/>
      <c r="D2244" s="52"/>
      <c r="E2244" s="52"/>
      <c r="F2244" s="52"/>
      <c r="G2244" s="52"/>
      <c r="H2244" s="52"/>
    </row>
    <row r="2245" spans="1:8" ht="15.75">
      <c r="A2245" s="124">
        <v>42668</v>
      </c>
      <c r="B2245" s="125">
        <v>47.2</v>
      </c>
      <c r="C2245" s="52"/>
      <c r="D2245" s="52"/>
      <c r="E2245" s="52"/>
      <c r="F2245" s="52"/>
      <c r="G2245" s="52"/>
      <c r="H2245" s="52"/>
    </row>
    <row r="2246" spans="1:8" ht="15.75">
      <c r="A2246" s="124">
        <v>42669</v>
      </c>
      <c r="B2246" s="125">
        <v>47.5</v>
      </c>
      <c r="C2246" s="52"/>
      <c r="D2246" s="52"/>
      <c r="E2246" s="52"/>
      <c r="F2246" s="52"/>
      <c r="G2246" s="52"/>
      <c r="H2246" s="52"/>
    </row>
    <row r="2247" spans="1:8" ht="15.75">
      <c r="A2247" s="124">
        <v>42670</v>
      </c>
      <c r="B2247" s="125">
        <v>47.12</v>
      </c>
      <c r="C2247" s="52"/>
      <c r="D2247" s="52"/>
      <c r="E2247" s="52"/>
      <c r="F2247" s="52"/>
      <c r="G2247" s="52"/>
      <c r="H2247" s="52"/>
    </row>
    <row r="2248" spans="1:8" ht="15.75">
      <c r="A2248" s="124">
        <v>42671</v>
      </c>
      <c r="B2248" s="125">
        <v>47.25</v>
      </c>
      <c r="C2248" s="52"/>
      <c r="D2248" s="52"/>
      <c r="E2248" s="52"/>
      <c r="F2248" s="52"/>
      <c r="G2248" s="52"/>
      <c r="H2248" s="52"/>
    </row>
    <row r="2249" spans="1:8" ht="15.75">
      <c r="A2249" s="124">
        <v>42674</v>
      </c>
      <c r="B2249" s="125">
        <v>47.16</v>
      </c>
      <c r="C2249" s="52"/>
      <c r="D2249" s="52"/>
      <c r="E2249" s="52"/>
      <c r="F2249" s="52"/>
      <c r="G2249" s="52"/>
      <c r="H2249" s="52"/>
    </row>
    <row r="2250" spans="1:8" ht="15.75">
      <c r="A2250" s="124">
        <v>42675</v>
      </c>
      <c r="B2250" s="125">
        <v>47.19</v>
      </c>
      <c r="C2250" s="52"/>
      <c r="D2250" s="52"/>
      <c r="E2250" s="52"/>
      <c r="F2250" s="52"/>
      <c r="G2250" s="52"/>
      <c r="H2250" s="52"/>
    </row>
    <row r="2251" spans="1:8" ht="15.75">
      <c r="A2251" s="124">
        <v>42676</v>
      </c>
      <c r="B2251" s="125">
        <v>47.13</v>
      </c>
      <c r="C2251" s="52"/>
      <c r="D2251" s="52"/>
      <c r="E2251" s="52"/>
      <c r="F2251" s="52"/>
      <c r="G2251" s="52"/>
      <c r="H2251" s="52"/>
    </row>
    <row r="2252" spans="1:8" ht="15.75">
      <c r="A2252" s="124">
        <v>42677</v>
      </c>
      <c r="B2252" s="125">
        <v>47.1</v>
      </c>
      <c r="C2252" s="52"/>
      <c r="D2252" s="52"/>
      <c r="E2252" s="52"/>
      <c r="F2252" s="52"/>
      <c r="G2252" s="52"/>
      <c r="H2252" s="52"/>
    </row>
    <row r="2253" spans="1:8" ht="15.75">
      <c r="A2253" s="124">
        <v>42678</v>
      </c>
      <c r="B2253" s="125">
        <v>47.04</v>
      </c>
      <c r="C2253" s="52"/>
      <c r="D2253" s="52"/>
      <c r="E2253" s="52"/>
      <c r="F2253" s="52"/>
      <c r="G2253" s="52"/>
      <c r="H2253" s="52"/>
    </row>
    <row r="2254" spans="1:8" ht="15.75">
      <c r="A2254" s="124">
        <v>42681</v>
      </c>
      <c r="B2254" s="125">
        <v>47.09</v>
      </c>
      <c r="C2254" s="52"/>
      <c r="D2254" s="52"/>
      <c r="E2254" s="52"/>
      <c r="F2254" s="52"/>
      <c r="G2254" s="52"/>
      <c r="H2254" s="52"/>
    </row>
    <row r="2255" spans="1:8" ht="15.75">
      <c r="A2255" s="124">
        <v>42682</v>
      </c>
      <c r="B2255" s="125">
        <v>47.16</v>
      </c>
      <c r="C2255" s="52"/>
      <c r="D2255" s="52"/>
      <c r="E2255" s="52"/>
      <c r="F2255" s="52"/>
      <c r="G2255" s="52"/>
      <c r="H2255" s="52"/>
    </row>
    <row r="2256" spans="1:8" ht="15.75">
      <c r="A2256" s="124">
        <v>42683</v>
      </c>
      <c r="B2256" s="125">
        <v>47.29</v>
      </c>
      <c r="C2256" s="52"/>
      <c r="D2256" s="52"/>
      <c r="E2256" s="52"/>
      <c r="F2256" s="52"/>
      <c r="G2256" s="52"/>
      <c r="H2256" s="52"/>
    </row>
    <row r="2257" spans="1:8" ht="15.75">
      <c r="A2257" s="124">
        <v>42684</v>
      </c>
      <c r="B2257" s="125">
        <v>47.12</v>
      </c>
      <c r="C2257" s="52"/>
      <c r="D2257" s="52"/>
      <c r="E2257" s="52"/>
      <c r="F2257" s="52"/>
      <c r="G2257" s="52"/>
      <c r="H2257" s="52"/>
    </row>
    <row r="2258" spans="1:8" ht="15.75">
      <c r="A2258" s="124">
        <v>42685</v>
      </c>
      <c r="B2258" s="125">
        <v>47.21</v>
      </c>
      <c r="C2258" s="52"/>
      <c r="D2258" s="52"/>
      <c r="E2258" s="52"/>
      <c r="F2258" s="52"/>
      <c r="G2258" s="52"/>
      <c r="H2258" s="52"/>
    </row>
    <row r="2259" spans="1:8" ht="15.75">
      <c r="A2259" s="124">
        <v>42688</v>
      </c>
      <c r="B2259" s="125">
        <v>47.1</v>
      </c>
      <c r="C2259" s="52"/>
      <c r="D2259" s="52"/>
      <c r="E2259" s="52"/>
      <c r="F2259" s="52"/>
      <c r="G2259" s="52"/>
      <c r="H2259" s="52"/>
    </row>
    <row r="2260" spans="1:8" ht="15.75">
      <c r="A2260" s="124">
        <v>42689</v>
      </c>
      <c r="B2260" s="125">
        <v>47.22</v>
      </c>
      <c r="C2260" s="52"/>
      <c r="D2260" s="52"/>
      <c r="E2260" s="52"/>
      <c r="F2260" s="52"/>
      <c r="G2260" s="52"/>
      <c r="H2260" s="52"/>
    </row>
    <row r="2261" spans="1:8" ht="15.75">
      <c r="A2261" s="124">
        <v>42690</v>
      </c>
      <c r="B2261" s="125">
        <v>47.08</v>
      </c>
      <c r="C2261" s="52"/>
      <c r="D2261" s="52"/>
      <c r="E2261" s="52"/>
      <c r="F2261" s="52"/>
      <c r="G2261" s="52"/>
      <c r="H2261" s="52"/>
    </row>
    <row r="2262" spans="1:8" ht="15.75">
      <c r="A2262" s="124">
        <v>42691</v>
      </c>
      <c r="B2262" s="125">
        <v>47.09</v>
      </c>
      <c r="C2262" s="52"/>
      <c r="D2262" s="52"/>
      <c r="E2262" s="52"/>
      <c r="F2262" s="52"/>
      <c r="G2262" s="52"/>
      <c r="H2262" s="52"/>
    </row>
    <row r="2263" spans="1:8" ht="15.75">
      <c r="A2263" s="124">
        <v>42692</v>
      </c>
      <c r="B2263" s="125">
        <v>47.06</v>
      </c>
      <c r="C2263" s="52"/>
      <c r="D2263" s="52"/>
      <c r="E2263" s="52"/>
      <c r="F2263" s="52"/>
      <c r="G2263" s="52"/>
      <c r="H2263" s="52"/>
    </row>
    <row r="2264" spans="1:8" ht="15.75">
      <c r="A2264" s="124">
        <v>42695</v>
      </c>
      <c r="B2264" s="125">
        <v>47.12</v>
      </c>
      <c r="C2264" s="52"/>
      <c r="D2264" s="52"/>
      <c r="E2264" s="52"/>
      <c r="F2264" s="52"/>
      <c r="G2264" s="52"/>
      <c r="H2264" s="52"/>
    </row>
    <row r="2265" spans="1:8" ht="15.75">
      <c r="A2265" s="124">
        <v>42696</v>
      </c>
      <c r="B2265" s="125">
        <v>47.2</v>
      </c>
      <c r="C2265" s="52"/>
      <c r="D2265" s="52"/>
      <c r="E2265" s="52"/>
      <c r="F2265" s="52"/>
      <c r="G2265" s="52"/>
      <c r="H2265" s="52"/>
    </row>
    <row r="2266" spans="1:8" ht="15.75">
      <c r="A2266" s="124">
        <v>42697</v>
      </c>
      <c r="B2266" s="125">
        <v>47.21</v>
      </c>
      <c r="C2266" s="52"/>
      <c r="D2266" s="52"/>
      <c r="E2266" s="52"/>
      <c r="F2266" s="52"/>
      <c r="G2266" s="52"/>
      <c r="H2266" s="52"/>
    </row>
    <row r="2267" spans="1:8" ht="15.75">
      <c r="A2267" s="124">
        <v>42698</v>
      </c>
      <c r="B2267" s="125">
        <v>47.31</v>
      </c>
      <c r="C2267" s="52"/>
      <c r="D2267" s="52"/>
      <c r="E2267" s="52"/>
      <c r="F2267" s="52"/>
      <c r="G2267" s="52"/>
      <c r="H2267" s="52"/>
    </row>
    <row r="2268" spans="1:8" ht="15.75">
      <c r="A2268" s="124">
        <v>42699</v>
      </c>
      <c r="B2268" s="125">
        <v>47.4</v>
      </c>
      <c r="C2268" s="52"/>
      <c r="D2268" s="52"/>
      <c r="E2268" s="52"/>
      <c r="F2268" s="52"/>
      <c r="G2268" s="52"/>
      <c r="H2268" s="52"/>
    </row>
    <row r="2269" spans="1:8" ht="15.75">
      <c r="A2269" s="124">
        <v>42702</v>
      </c>
      <c r="B2269" s="125">
        <v>47.3</v>
      </c>
      <c r="C2269" s="52"/>
      <c r="D2269" s="52"/>
      <c r="E2269" s="52"/>
      <c r="F2269" s="52"/>
      <c r="G2269" s="52"/>
      <c r="H2269" s="52"/>
    </row>
    <row r="2270" spans="1:8" ht="15.75">
      <c r="A2270" s="124">
        <v>42703</v>
      </c>
      <c r="B2270" s="125">
        <v>47.34</v>
      </c>
      <c r="C2270" s="52"/>
      <c r="D2270" s="52"/>
      <c r="E2270" s="52"/>
      <c r="F2270" s="52"/>
      <c r="G2270" s="52"/>
      <c r="H2270" s="52"/>
    </row>
    <row r="2271" spans="1:8" ht="15.75">
      <c r="A2271" s="124">
        <v>42704</v>
      </c>
      <c r="B2271" s="125">
        <v>47.35</v>
      </c>
      <c r="C2271" s="52"/>
      <c r="D2271" s="52"/>
      <c r="E2271" s="52"/>
      <c r="F2271" s="52"/>
      <c r="G2271" s="52"/>
      <c r="H2271" s="52"/>
    </row>
    <row r="2272" spans="1:8" ht="15.75">
      <c r="A2272" s="124">
        <v>42705</v>
      </c>
      <c r="B2272" s="125">
        <v>47.35</v>
      </c>
      <c r="C2272" s="52"/>
      <c r="D2272" s="52"/>
      <c r="E2272" s="52"/>
      <c r="F2272" s="52"/>
      <c r="G2272" s="52"/>
      <c r="H2272" s="52"/>
    </row>
    <row r="2273" spans="1:8" ht="15.75">
      <c r="A2273" s="124">
        <v>42706</v>
      </c>
      <c r="B2273" s="125">
        <v>47.34</v>
      </c>
      <c r="C2273" s="52"/>
      <c r="D2273" s="52"/>
      <c r="E2273" s="52"/>
      <c r="F2273" s="52"/>
      <c r="G2273" s="52"/>
      <c r="H2273" s="52"/>
    </row>
    <row r="2274" spans="1:8" ht="15.75">
      <c r="A2274" s="124">
        <v>42709</v>
      </c>
      <c r="B2274" s="125">
        <v>47.22</v>
      </c>
      <c r="C2274" s="52"/>
      <c r="D2274" s="52"/>
      <c r="E2274" s="52"/>
      <c r="F2274" s="52"/>
      <c r="G2274" s="52"/>
      <c r="H2274" s="52"/>
    </row>
    <row r="2275" spans="1:8" ht="15.75">
      <c r="A2275" s="124">
        <v>42710</v>
      </c>
      <c r="B2275" s="125">
        <v>47.46</v>
      </c>
      <c r="C2275" s="52"/>
      <c r="D2275" s="52"/>
      <c r="E2275" s="52"/>
      <c r="F2275" s="52"/>
      <c r="G2275" s="52"/>
      <c r="H2275" s="52"/>
    </row>
    <row r="2276" spans="1:8" ht="15.75">
      <c r="A2276" s="124">
        <v>42711</v>
      </c>
      <c r="B2276" s="125">
        <v>47.32</v>
      </c>
      <c r="C2276" s="52"/>
      <c r="D2276" s="52"/>
      <c r="E2276" s="52"/>
      <c r="F2276" s="52"/>
      <c r="G2276" s="52"/>
      <c r="H2276" s="52"/>
    </row>
    <row r="2277" spans="1:8" ht="15.75">
      <c r="A2277" s="124">
        <v>42712</v>
      </c>
      <c r="B2277" s="125">
        <v>47.36</v>
      </c>
      <c r="C2277" s="52"/>
      <c r="D2277" s="52"/>
      <c r="E2277" s="52"/>
      <c r="F2277" s="52"/>
      <c r="G2277" s="52"/>
      <c r="H2277" s="52"/>
    </row>
    <row r="2278" spans="1:8" ht="15.75">
      <c r="A2278" s="124">
        <v>42713</v>
      </c>
      <c r="B2278" s="125">
        <v>47.2</v>
      </c>
      <c r="C2278" s="52"/>
      <c r="D2278" s="52"/>
      <c r="E2278" s="52"/>
      <c r="F2278" s="52"/>
      <c r="G2278" s="52"/>
      <c r="H2278" s="52"/>
    </row>
    <row r="2279" spans="1:8" ht="15.75">
      <c r="A2279" s="124">
        <v>42716</v>
      </c>
      <c r="B2279" s="125">
        <v>47.44</v>
      </c>
      <c r="C2279" s="52"/>
      <c r="D2279" s="52"/>
      <c r="E2279" s="52"/>
      <c r="F2279" s="52"/>
      <c r="G2279" s="52"/>
      <c r="H2279" s="52"/>
    </row>
    <row r="2280" spans="1:8" ht="15.75">
      <c r="A2280" s="124">
        <v>42717</v>
      </c>
      <c r="B2280" s="125">
        <v>47.2</v>
      </c>
      <c r="C2280" s="52"/>
      <c r="D2280" s="52"/>
      <c r="E2280" s="52"/>
      <c r="F2280" s="52"/>
      <c r="G2280" s="52"/>
      <c r="H2280" s="52"/>
    </row>
    <row r="2281" spans="1:8" ht="15.75">
      <c r="A2281" s="124">
        <v>42718</v>
      </c>
      <c r="B2281" s="125">
        <v>47.21</v>
      </c>
      <c r="C2281" s="52"/>
      <c r="D2281" s="52"/>
      <c r="E2281" s="52"/>
      <c r="F2281" s="52"/>
      <c r="G2281" s="52"/>
      <c r="H2281" s="52"/>
    </row>
    <row r="2282" spans="1:8" ht="15.75">
      <c r="A2282" s="124">
        <v>42719</v>
      </c>
      <c r="B2282" s="125">
        <v>47.22</v>
      </c>
      <c r="C2282" s="52"/>
      <c r="D2282" s="52"/>
      <c r="E2282" s="52"/>
      <c r="F2282" s="52"/>
      <c r="G2282" s="52"/>
      <c r="H2282" s="52"/>
    </row>
    <row r="2283" spans="1:8" ht="15.75">
      <c r="A2283" s="124">
        <v>42720</v>
      </c>
      <c r="B2283" s="125">
        <v>47.45</v>
      </c>
      <c r="C2283" s="52"/>
      <c r="D2283" s="52"/>
      <c r="E2283" s="52"/>
      <c r="F2283" s="52"/>
      <c r="G2283" s="52"/>
      <c r="H2283" s="52"/>
    </row>
    <row r="2284" spans="1:8" ht="15.75">
      <c r="A2284" s="124">
        <v>42723</v>
      </c>
      <c r="B2284" s="125">
        <v>47.29</v>
      </c>
      <c r="C2284" s="52"/>
      <c r="D2284" s="52"/>
      <c r="E2284" s="52"/>
      <c r="F2284" s="52"/>
      <c r="G2284" s="52"/>
      <c r="H2284" s="52"/>
    </row>
    <row r="2285" spans="1:8" ht="15.75">
      <c r="A2285" s="124">
        <v>42724</v>
      </c>
      <c r="B2285" s="125">
        <v>47.24</v>
      </c>
      <c r="C2285" s="52"/>
      <c r="D2285" s="52"/>
      <c r="E2285" s="52"/>
      <c r="F2285" s="52"/>
      <c r="G2285" s="52"/>
      <c r="H2285" s="52"/>
    </row>
    <row r="2286" spans="1:8" ht="15.75">
      <c r="A2286" s="124">
        <v>42725</v>
      </c>
      <c r="B2286" s="125">
        <v>47.11</v>
      </c>
      <c r="C2286" s="52"/>
      <c r="D2286" s="52"/>
      <c r="E2286" s="52"/>
      <c r="F2286" s="52"/>
      <c r="G2286" s="52"/>
      <c r="H2286" s="52"/>
    </row>
    <row r="2287" spans="1:8" ht="15.75">
      <c r="A2287" s="124">
        <v>42726</v>
      </c>
      <c r="B2287" s="125">
        <v>46.98</v>
      </c>
      <c r="C2287" s="52"/>
      <c r="D2287" s="52"/>
      <c r="E2287" s="52"/>
      <c r="F2287" s="52"/>
      <c r="G2287" s="52"/>
      <c r="H2287" s="52"/>
    </row>
    <row r="2288" spans="1:8" ht="15.75">
      <c r="A2288" s="124">
        <v>42727</v>
      </c>
      <c r="B2288" s="125">
        <v>46.86</v>
      </c>
      <c r="C2288" s="52"/>
      <c r="D2288" s="52"/>
      <c r="E2288" s="52"/>
      <c r="F2288" s="52"/>
      <c r="G2288" s="52"/>
      <c r="H2288" s="52"/>
    </row>
    <row r="2289" spans="1:8" ht="15.75">
      <c r="A2289" s="124">
        <v>42731</v>
      </c>
      <c r="B2289" s="125">
        <v>46.91</v>
      </c>
      <c r="C2289" s="52"/>
      <c r="D2289" s="52"/>
      <c r="E2289" s="52"/>
      <c r="F2289" s="52"/>
      <c r="G2289" s="52"/>
      <c r="H2289" s="52"/>
    </row>
    <row r="2290" spans="1:8" ht="15.75">
      <c r="A2290" s="124">
        <v>42732</v>
      </c>
      <c r="B2290" s="125">
        <v>47.2</v>
      </c>
      <c r="C2290" s="52"/>
      <c r="D2290" s="52"/>
      <c r="E2290" s="52"/>
      <c r="F2290" s="52"/>
      <c r="G2290" s="52"/>
      <c r="H2290" s="52"/>
    </row>
    <row r="2291" spans="1:8" ht="15.75">
      <c r="A2291" s="124">
        <v>42733</v>
      </c>
      <c r="B2291" s="125">
        <v>47.1</v>
      </c>
      <c r="C2291" s="52"/>
      <c r="D2291" s="52"/>
      <c r="E2291" s="52"/>
      <c r="F2291" s="52"/>
      <c r="G2291" s="52"/>
      <c r="H2291" s="52"/>
    </row>
    <row r="2292" spans="1:8" ht="15.75">
      <c r="A2292" s="124">
        <v>42734</v>
      </c>
      <c r="B2292" s="125">
        <v>47.05</v>
      </c>
      <c r="C2292" s="52"/>
      <c r="D2292" s="52"/>
      <c r="E2292" s="52"/>
      <c r="F2292" s="52"/>
      <c r="G2292" s="52"/>
      <c r="H2292" s="52"/>
    </row>
    <row r="2293" spans="1:8" ht="15.75">
      <c r="A2293" s="124">
        <v>42737</v>
      </c>
      <c r="B2293" s="125">
        <v>47.18</v>
      </c>
      <c r="C2293" s="52"/>
      <c r="D2293" s="52"/>
      <c r="E2293" s="52"/>
      <c r="F2293" s="52"/>
      <c r="G2293" s="52"/>
      <c r="H2293" s="52"/>
    </row>
    <row r="2294" spans="1:8" ht="15.75">
      <c r="A2294" s="124">
        <v>42738</v>
      </c>
      <c r="B2294" s="125">
        <v>47.21</v>
      </c>
      <c r="C2294" s="52"/>
      <c r="D2294" s="52"/>
      <c r="E2294" s="52"/>
      <c r="F2294" s="52"/>
      <c r="G2294" s="52"/>
      <c r="H2294" s="52"/>
    </row>
    <row r="2295" spans="1:8" ht="15.75">
      <c r="A2295" s="124">
        <v>42739</v>
      </c>
      <c r="B2295" s="125">
        <v>47.11</v>
      </c>
      <c r="C2295" s="52"/>
      <c r="D2295" s="52"/>
      <c r="E2295" s="52"/>
      <c r="F2295" s="52"/>
      <c r="G2295" s="52"/>
      <c r="H2295" s="52"/>
    </row>
    <row r="2296" spans="1:8" ht="15.75">
      <c r="A2296" s="124">
        <v>42740</v>
      </c>
      <c r="B2296" s="125">
        <v>47.04</v>
      </c>
      <c r="C2296" s="52"/>
      <c r="D2296" s="52"/>
      <c r="E2296" s="52"/>
      <c r="F2296" s="52"/>
      <c r="G2296" s="52"/>
      <c r="H2296" s="52"/>
    </row>
    <row r="2297" spans="1:8" ht="15.75">
      <c r="A2297" s="124">
        <v>42741</v>
      </c>
      <c r="B2297" s="125">
        <v>47.03</v>
      </c>
      <c r="C2297" s="52"/>
      <c r="D2297" s="52"/>
      <c r="E2297" s="52"/>
      <c r="F2297" s="52"/>
      <c r="G2297" s="52"/>
      <c r="H2297" s="52"/>
    </row>
    <row r="2298" spans="1:8" ht="15.75">
      <c r="A2298" s="124">
        <v>42744</v>
      </c>
      <c r="B2298" s="125">
        <v>47.09</v>
      </c>
      <c r="C2298" s="52"/>
      <c r="D2298" s="52"/>
      <c r="E2298" s="52"/>
      <c r="F2298" s="52"/>
      <c r="G2298" s="52"/>
      <c r="H2298" s="52"/>
    </row>
    <row r="2299" spans="1:8" ht="15.75">
      <c r="A2299" s="124">
        <v>42745</v>
      </c>
      <c r="B2299" s="125">
        <v>46.97</v>
      </c>
      <c r="C2299" s="52"/>
      <c r="D2299" s="52"/>
      <c r="E2299" s="52"/>
      <c r="F2299" s="52"/>
      <c r="G2299" s="52"/>
      <c r="H2299" s="52"/>
    </row>
    <row r="2300" spans="1:8" ht="15.75">
      <c r="A2300" s="124">
        <v>42746</v>
      </c>
      <c r="B2300" s="125">
        <v>47.2</v>
      </c>
      <c r="C2300" s="52"/>
      <c r="D2300" s="52"/>
      <c r="E2300" s="52"/>
      <c r="F2300" s="52"/>
      <c r="G2300" s="52"/>
      <c r="H2300" s="52"/>
    </row>
    <row r="2301" spans="1:8" ht="15.75">
      <c r="A2301" s="124">
        <v>42747</v>
      </c>
      <c r="B2301" s="125">
        <v>47.02</v>
      </c>
      <c r="C2301" s="52"/>
      <c r="D2301" s="52"/>
      <c r="E2301" s="52"/>
      <c r="F2301" s="52"/>
      <c r="G2301" s="52"/>
      <c r="H2301" s="52"/>
    </row>
    <row r="2302" spans="1:8" ht="15.75">
      <c r="A2302" s="124">
        <v>42748</v>
      </c>
      <c r="B2302" s="125">
        <v>46.39</v>
      </c>
      <c r="C2302" s="52"/>
      <c r="D2302" s="52"/>
      <c r="E2302" s="52"/>
      <c r="F2302" s="52"/>
      <c r="G2302" s="52"/>
      <c r="H2302" s="52"/>
    </row>
    <row r="2303" spans="1:8" ht="15.75">
      <c r="A2303" s="124">
        <v>42751</v>
      </c>
      <c r="B2303" s="125">
        <v>46.9</v>
      </c>
      <c r="C2303" s="52"/>
      <c r="D2303" s="52"/>
      <c r="E2303" s="52"/>
      <c r="F2303" s="52"/>
      <c r="G2303" s="52"/>
      <c r="H2303" s="52"/>
    </row>
    <row r="2304" spans="1:8" ht="15.75">
      <c r="A2304" s="124">
        <v>42752</v>
      </c>
      <c r="B2304" s="125">
        <v>47</v>
      </c>
      <c r="C2304" s="52"/>
      <c r="D2304" s="52"/>
      <c r="E2304" s="52"/>
      <c r="F2304" s="52"/>
      <c r="G2304" s="52"/>
      <c r="H2304" s="52"/>
    </row>
    <row r="2305" spans="1:8" ht="15.75">
      <c r="A2305" s="124">
        <v>42753</v>
      </c>
      <c r="B2305" s="125">
        <v>46.9</v>
      </c>
      <c r="C2305" s="52"/>
      <c r="D2305" s="52"/>
      <c r="E2305" s="52"/>
      <c r="F2305" s="52"/>
      <c r="G2305" s="52"/>
      <c r="H2305" s="52"/>
    </row>
    <row r="2306" spans="1:8" ht="15.75">
      <c r="A2306" s="124">
        <v>42754</v>
      </c>
      <c r="B2306" s="125">
        <v>47.19</v>
      </c>
      <c r="C2306" s="52"/>
      <c r="D2306" s="52"/>
      <c r="E2306" s="52"/>
      <c r="F2306" s="52"/>
      <c r="G2306" s="52"/>
      <c r="H2306" s="52"/>
    </row>
    <row r="2307" spans="1:8" ht="15.75">
      <c r="A2307" s="124">
        <v>42755</v>
      </c>
      <c r="B2307" s="125">
        <v>46.86</v>
      </c>
      <c r="C2307" s="52"/>
      <c r="D2307" s="52"/>
      <c r="E2307" s="52"/>
      <c r="F2307" s="52"/>
      <c r="G2307" s="52"/>
      <c r="H2307" s="52"/>
    </row>
    <row r="2308" spans="1:8" ht="15.75">
      <c r="A2308" s="124">
        <v>42758</v>
      </c>
      <c r="B2308" s="125">
        <v>46.85</v>
      </c>
      <c r="C2308" s="52"/>
      <c r="D2308" s="52"/>
      <c r="E2308" s="52"/>
      <c r="F2308" s="52"/>
      <c r="G2308" s="52"/>
      <c r="H2308" s="52"/>
    </row>
    <row r="2309" spans="1:8" ht="15.75">
      <c r="A2309" s="124">
        <v>42759</v>
      </c>
      <c r="B2309" s="125">
        <v>46.85</v>
      </c>
      <c r="C2309" s="52"/>
      <c r="D2309" s="52"/>
      <c r="E2309" s="52"/>
      <c r="F2309" s="52"/>
      <c r="G2309" s="52"/>
      <c r="H2309" s="52"/>
    </row>
    <row r="2310" spans="1:8" ht="15.75">
      <c r="A2310" s="124">
        <v>42760</v>
      </c>
      <c r="B2310" s="125">
        <v>46.95</v>
      </c>
      <c r="C2310" s="52"/>
      <c r="D2310" s="52"/>
      <c r="E2310" s="52"/>
      <c r="F2310" s="52"/>
      <c r="G2310" s="52"/>
      <c r="H2310" s="52"/>
    </row>
    <row r="2311" spans="1:8" ht="15.75">
      <c r="A2311" s="124">
        <v>42761</v>
      </c>
      <c r="B2311" s="125">
        <v>46.81</v>
      </c>
      <c r="C2311" s="52"/>
      <c r="D2311" s="52"/>
      <c r="E2311" s="52"/>
      <c r="F2311" s="52"/>
      <c r="G2311" s="52"/>
      <c r="H2311" s="52"/>
    </row>
    <row r="2312" spans="1:8" ht="15.75">
      <c r="A2312" s="124">
        <v>42762</v>
      </c>
      <c r="B2312" s="125">
        <v>46.84</v>
      </c>
      <c r="C2312" s="52"/>
      <c r="D2312" s="52"/>
      <c r="E2312" s="52"/>
      <c r="F2312" s="52"/>
      <c r="G2312" s="52"/>
      <c r="H2312" s="52"/>
    </row>
    <row r="2313" spans="1:8" ht="15.75">
      <c r="A2313" s="124">
        <v>42765</v>
      </c>
      <c r="B2313" s="125">
        <v>47.24</v>
      </c>
      <c r="C2313" s="52"/>
      <c r="D2313" s="52"/>
      <c r="E2313" s="52"/>
      <c r="F2313" s="52"/>
      <c r="G2313" s="52"/>
      <c r="H2313" s="52"/>
    </row>
    <row r="2314" spans="1:8" ht="15.75">
      <c r="A2314" s="124">
        <v>42766</v>
      </c>
      <c r="B2314" s="125">
        <v>47.01</v>
      </c>
      <c r="C2314" s="52"/>
      <c r="D2314" s="52"/>
      <c r="E2314" s="52"/>
      <c r="F2314" s="52"/>
      <c r="G2314" s="52"/>
      <c r="H2314" s="52"/>
    </row>
    <row r="2315" spans="1:8" ht="15.75">
      <c r="A2315" s="124">
        <v>42767</v>
      </c>
      <c r="B2315" s="125">
        <v>47.01</v>
      </c>
      <c r="C2315" s="52"/>
      <c r="D2315" s="52"/>
      <c r="E2315" s="52"/>
      <c r="F2315" s="52"/>
      <c r="G2315" s="52"/>
      <c r="H2315" s="52"/>
    </row>
    <row r="2316" spans="1:8" ht="15.75">
      <c r="A2316" s="124">
        <v>42768</v>
      </c>
      <c r="B2316" s="125">
        <v>46.82</v>
      </c>
      <c r="C2316" s="52"/>
      <c r="D2316" s="52"/>
      <c r="E2316" s="52"/>
      <c r="F2316" s="52"/>
      <c r="G2316" s="52"/>
      <c r="H2316" s="52"/>
    </row>
    <row r="2317" spans="1:8" ht="15.75">
      <c r="A2317" s="124">
        <v>42769</v>
      </c>
      <c r="B2317" s="125">
        <v>47.09</v>
      </c>
      <c r="C2317" s="52"/>
      <c r="D2317" s="52"/>
      <c r="E2317" s="52"/>
      <c r="F2317" s="52"/>
      <c r="G2317" s="52"/>
      <c r="H2317" s="52"/>
    </row>
    <row r="2318" spans="1:8" ht="15.75">
      <c r="A2318" s="124">
        <v>42772</v>
      </c>
      <c r="B2318" s="125">
        <v>46.96</v>
      </c>
      <c r="C2318" s="52"/>
      <c r="D2318" s="52"/>
      <c r="E2318" s="52"/>
      <c r="F2318" s="52"/>
      <c r="G2318" s="52"/>
      <c r="H2318" s="52"/>
    </row>
    <row r="2319" spans="1:8" ht="15.75">
      <c r="A2319" s="124">
        <v>42773</v>
      </c>
      <c r="B2319" s="125">
        <v>47.02</v>
      </c>
      <c r="C2319" s="52"/>
      <c r="D2319" s="52"/>
      <c r="E2319" s="52"/>
      <c r="F2319" s="52"/>
      <c r="G2319" s="52"/>
      <c r="H2319" s="52"/>
    </row>
    <row r="2320" spans="1:8" ht="15.75">
      <c r="A2320" s="124">
        <v>42774</v>
      </c>
      <c r="B2320" s="125">
        <v>47.06</v>
      </c>
      <c r="C2320" s="52"/>
      <c r="D2320" s="52"/>
      <c r="E2320" s="52"/>
      <c r="F2320" s="52"/>
      <c r="G2320" s="52"/>
      <c r="H2320" s="52"/>
    </row>
    <row r="2321" spans="1:8" ht="15.75">
      <c r="A2321" s="124">
        <v>42775</v>
      </c>
      <c r="B2321" s="125">
        <v>47.06</v>
      </c>
      <c r="C2321" s="52"/>
      <c r="D2321" s="52"/>
      <c r="E2321" s="52"/>
      <c r="F2321" s="52"/>
      <c r="G2321" s="52"/>
      <c r="H2321" s="52"/>
    </row>
    <row r="2322" spans="1:8" ht="15.75">
      <c r="A2322" s="124">
        <v>42776</v>
      </c>
      <c r="B2322" s="125">
        <v>46.79</v>
      </c>
      <c r="C2322" s="52"/>
      <c r="D2322" s="52"/>
      <c r="E2322" s="52"/>
      <c r="F2322" s="52"/>
      <c r="G2322" s="52"/>
      <c r="H2322" s="52"/>
    </row>
    <row r="2323" spans="1:8" ht="15.75">
      <c r="A2323" s="124">
        <v>42779</v>
      </c>
      <c r="B2323" s="125">
        <v>47.05</v>
      </c>
      <c r="C2323" s="52"/>
      <c r="D2323" s="52"/>
      <c r="E2323" s="52"/>
      <c r="F2323" s="52"/>
      <c r="G2323" s="52"/>
      <c r="H2323" s="52"/>
    </row>
    <row r="2324" spans="1:8" ht="15.75">
      <c r="A2324" s="124">
        <v>42780</v>
      </c>
      <c r="B2324" s="125">
        <v>47.14</v>
      </c>
      <c r="C2324" s="52"/>
      <c r="D2324" s="52"/>
      <c r="E2324" s="52"/>
      <c r="F2324" s="52"/>
      <c r="G2324" s="52"/>
      <c r="H2324" s="52"/>
    </row>
    <row r="2325" spans="1:8" ht="15.75">
      <c r="A2325" s="124">
        <v>42781</v>
      </c>
      <c r="B2325" s="125">
        <v>47</v>
      </c>
      <c r="C2325" s="52"/>
      <c r="D2325" s="52"/>
      <c r="E2325" s="52"/>
      <c r="F2325" s="52"/>
      <c r="G2325" s="52"/>
      <c r="H2325" s="52"/>
    </row>
    <row r="2326" spans="1:8" ht="15.75">
      <c r="A2326" s="124">
        <v>42782</v>
      </c>
      <c r="B2326" s="125">
        <v>47.01</v>
      </c>
      <c r="C2326" s="52"/>
      <c r="D2326" s="52"/>
      <c r="E2326" s="52"/>
      <c r="F2326" s="52"/>
      <c r="G2326" s="52"/>
      <c r="H2326" s="52"/>
    </row>
    <row r="2327" spans="1:8" ht="15.75">
      <c r="A2327" s="124">
        <v>42783</v>
      </c>
      <c r="B2327" s="125">
        <v>47.11</v>
      </c>
      <c r="C2327" s="52"/>
      <c r="D2327" s="52"/>
      <c r="E2327" s="52"/>
      <c r="F2327" s="52"/>
      <c r="G2327" s="52"/>
      <c r="H2327" s="52"/>
    </row>
    <row r="2328" spans="1:8" ht="15.75">
      <c r="A2328" s="124">
        <v>42786</v>
      </c>
      <c r="B2328" s="125">
        <v>47.19</v>
      </c>
      <c r="C2328" s="52"/>
      <c r="D2328" s="52"/>
      <c r="E2328" s="52"/>
      <c r="F2328" s="52"/>
      <c r="G2328" s="52"/>
      <c r="H2328" s="52"/>
    </row>
    <row r="2329" spans="1:8" ht="15.75">
      <c r="A2329" s="124">
        <v>42787</v>
      </c>
      <c r="B2329" s="125">
        <v>47.19</v>
      </c>
      <c r="C2329" s="52"/>
      <c r="D2329" s="52"/>
      <c r="E2329" s="52"/>
      <c r="F2329" s="52"/>
      <c r="G2329" s="52"/>
      <c r="H2329" s="52"/>
    </row>
    <row r="2330" spans="1:8" ht="15.75">
      <c r="A2330" s="124">
        <v>42788</v>
      </c>
      <c r="B2330" s="125">
        <v>47.49</v>
      </c>
      <c r="C2330" s="52"/>
      <c r="D2330" s="52"/>
      <c r="E2330" s="52"/>
      <c r="F2330" s="52"/>
      <c r="G2330" s="52"/>
      <c r="H2330" s="52"/>
    </row>
    <row r="2331" spans="1:8" ht="15.75">
      <c r="A2331" s="124">
        <v>42789</v>
      </c>
      <c r="B2331" s="125">
        <v>47.01</v>
      </c>
      <c r="C2331" s="52"/>
      <c r="D2331" s="52"/>
      <c r="E2331" s="52"/>
      <c r="F2331" s="52"/>
      <c r="G2331" s="52"/>
      <c r="H2331" s="52"/>
    </row>
    <row r="2332" spans="1:8" ht="15.75">
      <c r="A2332" s="124">
        <v>42790</v>
      </c>
      <c r="B2332" s="125">
        <v>48.12</v>
      </c>
      <c r="C2332" s="52"/>
      <c r="D2332" s="52"/>
      <c r="E2332" s="52"/>
      <c r="F2332" s="52"/>
      <c r="G2332" s="52"/>
      <c r="H2332" s="52"/>
    </row>
    <row r="2333" spans="1:8" ht="15.75">
      <c r="A2333" s="124">
        <v>42793</v>
      </c>
      <c r="B2333" s="125">
        <v>48.51</v>
      </c>
      <c r="C2333" s="52"/>
      <c r="D2333" s="52"/>
      <c r="E2333" s="52"/>
      <c r="F2333" s="52"/>
      <c r="G2333" s="52"/>
      <c r="H2333" s="52"/>
    </row>
    <row r="2334" spans="1:8" ht="15.75">
      <c r="A2334" s="124">
        <v>42794</v>
      </c>
      <c r="B2334" s="125">
        <v>48.13</v>
      </c>
      <c r="C2334" s="52"/>
      <c r="D2334" s="52"/>
      <c r="E2334" s="52"/>
      <c r="F2334" s="52"/>
      <c r="G2334" s="52"/>
      <c r="H2334" s="52"/>
    </row>
    <row r="2335" spans="1:8" ht="15.75">
      <c r="A2335" s="124">
        <v>42795</v>
      </c>
      <c r="B2335" s="125">
        <v>48.25</v>
      </c>
      <c r="C2335" s="52"/>
      <c r="D2335" s="52"/>
      <c r="E2335" s="52"/>
      <c r="F2335" s="52"/>
      <c r="G2335" s="52"/>
      <c r="H2335" s="52"/>
    </row>
    <row r="2336" spans="1:8" ht="15.75">
      <c r="A2336" s="124">
        <v>42796</v>
      </c>
      <c r="B2336" s="125">
        <v>47.82</v>
      </c>
      <c r="C2336" s="52"/>
      <c r="D2336" s="52"/>
      <c r="E2336" s="52"/>
      <c r="F2336" s="52"/>
      <c r="G2336" s="52"/>
      <c r="H2336" s="52"/>
    </row>
    <row r="2337" spans="1:8" ht="15.75">
      <c r="A2337" s="124">
        <v>42797</v>
      </c>
      <c r="B2337" s="125">
        <v>47.63</v>
      </c>
      <c r="C2337" s="52"/>
      <c r="D2337" s="52"/>
      <c r="E2337" s="52"/>
      <c r="F2337" s="52"/>
      <c r="G2337" s="52"/>
      <c r="H2337" s="52"/>
    </row>
    <row r="2338" spans="1:8" ht="15.75">
      <c r="A2338" s="124">
        <v>42800</v>
      </c>
      <c r="B2338" s="125">
        <v>47.28</v>
      </c>
      <c r="C2338" s="52"/>
      <c r="D2338" s="52"/>
      <c r="E2338" s="52"/>
      <c r="F2338" s="52"/>
      <c r="G2338" s="52"/>
      <c r="H2338" s="52"/>
    </row>
    <row r="2339" spans="1:8" ht="15.75">
      <c r="A2339" s="124">
        <v>42801</v>
      </c>
      <c r="B2339" s="125">
        <v>47.26</v>
      </c>
      <c r="C2339" s="52"/>
      <c r="D2339" s="52"/>
      <c r="E2339" s="52"/>
      <c r="F2339" s="52"/>
      <c r="G2339" s="52"/>
      <c r="H2339" s="52"/>
    </row>
    <row r="2340" spans="1:8" ht="15.75">
      <c r="A2340" s="124">
        <v>42802</v>
      </c>
      <c r="B2340" s="125">
        <v>47.26</v>
      </c>
      <c r="C2340" s="52"/>
      <c r="D2340" s="52"/>
      <c r="E2340" s="52"/>
      <c r="F2340" s="52"/>
      <c r="G2340" s="52"/>
      <c r="H2340" s="52"/>
    </row>
    <row r="2341" spans="1:8" ht="15.75">
      <c r="A2341" s="124">
        <v>42803</v>
      </c>
      <c r="B2341" s="125">
        <v>47.26</v>
      </c>
      <c r="C2341" s="52"/>
      <c r="D2341" s="52"/>
      <c r="E2341" s="52"/>
      <c r="F2341" s="52"/>
      <c r="G2341" s="52"/>
      <c r="H2341" s="52"/>
    </row>
    <row r="2342" spans="1:8" ht="15.75">
      <c r="A2342" s="124">
        <v>42804</v>
      </c>
      <c r="B2342" s="125">
        <v>47.06</v>
      </c>
      <c r="C2342" s="52"/>
      <c r="D2342" s="52"/>
      <c r="E2342" s="52"/>
      <c r="F2342" s="52"/>
      <c r="G2342" s="52"/>
      <c r="H2342" s="52"/>
    </row>
    <row r="2343" spans="1:8" ht="15.75">
      <c r="A2343" s="124">
        <v>42807</v>
      </c>
      <c r="B2343" s="125">
        <v>47.25</v>
      </c>
      <c r="C2343" s="52"/>
      <c r="D2343" s="52"/>
      <c r="E2343" s="52"/>
      <c r="F2343" s="52"/>
      <c r="G2343" s="52"/>
      <c r="H2343" s="52"/>
    </row>
    <row r="2344" spans="1:8" ht="15.75">
      <c r="A2344" s="124">
        <v>42808</v>
      </c>
      <c r="B2344" s="125">
        <v>47.23</v>
      </c>
      <c r="C2344" s="52"/>
      <c r="D2344" s="52"/>
      <c r="E2344" s="52"/>
      <c r="F2344" s="52"/>
      <c r="G2344" s="52"/>
      <c r="H2344" s="52"/>
    </row>
    <row r="2345" spans="1:8" ht="15.75">
      <c r="A2345" s="124">
        <v>42809</v>
      </c>
      <c r="B2345" s="125">
        <v>47.26</v>
      </c>
      <c r="C2345" s="52"/>
      <c r="D2345" s="52"/>
      <c r="E2345" s="52"/>
      <c r="F2345" s="52"/>
      <c r="G2345" s="52"/>
      <c r="H2345" s="52"/>
    </row>
    <row r="2346" spans="1:8" ht="15.75">
      <c r="A2346" s="124">
        <v>42810</v>
      </c>
      <c r="B2346" s="125">
        <v>47.26</v>
      </c>
      <c r="C2346" s="52"/>
      <c r="D2346" s="52"/>
      <c r="E2346" s="52"/>
      <c r="F2346" s="52"/>
      <c r="G2346" s="52"/>
      <c r="H2346" s="52"/>
    </row>
    <row r="2347" spans="1:8" ht="15.75">
      <c r="A2347" s="124">
        <v>42811</v>
      </c>
      <c r="B2347" s="125">
        <v>47.39</v>
      </c>
      <c r="C2347" s="52"/>
      <c r="D2347" s="52"/>
      <c r="E2347" s="52"/>
      <c r="F2347" s="52"/>
      <c r="G2347" s="52"/>
      <c r="H2347" s="52"/>
    </row>
    <row r="2348" spans="1:8" ht="15.75">
      <c r="A2348" s="124">
        <v>42814</v>
      </c>
      <c r="B2348" s="125">
        <v>47.18</v>
      </c>
      <c r="C2348" s="52"/>
      <c r="D2348" s="52"/>
      <c r="E2348" s="52"/>
      <c r="F2348" s="52"/>
      <c r="G2348" s="52"/>
      <c r="H2348" s="52"/>
    </row>
    <row r="2349" spans="1:8" ht="15.75">
      <c r="A2349" s="124">
        <v>42815</v>
      </c>
      <c r="B2349" s="125">
        <v>47.01</v>
      </c>
      <c r="C2349" s="52"/>
      <c r="D2349" s="52"/>
      <c r="E2349" s="52"/>
      <c r="F2349" s="52"/>
      <c r="G2349" s="52"/>
      <c r="H2349" s="52"/>
    </row>
    <row r="2350" spans="1:8" ht="15.75">
      <c r="A2350" s="124">
        <v>42816</v>
      </c>
      <c r="B2350" s="125">
        <v>47.35</v>
      </c>
      <c r="C2350" s="52"/>
      <c r="D2350" s="52"/>
      <c r="E2350" s="52"/>
      <c r="F2350" s="52"/>
      <c r="G2350" s="52"/>
      <c r="H2350" s="52"/>
    </row>
    <row r="2351" spans="1:8" ht="15.75">
      <c r="A2351" s="124">
        <v>42817</v>
      </c>
      <c r="B2351" s="125">
        <v>47.3</v>
      </c>
      <c r="C2351" s="52"/>
      <c r="D2351" s="52"/>
      <c r="E2351" s="52"/>
      <c r="F2351" s="52"/>
      <c r="G2351" s="52"/>
      <c r="H2351" s="52"/>
    </row>
    <row r="2352" spans="1:8" ht="15.75">
      <c r="A2352" s="124">
        <v>42818</v>
      </c>
      <c r="B2352" s="125">
        <v>47.19</v>
      </c>
      <c r="C2352" s="52"/>
      <c r="D2352" s="52"/>
      <c r="E2352" s="52"/>
      <c r="F2352" s="52"/>
      <c r="G2352" s="52"/>
      <c r="H2352" s="52"/>
    </row>
    <row r="2353" spans="1:8" ht="15.75">
      <c r="A2353" s="124">
        <v>42821</v>
      </c>
      <c r="B2353" s="125">
        <v>47.01</v>
      </c>
      <c r="C2353" s="52"/>
      <c r="D2353" s="52"/>
      <c r="E2353" s="52"/>
      <c r="F2353" s="52"/>
      <c r="G2353" s="52"/>
      <c r="H2353" s="52"/>
    </row>
    <row r="2354" spans="1:8" ht="15.75">
      <c r="A2354" s="124">
        <v>42822</v>
      </c>
      <c r="B2354" s="125">
        <v>47.18</v>
      </c>
      <c r="C2354" s="52"/>
      <c r="D2354" s="52"/>
      <c r="E2354" s="52"/>
      <c r="F2354" s="52"/>
      <c r="G2354" s="52"/>
      <c r="H2354" s="52"/>
    </row>
    <row r="2355" spans="1:8" ht="15.75">
      <c r="A2355" s="124">
        <v>42823</v>
      </c>
      <c r="B2355" s="125">
        <v>47.18</v>
      </c>
      <c r="C2355" s="52"/>
      <c r="D2355" s="52"/>
      <c r="E2355" s="52"/>
      <c r="F2355" s="52"/>
      <c r="G2355" s="52"/>
      <c r="H2355" s="52"/>
    </row>
    <row r="2356" spans="1:8" ht="15.75">
      <c r="A2356" s="124">
        <v>42824</v>
      </c>
      <c r="B2356" s="125">
        <v>47.18</v>
      </c>
      <c r="C2356" s="52"/>
      <c r="D2356" s="52"/>
      <c r="E2356" s="52"/>
      <c r="F2356" s="52"/>
      <c r="G2356" s="52"/>
      <c r="H2356" s="52"/>
    </row>
    <row r="2357" spans="1:8" ht="15.75">
      <c r="A2357" s="124">
        <v>42825</v>
      </c>
      <c r="B2357" s="125">
        <v>47.34</v>
      </c>
      <c r="C2357" s="52"/>
      <c r="D2357" s="52"/>
      <c r="E2357" s="52"/>
      <c r="F2357" s="52"/>
      <c r="G2357" s="52"/>
      <c r="H2357" s="52"/>
    </row>
    <row r="2358" spans="1:8" ht="15.75">
      <c r="A2358" s="124">
        <v>42828</v>
      </c>
      <c r="B2358" s="125">
        <v>47.22</v>
      </c>
      <c r="C2358" s="52"/>
      <c r="D2358" s="52"/>
      <c r="E2358" s="52"/>
      <c r="F2358" s="52"/>
      <c r="G2358" s="52"/>
      <c r="H2358" s="52"/>
    </row>
    <row r="2359" spans="1:8" ht="15.75">
      <c r="A2359" s="124">
        <v>42829</v>
      </c>
      <c r="B2359" s="125">
        <v>47.3</v>
      </c>
      <c r="C2359" s="52"/>
      <c r="D2359" s="52"/>
      <c r="E2359" s="52"/>
      <c r="F2359" s="52"/>
      <c r="G2359" s="52"/>
      <c r="H2359" s="52"/>
    </row>
    <row r="2360" spans="1:8" ht="15.75">
      <c r="A2360" s="124">
        <v>42830</v>
      </c>
      <c r="B2360" s="125">
        <v>47.31</v>
      </c>
      <c r="C2360" s="52"/>
      <c r="D2360" s="52"/>
      <c r="E2360" s="52"/>
      <c r="F2360" s="52"/>
      <c r="G2360" s="52"/>
      <c r="H2360" s="52"/>
    </row>
    <row r="2361" spans="1:8" ht="15.75">
      <c r="A2361" s="124">
        <v>42831</v>
      </c>
      <c r="B2361" s="125">
        <v>47.22</v>
      </c>
      <c r="C2361" s="52"/>
      <c r="D2361" s="52"/>
      <c r="E2361" s="52"/>
      <c r="F2361" s="52"/>
      <c r="G2361" s="52"/>
      <c r="H2361" s="52"/>
    </row>
    <row r="2362" spans="1:8" ht="15.75">
      <c r="A2362" s="124">
        <v>42832</v>
      </c>
      <c r="B2362" s="125">
        <v>47.36</v>
      </c>
      <c r="C2362" s="52"/>
      <c r="D2362" s="52"/>
      <c r="E2362" s="52"/>
      <c r="F2362" s="52"/>
      <c r="G2362" s="52"/>
      <c r="H2362" s="52"/>
    </row>
    <row r="2363" spans="1:8" ht="15.75">
      <c r="A2363" s="124">
        <v>42835</v>
      </c>
      <c r="B2363" s="125">
        <v>47.26</v>
      </c>
      <c r="C2363" s="52"/>
      <c r="D2363" s="52"/>
      <c r="E2363" s="52"/>
      <c r="F2363" s="52"/>
      <c r="G2363" s="52"/>
      <c r="H2363" s="52"/>
    </row>
    <row r="2364" spans="1:8" ht="15.75">
      <c r="A2364" s="124">
        <v>42836</v>
      </c>
      <c r="B2364" s="125">
        <v>47.5</v>
      </c>
      <c r="C2364" s="52"/>
      <c r="D2364" s="52"/>
      <c r="E2364" s="52"/>
      <c r="F2364" s="52"/>
      <c r="G2364" s="52"/>
      <c r="H2364" s="52"/>
    </row>
    <row r="2365" spans="1:8" ht="15.75">
      <c r="A2365" s="124">
        <v>42837</v>
      </c>
      <c r="B2365" s="125">
        <v>47.36</v>
      </c>
      <c r="C2365" s="52"/>
      <c r="D2365" s="52"/>
      <c r="E2365" s="52"/>
      <c r="F2365" s="52"/>
      <c r="G2365" s="52"/>
      <c r="H2365" s="52"/>
    </row>
    <row r="2366" spans="1:8" ht="15.75">
      <c r="A2366" s="124">
        <v>42838</v>
      </c>
      <c r="B2366" s="125">
        <v>47.32</v>
      </c>
      <c r="C2366" s="52"/>
      <c r="D2366" s="52"/>
      <c r="E2366" s="52"/>
      <c r="F2366" s="52"/>
      <c r="G2366" s="52"/>
      <c r="H2366" s="52"/>
    </row>
    <row r="2367" spans="1:8" ht="15.75">
      <c r="A2367" s="124">
        <v>42843</v>
      </c>
      <c r="B2367" s="125">
        <v>47.31</v>
      </c>
      <c r="C2367" s="52"/>
      <c r="D2367" s="52"/>
      <c r="E2367" s="52"/>
      <c r="F2367" s="52"/>
      <c r="G2367" s="52"/>
      <c r="H2367" s="52"/>
    </row>
    <row r="2368" spans="1:8" ht="15.75">
      <c r="A2368" s="124">
        <v>42844</v>
      </c>
      <c r="B2368" s="125">
        <v>47.31</v>
      </c>
      <c r="C2368" s="52"/>
      <c r="D2368" s="52"/>
      <c r="E2368" s="52"/>
      <c r="F2368" s="52"/>
      <c r="G2368" s="52"/>
      <c r="H2368" s="52"/>
    </row>
    <row r="2369" spans="1:8" ht="15.75">
      <c r="A2369" s="124">
        <v>42845</v>
      </c>
      <c r="B2369" s="125">
        <v>47.31</v>
      </c>
      <c r="C2369" s="52"/>
      <c r="D2369" s="52"/>
      <c r="E2369" s="52"/>
      <c r="F2369" s="52"/>
      <c r="G2369" s="52"/>
      <c r="H2369" s="52"/>
    </row>
    <row r="2370" spans="1:8" ht="15.75">
      <c r="A2370" s="124">
        <v>42846</v>
      </c>
      <c r="B2370" s="125">
        <v>47.55</v>
      </c>
      <c r="C2370" s="52"/>
      <c r="D2370" s="52"/>
      <c r="E2370" s="52"/>
      <c r="F2370" s="52"/>
      <c r="G2370" s="52"/>
      <c r="H2370" s="52"/>
    </row>
    <row r="2371" spans="1:8" ht="15.75">
      <c r="A2371" s="124">
        <v>42849</v>
      </c>
      <c r="B2371" s="125">
        <v>47.31</v>
      </c>
      <c r="C2371" s="52"/>
      <c r="D2371" s="52"/>
      <c r="E2371" s="52"/>
      <c r="F2371" s="52"/>
      <c r="G2371" s="52"/>
      <c r="H2371" s="52"/>
    </row>
    <row r="2372" spans="1:8" ht="15.75">
      <c r="A2372" s="124">
        <v>42850</v>
      </c>
      <c r="B2372" s="125">
        <v>47.31</v>
      </c>
      <c r="C2372" s="52"/>
      <c r="D2372" s="52"/>
      <c r="E2372" s="52"/>
      <c r="F2372" s="52"/>
      <c r="G2372" s="52"/>
      <c r="H2372" s="52"/>
    </row>
    <row r="2373" spans="1:8" ht="15.75">
      <c r="A2373" s="124">
        <v>42851</v>
      </c>
      <c r="B2373" s="125">
        <v>47.31</v>
      </c>
      <c r="C2373" s="52"/>
      <c r="D2373" s="52"/>
      <c r="E2373" s="52"/>
      <c r="F2373" s="52"/>
      <c r="G2373" s="52"/>
      <c r="H2373" s="52"/>
    </row>
    <row r="2374" spans="1:8" ht="15.75">
      <c r="A2374" s="124">
        <v>42852</v>
      </c>
      <c r="B2374" s="125">
        <v>47.28</v>
      </c>
      <c r="C2374" s="52"/>
      <c r="D2374" s="52"/>
      <c r="E2374" s="52"/>
      <c r="F2374" s="52"/>
      <c r="G2374" s="52"/>
      <c r="H2374" s="52"/>
    </row>
    <row r="2375" spans="1:8" ht="15.75">
      <c r="A2375" s="124">
        <v>42853</v>
      </c>
      <c r="B2375" s="125">
        <v>47.41</v>
      </c>
      <c r="C2375" s="52"/>
      <c r="D2375" s="52"/>
      <c r="E2375" s="52"/>
      <c r="F2375" s="52"/>
      <c r="G2375" s="52"/>
      <c r="H2375" s="52"/>
    </row>
    <row r="2376" spans="1:8" ht="15.75">
      <c r="A2376" s="124">
        <v>42857</v>
      </c>
      <c r="B2376" s="125">
        <v>47.41</v>
      </c>
      <c r="C2376" s="52"/>
      <c r="D2376" s="52"/>
      <c r="E2376" s="52"/>
      <c r="F2376" s="52"/>
      <c r="G2376" s="52"/>
      <c r="H2376" s="52"/>
    </row>
    <row r="2377" spans="1:8" ht="15.75">
      <c r="A2377" s="124">
        <v>42858</v>
      </c>
      <c r="B2377" s="125">
        <v>47.82</v>
      </c>
      <c r="C2377" s="52"/>
      <c r="D2377" s="52"/>
      <c r="E2377" s="52"/>
      <c r="F2377" s="52"/>
      <c r="G2377" s="52"/>
      <c r="H2377" s="52"/>
    </row>
    <row r="2378" spans="1:8" ht="15.75">
      <c r="A2378" s="124">
        <v>42859</v>
      </c>
      <c r="B2378" s="125">
        <v>47.46</v>
      </c>
      <c r="C2378" s="52"/>
      <c r="D2378" s="52"/>
      <c r="E2378" s="52"/>
      <c r="F2378" s="52"/>
      <c r="G2378" s="52"/>
      <c r="H2378" s="52"/>
    </row>
    <row r="2379" spans="1:8" ht="15.75">
      <c r="A2379" s="124">
        <v>42860</v>
      </c>
      <c r="B2379" s="125">
        <v>47.4</v>
      </c>
      <c r="C2379" s="52"/>
      <c r="D2379" s="52"/>
      <c r="E2379" s="52"/>
      <c r="F2379" s="52"/>
      <c r="G2379" s="52"/>
      <c r="H2379" s="52"/>
    </row>
    <row r="2380" spans="1:8" ht="15.75">
      <c r="A2380" s="124">
        <v>42863</v>
      </c>
      <c r="B2380" s="125">
        <v>47.5</v>
      </c>
      <c r="C2380" s="52"/>
      <c r="D2380" s="52"/>
      <c r="E2380" s="52"/>
      <c r="F2380" s="52"/>
      <c r="G2380" s="52"/>
      <c r="H2380" s="52"/>
    </row>
    <row r="2381" spans="1:8" ht="15.75">
      <c r="A2381" s="124">
        <v>42864</v>
      </c>
      <c r="B2381" s="125">
        <v>47.4</v>
      </c>
      <c r="C2381" s="52"/>
      <c r="D2381" s="52"/>
      <c r="E2381" s="52"/>
      <c r="F2381" s="52"/>
      <c r="G2381" s="52"/>
      <c r="H2381" s="52"/>
    </row>
    <row r="2382" spans="1:8" ht="15.75">
      <c r="A2382" s="124">
        <v>42865</v>
      </c>
      <c r="B2382" s="125">
        <v>47.41</v>
      </c>
      <c r="C2382" s="52"/>
      <c r="D2382" s="52"/>
      <c r="E2382" s="52"/>
      <c r="F2382" s="52"/>
      <c r="G2382" s="52"/>
      <c r="H2382" s="52"/>
    </row>
    <row r="2383" spans="1:8" ht="15.75">
      <c r="A2383" s="124">
        <v>42866</v>
      </c>
      <c r="B2383" s="125">
        <v>47.36</v>
      </c>
      <c r="C2383" s="52"/>
      <c r="D2383" s="52"/>
      <c r="E2383" s="52"/>
      <c r="F2383" s="52"/>
      <c r="G2383" s="52"/>
      <c r="H2383" s="52"/>
    </row>
    <row r="2384" spans="1:8" ht="15.75">
      <c r="A2384" s="124">
        <v>42867</v>
      </c>
      <c r="B2384" s="125">
        <v>47.4</v>
      </c>
      <c r="C2384" s="52"/>
      <c r="D2384" s="52"/>
      <c r="E2384" s="52"/>
      <c r="F2384" s="52"/>
      <c r="G2384" s="52"/>
      <c r="H2384" s="52"/>
    </row>
    <row r="2385" spans="1:8" ht="15.75">
      <c r="A2385" s="124">
        <v>42870</v>
      </c>
      <c r="B2385" s="125">
        <v>47.41</v>
      </c>
      <c r="C2385" s="52"/>
      <c r="D2385" s="52"/>
      <c r="E2385" s="52"/>
      <c r="F2385" s="52"/>
      <c r="G2385" s="52"/>
      <c r="H2385" s="52"/>
    </row>
    <row r="2386" spans="1:8" ht="15.75">
      <c r="A2386" s="124">
        <v>42871</v>
      </c>
      <c r="B2386" s="125">
        <v>47.42</v>
      </c>
      <c r="C2386" s="52"/>
      <c r="D2386" s="52"/>
      <c r="E2386" s="52"/>
      <c r="F2386" s="52"/>
      <c r="G2386" s="52"/>
      <c r="H2386" s="52"/>
    </row>
    <row r="2387" spans="1:8" ht="15.75">
      <c r="A2387" s="124">
        <v>42872</v>
      </c>
      <c r="B2387" s="125">
        <v>47.4</v>
      </c>
      <c r="C2387" s="52"/>
      <c r="D2387" s="52"/>
      <c r="E2387" s="52"/>
      <c r="F2387" s="52"/>
      <c r="G2387" s="52"/>
      <c r="H2387" s="52"/>
    </row>
    <row r="2388" spans="1:8" ht="15.75">
      <c r="A2388" s="124">
        <v>42873</v>
      </c>
      <c r="B2388" s="125">
        <v>47.41</v>
      </c>
      <c r="C2388" s="52"/>
      <c r="D2388" s="52"/>
      <c r="E2388" s="52"/>
      <c r="F2388" s="52"/>
      <c r="G2388" s="52"/>
      <c r="H2388" s="52"/>
    </row>
    <row r="2389" spans="1:8" ht="15.75">
      <c r="A2389" s="124">
        <v>42874</v>
      </c>
      <c r="B2389" s="125">
        <v>47.3</v>
      </c>
      <c r="C2389" s="52"/>
      <c r="D2389" s="52"/>
      <c r="E2389" s="52"/>
      <c r="F2389" s="52"/>
      <c r="G2389" s="52"/>
      <c r="H2389" s="52"/>
    </row>
    <row r="2390" spans="1:8" ht="15.75">
      <c r="A2390" s="124">
        <v>42877</v>
      </c>
      <c r="B2390" s="125">
        <v>47.43</v>
      </c>
      <c r="C2390" s="52"/>
      <c r="D2390" s="52"/>
      <c r="E2390" s="52"/>
      <c r="F2390" s="52"/>
      <c r="G2390" s="52"/>
      <c r="H2390" s="52"/>
    </row>
    <row r="2391" spans="1:8" ht="15.75">
      <c r="A2391" s="124">
        <v>42878</v>
      </c>
      <c r="B2391" s="125">
        <v>47.32</v>
      </c>
      <c r="C2391" s="52"/>
      <c r="D2391" s="52"/>
      <c r="E2391" s="52"/>
      <c r="F2391" s="52"/>
      <c r="G2391" s="52"/>
      <c r="H2391" s="52"/>
    </row>
    <row r="2392" spans="1:8" ht="15.75">
      <c r="A2392" s="124">
        <v>42879</v>
      </c>
      <c r="B2392" s="125">
        <v>47.32</v>
      </c>
      <c r="C2392" s="52"/>
      <c r="D2392" s="52"/>
      <c r="E2392" s="52"/>
      <c r="F2392" s="52"/>
      <c r="G2392" s="52"/>
      <c r="H2392" s="52"/>
    </row>
    <row r="2393" spans="1:8" ht="15.75">
      <c r="A2393" s="124">
        <v>42880</v>
      </c>
      <c r="B2393" s="125">
        <v>47.49</v>
      </c>
      <c r="C2393" s="52"/>
      <c r="D2393" s="52"/>
      <c r="E2393" s="52"/>
      <c r="F2393" s="52"/>
      <c r="G2393" s="52"/>
      <c r="H2393" s="52"/>
    </row>
    <row r="2394" spans="1:8" ht="15.75">
      <c r="A2394" s="124">
        <v>42881</v>
      </c>
      <c r="B2394" s="125">
        <v>47.34</v>
      </c>
      <c r="C2394" s="52"/>
      <c r="D2394" s="52"/>
      <c r="E2394" s="52"/>
      <c r="F2394" s="52"/>
      <c r="G2394" s="52"/>
      <c r="H2394" s="52"/>
    </row>
    <row r="2395" spans="1:8" ht="15.75">
      <c r="A2395" s="124">
        <v>42884</v>
      </c>
      <c r="B2395" s="125">
        <v>47.49</v>
      </c>
      <c r="C2395" s="52"/>
      <c r="D2395" s="52"/>
      <c r="E2395" s="52"/>
      <c r="F2395" s="52"/>
      <c r="G2395" s="52"/>
      <c r="H2395" s="52"/>
    </row>
    <row r="2396" spans="1:8" ht="15.75">
      <c r="A2396" s="124">
        <v>42885</v>
      </c>
      <c r="B2396" s="125">
        <v>47.11</v>
      </c>
      <c r="C2396" s="52"/>
      <c r="D2396" s="52"/>
      <c r="E2396" s="52"/>
      <c r="F2396" s="52"/>
      <c r="G2396" s="52"/>
      <c r="H2396" s="52"/>
    </row>
    <row r="2397" spans="1:8" ht="15.75">
      <c r="A2397" s="124">
        <v>42886</v>
      </c>
      <c r="B2397" s="125">
        <v>47.5</v>
      </c>
      <c r="C2397" s="52"/>
      <c r="D2397" s="52"/>
      <c r="E2397" s="52"/>
      <c r="F2397" s="52"/>
      <c r="G2397" s="52"/>
      <c r="H2397" s="52"/>
    </row>
    <row r="2398" spans="1:8" ht="15.75">
      <c r="A2398" s="124">
        <v>42887</v>
      </c>
      <c r="B2398" s="125">
        <v>47.24</v>
      </c>
      <c r="C2398" s="52"/>
      <c r="D2398" s="52"/>
      <c r="E2398" s="52"/>
      <c r="F2398" s="52"/>
      <c r="G2398" s="52"/>
      <c r="H2398" s="52"/>
    </row>
    <row r="2399" spans="1:8" ht="15.75">
      <c r="A2399" s="124">
        <v>42888</v>
      </c>
      <c r="B2399" s="125">
        <v>47.11</v>
      </c>
      <c r="C2399" s="52"/>
      <c r="D2399" s="52"/>
      <c r="E2399" s="52"/>
      <c r="F2399" s="52"/>
      <c r="G2399" s="52"/>
      <c r="H2399" s="52"/>
    </row>
    <row r="2400" spans="1:8" ht="15.75">
      <c r="A2400" s="124">
        <v>42892</v>
      </c>
      <c r="B2400" s="125">
        <v>47.23</v>
      </c>
      <c r="C2400" s="52"/>
      <c r="D2400" s="52"/>
      <c r="E2400" s="52"/>
      <c r="F2400" s="52"/>
      <c r="G2400" s="52"/>
      <c r="H2400" s="52"/>
    </row>
    <row r="2401" spans="1:8" ht="15.75">
      <c r="A2401" s="124">
        <v>42893</v>
      </c>
      <c r="B2401" s="125">
        <v>47.02</v>
      </c>
      <c r="C2401" s="52"/>
      <c r="D2401" s="52"/>
      <c r="E2401" s="52"/>
      <c r="F2401" s="52"/>
      <c r="G2401" s="52"/>
      <c r="H2401" s="52"/>
    </row>
    <row r="2402" spans="1:8" ht="15.75">
      <c r="A2402" s="124">
        <v>42894</v>
      </c>
      <c r="B2402" s="125">
        <v>47.03</v>
      </c>
      <c r="C2402" s="52"/>
      <c r="D2402" s="52"/>
      <c r="E2402" s="52"/>
      <c r="F2402" s="52"/>
      <c r="G2402" s="52"/>
      <c r="H2402" s="52"/>
    </row>
    <row r="2403" spans="1:8" ht="15.75">
      <c r="A2403" s="124">
        <v>42895</v>
      </c>
      <c r="B2403" s="125">
        <v>47.1</v>
      </c>
      <c r="C2403" s="52"/>
      <c r="D2403" s="52"/>
      <c r="E2403" s="52"/>
      <c r="F2403" s="52"/>
      <c r="G2403" s="52"/>
      <c r="H2403" s="52"/>
    </row>
    <row r="2404" spans="1:8" ht="15.75">
      <c r="A2404" s="124">
        <v>42898</v>
      </c>
      <c r="B2404" s="125">
        <v>47.46</v>
      </c>
      <c r="C2404" s="52"/>
      <c r="D2404" s="52"/>
      <c r="E2404" s="52"/>
      <c r="F2404" s="52"/>
      <c r="G2404" s="52"/>
      <c r="H2404" s="52"/>
    </row>
    <row r="2405" spans="1:8" ht="15.75">
      <c r="A2405" s="124">
        <v>42899</v>
      </c>
      <c r="B2405" s="125">
        <v>47.18</v>
      </c>
      <c r="C2405" s="52"/>
      <c r="D2405" s="52"/>
      <c r="E2405" s="52"/>
      <c r="F2405" s="52"/>
      <c r="G2405" s="52"/>
      <c r="H2405" s="52"/>
    </row>
    <row r="2406" spans="1:8" ht="15.75">
      <c r="A2406" s="124">
        <v>42900</v>
      </c>
      <c r="B2406" s="125">
        <v>47.16</v>
      </c>
      <c r="C2406" s="52"/>
      <c r="D2406" s="52"/>
      <c r="E2406" s="52"/>
      <c r="F2406" s="52"/>
      <c r="G2406" s="52"/>
      <c r="H2406" s="52"/>
    </row>
    <row r="2407" spans="1:8" ht="15.75">
      <c r="A2407" s="124">
        <v>42901</v>
      </c>
      <c r="B2407" s="125">
        <v>47.11</v>
      </c>
      <c r="C2407" s="52"/>
      <c r="D2407" s="52"/>
      <c r="E2407" s="52"/>
      <c r="F2407" s="52"/>
      <c r="G2407" s="52"/>
      <c r="H2407" s="52"/>
    </row>
    <row r="2408" spans="1:8" ht="15.75">
      <c r="A2408" s="124">
        <v>42902</v>
      </c>
      <c r="B2408" s="125">
        <v>47.33</v>
      </c>
      <c r="C2408" s="52"/>
      <c r="D2408" s="52"/>
      <c r="E2408" s="52"/>
      <c r="F2408" s="52"/>
      <c r="G2408" s="52"/>
      <c r="H2408" s="52"/>
    </row>
    <row r="2409" spans="1:8" ht="15.75">
      <c r="A2409" s="124">
        <v>42905</v>
      </c>
      <c r="B2409" s="125">
        <v>47.2</v>
      </c>
      <c r="C2409" s="52"/>
      <c r="D2409" s="52"/>
      <c r="E2409" s="52"/>
      <c r="F2409" s="52"/>
      <c r="G2409" s="52"/>
      <c r="H2409" s="52"/>
    </row>
    <row r="2410" spans="1:8" ht="15.75">
      <c r="A2410" s="124">
        <v>42906</v>
      </c>
      <c r="B2410" s="125">
        <v>47.19</v>
      </c>
      <c r="C2410" s="52"/>
      <c r="D2410" s="52"/>
      <c r="E2410" s="52"/>
      <c r="F2410" s="52"/>
      <c r="G2410" s="52"/>
      <c r="H2410" s="52"/>
    </row>
    <row r="2411" spans="1:8" ht="15.75">
      <c r="A2411" s="124">
        <v>42907</v>
      </c>
      <c r="B2411" s="125">
        <v>47.23</v>
      </c>
      <c r="C2411" s="52"/>
      <c r="D2411" s="52"/>
      <c r="E2411" s="52"/>
      <c r="F2411" s="52"/>
      <c r="G2411" s="52"/>
      <c r="H2411" s="52"/>
    </row>
    <row r="2412" spans="1:8" ht="15.75">
      <c r="A2412" s="124">
        <v>42908</v>
      </c>
      <c r="B2412" s="125">
        <v>47.34</v>
      </c>
      <c r="C2412" s="52"/>
      <c r="D2412" s="52"/>
      <c r="E2412" s="52"/>
      <c r="F2412" s="52"/>
      <c r="G2412" s="52"/>
      <c r="H2412" s="52"/>
    </row>
    <row r="2413" spans="1:8" ht="15.75">
      <c r="A2413" s="124">
        <v>42909</v>
      </c>
      <c r="B2413" s="125">
        <v>47.16</v>
      </c>
      <c r="C2413" s="52"/>
      <c r="D2413" s="52"/>
      <c r="E2413" s="52"/>
      <c r="F2413" s="52"/>
      <c r="G2413" s="52"/>
      <c r="H2413" s="52"/>
    </row>
    <row r="2414" spans="1:8" ht="15.75">
      <c r="A2414" s="124">
        <v>42912</v>
      </c>
      <c r="B2414" s="125">
        <v>47.45</v>
      </c>
      <c r="C2414" s="52"/>
      <c r="D2414" s="52"/>
      <c r="E2414" s="52"/>
      <c r="F2414" s="52"/>
      <c r="G2414" s="52"/>
      <c r="H2414" s="52"/>
    </row>
    <row r="2415" spans="1:8" ht="15.75">
      <c r="A2415" s="124">
        <v>42913</v>
      </c>
      <c r="B2415" s="125">
        <v>47.06</v>
      </c>
      <c r="C2415" s="52"/>
      <c r="D2415" s="52"/>
      <c r="E2415" s="52"/>
      <c r="F2415" s="52"/>
      <c r="G2415" s="52"/>
      <c r="H2415" s="52"/>
    </row>
    <row r="2416" spans="1:8" ht="15.75">
      <c r="A2416" s="124">
        <v>42914</v>
      </c>
      <c r="B2416" s="125">
        <v>47.35</v>
      </c>
      <c r="C2416" s="52"/>
      <c r="D2416" s="52"/>
      <c r="E2416" s="52"/>
      <c r="F2416" s="52"/>
      <c r="G2416" s="52"/>
      <c r="H2416" s="52"/>
    </row>
    <row r="2417" spans="1:8" ht="15.75">
      <c r="A2417" s="124">
        <v>42915</v>
      </c>
      <c r="B2417" s="125">
        <v>47.4</v>
      </c>
      <c r="C2417" s="52"/>
      <c r="D2417" s="52"/>
      <c r="E2417" s="52"/>
      <c r="F2417" s="52"/>
      <c r="G2417" s="52"/>
      <c r="H2417" s="52"/>
    </row>
    <row r="2418" spans="1:8" ht="15.75">
      <c r="A2418" s="124">
        <v>42916</v>
      </c>
      <c r="B2418" s="125">
        <v>47.13</v>
      </c>
      <c r="C2418" s="52"/>
      <c r="D2418" s="52"/>
      <c r="E2418" s="52"/>
      <c r="F2418" s="52"/>
      <c r="G2418" s="52"/>
      <c r="H2418" s="52"/>
    </row>
    <row r="2419" spans="1:8" ht="15.75">
      <c r="A2419" s="124">
        <v>42919</v>
      </c>
      <c r="B2419" s="125">
        <v>47.2</v>
      </c>
      <c r="C2419" s="52"/>
      <c r="D2419" s="52"/>
      <c r="E2419" s="52"/>
      <c r="F2419" s="52"/>
      <c r="G2419" s="52"/>
      <c r="H2419" s="52"/>
    </row>
    <row r="2420" spans="1:8" ht="15.75">
      <c r="A2420" s="124">
        <v>42920</v>
      </c>
      <c r="B2420" s="125">
        <v>47.11</v>
      </c>
      <c r="C2420" s="52"/>
      <c r="D2420" s="52"/>
      <c r="E2420" s="52"/>
      <c r="F2420" s="52"/>
      <c r="G2420" s="52"/>
      <c r="H2420" s="52"/>
    </row>
    <row r="2421" spans="1:8" ht="15.75">
      <c r="A2421" s="124">
        <v>42921</v>
      </c>
      <c r="B2421" s="125">
        <v>47.11</v>
      </c>
      <c r="C2421" s="52"/>
      <c r="D2421" s="52"/>
      <c r="E2421" s="52"/>
      <c r="F2421" s="52"/>
      <c r="G2421" s="52"/>
      <c r="H2421" s="52"/>
    </row>
    <row r="2422" spans="1:8" ht="15.75">
      <c r="A2422" s="124">
        <v>42922</v>
      </c>
      <c r="B2422" s="125">
        <v>47.25</v>
      </c>
      <c r="C2422" s="52"/>
      <c r="D2422" s="52"/>
      <c r="E2422" s="52"/>
      <c r="F2422" s="52"/>
      <c r="G2422" s="52"/>
      <c r="H2422" s="52"/>
    </row>
    <row r="2423" spans="1:8" ht="15.75">
      <c r="A2423" s="124">
        <v>42923</v>
      </c>
      <c r="B2423" s="125">
        <v>47.55</v>
      </c>
      <c r="C2423" s="52"/>
      <c r="D2423" s="52"/>
      <c r="E2423" s="52"/>
      <c r="F2423" s="52"/>
      <c r="G2423" s="52"/>
      <c r="H2423" s="52"/>
    </row>
    <row r="2424" spans="1:8" ht="15.75">
      <c r="A2424" s="124">
        <v>42926</v>
      </c>
      <c r="B2424" s="125">
        <v>47.31</v>
      </c>
      <c r="C2424" s="52"/>
      <c r="D2424" s="52"/>
      <c r="E2424" s="52"/>
      <c r="F2424" s="52"/>
      <c r="G2424" s="52"/>
      <c r="H2424" s="52"/>
    </row>
    <row r="2425" spans="1:8" ht="15.75">
      <c r="A2425" s="124">
        <v>42927</v>
      </c>
      <c r="B2425" s="125">
        <v>47.35</v>
      </c>
      <c r="C2425" s="52"/>
      <c r="D2425" s="52"/>
      <c r="E2425" s="52"/>
      <c r="F2425" s="52"/>
      <c r="G2425" s="52"/>
      <c r="H2425" s="52"/>
    </row>
    <row r="2426" spans="1:8" ht="15.75">
      <c r="A2426" s="124">
        <v>42928</v>
      </c>
      <c r="B2426" s="125">
        <v>47.75</v>
      </c>
      <c r="C2426" s="52"/>
      <c r="D2426" s="52"/>
      <c r="E2426" s="52"/>
      <c r="F2426" s="52"/>
      <c r="G2426" s="52"/>
      <c r="H2426" s="52"/>
    </row>
    <row r="2427" spans="1:8" ht="15.75">
      <c r="A2427" s="124">
        <v>42929</v>
      </c>
      <c r="B2427" s="125">
        <v>47.26</v>
      </c>
      <c r="C2427" s="52"/>
      <c r="D2427" s="52"/>
      <c r="E2427" s="52"/>
      <c r="F2427" s="52"/>
      <c r="G2427" s="52"/>
      <c r="H2427" s="52"/>
    </row>
    <row r="2428" spans="1:8" ht="15.75">
      <c r="A2428" s="124">
        <v>42930</v>
      </c>
      <c r="B2428" s="125">
        <v>47.44</v>
      </c>
      <c r="C2428" s="52"/>
      <c r="D2428" s="52"/>
      <c r="E2428" s="52"/>
      <c r="F2428" s="52"/>
      <c r="G2428" s="52"/>
      <c r="H2428" s="52"/>
    </row>
    <row r="2429" spans="1:8" ht="15.75">
      <c r="A2429" s="124">
        <v>42933</v>
      </c>
      <c r="B2429" s="125">
        <v>47.36</v>
      </c>
      <c r="C2429" s="52"/>
      <c r="D2429" s="52"/>
      <c r="E2429" s="52"/>
      <c r="F2429" s="52"/>
      <c r="G2429" s="52"/>
      <c r="H2429" s="52"/>
    </row>
    <row r="2430" spans="1:8" ht="15.75">
      <c r="A2430" s="124">
        <v>42934</v>
      </c>
      <c r="B2430" s="125">
        <v>47.5</v>
      </c>
      <c r="C2430" s="52"/>
      <c r="D2430" s="52"/>
      <c r="E2430" s="52"/>
      <c r="F2430" s="52"/>
      <c r="G2430" s="52"/>
      <c r="H2430" s="52"/>
    </row>
    <row r="2431" spans="1:8" ht="15.75">
      <c r="A2431" s="124">
        <v>42935</v>
      </c>
      <c r="B2431" s="125">
        <v>47.35</v>
      </c>
      <c r="C2431" s="52"/>
      <c r="D2431" s="52"/>
      <c r="E2431" s="52"/>
      <c r="F2431" s="52"/>
      <c r="G2431" s="52"/>
      <c r="H2431" s="52"/>
    </row>
    <row r="2432" spans="1:8" ht="15.75">
      <c r="A2432" s="124">
        <v>42936</v>
      </c>
      <c r="B2432" s="125">
        <v>47.36</v>
      </c>
      <c r="C2432" s="52"/>
      <c r="D2432" s="52"/>
      <c r="E2432" s="52"/>
      <c r="F2432" s="52"/>
      <c r="G2432" s="52"/>
      <c r="H2432" s="52"/>
    </row>
    <row r="2433" spans="1:8" ht="15.75">
      <c r="A2433" s="124">
        <v>42937</v>
      </c>
      <c r="B2433" s="125">
        <v>47.54</v>
      </c>
      <c r="C2433" s="52"/>
      <c r="D2433" s="52"/>
      <c r="E2433" s="52"/>
      <c r="F2433" s="52"/>
      <c r="G2433" s="52"/>
      <c r="H2433" s="52"/>
    </row>
    <row r="2434" spans="1:8" ht="15.75">
      <c r="A2434" s="124">
        <v>42940</v>
      </c>
      <c r="B2434" s="125">
        <v>47.5</v>
      </c>
      <c r="C2434" s="52"/>
      <c r="D2434" s="52"/>
      <c r="E2434" s="52"/>
      <c r="F2434" s="52"/>
      <c r="G2434" s="52"/>
      <c r="H2434" s="52"/>
    </row>
    <row r="2435" spans="1:8" ht="15.75">
      <c r="A2435" s="124">
        <v>42941</v>
      </c>
      <c r="B2435" s="125">
        <v>47.23</v>
      </c>
      <c r="C2435" s="52"/>
      <c r="D2435" s="52"/>
      <c r="E2435" s="52"/>
      <c r="F2435" s="52"/>
      <c r="G2435" s="52"/>
      <c r="H2435" s="52"/>
    </row>
    <row r="2436" spans="1:8" ht="15.75">
      <c r="A2436" s="124">
        <v>42942</v>
      </c>
      <c r="B2436" s="125">
        <v>47.36</v>
      </c>
      <c r="C2436" s="52"/>
      <c r="D2436" s="52"/>
      <c r="E2436" s="52"/>
      <c r="F2436" s="52"/>
      <c r="G2436" s="52"/>
      <c r="H2436" s="52"/>
    </row>
    <row r="2437" spans="1:8" ht="15.75">
      <c r="A2437" s="124">
        <v>42943</v>
      </c>
      <c r="B2437" s="125">
        <v>47.35</v>
      </c>
      <c r="C2437" s="52"/>
      <c r="D2437" s="52"/>
      <c r="E2437" s="52"/>
      <c r="F2437" s="52"/>
      <c r="G2437" s="52"/>
      <c r="H2437" s="52"/>
    </row>
    <row r="2438" spans="1:8" ht="15.75">
      <c r="A2438" s="124">
        <v>42944</v>
      </c>
      <c r="B2438" s="125">
        <v>47.5</v>
      </c>
      <c r="C2438" s="52"/>
      <c r="D2438" s="52"/>
      <c r="E2438" s="52"/>
      <c r="F2438" s="52"/>
      <c r="G2438" s="52"/>
      <c r="H2438" s="52"/>
    </row>
    <row r="2439" spans="1:8" ht="15.75">
      <c r="A2439" s="124">
        <v>42947</v>
      </c>
      <c r="B2439" s="125">
        <v>47.37</v>
      </c>
      <c r="C2439" s="52"/>
      <c r="D2439" s="52"/>
      <c r="E2439" s="52"/>
      <c r="F2439" s="52"/>
      <c r="G2439" s="52"/>
      <c r="H2439" s="52"/>
    </row>
    <row r="2440" spans="1:8" ht="15.75">
      <c r="A2440" s="124">
        <v>42948</v>
      </c>
      <c r="B2440" s="125">
        <v>47.42</v>
      </c>
      <c r="C2440" s="52"/>
      <c r="D2440" s="52"/>
      <c r="E2440" s="52"/>
      <c r="F2440" s="52"/>
      <c r="G2440" s="52"/>
      <c r="H2440" s="52"/>
    </row>
    <row r="2441" spans="1:8" ht="15.75">
      <c r="A2441" s="124">
        <v>42949</v>
      </c>
      <c r="B2441" s="125">
        <v>47.54</v>
      </c>
      <c r="C2441" s="52"/>
      <c r="D2441" s="52"/>
      <c r="E2441" s="52"/>
      <c r="F2441" s="52"/>
      <c r="G2441" s="52"/>
      <c r="H2441" s="52"/>
    </row>
    <row r="2442" spans="1:8" ht="15.75">
      <c r="A2442" s="124">
        <v>42950</v>
      </c>
      <c r="B2442" s="125">
        <v>47.46</v>
      </c>
      <c r="C2442" s="52"/>
      <c r="D2442" s="52"/>
      <c r="E2442" s="52"/>
      <c r="F2442" s="52"/>
      <c r="G2442" s="52"/>
      <c r="H2442" s="52"/>
    </row>
    <row r="2443" spans="1:8" ht="15.75">
      <c r="A2443" s="124">
        <v>42951</v>
      </c>
      <c r="B2443" s="125">
        <v>47.38</v>
      </c>
      <c r="C2443" s="52"/>
      <c r="D2443" s="52"/>
      <c r="E2443" s="52"/>
      <c r="F2443" s="52"/>
      <c r="G2443" s="52"/>
      <c r="H2443" s="52"/>
    </row>
    <row r="2444" spans="1:8" ht="15.75">
      <c r="A2444" s="124">
        <v>42954</v>
      </c>
      <c r="B2444" s="125">
        <v>47.67</v>
      </c>
      <c r="C2444" s="52"/>
      <c r="D2444" s="52"/>
      <c r="E2444" s="52"/>
      <c r="F2444" s="52"/>
      <c r="G2444" s="52"/>
      <c r="H2444" s="52"/>
    </row>
    <row r="2445" spans="1:8" ht="15.75">
      <c r="A2445" s="124">
        <v>42955</v>
      </c>
      <c r="B2445" s="125">
        <v>47.78</v>
      </c>
      <c r="C2445" s="52"/>
      <c r="D2445" s="52"/>
      <c r="E2445" s="52"/>
      <c r="F2445" s="52"/>
      <c r="G2445" s="52"/>
      <c r="H2445" s="52"/>
    </row>
    <row r="2446" spans="1:8" ht="15.75">
      <c r="A2446" s="124">
        <v>42956</v>
      </c>
      <c r="B2446" s="125">
        <v>47.43</v>
      </c>
      <c r="C2446" s="52"/>
      <c r="D2446" s="52"/>
      <c r="E2446" s="52"/>
      <c r="F2446" s="52"/>
      <c r="G2446" s="52"/>
      <c r="H2446" s="52"/>
    </row>
    <row r="2447" spans="1:8" ht="15.75">
      <c r="A2447" s="124">
        <v>42957</v>
      </c>
      <c r="B2447" s="125">
        <v>47.37</v>
      </c>
      <c r="C2447" s="52"/>
      <c r="D2447" s="52"/>
      <c r="E2447" s="52"/>
      <c r="F2447" s="52"/>
      <c r="G2447" s="52"/>
      <c r="H2447" s="52"/>
    </row>
    <row r="2448" spans="1:8" ht="15.75">
      <c r="A2448" s="124">
        <v>42958</v>
      </c>
      <c r="B2448" s="125">
        <v>47.36</v>
      </c>
      <c r="C2448" s="52"/>
      <c r="D2448" s="52"/>
      <c r="E2448" s="52"/>
      <c r="F2448" s="52"/>
      <c r="G2448" s="52"/>
      <c r="H2448" s="52"/>
    </row>
    <row r="2449" spans="1:8" ht="15.75">
      <c r="A2449" s="124">
        <v>42961</v>
      </c>
      <c r="B2449" s="125">
        <v>47.7</v>
      </c>
      <c r="C2449" s="52"/>
      <c r="D2449" s="52"/>
      <c r="E2449" s="52"/>
      <c r="F2449" s="52"/>
      <c r="G2449" s="52"/>
      <c r="H2449" s="52"/>
    </row>
    <row r="2450" spans="1:8" ht="15.75">
      <c r="A2450" s="124">
        <v>42962</v>
      </c>
      <c r="B2450" s="125">
        <v>47.4</v>
      </c>
      <c r="C2450" s="52"/>
      <c r="D2450" s="52"/>
      <c r="E2450" s="52"/>
      <c r="F2450" s="52"/>
      <c r="G2450" s="52"/>
      <c r="H2450" s="52"/>
    </row>
    <row r="2451" spans="1:8" ht="15.75">
      <c r="A2451" s="124">
        <v>42963</v>
      </c>
      <c r="B2451" s="125">
        <v>47.41</v>
      </c>
      <c r="C2451" s="52"/>
      <c r="D2451" s="52"/>
      <c r="E2451" s="52"/>
      <c r="F2451" s="52"/>
      <c r="G2451" s="52"/>
      <c r="H2451" s="52"/>
    </row>
    <row r="2452" spans="1:8" ht="15.75">
      <c r="A2452" s="124">
        <v>42964</v>
      </c>
      <c r="B2452" s="125">
        <v>47.41</v>
      </c>
      <c r="C2452" s="52"/>
      <c r="D2452" s="52"/>
      <c r="E2452" s="52"/>
      <c r="F2452" s="52"/>
      <c r="G2452" s="52"/>
      <c r="H2452" s="52"/>
    </row>
    <row r="2453" spans="1:8" ht="15.75">
      <c r="A2453" s="124">
        <v>42965</v>
      </c>
      <c r="B2453" s="125">
        <v>47.35</v>
      </c>
      <c r="C2453" s="52"/>
      <c r="D2453" s="52"/>
      <c r="E2453" s="52"/>
      <c r="F2453" s="52"/>
      <c r="G2453" s="52"/>
      <c r="H2453" s="52"/>
    </row>
    <row r="2454" spans="1:8" ht="15.75">
      <c r="A2454" s="124">
        <v>42968</v>
      </c>
      <c r="B2454" s="125">
        <v>47.4</v>
      </c>
      <c r="C2454" s="52"/>
      <c r="D2454" s="52"/>
      <c r="E2454" s="52"/>
      <c r="F2454" s="52"/>
      <c r="G2454" s="52"/>
      <c r="H2454" s="52"/>
    </row>
    <row r="2455" spans="1:8" ht="15.75">
      <c r="A2455" s="124">
        <v>42969</v>
      </c>
      <c r="B2455" s="125">
        <v>47.4</v>
      </c>
      <c r="C2455" s="52"/>
      <c r="D2455" s="52"/>
      <c r="E2455" s="52"/>
      <c r="F2455" s="52"/>
      <c r="G2455" s="52"/>
      <c r="H2455" s="52"/>
    </row>
    <row r="2456" spans="1:8" ht="15.75">
      <c r="A2456" s="124">
        <v>42970</v>
      </c>
      <c r="B2456" s="125">
        <v>47.4</v>
      </c>
      <c r="C2456" s="52"/>
      <c r="D2456" s="52"/>
      <c r="E2456" s="52"/>
      <c r="F2456" s="52"/>
      <c r="G2456" s="52"/>
      <c r="H2456" s="52"/>
    </row>
    <row r="2457" spans="1:8" ht="15.75">
      <c r="A2457" s="124">
        <v>42971</v>
      </c>
      <c r="B2457" s="125">
        <v>47.38</v>
      </c>
      <c r="C2457" s="52"/>
      <c r="D2457" s="52"/>
      <c r="E2457" s="52"/>
      <c r="F2457" s="52"/>
      <c r="G2457" s="52"/>
      <c r="H2457" s="52"/>
    </row>
    <row r="2458" spans="1:8" ht="15.75">
      <c r="A2458" s="124">
        <v>42972</v>
      </c>
      <c r="B2458" s="125">
        <v>47.42</v>
      </c>
      <c r="C2458" s="52"/>
      <c r="D2458" s="52"/>
      <c r="E2458" s="52"/>
      <c r="F2458" s="52"/>
      <c r="G2458" s="52"/>
      <c r="H2458" s="52"/>
    </row>
    <row r="2459" spans="1:8" ht="15.75">
      <c r="A2459" s="124">
        <v>42975</v>
      </c>
      <c r="B2459" s="125">
        <v>47.51</v>
      </c>
      <c r="C2459" s="52"/>
      <c r="D2459" s="52"/>
      <c r="E2459" s="52"/>
      <c r="F2459" s="52"/>
      <c r="G2459" s="52"/>
      <c r="H2459" s="52"/>
    </row>
    <row r="2460" spans="1:8" ht="15.75">
      <c r="A2460" s="124">
        <v>42976</v>
      </c>
      <c r="B2460" s="125">
        <v>47.5</v>
      </c>
      <c r="C2460" s="52"/>
      <c r="D2460" s="52"/>
      <c r="E2460" s="52"/>
      <c r="F2460" s="52"/>
      <c r="G2460" s="52"/>
      <c r="H2460" s="52"/>
    </row>
    <row r="2461" spans="1:8" ht="15.75">
      <c r="A2461" s="124">
        <v>42977</v>
      </c>
      <c r="B2461" s="125">
        <v>47.49</v>
      </c>
      <c r="C2461" s="52"/>
      <c r="D2461" s="52"/>
      <c r="E2461" s="52"/>
      <c r="F2461" s="52"/>
      <c r="G2461" s="52"/>
      <c r="H2461" s="52"/>
    </row>
    <row r="2462" spans="1:8" ht="15.75">
      <c r="A2462" s="124">
        <v>42978</v>
      </c>
      <c r="B2462" s="125">
        <v>47.47</v>
      </c>
      <c r="C2462" s="52"/>
      <c r="D2462" s="52"/>
      <c r="E2462" s="52"/>
      <c r="F2462" s="52"/>
      <c r="G2462" s="52"/>
      <c r="H2462" s="52"/>
    </row>
    <row r="2463" spans="1:8" ht="15.75">
      <c r="A2463" s="124">
        <v>42979</v>
      </c>
      <c r="B2463" s="125">
        <v>47.69</v>
      </c>
      <c r="C2463" s="52"/>
      <c r="D2463" s="52"/>
      <c r="E2463" s="52"/>
      <c r="F2463" s="52"/>
      <c r="G2463" s="52"/>
      <c r="H2463" s="52"/>
    </row>
    <row r="2464" spans="1:8" ht="15.75">
      <c r="A2464" s="124">
        <v>42982</v>
      </c>
      <c r="B2464" s="125">
        <v>47.41</v>
      </c>
      <c r="C2464" s="52"/>
      <c r="D2464" s="52"/>
      <c r="E2464" s="52"/>
      <c r="F2464" s="52"/>
      <c r="G2464" s="52"/>
      <c r="H2464" s="52"/>
    </row>
    <row r="2465" spans="1:8" ht="15.75">
      <c r="A2465" s="124">
        <v>42983</v>
      </c>
      <c r="B2465" s="125">
        <v>47.65</v>
      </c>
      <c r="C2465" s="52"/>
      <c r="D2465" s="52"/>
      <c r="E2465" s="52"/>
      <c r="F2465" s="52"/>
      <c r="G2465" s="52"/>
      <c r="H2465" s="52"/>
    </row>
    <row r="2466" spans="1:8" ht="15.75">
      <c r="A2466" s="124">
        <v>42984</v>
      </c>
      <c r="B2466" s="125">
        <v>47.46</v>
      </c>
      <c r="C2466" s="52"/>
      <c r="D2466" s="52"/>
      <c r="E2466" s="52"/>
      <c r="F2466" s="52"/>
      <c r="G2466" s="52"/>
      <c r="H2466" s="52"/>
    </row>
    <row r="2467" spans="1:8" ht="15.75">
      <c r="A2467" s="124">
        <v>42985</v>
      </c>
      <c r="B2467" s="125">
        <v>47.48</v>
      </c>
      <c r="C2467" s="52"/>
      <c r="D2467" s="52"/>
      <c r="E2467" s="52"/>
      <c r="F2467" s="52"/>
      <c r="G2467" s="52"/>
      <c r="H2467" s="52"/>
    </row>
    <row r="2468" spans="1:8" ht="15.75">
      <c r="A2468" s="124">
        <v>42986</v>
      </c>
      <c r="B2468" s="125">
        <v>47.55</v>
      </c>
      <c r="C2468" s="52"/>
      <c r="D2468" s="52"/>
      <c r="E2468" s="52"/>
      <c r="F2468" s="52"/>
      <c r="G2468" s="52"/>
      <c r="H2468" s="52"/>
    </row>
    <row r="2469" spans="1:8" ht="15.75">
      <c r="A2469" s="124">
        <v>42989</v>
      </c>
      <c r="B2469" s="125">
        <v>47.3</v>
      </c>
      <c r="C2469" s="52"/>
      <c r="D2469" s="52"/>
      <c r="E2469" s="52"/>
      <c r="F2469" s="52"/>
      <c r="G2469" s="52"/>
      <c r="H2469" s="52"/>
    </row>
    <row r="2470" spans="1:8" ht="15.75">
      <c r="A2470" s="124">
        <v>42990</v>
      </c>
      <c r="B2470" s="125">
        <v>47.43</v>
      </c>
      <c r="C2470" s="52"/>
      <c r="D2470" s="52"/>
      <c r="E2470" s="52"/>
      <c r="F2470" s="52"/>
      <c r="G2470" s="52"/>
      <c r="H2470" s="52"/>
    </row>
    <row r="2471" spans="1:8" ht="15.75">
      <c r="A2471" s="124">
        <v>42991</v>
      </c>
      <c r="B2471" s="125">
        <v>47.45</v>
      </c>
      <c r="C2471" s="52"/>
      <c r="D2471" s="52"/>
      <c r="E2471" s="52"/>
      <c r="F2471" s="52"/>
      <c r="G2471" s="52"/>
      <c r="H2471" s="52"/>
    </row>
    <row r="2472" spans="1:8" ht="15.75">
      <c r="A2472" s="124">
        <v>42992</v>
      </c>
      <c r="B2472" s="125">
        <v>47.54</v>
      </c>
      <c r="C2472" s="52"/>
      <c r="D2472" s="52"/>
      <c r="E2472" s="52"/>
      <c r="F2472" s="52"/>
      <c r="G2472" s="52"/>
      <c r="H2472" s="52"/>
    </row>
    <row r="2473" spans="1:8" ht="15.75">
      <c r="A2473" s="124">
        <v>42993</v>
      </c>
      <c r="B2473" s="125">
        <v>47.42</v>
      </c>
      <c r="C2473" s="52"/>
      <c r="D2473" s="52"/>
      <c r="E2473" s="52"/>
      <c r="F2473" s="52"/>
      <c r="G2473" s="52"/>
      <c r="H2473" s="52"/>
    </row>
    <row r="2474" spans="1:8" ht="15.75">
      <c r="A2474" s="124">
        <v>42996</v>
      </c>
      <c r="B2474" s="125">
        <v>47.57</v>
      </c>
      <c r="C2474" s="52"/>
      <c r="D2474" s="52"/>
      <c r="E2474" s="52"/>
      <c r="F2474" s="52"/>
      <c r="G2474" s="52"/>
      <c r="H2474" s="52"/>
    </row>
    <row r="2475" spans="1:8" ht="15.75">
      <c r="A2475" s="124">
        <v>42997</v>
      </c>
      <c r="B2475" s="125">
        <v>47.63</v>
      </c>
      <c r="C2475" s="52"/>
      <c r="D2475" s="52"/>
      <c r="E2475" s="52"/>
      <c r="F2475" s="52"/>
      <c r="G2475" s="52"/>
      <c r="H2475" s="52"/>
    </row>
    <row r="2476" spans="1:8" ht="15.75">
      <c r="A2476" s="124">
        <v>42998</v>
      </c>
      <c r="B2476" s="125">
        <v>47.59</v>
      </c>
      <c r="C2476" s="52"/>
      <c r="D2476" s="52"/>
      <c r="E2476" s="52"/>
      <c r="F2476" s="52"/>
      <c r="G2476" s="52"/>
      <c r="H2476" s="52"/>
    </row>
    <row r="2477" spans="1:8" ht="15.75">
      <c r="A2477" s="124">
        <v>42999</v>
      </c>
      <c r="B2477" s="125">
        <v>47.64</v>
      </c>
      <c r="C2477" s="52"/>
      <c r="D2477" s="52"/>
      <c r="E2477" s="52"/>
      <c r="F2477" s="52"/>
      <c r="G2477" s="52"/>
      <c r="H2477" s="52"/>
    </row>
    <row r="2478" spans="1:8" ht="15.75">
      <c r="A2478" s="124">
        <v>43000</v>
      </c>
      <c r="B2478" s="125">
        <v>47.51</v>
      </c>
      <c r="C2478" s="52"/>
      <c r="D2478" s="52"/>
      <c r="E2478" s="52"/>
      <c r="F2478" s="52"/>
      <c r="G2478" s="52"/>
      <c r="H2478" s="52"/>
    </row>
    <row r="2479" spans="1:8" ht="15.75">
      <c r="A2479" s="124">
        <v>43003</v>
      </c>
      <c r="B2479" s="125">
        <v>47.5</v>
      </c>
      <c r="C2479" s="52"/>
      <c r="D2479" s="52"/>
      <c r="E2479" s="52"/>
      <c r="F2479" s="52"/>
      <c r="G2479" s="52"/>
      <c r="H2479" s="52"/>
    </row>
    <row r="2480" spans="1:8" ht="15.75">
      <c r="A2480" s="124">
        <v>43004</v>
      </c>
      <c r="B2480" s="125">
        <v>47.46</v>
      </c>
      <c r="C2480" s="52"/>
      <c r="D2480" s="52"/>
      <c r="E2480" s="52"/>
      <c r="F2480" s="52"/>
      <c r="G2480" s="52"/>
      <c r="H2480" s="52"/>
    </row>
    <row r="2481" spans="1:8" ht="15.75">
      <c r="A2481" s="124">
        <v>43005</v>
      </c>
      <c r="B2481" s="125">
        <v>47.45</v>
      </c>
      <c r="C2481" s="52"/>
      <c r="D2481" s="52"/>
      <c r="E2481" s="52"/>
      <c r="F2481" s="52"/>
      <c r="G2481" s="52"/>
      <c r="H2481" s="52"/>
    </row>
    <row r="2482" spans="1:8" ht="15.75">
      <c r="A2482" s="124">
        <v>43006</v>
      </c>
      <c r="B2482" s="125">
        <v>47.46</v>
      </c>
      <c r="C2482" s="52"/>
      <c r="D2482" s="52"/>
      <c r="E2482" s="52"/>
      <c r="F2482" s="52"/>
      <c r="G2482" s="52"/>
      <c r="H2482" s="52"/>
    </row>
    <row r="2483" spans="1:8" ht="15.75">
      <c r="A2483" s="124">
        <v>43007</v>
      </c>
      <c r="B2483" s="125">
        <v>47.33</v>
      </c>
      <c r="C2483" s="52"/>
      <c r="D2483" s="52"/>
      <c r="E2483" s="52"/>
      <c r="F2483" s="52"/>
      <c r="G2483" s="52"/>
      <c r="H2483" s="52"/>
    </row>
    <row r="2484" spans="1:8" ht="15.75">
      <c r="A2484" s="124">
        <v>43010</v>
      </c>
      <c r="B2484" s="125">
        <v>47.29</v>
      </c>
      <c r="C2484" s="52"/>
      <c r="D2484" s="52"/>
      <c r="E2484" s="52"/>
      <c r="F2484" s="52"/>
      <c r="G2484" s="52"/>
      <c r="H2484" s="52"/>
    </row>
    <row r="2485" spans="1:8" ht="15.75">
      <c r="A2485" s="124">
        <v>43012</v>
      </c>
      <c r="B2485" s="125">
        <v>47.16</v>
      </c>
      <c r="C2485" s="52"/>
      <c r="D2485" s="52"/>
      <c r="E2485" s="52"/>
      <c r="F2485" s="52"/>
      <c r="G2485" s="52"/>
      <c r="H2485" s="52"/>
    </row>
    <row r="2486" spans="1:8" ht="15.75">
      <c r="A2486" s="124">
        <v>43013</v>
      </c>
      <c r="B2486" s="125">
        <v>47.4</v>
      </c>
      <c r="C2486" s="52"/>
      <c r="D2486" s="52"/>
      <c r="E2486" s="52"/>
      <c r="F2486" s="52"/>
      <c r="G2486" s="52"/>
      <c r="H2486" s="52"/>
    </row>
    <row r="2487" spans="1:8" ht="15.75">
      <c r="A2487" s="124">
        <v>43014</v>
      </c>
      <c r="B2487" s="125">
        <v>47.13</v>
      </c>
      <c r="C2487" s="52"/>
      <c r="D2487" s="52"/>
      <c r="E2487" s="52"/>
      <c r="F2487" s="52"/>
      <c r="G2487" s="52"/>
      <c r="H2487" s="52"/>
    </row>
    <row r="2488" spans="1:8" ht="15.75">
      <c r="A2488" s="124">
        <v>43017</v>
      </c>
      <c r="B2488" s="125">
        <v>47.11</v>
      </c>
      <c r="C2488" s="52"/>
      <c r="D2488" s="52"/>
      <c r="E2488" s="52"/>
      <c r="F2488" s="52"/>
      <c r="G2488" s="52"/>
      <c r="H2488" s="52"/>
    </row>
    <row r="2489" spans="1:8" ht="15.75">
      <c r="A2489" s="124">
        <v>43018</v>
      </c>
      <c r="B2489" s="125">
        <v>46.88</v>
      </c>
      <c r="C2489" s="52"/>
      <c r="D2489" s="52"/>
      <c r="E2489" s="52"/>
      <c r="F2489" s="52"/>
      <c r="G2489" s="52"/>
      <c r="H2489" s="52"/>
    </row>
    <row r="2490" spans="1:8" ht="15.75">
      <c r="A2490" s="124">
        <v>43019</v>
      </c>
      <c r="B2490" s="125">
        <v>46.83</v>
      </c>
      <c r="C2490" s="52"/>
      <c r="D2490" s="52"/>
      <c r="E2490" s="52"/>
      <c r="F2490" s="52"/>
      <c r="G2490" s="52"/>
      <c r="H2490" s="52"/>
    </row>
    <row r="2491" spans="1:8" ht="15.75">
      <c r="A2491" s="124">
        <v>43020</v>
      </c>
      <c r="B2491" s="125">
        <v>46.91</v>
      </c>
      <c r="C2491" s="52"/>
      <c r="D2491" s="52"/>
      <c r="E2491" s="52"/>
      <c r="F2491" s="52"/>
      <c r="G2491" s="52"/>
      <c r="H2491" s="52"/>
    </row>
    <row r="2492" spans="1:8" ht="15.75">
      <c r="A2492" s="124">
        <v>43021</v>
      </c>
      <c r="B2492" s="125">
        <v>47.06</v>
      </c>
      <c r="C2492" s="52"/>
      <c r="D2492" s="52"/>
      <c r="E2492" s="52"/>
      <c r="F2492" s="52"/>
      <c r="G2492" s="52"/>
      <c r="H2492" s="52"/>
    </row>
    <row r="2493" spans="1:8" ht="15.75">
      <c r="A2493" s="124">
        <v>43024</v>
      </c>
      <c r="B2493" s="125">
        <v>47.1</v>
      </c>
      <c r="C2493" s="52"/>
      <c r="D2493" s="52"/>
      <c r="E2493" s="52"/>
      <c r="F2493" s="52"/>
      <c r="G2493" s="52"/>
      <c r="H2493" s="52"/>
    </row>
    <row r="2494" spans="1:8" ht="15.75">
      <c r="A2494" s="124">
        <v>43025</v>
      </c>
      <c r="B2494" s="125">
        <v>47.06</v>
      </c>
      <c r="C2494" s="52"/>
      <c r="D2494" s="52"/>
      <c r="E2494" s="52"/>
      <c r="F2494" s="52"/>
      <c r="G2494" s="52"/>
      <c r="H2494" s="52"/>
    </row>
    <row r="2495" spans="1:8" ht="15.75">
      <c r="A2495" s="124">
        <v>43026</v>
      </c>
      <c r="B2495" s="125">
        <v>47.22</v>
      </c>
      <c r="C2495" s="52"/>
      <c r="D2495" s="52"/>
      <c r="E2495" s="52"/>
      <c r="F2495" s="52"/>
      <c r="G2495" s="52"/>
      <c r="H2495" s="52"/>
    </row>
    <row r="2496" spans="1:8" ht="15.75">
      <c r="A2496" s="124">
        <v>43027</v>
      </c>
      <c r="B2496" s="125">
        <v>47.27</v>
      </c>
      <c r="C2496" s="52"/>
      <c r="D2496" s="52"/>
      <c r="E2496" s="52"/>
      <c r="F2496" s="52"/>
      <c r="G2496" s="52"/>
      <c r="H2496" s="52"/>
    </row>
    <row r="2497" spans="1:8" ht="15.75">
      <c r="A2497" s="124">
        <v>43028</v>
      </c>
      <c r="B2497" s="125">
        <v>47.17</v>
      </c>
      <c r="C2497" s="52"/>
      <c r="D2497" s="52"/>
      <c r="E2497" s="52"/>
      <c r="F2497" s="52"/>
      <c r="G2497" s="52"/>
      <c r="H2497" s="52"/>
    </row>
    <row r="2498" spans="1:8" ht="15.75">
      <c r="A2498" s="124">
        <v>43031</v>
      </c>
      <c r="B2498" s="125">
        <v>47.18</v>
      </c>
      <c r="C2498" s="52"/>
      <c r="D2498" s="52"/>
      <c r="E2498" s="52"/>
      <c r="F2498" s="52"/>
      <c r="G2498" s="52"/>
      <c r="H2498" s="52"/>
    </row>
    <row r="2499" spans="1:8" ht="15.75">
      <c r="A2499" s="124">
        <v>43032</v>
      </c>
      <c r="B2499" s="125">
        <v>47.21</v>
      </c>
      <c r="C2499" s="52"/>
      <c r="D2499" s="52"/>
      <c r="E2499" s="52"/>
      <c r="F2499" s="52"/>
      <c r="G2499" s="52"/>
      <c r="H2499" s="52"/>
    </row>
    <row r="2500" spans="1:8" ht="15.75">
      <c r="A2500" s="124">
        <v>43033</v>
      </c>
      <c r="B2500" s="125">
        <v>47.35</v>
      </c>
      <c r="C2500" s="52"/>
      <c r="D2500" s="52"/>
      <c r="E2500" s="52"/>
      <c r="F2500" s="52"/>
      <c r="G2500" s="52"/>
      <c r="H2500" s="52"/>
    </row>
    <row r="2501" spans="1:8" ht="15.75">
      <c r="A2501" s="124">
        <v>43034</v>
      </c>
      <c r="B2501" s="125">
        <v>47.52</v>
      </c>
      <c r="C2501" s="52"/>
      <c r="D2501" s="52"/>
      <c r="E2501" s="52"/>
      <c r="F2501" s="52"/>
      <c r="G2501" s="52"/>
      <c r="H2501" s="52"/>
    </row>
    <row r="2502" spans="1:8" ht="15.75">
      <c r="A2502" s="124">
        <v>43035</v>
      </c>
      <c r="B2502" s="125">
        <v>47.6</v>
      </c>
      <c r="C2502" s="52"/>
      <c r="D2502" s="52"/>
      <c r="E2502" s="52"/>
      <c r="F2502" s="52"/>
      <c r="G2502" s="52"/>
      <c r="H2502" s="52"/>
    </row>
    <row r="2503" spans="1:8" ht="15.75">
      <c r="A2503" s="124">
        <v>43038</v>
      </c>
      <c r="B2503" s="125">
        <v>47.56</v>
      </c>
      <c r="C2503" s="52"/>
      <c r="D2503" s="52"/>
      <c r="E2503" s="52"/>
      <c r="F2503" s="52"/>
      <c r="G2503" s="52"/>
      <c r="H2503" s="52"/>
    </row>
    <row r="2504" spans="1:8" ht="15.75">
      <c r="A2504" s="124">
        <v>43040</v>
      </c>
      <c r="B2504" s="125">
        <v>47.55</v>
      </c>
      <c r="C2504" s="52"/>
      <c r="D2504" s="52"/>
      <c r="E2504" s="52"/>
      <c r="F2504" s="52"/>
      <c r="G2504" s="52"/>
      <c r="H2504" s="52"/>
    </row>
    <row r="2505" spans="1:8" ht="15.75">
      <c r="A2505" s="124">
        <v>43041</v>
      </c>
      <c r="B2505" s="125">
        <v>47.59</v>
      </c>
      <c r="C2505" s="52"/>
      <c r="D2505" s="52"/>
      <c r="E2505" s="52"/>
      <c r="F2505" s="52"/>
      <c r="G2505" s="52"/>
      <c r="H2505" s="52"/>
    </row>
    <row r="2506" spans="1:8" ht="15.75">
      <c r="A2506" s="124">
        <v>43042</v>
      </c>
      <c r="B2506" s="125">
        <v>47.8</v>
      </c>
      <c r="C2506" s="52"/>
      <c r="D2506" s="52"/>
      <c r="E2506" s="52"/>
      <c r="F2506" s="52"/>
      <c r="G2506" s="52"/>
      <c r="H2506" s="52"/>
    </row>
    <row r="2507" spans="1:8" ht="15.75">
      <c r="A2507" s="124">
        <v>43045</v>
      </c>
      <c r="B2507" s="125">
        <v>47.9</v>
      </c>
      <c r="C2507" s="52"/>
      <c r="D2507" s="52"/>
      <c r="E2507" s="52"/>
      <c r="F2507" s="52"/>
      <c r="G2507" s="52"/>
      <c r="H2507" s="52"/>
    </row>
    <row r="2508" spans="1:8" ht="15.75">
      <c r="A2508" s="124">
        <v>43046</v>
      </c>
      <c r="B2508" s="125">
        <v>47.8</v>
      </c>
      <c r="C2508" s="52"/>
      <c r="D2508" s="52"/>
      <c r="E2508" s="52"/>
      <c r="F2508" s="52"/>
      <c r="G2508" s="52"/>
      <c r="H2508" s="52"/>
    </row>
    <row r="2509" spans="1:8" ht="15.75">
      <c r="A2509" s="124">
        <v>43047</v>
      </c>
      <c r="B2509" s="125">
        <v>47.85</v>
      </c>
      <c r="C2509" s="52"/>
      <c r="D2509" s="52"/>
      <c r="E2509" s="52"/>
      <c r="F2509" s="52"/>
      <c r="G2509" s="52"/>
      <c r="H2509" s="52"/>
    </row>
    <row r="2510" spans="1:8" ht="15.75">
      <c r="A2510" s="124">
        <v>43048</v>
      </c>
      <c r="B2510" s="125">
        <v>47.76</v>
      </c>
      <c r="C2510" s="52"/>
      <c r="D2510" s="52"/>
      <c r="E2510" s="52"/>
      <c r="F2510" s="52"/>
      <c r="G2510" s="52"/>
      <c r="H2510" s="52"/>
    </row>
    <row r="2511" spans="1:8" ht="15.75">
      <c r="A2511" s="124">
        <v>43049</v>
      </c>
      <c r="B2511" s="125">
        <v>47.55</v>
      </c>
      <c r="C2511" s="52"/>
      <c r="D2511" s="52"/>
      <c r="E2511" s="52"/>
      <c r="F2511" s="52"/>
      <c r="G2511" s="52"/>
      <c r="H2511" s="52"/>
    </row>
    <row r="2512" spans="1:8" ht="15.75">
      <c r="A2512" s="124">
        <v>43052</v>
      </c>
      <c r="B2512" s="125">
        <v>47.48</v>
      </c>
      <c r="C2512" s="52"/>
      <c r="D2512" s="52"/>
      <c r="E2512" s="52"/>
      <c r="F2512" s="52"/>
      <c r="G2512" s="52"/>
      <c r="H2512" s="52"/>
    </row>
    <row r="2513" spans="1:8" ht="15.75">
      <c r="A2513" s="124">
        <v>43053</v>
      </c>
      <c r="B2513" s="125">
        <v>47.42</v>
      </c>
      <c r="C2513" s="52"/>
      <c r="D2513" s="52"/>
      <c r="E2513" s="52"/>
      <c r="F2513" s="52"/>
      <c r="G2513" s="52"/>
      <c r="H2513" s="52"/>
    </row>
    <row r="2514" spans="1:8" ht="15.75">
      <c r="A2514" s="124">
        <v>43054</v>
      </c>
      <c r="B2514" s="125">
        <v>47.53</v>
      </c>
      <c r="C2514" s="52"/>
      <c r="D2514" s="52"/>
      <c r="E2514" s="52"/>
      <c r="F2514" s="52"/>
      <c r="G2514" s="52"/>
      <c r="H2514" s="52"/>
    </row>
    <row r="2515" spans="1:8" ht="15.75">
      <c r="A2515" s="124">
        <v>43055</v>
      </c>
      <c r="B2515" s="125">
        <v>47.55</v>
      </c>
      <c r="C2515" s="52"/>
      <c r="D2515" s="52"/>
      <c r="E2515" s="52"/>
      <c r="F2515" s="52"/>
      <c r="G2515" s="52"/>
      <c r="H2515" s="52"/>
    </row>
    <row r="2516" spans="1:8" ht="15.75">
      <c r="A2516" s="124">
        <v>43056</v>
      </c>
      <c r="B2516" s="125">
        <v>47.56</v>
      </c>
      <c r="C2516" s="52"/>
      <c r="D2516" s="52"/>
      <c r="E2516" s="52"/>
      <c r="F2516" s="52"/>
      <c r="G2516" s="52"/>
      <c r="H2516" s="52"/>
    </row>
    <row r="2517" spans="1:8" ht="15.75">
      <c r="A2517" s="124">
        <v>43059</v>
      </c>
      <c r="B2517" s="125">
        <v>47.57</v>
      </c>
      <c r="C2517" s="52"/>
      <c r="D2517" s="52"/>
      <c r="E2517" s="52"/>
      <c r="F2517" s="52"/>
      <c r="G2517" s="52"/>
      <c r="H2517" s="52"/>
    </row>
    <row r="2518" spans="1:8" ht="15.75">
      <c r="A2518" s="124">
        <v>43060</v>
      </c>
      <c r="B2518" s="125">
        <v>47.6</v>
      </c>
      <c r="C2518" s="52"/>
      <c r="D2518" s="52"/>
      <c r="E2518" s="52"/>
      <c r="F2518" s="52"/>
      <c r="G2518" s="52"/>
      <c r="H2518" s="52"/>
    </row>
    <row r="2519" spans="1:8" ht="15.75">
      <c r="A2519" s="124">
        <v>43061</v>
      </c>
      <c r="B2519" s="125">
        <v>47.61</v>
      </c>
      <c r="C2519" s="52"/>
      <c r="D2519" s="52"/>
      <c r="E2519" s="52"/>
      <c r="F2519" s="52"/>
      <c r="G2519" s="52"/>
      <c r="H2519" s="52"/>
    </row>
    <row r="2520" spans="1:8" ht="15.75">
      <c r="A2520" s="124">
        <v>43062</v>
      </c>
      <c r="B2520" s="125">
        <v>47.51</v>
      </c>
      <c r="C2520" s="52"/>
      <c r="D2520" s="52"/>
      <c r="E2520" s="52"/>
      <c r="F2520" s="52"/>
      <c r="G2520" s="52"/>
      <c r="H2520" s="52"/>
    </row>
    <row r="2521" spans="1:8" ht="15.75">
      <c r="A2521" s="124">
        <v>43063</v>
      </c>
      <c r="B2521" s="125">
        <v>47.56</v>
      </c>
      <c r="C2521" s="52"/>
      <c r="D2521" s="52"/>
      <c r="E2521" s="52"/>
      <c r="F2521" s="52"/>
      <c r="G2521" s="52"/>
      <c r="H2521" s="52"/>
    </row>
    <row r="2522" spans="1:8" ht="15.75">
      <c r="A2522" s="124">
        <v>43066</v>
      </c>
      <c r="B2522" s="125">
        <v>47.46</v>
      </c>
      <c r="C2522" s="52"/>
      <c r="D2522" s="52"/>
      <c r="E2522" s="52"/>
      <c r="F2522" s="52"/>
      <c r="G2522" s="52"/>
      <c r="H2522" s="52"/>
    </row>
    <row r="2523" spans="1:8" ht="15.75">
      <c r="A2523" s="124">
        <v>43067</v>
      </c>
      <c r="B2523" s="125">
        <v>47.61</v>
      </c>
      <c r="C2523" s="52"/>
      <c r="D2523" s="52"/>
      <c r="E2523" s="52"/>
      <c r="F2523" s="52"/>
      <c r="G2523" s="52"/>
      <c r="H2523" s="52"/>
    </row>
    <row r="2524" spans="1:8" ht="15.75">
      <c r="A2524" s="124">
        <v>43068</v>
      </c>
      <c r="B2524" s="125">
        <v>47.6</v>
      </c>
      <c r="C2524" s="52"/>
      <c r="D2524" s="52"/>
      <c r="E2524" s="52"/>
      <c r="F2524" s="52"/>
      <c r="G2524" s="52"/>
      <c r="H2524" s="52"/>
    </row>
    <row r="2525" spans="1:8" ht="15.75">
      <c r="A2525" s="124">
        <v>43069</v>
      </c>
      <c r="B2525" s="125">
        <v>47.46</v>
      </c>
      <c r="C2525" s="52"/>
      <c r="D2525" s="52"/>
      <c r="E2525" s="52"/>
      <c r="F2525" s="52"/>
      <c r="G2525" s="52"/>
      <c r="H2525" s="52"/>
    </row>
    <row r="2526" spans="1:8" ht="15.75">
      <c r="A2526" s="124">
        <v>43070</v>
      </c>
      <c r="B2526" s="125">
        <v>47.61</v>
      </c>
      <c r="C2526" s="52"/>
      <c r="D2526" s="52"/>
      <c r="E2526" s="52"/>
      <c r="F2526" s="52"/>
      <c r="G2526" s="52"/>
      <c r="H2526" s="52"/>
    </row>
    <row r="2527" spans="1:8" ht="15.75">
      <c r="A2527" s="124">
        <v>43073</v>
      </c>
      <c r="B2527" s="125">
        <v>47.56</v>
      </c>
      <c r="C2527" s="52"/>
      <c r="D2527" s="52"/>
      <c r="E2527" s="52"/>
      <c r="F2527" s="52"/>
      <c r="G2527" s="52"/>
      <c r="H2527" s="52"/>
    </row>
    <row r="2528" spans="1:8" ht="15.75">
      <c r="A2528" s="124">
        <v>43074</v>
      </c>
      <c r="B2528" s="125">
        <v>47.6</v>
      </c>
      <c r="C2528" s="52"/>
      <c r="D2528" s="52"/>
      <c r="E2528" s="52"/>
      <c r="F2528" s="52"/>
      <c r="G2528" s="52"/>
      <c r="H2528" s="52"/>
    </row>
    <row r="2529" spans="1:8" ht="15.75">
      <c r="A2529" s="124">
        <v>43075</v>
      </c>
      <c r="B2529" s="125">
        <v>47.61</v>
      </c>
      <c r="C2529" s="52"/>
      <c r="D2529" s="52"/>
      <c r="E2529" s="52"/>
      <c r="F2529" s="52"/>
      <c r="G2529" s="52"/>
      <c r="H2529" s="52"/>
    </row>
    <row r="2530" spans="1:8" ht="15.75">
      <c r="A2530" s="124">
        <v>43076</v>
      </c>
      <c r="B2530" s="125">
        <v>47.7</v>
      </c>
      <c r="C2530" s="52"/>
      <c r="D2530" s="52"/>
      <c r="E2530" s="52"/>
      <c r="F2530" s="52"/>
      <c r="G2530" s="52"/>
      <c r="H2530" s="52"/>
    </row>
    <row r="2531" spans="1:8" ht="15.75">
      <c r="A2531" s="124">
        <v>43077</v>
      </c>
      <c r="B2531" s="125">
        <v>47.71</v>
      </c>
      <c r="C2531" s="52"/>
      <c r="D2531" s="52"/>
      <c r="E2531" s="52"/>
      <c r="F2531" s="52"/>
      <c r="G2531" s="52"/>
      <c r="H2531" s="52"/>
    </row>
    <row r="2532" spans="1:8" ht="15.75">
      <c r="A2532" s="124">
        <v>43080</v>
      </c>
      <c r="B2532" s="125">
        <v>47.45</v>
      </c>
      <c r="C2532" s="52"/>
      <c r="D2532" s="52"/>
      <c r="E2532" s="52"/>
      <c r="F2532" s="52"/>
      <c r="G2532" s="52"/>
      <c r="H2532" s="52"/>
    </row>
    <row r="2533" spans="1:8" ht="15.75">
      <c r="A2533" s="124">
        <v>43081</v>
      </c>
      <c r="B2533" s="125">
        <v>47.36</v>
      </c>
      <c r="C2533" s="52"/>
      <c r="D2533" s="52"/>
      <c r="E2533" s="52"/>
      <c r="F2533" s="52"/>
      <c r="G2533" s="52"/>
      <c r="H2533" s="52"/>
    </row>
    <row r="2534" spans="1:8" ht="15.75">
      <c r="A2534" s="124">
        <v>43082</v>
      </c>
      <c r="B2534" s="125">
        <v>47.55</v>
      </c>
      <c r="C2534" s="52"/>
      <c r="D2534" s="52"/>
      <c r="E2534" s="52"/>
      <c r="F2534" s="52"/>
      <c r="G2534" s="52"/>
      <c r="H2534" s="52"/>
    </row>
    <row r="2535" spans="1:8" ht="15.75">
      <c r="A2535" s="124">
        <v>43083</v>
      </c>
      <c r="B2535" s="125">
        <v>47.36</v>
      </c>
      <c r="C2535" s="52"/>
      <c r="D2535" s="52"/>
      <c r="E2535" s="52"/>
      <c r="F2535" s="52"/>
      <c r="G2535" s="52"/>
      <c r="H2535" s="52"/>
    </row>
    <row r="2536" spans="1:8" ht="15.75">
      <c r="A2536" s="124">
        <v>43084</v>
      </c>
      <c r="B2536" s="125">
        <v>47.53</v>
      </c>
      <c r="C2536" s="52"/>
      <c r="D2536" s="52"/>
      <c r="E2536" s="52"/>
      <c r="F2536" s="52"/>
      <c r="G2536" s="52"/>
      <c r="H2536" s="52"/>
    </row>
    <row r="2537" spans="1:8" ht="15.75">
      <c r="A2537" s="124">
        <v>43087</v>
      </c>
      <c r="B2537" s="125">
        <v>47.41</v>
      </c>
      <c r="C2537" s="52"/>
      <c r="D2537" s="52"/>
      <c r="E2537" s="52"/>
      <c r="F2537" s="52"/>
      <c r="G2537" s="52"/>
      <c r="H2537" s="52"/>
    </row>
    <row r="2538" spans="1:8" ht="15.75">
      <c r="A2538" s="124">
        <v>43088</v>
      </c>
      <c r="B2538" s="125">
        <v>47.26</v>
      </c>
      <c r="C2538" s="52"/>
      <c r="D2538" s="52"/>
      <c r="E2538" s="52"/>
      <c r="F2538" s="52"/>
      <c r="G2538" s="52"/>
      <c r="H2538" s="52"/>
    </row>
    <row r="2539" spans="1:8" ht="15.75">
      <c r="A2539" s="124">
        <v>43089</v>
      </c>
      <c r="B2539" s="125">
        <v>47.2</v>
      </c>
      <c r="C2539" s="52"/>
      <c r="D2539" s="52"/>
      <c r="E2539" s="52"/>
      <c r="F2539" s="52"/>
      <c r="G2539" s="52"/>
      <c r="H2539" s="52"/>
    </row>
    <row r="2540" spans="1:8" ht="15.75">
      <c r="A2540" s="124">
        <v>43090</v>
      </c>
      <c r="B2540" s="125">
        <v>46.82</v>
      </c>
      <c r="C2540" s="52"/>
      <c r="D2540" s="52"/>
      <c r="E2540" s="52"/>
      <c r="F2540" s="52"/>
      <c r="G2540" s="52"/>
      <c r="H2540" s="52"/>
    </row>
    <row r="2541" spans="1:8" ht="15.75">
      <c r="A2541" s="124">
        <v>43091</v>
      </c>
      <c r="B2541" s="125">
        <v>46.11</v>
      </c>
      <c r="C2541" s="52"/>
      <c r="D2541" s="52"/>
      <c r="E2541" s="52"/>
      <c r="F2541" s="52"/>
      <c r="G2541" s="52"/>
      <c r="H2541" s="52"/>
    </row>
    <row r="2542" spans="1:8" ht="15.75">
      <c r="A2542" s="124">
        <v>43096</v>
      </c>
      <c r="B2542" s="125">
        <v>46.3</v>
      </c>
      <c r="C2542" s="52"/>
      <c r="D2542" s="52"/>
      <c r="E2542" s="52"/>
      <c r="F2542" s="52"/>
      <c r="G2542" s="52"/>
      <c r="H2542" s="52"/>
    </row>
    <row r="2543" spans="1:8" ht="15.75">
      <c r="A2543" s="124">
        <v>43097</v>
      </c>
      <c r="B2543" s="125">
        <v>46.45</v>
      </c>
      <c r="C2543" s="52"/>
      <c r="D2543" s="52"/>
      <c r="E2543" s="52"/>
      <c r="F2543" s="52"/>
      <c r="G2543" s="52"/>
      <c r="H2543" s="52"/>
    </row>
    <row r="2544" spans="1:8" ht="15.75">
      <c r="A2544" s="124">
        <v>43098</v>
      </c>
      <c r="B2544" s="125">
        <v>46.42</v>
      </c>
      <c r="C2544" s="52"/>
      <c r="D2544" s="52"/>
      <c r="E2544" s="52"/>
      <c r="F2544" s="52"/>
      <c r="G2544" s="52"/>
      <c r="H2544" s="52"/>
    </row>
    <row r="2545" spans="1:8" ht="15.75">
      <c r="A2545" s="124">
        <v>43102</v>
      </c>
      <c r="B2545" s="125">
        <v>46.6</v>
      </c>
      <c r="C2545" s="52"/>
      <c r="D2545" s="52"/>
      <c r="E2545" s="52"/>
      <c r="F2545" s="52"/>
      <c r="G2545" s="52"/>
      <c r="H2545" s="52"/>
    </row>
    <row r="2546" spans="1:8" ht="15.75">
      <c r="A2546" s="124">
        <v>43103</v>
      </c>
      <c r="B2546" s="125">
        <v>46.65</v>
      </c>
      <c r="C2546" s="52"/>
      <c r="D2546" s="52"/>
      <c r="E2546" s="52"/>
      <c r="F2546" s="52"/>
      <c r="G2546" s="52"/>
      <c r="H2546" s="52"/>
    </row>
    <row r="2547" spans="1:8" ht="15.75">
      <c r="A2547" s="124">
        <v>43104</v>
      </c>
      <c r="B2547" s="125">
        <v>46.95</v>
      </c>
      <c r="C2547" s="52"/>
      <c r="D2547" s="52"/>
      <c r="E2547" s="52"/>
      <c r="F2547" s="52"/>
      <c r="G2547" s="52"/>
      <c r="H2547" s="52"/>
    </row>
    <row r="2548" spans="1:8" ht="15.75">
      <c r="A2548" s="124">
        <v>43105</v>
      </c>
      <c r="B2548" s="125">
        <v>46.75</v>
      </c>
      <c r="C2548" s="52"/>
      <c r="D2548" s="52"/>
      <c r="E2548" s="52"/>
      <c r="F2548" s="52"/>
      <c r="G2548" s="52"/>
      <c r="H2548" s="52"/>
    </row>
    <row r="2549" spans="1:8" ht="15.75">
      <c r="A2549" s="124">
        <v>43108</v>
      </c>
      <c r="B2549" s="125">
        <v>46.98</v>
      </c>
      <c r="C2549" s="52"/>
      <c r="D2549" s="52"/>
      <c r="E2549" s="52"/>
      <c r="F2549" s="52"/>
      <c r="G2549" s="52"/>
      <c r="H2549" s="52"/>
    </row>
    <row r="2550" spans="1:8" ht="15.75">
      <c r="A2550" s="124">
        <v>43109</v>
      </c>
      <c r="B2550" s="125">
        <v>46.73</v>
      </c>
      <c r="C2550" s="52"/>
      <c r="D2550" s="52"/>
      <c r="E2550" s="52"/>
      <c r="F2550" s="52"/>
      <c r="G2550" s="52"/>
      <c r="H2550" s="52"/>
    </row>
    <row r="2551" spans="1:8" ht="15.75">
      <c r="A2551" s="124">
        <v>43110</v>
      </c>
      <c r="B2551" s="125">
        <v>46.73</v>
      </c>
      <c r="C2551" s="52"/>
      <c r="D2551" s="52"/>
      <c r="E2551" s="52"/>
      <c r="F2551" s="52"/>
      <c r="G2551" s="52"/>
      <c r="H2551" s="52"/>
    </row>
    <row r="2552" spans="1:8" ht="15.75">
      <c r="A2552" s="124">
        <v>43111</v>
      </c>
      <c r="B2552" s="125">
        <v>46.66</v>
      </c>
      <c r="C2552" s="52"/>
      <c r="D2552" s="52"/>
      <c r="E2552" s="52"/>
      <c r="F2552" s="52"/>
      <c r="G2552" s="52"/>
      <c r="H2552" s="52"/>
    </row>
    <row r="2553" spans="1:8" ht="15.75">
      <c r="A2553" s="124">
        <v>43112</v>
      </c>
      <c r="B2553" s="125">
        <v>46.62</v>
      </c>
      <c r="C2553" s="52"/>
      <c r="D2553" s="52"/>
      <c r="E2553" s="52"/>
      <c r="F2553" s="52"/>
      <c r="G2553" s="52"/>
      <c r="H2553" s="52"/>
    </row>
    <row r="2554" spans="1:8" ht="15.75">
      <c r="A2554" s="124">
        <v>43115</v>
      </c>
      <c r="B2554" s="125">
        <v>46.61</v>
      </c>
      <c r="C2554" s="52"/>
      <c r="D2554" s="52"/>
      <c r="E2554" s="52"/>
      <c r="F2554" s="52"/>
      <c r="G2554" s="52"/>
      <c r="H2554" s="52"/>
    </row>
    <row r="2555" spans="1:8" ht="15.75">
      <c r="A2555" s="124">
        <v>43116</v>
      </c>
      <c r="B2555" s="125">
        <v>46.55</v>
      </c>
      <c r="C2555" s="52"/>
      <c r="D2555" s="52"/>
      <c r="E2555" s="52"/>
      <c r="F2555" s="52"/>
      <c r="G2555" s="52"/>
      <c r="H2555" s="52"/>
    </row>
    <row r="2556" spans="1:8" ht="15.75">
      <c r="A2556" s="124">
        <v>43117</v>
      </c>
      <c r="B2556" s="125">
        <v>46.43</v>
      </c>
      <c r="C2556" s="52"/>
      <c r="D2556" s="52"/>
      <c r="E2556" s="52"/>
      <c r="F2556" s="52"/>
      <c r="G2556" s="52"/>
      <c r="H2556" s="52"/>
    </row>
    <row r="2557" spans="1:8" ht="15.75">
      <c r="A2557" s="124">
        <v>43118</v>
      </c>
      <c r="B2557" s="125">
        <v>46.75</v>
      </c>
      <c r="C2557" s="52"/>
      <c r="D2557" s="52"/>
      <c r="E2557" s="52"/>
      <c r="F2557" s="52"/>
      <c r="G2557" s="52"/>
      <c r="H2557" s="52"/>
    </row>
    <row r="2558" spans="1:8" ht="15.75">
      <c r="A2558" s="124">
        <v>43119</v>
      </c>
      <c r="B2558" s="125">
        <v>46.46</v>
      </c>
      <c r="C2558" s="52"/>
      <c r="D2558" s="52"/>
      <c r="E2558" s="52"/>
      <c r="F2558" s="52"/>
      <c r="G2558" s="52"/>
      <c r="H2558" s="52"/>
    </row>
    <row r="2559" spans="1:8" ht="15.75">
      <c r="A2559" s="124">
        <v>43122</v>
      </c>
      <c r="B2559" s="125">
        <v>46.6</v>
      </c>
      <c r="C2559" s="52"/>
      <c r="D2559" s="52"/>
      <c r="E2559" s="52"/>
      <c r="F2559" s="52"/>
      <c r="G2559" s="52"/>
      <c r="H2559" s="52"/>
    </row>
    <row r="2560" spans="1:8" ht="15.75">
      <c r="A2560" s="124">
        <v>43123</v>
      </c>
      <c r="B2560" s="125">
        <v>46.6</v>
      </c>
      <c r="C2560" s="52"/>
      <c r="D2560" s="52"/>
      <c r="E2560" s="52"/>
      <c r="F2560" s="52"/>
      <c r="G2560" s="52"/>
      <c r="H2560" s="52"/>
    </row>
    <row r="2561" spans="1:8" ht="15.75">
      <c r="A2561" s="124">
        <v>43124</v>
      </c>
      <c r="B2561" s="125">
        <v>46.63</v>
      </c>
      <c r="C2561" s="52"/>
      <c r="D2561" s="52"/>
      <c r="E2561" s="52"/>
      <c r="F2561" s="52"/>
      <c r="G2561" s="52"/>
      <c r="H2561" s="52"/>
    </row>
    <row r="2562" spans="1:8" ht="15.75">
      <c r="A2562" s="124">
        <v>43125</v>
      </c>
      <c r="B2562" s="125">
        <v>46.66</v>
      </c>
      <c r="C2562" s="52"/>
      <c r="D2562" s="52"/>
      <c r="E2562" s="52"/>
      <c r="F2562" s="52"/>
      <c r="G2562" s="52"/>
      <c r="H2562" s="52"/>
    </row>
    <row r="2563" spans="1:8" ht="15.75">
      <c r="A2563" s="124">
        <v>43126</v>
      </c>
      <c r="B2563" s="125">
        <v>46.63</v>
      </c>
      <c r="C2563" s="52"/>
      <c r="D2563" s="52"/>
      <c r="E2563" s="52"/>
      <c r="F2563" s="52"/>
      <c r="G2563" s="52"/>
      <c r="H2563" s="52"/>
    </row>
    <row r="2564" spans="1:8" ht="15.75">
      <c r="A2564" s="124">
        <v>43129</v>
      </c>
      <c r="B2564" s="125">
        <v>46.9</v>
      </c>
      <c r="C2564" s="52"/>
      <c r="D2564" s="52"/>
      <c r="E2564" s="52"/>
      <c r="F2564" s="52"/>
      <c r="G2564" s="52"/>
      <c r="H2564" s="52"/>
    </row>
    <row r="2565" spans="1:8" ht="15.75">
      <c r="A2565" s="124">
        <v>43130</v>
      </c>
      <c r="B2565" s="125">
        <v>46.85</v>
      </c>
      <c r="C2565" s="52"/>
      <c r="D2565" s="52"/>
      <c r="E2565" s="52"/>
      <c r="F2565" s="52"/>
      <c r="G2565" s="52"/>
      <c r="H2565" s="52"/>
    </row>
    <row r="2566" spans="1:8" ht="15.75">
      <c r="A2566" s="124">
        <v>43131</v>
      </c>
      <c r="B2566" s="125">
        <v>46.66</v>
      </c>
      <c r="C2566" s="52"/>
      <c r="D2566" s="52"/>
      <c r="E2566" s="52"/>
      <c r="F2566" s="52"/>
      <c r="G2566" s="52"/>
      <c r="H2566" s="52"/>
    </row>
    <row r="2567" spans="1:8" ht="15.75">
      <c r="A2567" s="124">
        <v>43132</v>
      </c>
      <c r="B2567" s="125">
        <v>46.95</v>
      </c>
      <c r="C2567" s="52"/>
      <c r="D2567" s="52"/>
      <c r="E2567" s="52"/>
      <c r="F2567" s="52"/>
      <c r="G2567" s="52"/>
      <c r="H2567" s="52"/>
    </row>
    <row r="2568" spans="1:8" ht="15.75">
      <c r="A2568" s="124">
        <v>43133</v>
      </c>
      <c r="B2568" s="125">
        <v>46.6</v>
      </c>
      <c r="C2568" s="52"/>
      <c r="D2568" s="52"/>
      <c r="E2568" s="52"/>
      <c r="F2568" s="52"/>
      <c r="G2568" s="52"/>
      <c r="H2568" s="52"/>
    </row>
    <row r="2569" spans="1:8" ht="15.75">
      <c r="A2569" s="124">
        <v>43136</v>
      </c>
      <c r="B2569" s="125">
        <v>46.9</v>
      </c>
      <c r="C2569" s="52"/>
      <c r="D2569" s="52"/>
      <c r="E2569" s="52"/>
      <c r="F2569" s="52"/>
      <c r="G2569" s="52"/>
      <c r="H2569" s="52"/>
    </row>
    <row r="2570" spans="1:8" ht="15.75">
      <c r="A2570" s="124">
        <v>43137</v>
      </c>
      <c r="B2570" s="125">
        <v>46.81</v>
      </c>
      <c r="C2570" s="52"/>
      <c r="D2570" s="52"/>
      <c r="E2570" s="52"/>
      <c r="F2570" s="52"/>
      <c r="G2570" s="52"/>
      <c r="H2570" s="52"/>
    </row>
    <row r="2571" spans="1:8" ht="15.75">
      <c r="A2571" s="124">
        <v>43138</v>
      </c>
      <c r="B2571" s="125">
        <v>46.95</v>
      </c>
      <c r="C2571" s="52"/>
      <c r="D2571" s="52"/>
      <c r="E2571" s="52"/>
      <c r="F2571" s="52"/>
      <c r="G2571" s="52"/>
      <c r="H2571" s="52"/>
    </row>
    <row r="2572" spans="1:8" ht="15.75">
      <c r="A2572" s="124">
        <v>43139</v>
      </c>
      <c r="B2572" s="125">
        <v>46.88</v>
      </c>
      <c r="C2572" s="52"/>
      <c r="D2572" s="52"/>
      <c r="E2572" s="52"/>
      <c r="F2572" s="52"/>
      <c r="G2572" s="52"/>
      <c r="H2572" s="52"/>
    </row>
    <row r="2573" spans="1:8" ht="15.75">
      <c r="A2573" s="124">
        <v>43140</v>
      </c>
      <c r="B2573" s="125">
        <v>47.1</v>
      </c>
      <c r="C2573" s="52"/>
      <c r="D2573" s="52"/>
      <c r="E2573" s="52"/>
      <c r="F2573" s="52"/>
      <c r="G2573" s="52"/>
      <c r="H2573" s="52"/>
    </row>
    <row r="2574" spans="1:8" ht="15.75">
      <c r="A2574" s="124">
        <v>43143</v>
      </c>
      <c r="B2574" s="125">
        <v>46.88</v>
      </c>
      <c r="C2574" s="52"/>
      <c r="D2574" s="52"/>
      <c r="E2574" s="52"/>
      <c r="F2574" s="52"/>
      <c r="G2574" s="52"/>
      <c r="H2574" s="52"/>
    </row>
    <row r="2575" spans="1:8" ht="15.75">
      <c r="A2575" s="124">
        <v>43144</v>
      </c>
      <c r="B2575" s="125">
        <v>46.85</v>
      </c>
      <c r="C2575" s="52"/>
      <c r="D2575" s="52"/>
      <c r="E2575" s="52"/>
      <c r="F2575" s="52"/>
      <c r="G2575" s="52"/>
      <c r="H2575" s="52"/>
    </row>
    <row r="2576" spans="1:8" ht="15.75">
      <c r="A2576" s="124">
        <v>43145</v>
      </c>
      <c r="B2576" s="125">
        <v>46.81</v>
      </c>
      <c r="C2576" s="52"/>
      <c r="D2576" s="52"/>
      <c r="E2576" s="52"/>
      <c r="F2576" s="52"/>
      <c r="G2576" s="52"/>
      <c r="H2576" s="52"/>
    </row>
    <row r="2577" spans="1:8" ht="15.75">
      <c r="A2577" s="124">
        <v>43146</v>
      </c>
      <c r="B2577" s="125">
        <v>46.81</v>
      </c>
      <c r="C2577" s="52"/>
      <c r="D2577" s="52"/>
      <c r="E2577" s="52"/>
      <c r="F2577" s="52"/>
      <c r="G2577" s="52"/>
      <c r="H2577" s="52"/>
    </row>
    <row r="2578" spans="1:8" ht="15.75">
      <c r="A2578" s="124">
        <v>43147</v>
      </c>
      <c r="B2578" s="125">
        <v>46.77</v>
      </c>
      <c r="C2578" s="52"/>
      <c r="D2578" s="52"/>
      <c r="E2578" s="52"/>
      <c r="F2578" s="52"/>
      <c r="G2578" s="52"/>
      <c r="H2578" s="52"/>
    </row>
    <row r="2579" spans="1:8" ht="15.75">
      <c r="A2579" s="124">
        <v>43150</v>
      </c>
      <c r="B2579" s="125">
        <v>46.87</v>
      </c>
      <c r="C2579" s="52"/>
      <c r="D2579" s="52"/>
      <c r="E2579" s="52"/>
      <c r="F2579" s="52"/>
      <c r="G2579" s="52"/>
      <c r="H2579" s="52"/>
    </row>
    <row r="2580" spans="1:8" ht="15.75">
      <c r="A2580" s="124">
        <v>43151</v>
      </c>
      <c r="B2580" s="125">
        <v>46.81</v>
      </c>
      <c r="C2580" s="52"/>
      <c r="D2580" s="52"/>
      <c r="E2580" s="52"/>
      <c r="F2580" s="52"/>
      <c r="G2580" s="52"/>
      <c r="H2580" s="52"/>
    </row>
    <row r="2581" spans="1:8" ht="15.75">
      <c r="A2581" s="124">
        <v>43152</v>
      </c>
      <c r="B2581" s="125">
        <v>46.85</v>
      </c>
      <c r="C2581" s="52"/>
      <c r="D2581" s="52"/>
      <c r="E2581" s="52"/>
      <c r="F2581" s="52"/>
      <c r="G2581" s="52"/>
      <c r="H2581" s="52"/>
    </row>
    <row r="2582" spans="1:8" ht="15.75">
      <c r="A2582" s="124">
        <v>43153</v>
      </c>
      <c r="B2582" s="125">
        <v>47</v>
      </c>
      <c r="C2582" s="52"/>
      <c r="D2582" s="52"/>
      <c r="E2582" s="52"/>
      <c r="F2582" s="52"/>
      <c r="G2582" s="52"/>
      <c r="H2582" s="52"/>
    </row>
    <row r="2583" spans="1:8" ht="15.75">
      <c r="A2583" s="124">
        <v>43154</v>
      </c>
      <c r="B2583" s="125">
        <v>46.81</v>
      </c>
      <c r="C2583" s="52"/>
      <c r="D2583" s="52"/>
      <c r="E2583" s="52"/>
      <c r="F2583" s="52"/>
      <c r="G2583" s="52"/>
      <c r="H2583" s="52"/>
    </row>
    <row r="2584" spans="1:8" ht="15.75">
      <c r="A2584" s="124">
        <v>43157</v>
      </c>
      <c r="B2584" s="125">
        <v>46.84</v>
      </c>
      <c r="C2584" s="52"/>
      <c r="D2584" s="52"/>
      <c r="E2584" s="52"/>
      <c r="F2584" s="52"/>
      <c r="G2584" s="52"/>
      <c r="H2584" s="52"/>
    </row>
    <row r="2585" spans="1:8" ht="15.75">
      <c r="A2585" s="124">
        <v>43158</v>
      </c>
      <c r="B2585" s="125">
        <v>47.1</v>
      </c>
      <c r="C2585" s="52"/>
      <c r="D2585" s="52"/>
      <c r="E2585" s="52"/>
      <c r="F2585" s="52"/>
      <c r="G2585" s="52"/>
      <c r="H2585" s="52"/>
    </row>
    <row r="2586" spans="1:8" ht="15.75">
      <c r="A2586" s="124">
        <v>43159</v>
      </c>
      <c r="B2586" s="125">
        <v>46.85</v>
      </c>
      <c r="C2586" s="52"/>
      <c r="D2586" s="52"/>
      <c r="E2586" s="52"/>
      <c r="F2586" s="52"/>
      <c r="G2586" s="52"/>
      <c r="H2586" s="52"/>
    </row>
    <row r="2587" spans="1:8" ht="15.75">
      <c r="A2587" s="124">
        <v>43160</v>
      </c>
      <c r="B2587" s="125">
        <v>47.22</v>
      </c>
      <c r="C2587" s="52"/>
      <c r="D2587" s="52"/>
      <c r="E2587" s="52"/>
      <c r="F2587" s="52"/>
      <c r="G2587" s="52"/>
      <c r="H2587" s="52"/>
    </row>
    <row r="2588" spans="1:8" ht="15.75">
      <c r="A2588" s="124">
        <v>43161</v>
      </c>
      <c r="B2588" s="125">
        <v>47.05</v>
      </c>
      <c r="C2588" s="52"/>
      <c r="D2588" s="52"/>
      <c r="E2588" s="52"/>
      <c r="F2588" s="52"/>
      <c r="G2588" s="52"/>
      <c r="H2588" s="52"/>
    </row>
    <row r="2589" spans="1:8" ht="15.75">
      <c r="A2589" s="124">
        <v>43164</v>
      </c>
      <c r="B2589" s="125">
        <v>47.08</v>
      </c>
      <c r="C2589" s="52"/>
      <c r="D2589" s="52"/>
      <c r="E2589" s="52"/>
      <c r="F2589" s="52"/>
      <c r="G2589" s="52"/>
      <c r="H2589" s="52"/>
    </row>
    <row r="2590" spans="1:8" ht="15.75">
      <c r="A2590" s="124">
        <v>43165</v>
      </c>
      <c r="B2590" s="125">
        <v>47.05</v>
      </c>
      <c r="C2590" s="52"/>
      <c r="D2590" s="52"/>
      <c r="E2590" s="52"/>
      <c r="F2590" s="52"/>
      <c r="G2590" s="52"/>
      <c r="H2590" s="52"/>
    </row>
    <row r="2591" spans="1:8" ht="15.75">
      <c r="A2591" s="124">
        <v>43166</v>
      </c>
      <c r="B2591" s="125">
        <v>47.04</v>
      </c>
      <c r="C2591" s="52"/>
      <c r="D2591" s="52"/>
      <c r="E2591" s="52"/>
      <c r="F2591" s="52"/>
      <c r="G2591" s="52"/>
      <c r="H2591" s="52"/>
    </row>
    <row r="2592" spans="1:8" ht="15.75">
      <c r="A2592" s="124">
        <v>43167</v>
      </c>
      <c r="B2592" s="125">
        <v>47.07</v>
      </c>
      <c r="C2592" s="52"/>
      <c r="D2592" s="52"/>
      <c r="E2592" s="52"/>
      <c r="F2592" s="52"/>
      <c r="G2592" s="52"/>
      <c r="H2592" s="52"/>
    </row>
    <row r="2593" spans="1:8" ht="15.75">
      <c r="A2593" s="124">
        <v>43168</v>
      </c>
      <c r="B2593" s="125">
        <v>47.02</v>
      </c>
      <c r="C2593" s="52"/>
      <c r="D2593" s="52"/>
      <c r="E2593" s="52"/>
      <c r="F2593" s="52"/>
      <c r="G2593" s="52"/>
      <c r="H2593" s="52"/>
    </row>
    <row r="2594" spans="1:8" ht="15.75">
      <c r="A2594" s="124">
        <v>43171</v>
      </c>
      <c r="B2594" s="125">
        <v>46.94</v>
      </c>
      <c r="C2594" s="52"/>
      <c r="D2594" s="52"/>
      <c r="E2594" s="52"/>
      <c r="F2594" s="52"/>
      <c r="G2594" s="52"/>
      <c r="H2594" s="52"/>
    </row>
    <row r="2595" spans="1:8" ht="15.75">
      <c r="A2595" s="124">
        <v>43172</v>
      </c>
      <c r="B2595" s="125">
        <v>47</v>
      </c>
      <c r="C2595" s="52"/>
      <c r="D2595" s="52"/>
      <c r="E2595" s="52"/>
      <c r="F2595" s="52"/>
      <c r="G2595" s="52"/>
      <c r="H2595" s="52"/>
    </row>
    <row r="2596" spans="1:8" ht="15.75">
      <c r="A2596" s="124">
        <v>43173</v>
      </c>
      <c r="B2596" s="125">
        <v>47.2</v>
      </c>
      <c r="C2596" s="52"/>
      <c r="D2596" s="52"/>
      <c r="E2596" s="52"/>
      <c r="F2596" s="52"/>
      <c r="G2596" s="52"/>
      <c r="H2596" s="52"/>
    </row>
    <row r="2597" spans="1:8" ht="15.75">
      <c r="A2597" s="124">
        <v>43174</v>
      </c>
      <c r="B2597" s="125">
        <v>47.11</v>
      </c>
      <c r="C2597" s="52"/>
      <c r="D2597" s="52"/>
      <c r="E2597" s="52"/>
      <c r="F2597" s="52"/>
      <c r="G2597" s="52"/>
      <c r="H2597" s="52"/>
    </row>
    <row r="2598" spans="1:8" ht="15.75">
      <c r="A2598" s="124">
        <v>43175</v>
      </c>
      <c r="B2598" s="125">
        <v>47.11</v>
      </c>
      <c r="C2598" s="52"/>
      <c r="D2598" s="52"/>
      <c r="E2598" s="52"/>
      <c r="F2598" s="52"/>
      <c r="G2598" s="52"/>
      <c r="H2598" s="52"/>
    </row>
    <row r="2599" spans="1:8" ht="15.75">
      <c r="A2599" s="124">
        <v>43178</v>
      </c>
      <c r="B2599" s="125">
        <v>47.16</v>
      </c>
      <c r="C2599" s="52"/>
      <c r="D2599" s="52"/>
      <c r="E2599" s="52"/>
      <c r="F2599" s="52"/>
      <c r="G2599" s="52"/>
      <c r="H2599" s="52"/>
    </row>
    <row r="2600" spans="1:8" ht="15.75">
      <c r="A2600" s="124">
        <v>43179</v>
      </c>
      <c r="B2600" s="125">
        <v>47.35</v>
      </c>
      <c r="C2600" s="52"/>
      <c r="D2600" s="52"/>
      <c r="E2600" s="52"/>
      <c r="F2600" s="52"/>
      <c r="G2600" s="52"/>
      <c r="H2600" s="52"/>
    </row>
    <row r="2601" spans="1:8" ht="15.75">
      <c r="A2601" s="124">
        <v>43180</v>
      </c>
      <c r="B2601" s="125">
        <v>47.15</v>
      </c>
      <c r="C2601" s="52"/>
      <c r="D2601" s="52"/>
      <c r="E2601" s="52"/>
      <c r="F2601" s="52"/>
      <c r="G2601" s="52"/>
      <c r="H2601" s="52"/>
    </row>
    <row r="2602" spans="1:8" ht="15.75">
      <c r="A2602" s="124">
        <v>43181</v>
      </c>
      <c r="B2602" s="125">
        <v>47.08</v>
      </c>
      <c r="C2602" s="52"/>
      <c r="D2602" s="52"/>
      <c r="E2602" s="52"/>
      <c r="F2602" s="52"/>
      <c r="G2602" s="52"/>
      <c r="H2602" s="52"/>
    </row>
    <row r="2603" spans="1:8" ht="15.75">
      <c r="A2603" s="124">
        <v>43182</v>
      </c>
      <c r="B2603" s="125">
        <v>47.34</v>
      </c>
      <c r="C2603" s="52"/>
      <c r="D2603" s="52"/>
      <c r="E2603" s="52"/>
      <c r="F2603" s="52"/>
      <c r="G2603" s="52"/>
      <c r="H2603" s="52"/>
    </row>
    <row r="2604" spans="1:8" ht="15.75">
      <c r="A2604" s="124">
        <v>43185</v>
      </c>
      <c r="B2604" s="125">
        <v>47.28</v>
      </c>
      <c r="C2604" s="52"/>
      <c r="D2604" s="52"/>
      <c r="E2604" s="52"/>
      <c r="F2604" s="52"/>
      <c r="G2604" s="52"/>
      <c r="H2604" s="52"/>
    </row>
    <row r="2605" spans="1:8" ht="15.75">
      <c r="A2605" s="124">
        <v>43186</v>
      </c>
      <c r="B2605" s="125">
        <v>47.13</v>
      </c>
      <c r="C2605" s="52"/>
      <c r="D2605" s="52"/>
      <c r="E2605" s="52"/>
      <c r="F2605" s="52"/>
      <c r="G2605" s="52"/>
      <c r="H2605" s="52"/>
    </row>
    <row r="2606" spans="1:8" ht="15.75">
      <c r="A2606" s="124">
        <v>43187</v>
      </c>
      <c r="B2606" s="125">
        <v>47.05</v>
      </c>
      <c r="C2606" s="52"/>
      <c r="D2606" s="52"/>
      <c r="E2606" s="52"/>
      <c r="F2606" s="52"/>
      <c r="G2606" s="52"/>
      <c r="H2606" s="52"/>
    </row>
    <row r="2607" spans="1:8" ht="15.75">
      <c r="A2607" s="124">
        <v>43188</v>
      </c>
      <c r="B2607" s="125">
        <v>47.18</v>
      </c>
      <c r="C2607" s="52"/>
      <c r="D2607" s="52"/>
      <c r="E2607" s="52"/>
      <c r="F2607" s="52"/>
      <c r="G2607" s="52"/>
      <c r="H2607" s="52"/>
    </row>
    <row r="2608" spans="1:8" ht="15.75">
      <c r="A2608" s="124">
        <v>43193</v>
      </c>
      <c r="B2608" s="125">
        <v>47.25</v>
      </c>
      <c r="C2608" s="52"/>
      <c r="D2608" s="52"/>
      <c r="E2608" s="52"/>
      <c r="F2608" s="52"/>
      <c r="G2608" s="52"/>
      <c r="H2608" s="52"/>
    </row>
    <row r="2609" spans="1:8" ht="15.75">
      <c r="A2609" s="124">
        <v>43194</v>
      </c>
      <c r="B2609" s="125">
        <v>47.06</v>
      </c>
      <c r="C2609" s="52"/>
      <c r="D2609" s="52"/>
      <c r="E2609" s="52"/>
      <c r="F2609" s="52"/>
      <c r="G2609" s="52"/>
      <c r="H2609" s="52"/>
    </row>
    <row r="2610" spans="1:8" ht="15.75">
      <c r="A2610" s="124">
        <v>43195</v>
      </c>
      <c r="B2610" s="125">
        <v>47.3</v>
      </c>
      <c r="C2610" s="52"/>
      <c r="D2610" s="52"/>
      <c r="E2610" s="52"/>
      <c r="F2610" s="52"/>
      <c r="G2610" s="52"/>
      <c r="H2610" s="52"/>
    </row>
    <row r="2611" spans="1:8" ht="15.75">
      <c r="A2611" s="124">
        <v>43196</v>
      </c>
      <c r="B2611" s="125">
        <v>47.15</v>
      </c>
      <c r="C2611" s="52"/>
      <c r="D2611" s="52"/>
      <c r="E2611" s="52"/>
      <c r="F2611" s="52"/>
      <c r="G2611" s="52"/>
      <c r="H2611" s="52"/>
    </row>
    <row r="2612" spans="1:8" ht="15.75">
      <c r="A2612" s="124">
        <v>43199</v>
      </c>
      <c r="B2612" s="125">
        <v>47.15</v>
      </c>
      <c r="C2612" s="52"/>
      <c r="D2612" s="52"/>
      <c r="E2612" s="52"/>
      <c r="F2612" s="52"/>
      <c r="G2612" s="52"/>
      <c r="H2612" s="52"/>
    </row>
    <row r="2613" spans="1:8" ht="15.75">
      <c r="A2613" s="124">
        <v>43200</v>
      </c>
      <c r="B2613" s="125">
        <v>47.24</v>
      </c>
      <c r="C2613" s="52"/>
      <c r="D2613" s="52"/>
      <c r="E2613" s="52"/>
      <c r="F2613" s="52"/>
      <c r="G2613" s="52"/>
      <c r="H2613" s="52"/>
    </row>
    <row r="2614" spans="1:8" ht="15.75">
      <c r="A2614" s="124">
        <v>43201</v>
      </c>
      <c r="B2614" s="125">
        <v>47.45</v>
      </c>
      <c r="C2614" s="52"/>
      <c r="D2614" s="52"/>
      <c r="E2614" s="52"/>
      <c r="F2614" s="52"/>
      <c r="G2614" s="52"/>
      <c r="H2614" s="52"/>
    </row>
    <row r="2615" spans="1:8" ht="15.75">
      <c r="A2615" s="124">
        <v>43202</v>
      </c>
      <c r="B2615" s="125">
        <v>47.29</v>
      </c>
      <c r="C2615" s="52"/>
      <c r="D2615" s="52"/>
      <c r="E2615" s="52"/>
      <c r="F2615" s="52"/>
      <c r="G2615" s="52"/>
      <c r="H2615" s="52"/>
    </row>
    <row r="2616" spans="1:8" ht="15.75">
      <c r="A2616" s="124">
        <v>43203</v>
      </c>
      <c r="B2616" s="125">
        <v>47.42</v>
      </c>
      <c r="C2616" s="52"/>
      <c r="D2616" s="52"/>
      <c r="E2616" s="52"/>
      <c r="F2616" s="52"/>
      <c r="G2616" s="52"/>
      <c r="H2616" s="52"/>
    </row>
    <row r="2617" spans="1:8" ht="15.75">
      <c r="A2617" s="124">
        <v>43206</v>
      </c>
      <c r="B2617" s="125">
        <v>47.31</v>
      </c>
      <c r="C2617" s="52"/>
      <c r="D2617" s="52"/>
      <c r="E2617" s="52"/>
      <c r="F2617" s="52"/>
      <c r="G2617" s="52"/>
      <c r="H2617" s="52"/>
    </row>
    <row r="2618" spans="1:8" ht="15.75">
      <c r="A2618" s="124">
        <v>43207</v>
      </c>
      <c r="B2618" s="125">
        <v>47.26</v>
      </c>
      <c r="C2618" s="52"/>
      <c r="D2618" s="52"/>
      <c r="E2618" s="52"/>
      <c r="F2618" s="52"/>
      <c r="G2618" s="52"/>
      <c r="H2618" s="52"/>
    </row>
    <row r="2619" spans="1:8" ht="15.75">
      <c r="A2619" s="124">
        <v>43208</v>
      </c>
      <c r="B2619" s="125">
        <v>47.3</v>
      </c>
      <c r="C2619" s="52"/>
      <c r="D2619" s="52"/>
      <c r="E2619" s="52"/>
      <c r="F2619" s="52"/>
      <c r="G2619" s="52"/>
      <c r="H2619" s="52"/>
    </row>
    <row r="2620" spans="1:8" ht="15.75">
      <c r="A2620" s="124">
        <v>43209</v>
      </c>
      <c r="B2620" s="125">
        <v>47.25</v>
      </c>
      <c r="C2620" s="52"/>
      <c r="D2620" s="52"/>
      <c r="E2620" s="52"/>
      <c r="F2620" s="52"/>
      <c r="G2620" s="52"/>
      <c r="H2620" s="52"/>
    </row>
    <row r="2621" spans="1:8" ht="15.75">
      <c r="A2621" s="124">
        <v>43210</v>
      </c>
      <c r="B2621" s="125">
        <v>47.25</v>
      </c>
      <c r="C2621" s="52"/>
      <c r="D2621" s="52"/>
      <c r="E2621" s="52"/>
      <c r="F2621" s="52"/>
      <c r="G2621" s="52"/>
      <c r="H2621" s="52"/>
    </row>
    <row r="2622" spans="1:8" ht="15.75">
      <c r="A2622" s="124">
        <v>43213</v>
      </c>
      <c r="B2622" s="125">
        <v>47.3</v>
      </c>
      <c r="C2622" s="52"/>
      <c r="D2622" s="52"/>
      <c r="E2622" s="52"/>
      <c r="F2622" s="52"/>
      <c r="G2622" s="52"/>
      <c r="H2622" s="52"/>
    </row>
    <row r="2623" spans="1:8" ht="15.75">
      <c r="A2623" s="124">
        <v>43214</v>
      </c>
      <c r="B2623" s="125">
        <v>47.37</v>
      </c>
      <c r="C2623" s="52"/>
      <c r="D2623" s="52"/>
      <c r="E2623" s="52"/>
      <c r="F2623" s="52"/>
      <c r="G2623" s="52"/>
      <c r="H2623" s="52"/>
    </row>
    <row r="2624" spans="1:8" ht="15.75">
      <c r="A2624" s="124">
        <v>43215</v>
      </c>
      <c r="B2624" s="125">
        <v>47.34</v>
      </c>
      <c r="C2624" s="52"/>
      <c r="D2624" s="52"/>
      <c r="E2624" s="52"/>
      <c r="F2624" s="52"/>
      <c r="G2624" s="52"/>
      <c r="H2624" s="52"/>
    </row>
    <row r="2625" spans="1:8" ht="15.75">
      <c r="A2625" s="124">
        <v>43216</v>
      </c>
      <c r="B2625" s="125">
        <v>47.15</v>
      </c>
      <c r="C2625" s="52"/>
      <c r="D2625" s="52"/>
      <c r="E2625" s="52"/>
      <c r="F2625" s="52"/>
      <c r="G2625" s="52"/>
      <c r="H2625" s="52"/>
    </row>
    <row r="2626" spans="1:8" ht="15.75">
      <c r="A2626" s="124">
        <v>43217</v>
      </c>
      <c r="B2626" s="125">
        <v>47.21</v>
      </c>
      <c r="C2626" s="52"/>
      <c r="D2626" s="52"/>
      <c r="E2626" s="52"/>
      <c r="F2626" s="52"/>
      <c r="G2626" s="52"/>
      <c r="H2626" s="52"/>
    </row>
    <row r="2627" spans="1:8" ht="15.75">
      <c r="A2627" s="124">
        <v>43220</v>
      </c>
      <c r="B2627" s="125">
        <v>47.14</v>
      </c>
      <c r="C2627" s="52"/>
      <c r="D2627" s="52"/>
      <c r="E2627" s="52"/>
      <c r="F2627" s="52"/>
      <c r="G2627" s="52"/>
      <c r="H2627" s="52"/>
    </row>
    <row r="2628" spans="1:8" ht="15.75">
      <c r="A2628" s="124">
        <v>43222</v>
      </c>
      <c r="B2628" s="125">
        <v>47.03</v>
      </c>
      <c r="C2628" s="52"/>
      <c r="D2628" s="52"/>
      <c r="E2628" s="52"/>
      <c r="F2628" s="52"/>
      <c r="G2628" s="52"/>
      <c r="H2628" s="52"/>
    </row>
    <row r="2629" spans="1:8" ht="15.75">
      <c r="A2629" s="124">
        <v>43223</v>
      </c>
      <c r="B2629" s="125">
        <v>47.1</v>
      </c>
      <c r="C2629" s="52"/>
      <c r="D2629" s="52"/>
      <c r="E2629" s="52"/>
      <c r="F2629" s="52"/>
      <c r="G2629" s="52"/>
      <c r="H2629" s="52"/>
    </row>
    <row r="2630" spans="1:8" ht="15.75">
      <c r="A2630" s="124">
        <v>43224</v>
      </c>
      <c r="B2630" s="125">
        <v>47.26</v>
      </c>
      <c r="C2630" s="52"/>
      <c r="D2630" s="52"/>
      <c r="E2630" s="52"/>
      <c r="F2630" s="52"/>
      <c r="G2630" s="52"/>
      <c r="H2630" s="52"/>
    </row>
    <row r="2631" spans="1:8" ht="15.75">
      <c r="A2631" s="124">
        <v>43227</v>
      </c>
      <c r="B2631" s="125">
        <v>47.25</v>
      </c>
      <c r="C2631" s="52"/>
      <c r="D2631" s="52"/>
      <c r="E2631" s="52"/>
      <c r="F2631" s="52"/>
      <c r="G2631" s="52"/>
      <c r="H2631" s="52"/>
    </row>
    <row r="2632" spans="1:8" ht="15.75">
      <c r="A2632" s="124">
        <v>43228</v>
      </c>
      <c r="B2632" s="125">
        <v>47.08</v>
      </c>
      <c r="C2632" s="52"/>
      <c r="D2632" s="52"/>
      <c r="E2632" s="52"/>
      <c r="F2632" s="52"/>
      <c r="G2632" s="52"/>
      <c r="H2632" s="52"/>
    </row>
    <row r="2633" spans="1:8" ht="15.75">
      <c r="A2633" s="124">
        <v>43229</v>
      </c>
      <c r="B2633" s="125">
        <v>47.2</v>
      </c>
      <c r="C2633" s="52"/>
      <c r="D2633" s="52"/>
      <c r="E2633" s="52"/>
      <c r="F2633" s="52"/>
      <c r="G2633" s="52"/>
      <c r="H2633" s="52"/>
    </row>
    <row r="2634" spans="1:8" ht="15.75">
      <c r="A2634" s="124">
        <v>43230</v>
      </c>
      <c r="B2634" s="125">
        <v>47.2</v>
      </c>
      <c r="C2634" s="52"/>
      <c r="D2634" s="52"/>
      <c r="E2634" s="52"/>
      <c r="F2634" s="52"/>
      <c r="G2634" s="52"/>
      <c r="H2634" s="52"/>
    </row>
    <row r="2635" spans="1:8" ht="15.75">
      <c r="A2635" s="124">
        <v>43231</v>
      </c>
      <c r="B2635" s="125">
        <v>47.16</v>
      </c>
      <c r="C2635" s="52"/>
      <c r="D2635" s="52"/>
      <c r="E2635" s="52"/>
      <c r="F2635" s="52"/>
      <c r="G2635" s="52"/>
      <c r="H2635" s="52"/>
    </row>
    <row r="2636" spans="1:8" ht="15.75">
      <c r="A2636" s="124">
        <v>43234</v>
      </c>
      <c r="B2636" s="125">
        <v>47.32</v>
      </c>
      <c r="C2636" s="52"/>
      <c r="D2636" s="52"/>
      <c r="E2636" s="52"/>
      <c r="F2636" s="52"/>
      <c r="G2636" s="52"/>
      <c r="H2636" s="52"/>
    </row>
    <row r="2637" spans="1:8" ht="15.75">
      <c r="A2637" s="124">
        <v>43235</v>
      </c>
      <c r="B2637" s="125">
        <v>47.11</v>
      </c>
      <c r="C2637" s="52"/>
      <c r="D2637" s="52"/>
      <c r="E2637" s="52"/>
      <c r="F2637" s="52"/>
      <c r="G2637" s="52"/>
      <c r="H2637" s="52"/>
    </row>
    <row r="2638" spans="1:8" ht="15.75">
      <c r="A2638" s="124">
        <v>43236</v>
      </c>
      <c r="B2638" s="125">
        <v>47.16</v>
      </c>
      <c r="C2638" s="52"/>
      <c r="D2638" s="52"/>
      <c r="E2638" s="52"/>
      <c r="F2638" s="52"/>
      <c r="G2638" s="52"/>
      <c r="H2638" s="52"/>
    </row>
    <row r="2639" spans="1:8" ht="15.75">
      <c r="A2639" s="124">
        <v>43237</v>
      </c>
      <c r="B2639" s="125">
        <v>47.17</v>
      </c>
      <c r="C2639" s="52"/>
      <c r="D2639" s="52"/>
      <c r="E2639" s="52"/>
      <c r="F2639" s="52"/>
      <c r="G2639" s="52"/>
      <c r="H2639" s="52"/>
    </row>
    <row r="2640" spans="1:8" ht="15.75">
      <c r="A2640" s="124">
        <v>43238</v>
      </c>
      <c r="B2640" s="125">
        <v>47.26</v>
      </c>
      <c r="C2640" s="52"/>
      <c r="D2640" s="52"/>
      <c r="E2640" s="52"/>
      <c r="F2640" s="52"/>
      <c r="G2640" s="52"/>
      <c r="H2640" s="52"/>
    </row>
    <row r="2641" spans="1:8" ht="15.75">
      <c r="A2641" s="124">
        <v>43242</v>
      </c>
      <c r="B2641" s="125">
        <v>47.21</v>
      </c>
      <c r="C2641" s="52"/>
      <c r="D2641" s="52"/>
      <c r="E2641" s="52"/>
      <c r="F2641" s="52"/>
      <c r="G2641" s="52"/>
      <c r="H2641" s="52"/>
    </row>
    <row r="2642" spans="1:8" ht="15.75">
      <c r="A2642" s="124">
        <v>43243</v>
      </c>
      <c r="B2642" s="125">
        <v>47.23</v>
      </c>
      <c r="C2642" s="52"/>
      <c r="D2642" s="52"/>
      <c r="E2642" s="52"/>
      <c r="F2642" s="52"/>
      <c r="G2642" s="52"/>
      <c r="H2642" s="52"/>
    </row>
    <row r="2643" spans="1:8" ht="15.75">
      <c r="A2643" s="124">
        <v>43244</v>
      </c>
      <c r="B2643" s="125">
        <v>47.39</v>
      </c>
      <c r="C2643" s="52"/>
      <c r="D2643" s="52"/>
      <c r="E2643" s="52"/>
      <c r="F2643" s="52"/>
      <c r="G2643" s="52"/>
      <c r="H2643" s="52"/>
    </row>
    <row r="2644" spans="1:8" ht="15.75">
      <c r="A2644" s="124">
        <v>43245</v>
      </c>
      <c r="B2644" s="125">
        <v>47.32</v>
      </c>
      <c r="C2644" s="52"/>
      <c r="D2644" s="52"/>
      <c r="E2644" s="52"/>
      <c r="F2644" s="52"/>
      <c r="G2644" s="52"/>
      <c r="H2644" s="52"/>
    </row>
    <row r="2645" spans="1:8" ht="15.75">
      <c r="A2645" s="124">
        <v>43248</v>
      </c>
      <c r="B2645" s="125">
        <v>47.29</v>
      </c>
      <c r="C2645" s="52"/>
      <c r="D2645" s="52"/>
      <c r="E2645" s="52"/>
      <c r="F2645" s="52"/>
      <c r="G2645" s="52"/>
      <c r="H2645" s="52"/>
    </row>
    <row r="2646" spans="1:8" ht="15.75">
      <c r="A2646" s="124">
        <v>43249</v>
      </c>
      <c r="B2646" s="125">
        <v>47.28</v>
      </c>
      <c r="C2646" s="52"/>
      <c r="D2646" s="52"/>
      <c r="E2646" s="52"/>
      <c r="F2646" s="52"/>
      <c r="G2646" s="52"/>
      <c r="H2646" s="52"/>
    </row>
    <row r="2647" spans="1:8" ht="15.75">
      <c r="A2647" s="124">
        <v>43250</v>
      </c>
      <c r="B2647" s="125">
        <v>47.29</v>
      </c>
      <c r="C2647" s="52"/>
      <c r="D2647" s="52"/>
      <c r="E2647" s="52"/>
      <c r="F2647" s="52"/>
      <c r="G2647" s="52"/>
      <c r="H2647" s="52"/>
    </row>
    <row r="2648" spans="1:8" ht="15.75">
      <c r="A2648" s="124">
        <v>43251</v>
      </c>
      <c r="B2648" s="125">
        <v>47.29</v>
      </c>
      <c r="C2648" s="52"/>
      <c r="D2648" s="52"/>
      <c r="E2648" s="52"/>
      <c r="F2648" s="52"/>
      <c r="G2648" s="52"/>
      <c r="H2648" s="52"/>
    </row>
    <row r="2649" spans="1:8" ht="15.75">
      <c r="A2649" s="124">
        <v>43252</v>
      </c>
      <c r="B2649" s="125">
        <v>47.2</v>
      </c>
      <c r="C2649" s="52"/>
      <c r="D2649" s="52"/>
      <c r="E2649" s="52"/>
      <c r="F2649" s="52"/>
      <c r="G2649" s="52"/>
      <c r="H2649" s="52"/>
    </row>
    <row r="2650" spans="1:8" ht="15.75">
      <c r="A2650" s="124">
        <v>43255</v>
      </c>
      <c r="B2650" s="125">
        <v>47.12</v>
      </c>
      <c r="C2650" s="52"/>
      <c r="D2650" s="52"/>
      <c r="E2650" s="52"/>
      <c r="F2650" s="52"/>
      <c r="G2650" s="52"/>
      <c r="H2650" s="52"/>
    </row>
    <row r="2651" spans="1:8" ht="15.75">
      <c r="A2651" s="124">
        <v>43256</v>
      </c>
      <c r="B2651" s="125">
        <v>47.2</v>
      </c>
      <c r="C2651" s="52"/>
      <c r="D2651" s="52"/>
      <c r="E2651" s="52"/>
      <c r="F2651" s="52"/>
      <c r="G2651" s="52"/>
      <c r="H2651" s="52"/>
    </row>
    <row r="2652" spans="1:8" ht="15.75">
      <c r="A2652" s="124">
        <v>43257</v>
      </c>
      <c r="B2652" s="125">
        <v>47.12</v>
      </c>
      <c r="C2652" s="52"/>
      <c r="D2652" s="52"/>
      <c r="E2652" s="52"/>
      <c r="F2652" s="52"/>
      <c r="G2652" s="52"/>
      <c r="H2652" s="52"/>
    </row>
    <row r="2653" spans="1:8" ht="15.75">
      <c r="A2653" s="124">
        <v>43258</v>
      </c>
      <c r="B2653" s="125">
        <v>47.15</v>
      </c>
      <c r="C2653" s="52"/>
      <c r="D2653" s="52"/>
      <c r="E2653" s="52"/>
      <c r="F2653" s="52"/>
      <c r="G2653" s="52"/>
      <c r="H2653" s="52"/>
    </row>
    <row r="2654" spans="1:8" ht="15.75">
      <c r="A2654" s="124">
        <v>43259</v>
      </c>
      <c r="B2654" s="125">
        <v>47.16</v>
      </c>
      <c r="C2654" s="52"/>
      <c r="D2654" s="52"/>
      <c r="E2654" s="52"/>
      <c r="F2654" s="52"/>
      <c r="G2654" s="52"/>
      <c r="H2654" s="52"/>
    </row>
    <row r="2655" spans="1:8" ht="15.75">
      <c r="A2655" s="124">
        <v>43262</v>
      </c>
      <c r="B2655" s="125">
        <v>47.24</v>
      </c>
      <c r="C2655" s="52"/>
      <c r="D2655" s="52"/>
      <c r="E2655" s="52"/>
      <c r="F2655" s="52"/>
      <c r="G2655" s="52"/>
      <c r="H2655" s="52"/>
    </row>
    <row r="2656" spans="1:8" ht="15.75">
      <c r="A2656" s="124">
        <v>43263</v>
      </c>
      <c r="B2656" s="125">
        <v>47.37</v>
      </c>
      <c r="C2656" s="52"/>
      <c r="D2656" s="52"/>
      <c r="E2656" s="52"/>
      <c r="F2656" s="52"/>
      <c r="G2656" s="52"/>
      <c r="H2656" s="52"/>
    </row>
    <row r="2657" spans="1:8" ht="15.75">
      <c r="A2657" s="124">
        <v>43264</v>
      </c>
      <c r="B2657" s="125">
        <v>47.36</v>
      </c>
      <c r="C2657" s="52"/>
      <c r="D2657" s="52"/>
      <c r="E2657" s="52"/>
      <c r="F2657" s="52"/>
      <c r="G2657" s="52"/>
      <c r="H2657" s="52"/>
    </row>
    <row r="2658" spans="1:8" ht="15.75">
      <c r="A2658" s="124">
        <v>43265</v>
      </c>
      <c r="B2658" s="125">
        <v>47.37</v>
      </c>
      <c r="C2658" s="52"/>
      <c r="D2658" s="52"/>
      <c r="E2658" s="52"/>
      <c r="F2658" s="52"/>
      <c r="G2658" s="52"/>
      <c r="H2658" s="52"/>
    </row>
    <row r="2659" spans="1:8" ht="15.75">
      <c r="A2659" s="124">
        <v>43266</v>
      </c>
      <c r="B2659" s="125">
        <v>47.47</v>
      </c>
      <c r="C2659" s="52"/>
      <c r="D2659" s="52"/>
      <c r="E2659" s="52"/>
      <c r="F2659" s="52"/>
      <c r="G2659" s="52"/>
      <c r="H2659" s="52"/>
    </row>
    <row r="2660" spans="1:8" ht="15.75">
      <c r="A2660" s="124">
        <v>43269</v>
      </c>
      <c r="B2660" s="125">
        <v>47.37</v>
      </c>
      <c r="C2660" s="52"/>
      <c r="D2660" s="52"/>
      <c r="E2660" s="52"/>
      <c r="F2660" s="52"/>
      <c r="G2660" s="52"/>
      <c r="H2660" s="52"/>
    </row>
    <row r="2661" spans="1:8" ht="15.75">
      <c r="A2661" s="124">
        <v>43270</v>
      </c>
      <c r="B2661" s="125">
        <v>47.65</v>
      </c>
      <c r="C2661" s="52"/>
      <c r="D2661" s="52"/>
      <c r="E2661" s="52"/>
      <c r="F2661" s="52"/>
      <c r="G2661" s="52"/>
      <c r="H2661" s="52"/>
    </row>
    <row r="2662" spans="1:8" ht="15.75">
      <c r="A2662" s="124">
        <v>43271</v>
      </c>
      <c r="B2662" s="125">
        <v>47.6</v>
      </c>
      <c r="C2662" s="52"/>
      <c r="D2662" s="52"/>
      <c r="E2662" s="52"/>
      <c r="F2662" s="52"/>
      <c r="G2662" s="52"/>
      <c r="H2662" s="52"/>
    </row>
    <row r="2663" spans="1:8" ht="15.75">
      <c r="A2663" s="124">
        <v>43272</v>
      </c>
      <c r="B2663" s="125">
        <v>47.8</v>
      </c>
      <c r="C2663" s="52"/>
      <c r="D2663" s="52"/>
      <c r="E2663" s="52"/>
      <c r="F2663" s="52"/>
      <c r="G2663" s="52"/>
      <c r="H2663" s="52"/>
    </row>
    <row r="2664" spans="1:8" ht="15.75">
      <c r="A2664" s="124">
        <v>43273</v>
      </c>
      <c r="B2664" s="125">
        <v>47.54</v>
      </c>
      <c r="C2664" s="52"/>
      <c r="D2664" s="52"/>
      <c r="E2664" s="52"/>
      <c r="F2664" s="52"/>
      <c r="G2664" s="52"/>
      <c r="H2664" s="52"/>
    </row>
    <row r="2665" spans="1:8" ht="15.75">
      <c r="A2665" s="124">
        <v>43276</v>
      </c>
      <c r="B2665" s="125">
        <v>48.06</v>
      </c>
      <c r="C2665" s="52"/>
      <c r="D2665" s="52"/>
      <c r="E2665" s="52"/>
      <c r="F2665" s="52"/>
      <c r="G2665" s="52"/>
      <c r="H2665" s="52"/>
    </row>
    <row r="2666" spans="1:8" ht="15.75">
      <c r="A2666" s="124">
        <v>43277</v>
      </c>
      <c r="B2666" s="125">
        <v>48.05</v>
      </c>
      <c r="C2666" s="52"/>
      <c r="D2666" s="52"/>
      <c r="E2666" s="52"/>
      <c r="F2666" s="52"/>
      <c r="G2666" s="52"/>
      <c r="H2666" s="52"/>
    </row>
    <row r="2667" spans="1:8" ht="15.75">
      <c r="A2667" s="124">
        <v>43278</v>
      </c>
      <c r="B2667" s="125">
        <v>48.3</v>
      </c>
      <c r="C2667" s="52"/>
      <c r="D2667" s="52"/>
      <c r="E2667" s="52"/>
      <c r="F2667" s="52"/>
      <c r="G2667" s="52"/>
      <c r="H2667" s="52"/>
    </row>
    <row r="2668" spans="1:8" ht="15.75">
      <c r="A2668" s="124">
        <v>43279</v>
      </c>
      <c r="B2668" s="125">
        <v>47.91</v>
      </c>
      <c r="C2668" s="52"/>
      <c r="D2668" s="52"/>
      <c r="E2668" s="52"/>
      <c r="F2668" s="52"/>
      <c r="G2668" s="52"/>
      <c r="H2668" s="52"/>
    </row>
    <row r="2669" spans="1:8" ht="15.75">
      <c r="A2669" s="124">
        <v>43280</v>
      </c>
      <c r="B2669" s="125">
        <v>47.98</v>
      </c>
      <c r="C2669" s="52"/>
      <c r="D2669" s="52"/>
      <c r="E2669" s="52"/>
      <c r="F2669" s="52"/>
      <c r="G2669" s="52"/>
      <c r="H2669" s="52"/>
    </row>
    <row r="2670" spans="1:8" ht="15.75">
      <c r="A2670" s="124">
        <v>43283</v>
      </c>
      <c r="B2670" s="125">
        <v>48.1</v>
      </c>
      <c r="C2670" s="52"/>
      <c r="D2670" s="52"/>
      <c r="E2670" s="52"/>
      <c r="F2670" s="52"/>
      <c r="G2670" s="52"/>
      <c r="H2670" s="52"/>
    </row>
    <row r="2671" spans="1:8" ht="15.75">
      <c r="A2671" s="124">
        <v>43284</v>
      </c>
      <c r="B2671" s="125">
        <v>47.78</v>
      </c>
      <c r="C2671" s="52"/>
      <c r="D2671" s="52"/>
      <c r="E2671" s="52"/>
      <c r="F2671" s="52"/>
      <c r="G2671" s="52"/>
      <c r="H2671" s="52"/>
    </row>
    <row r="2672" spans="1:8" ht="15.75">
      <c r="A2672" s="124">
        <v>43285</v>
      </c>
      <c r="B2672" s="125">
        <v>47.87</v>
      </c>
      <c r="C2672" s="52"/>
      <c r="D2672" s="52"/>
      <c r="E2672" s="52"/>
      <c r="F2672" s="52"/>
      <c r="G2672" s="52"/>
      <c r="H2672" s="52"/>
    </row>
    <row r="2673" spans="1:8" ht="15.75">
      <c r="A2673" s="124">
        <v>43286</v>
      </c>
      <c r="B2673" s="125">
        <v>47.84</v>
      </c>
      <c r="C2673" s="52"/>
      <c r="D2673" s="52"/>
      <c r="E2673" s="52"/>
      <c r="F2673" s="52"/>
      <c r="G2673" s="52"/>
      <c r="H2673" s="52"/>
    </row>
    <row r="2674" spans="1:8" ht="15.75">
      <c r="A2674" s="124">
        <v>43287</v>
      </c>
      <c r="B2674" s="125">
        <v>47.98</v>
      </c>
      <c r="C2674" s="52"/>
      <c r="D2674" s="52"/>
      <c r="E2674" s="52"/>
      <c r="F2674" s="52"/>
      <c r="G2674" s="52"/>
      <c r="H2674" s="52"/>
    </row>
    <row r="2675" spans="1:8" ht="15.75">
      <c r="A2675" s="124">
        <v>43290</v>
      </c>
      <c r="B2675" s="125">
        <v>48.05</v>
      </c>
      <c r="C2675" s="52"/>
      <c r="D2675" s="52"/>
      <c r="E2675" s="52"/>
      <c r="F2675" s="52"/>
      <c r="G2675" s="52"/>
      <c r="H2675" s="52"/>
    </row>
    <row r="2676" spans="1:8" ht="15.75">
      <c r="A2676" s="124">
        <v>43291</v>
      </c>
      <c r="B2676" s="125">
        <v>47.62</v>
      </c>
      <c r="C2676" s="52"/>
      <c r="D2676" s="52"/>
      <c r="E2676" s="52"/>
      <c r="F2676" s="52"/>
      <c r="G2676" s="52"/>
      <c r="H2676" s="52"/>
    </row>
    <row r="2677" spans="1:8" ht="15.75">
      <c r="A2677" s="124">
        <v>43292</v>
      </c>
      <c r="B2677" s="125">
        <v>47.71</v>
      </c>
      <c r="C2677" s="52"/>
      <c r="D2677" s="52"/>
      <c r="E2677" s="52"/>
      <c r="F2677" s="52"/>
      <c r="G2677" s="52"/>
      <c r="H2677" s="52"/>
    </row>
    <row r="2678" spans="1:8" ht="15.75">
      <c r="A2678" s="124">
        <v>43293</v>
      </c>
      <c r="B2678" s="125">
        <v>47.63</v>
      </c>
      <c r="C2678" s="52"/>
      <c r="D2678" s="52"/>
      <c r="E2678" s="52"/>
      <c r="F2678" s="52"/>
      <c r="G2678" s="52"/>
      <c r="H2678" s="52"/>
    </row>
    <row r="2679" spans="1:8" ht="15.75">
      <c r="A2679" s="124">
        <v>43294</v>
      </c>
      <c r="B2679" s="125">
        <v>47.69</v>
      </c>
      <c r="C2679" s="52"/>
      <c r="D2679" s="52"/>
      <c r="E2679" s="52"/>
      <c r="F2679" s="52"/>
      <c r="G2679" s="52"/>
      <c r="H2679" s="52"/>
    </row>
    <row r="2680" spans="1:8" ht="15.75">
      <c r="A2680" s="124">
        <v>43297</v>
      </c>
      <c r="B2680" s="125">
        <v>48</v>
      </c>
      <c r="C2680" s="52"/>
      <c r="D2680" s="52"/>
      <c r="E2680" s="52"/>
      <c r="F2680" s="52"/>
      <c r="G2680" s="52"/>
      <c r="H2680" s="52"/>
    </row>
    <row r="2681" spans="1:8" ht="15.75">
      <c r="A2681" s="124">
        <v>43298</v>
      </c>
      <c r="B2681" s="125">
        <v>48.25</v>
      </c>
      <c r="C2681" s="52"/>
      <c r="D2681" s="52"/>
      <c r="E2681" s="52"/>
      <c r="F2681" s="52"/>
      <c r="G2681" s="52"/>
      <c r="H2681" s="52"/>
    </row>
    <row r="2682" spans="1:8" ht="15.75">
      <c r="A2682" s="124">
        <v>43299</v>
      </c>
      <c r="B2682" s="125">
        <v>48.1</v>
      </c>
      <c r="C2682" s="52"/>
      <c r="D2682" s="52"/>
      <c r="E2682" s="52"/>
      <c r="F2682" s="52"/>
      <c r="G2682" s="52"/>
      <c r="H2682" s="52"/>
    </row>
    <row r="2683" spans="1:8" ht="15.75">
      <c r="A2683" s="124">
        <v>43300</v>
      </c>
      <c r="B2683" s="125">
        <v>48.03</v>
      </c>
      <c r="C2683" s="52"/>
      <c r="D2683" s="52"/>
      <c r="E2683" s="52"/>
      <c r="F2683" s="52"/>
      <c r="G2683" s="52"/>
      <c r="H2683" s="52"/>
    </row>
    <row r="2684" spans="1:8" ht="15.75">
      <c r="A2684" s="124">
        <v>43301</v>
      </c>
      <c r="B2684" s="125">
        <v>47.93</v>
      </c>
      <c r="C2684" s="52"/>
      <c r="D2684" s="52"/>
      <c r="E2684" s="52"/>
      <c r="F2684" s="52"/>
      <c r="G2684" s="52"/>
      <c r="H2684" s="52"/>
    </row>
    <row r="2685" spans="1:8" ht="15.75">
      <c r="A2685" s="124">
        <v>43304</v>
      </c>
      <c r="B2685" s="125">
        <v>47.75</v>
      </c>
      <c r="C2685" s="52"/>
      <c r="D2685" s="52"/>
      <c r="E2685" s="52"/>
      <c r="F2685" s="52"/>
      <c r="G2685" s="52"/>
      <c r="H2685" s="52"/>
    </row>
    <row r="2686" spans="1:8" ht="15.75">
      <c r="A2686" s="124">
        <v>43305</v>
      </c>
      <c r="B2686" s="125">
        <v>47.98</v>
      </c>
      <c r="C2686" s="52"/>
      <c r="D2686" s="52"/>
      <c r="E2686" s="52"/>
      <c r="F2686" s="52"/>
      <c r="G2686" s="52"/>
      <c r="H2686" s="52"/>
    </row>
    <row r="2687" spans="1:8" ht="15.75">
      <c r="A2687" s="124">
        <v>43306</v>
      </c>
      <c r="B2687" s="125">
        <v>47.89</v>
      </c>
      <c r="C2687" s="52"/>
      <c r="D2687" s="52"/>
      <c r="E2687" s="52"/>
      <c r="F2687" s="52"/>
      <c r="G2687" s="52"/>
      <c r="H2687" s="52"/>
    </row>
    <row r="2688" spans="1:8" ht="15.75">
      <c r="A2688" s="124">
        <v>43307</v>
      </c>
      <c r="B2688" s="125">
        <v>47.73</v>
      </c>
      <c r="C2688" s="52"/>
      <c r="D2688" s="52"/>
      <c r="E2688" s="52"/>
      <c r="F2688" s="52"/>
      <c r="G2688" s="52"/>
      <c r="H2688" s="52"/>
    </row>
    <row r="2689" spans="1:8" ht="15.75">
      <c r="A2689" s="124">
        <v>43308</v>
      </c>
      <c r="B2689" s="125">
        <v>47.8</v>
      </c>
      <c r="C2689" s="52"/>
      <c r="D2689" s="52"/>
      <c r="E2689" s="52"/>
      <c r="F2689" s="52"/>
      <c r="G2689" s="52"/>
      <c r="H2689" s="52"/>
    </row>
    <row r="2690" spans="1:8" ht="15.75">
      <c r="A2690" s="124">
        <v>43311</v>
      </c>
      <c r="B2690" s="125">
        <v>47.78</v>
      </c>
      <c r="C2690" s="52"/>
      <c r="D2690" s="52"/>
      <c r="E2690" s="52"/>
      <c r="F2690" s="52"/>
      <c r="G2690" s="52"/>
      <c r="H2690" s="52"/>
    </row>
    <row r="2691" spans="1:8" ht="15.75">
      <c r="A2691" s="124">
        <v>43312</v>
      </c>
      <c r="B2691" s="125">
        <v>47.92</v>
      </c>
      <c r="C2691" s="52"/>
      <c r="D2691" s="52"/>
      <c r="E2691" s="52"/>
      <c r="F2691" s="52"/>
      <c r="G2691" s="52"/>
      <c r="H2691" s="52"/>
    </row>
    <row r="2692" spans="1:8" ht="15.75">
      <c r="A2692" s="124">
        <v>43313</v>
      </c>
      <c r="B2692" s="125">
        <v>47.66</v>
      </c>
      <c r="C2692" s="52"/>
      <c r="D2692" s="52"/>
      <c r="E2692" s="52"/>
      <c r="F2692" s="52"/>
      <c r="G2692" s="52"/>
      <c r="H2692" s="52"/>
    </row>
    <row r="2693" spans="1:8" ht="15.75">
      <c r="A2693" s="124">
        <v>43314</v>
      </c>
      <c r="B2693" s="125">
        <v>47.74</v>
      </c>
      <c r="C2693" s="52"/>
      <c r="D2693" s="52"/>
      <c r="E2693" s="52"/>
      <c r="F2693" s="52"/>
      <c r="G2693" s="52"/>
      <c r="H2693" s="52"/>
    </row>
    <row r="2694" spans="1:8" ht="15.75">
      <c r="A2694" s="124">
        <v>43315</v>
      </c>
      <c r="B2694" s="125">
        <v>47.8</v>
      </c>
      <c r="C2694" s="52"/>
      <c r="D2694" s="52"/>
      <c r="E2694" s="52"/>
      <c r="F2694" s="52"/>
      <c r="G2694" s="52"/>
      <c r="H2694" s="52"/>
    </row>
    <row r="2695" spans="1:8" ht="15.75">
      <c r="A2695" s="124">
        <v>43318</v>
      </c>
      <c r="B2695" s="125">
        <v>48.25</v>
      </c>
      <c r="C2695" s="52"/>
      <c r="D2695" s="52"/>
      <c r="E2695" s="52"/>
      <c r="F2695" s="52"/>
      <c r="G2695" s="52"/>
      <c r="H2695" s="52"/>
    </row>
    <row r="2696" spans="1:8" ht="15.75">
      <c r="A2696" s="124">
        <v>43319</v>
      </c>
      <c r="B2696" s="125">
        <v>47.84</v>
      </c>
      <c r="C2696" s="52"/>
      <c r="D2696" s="52"/>
      <c r="E2696" s="52"/>
      <c r="F2696" s="52"/>
      <c r="G2696" s="52"/>
      <c r="H2696" s="52"/>
    </row>
    <row r="2697" spans="1:8" ht="15.75">
      <c r="A2697" s="124">
        <v>43320</v>
      </c>
      <c r="B2697" s="125">
        <v>47.93</v>
      </c>
      <c r="C2697" s="52"/>
      <c r="D2697" s="52"/>
      <c r="E2697" s="52"/>
      <c r="F2697" s="52"/>
      <c r="G2697" s="52"/>
      <c r="H2697" s="52"/>
    </row>
    <row r="2698" spans="1:8" ht="15.75">
      <c r="A2698" s="124">
        <v>43321</v>
      </c>
      <c r="B2698" s="125">
        <v>48.16</v>
      </c>
      <c r="C2698" s="52"/>
      <c r="D2698" s="52"/>
      <c r="E2698" s="52"/>
      <c r="F2698" s="52"/>
      <c r="G2698" s="52"/>
      <c r="H2698" s="52"/>
    </row>
    <row r="2699" spans="1:8" ht="15.75">
      <c r="A2699" s="124">
        <v>43322</v>
      </c>
      <c r="B2699" s="125">
        <v>48.15</v>
      </c>
      <c r="C2699" s="52"/>
      <c r="D2699" s="52"/>
      <c r="E2699" s="52"/>
      <c r="F2699" s="52"/>
      <c r="G2699" s="52"/>
      <c r="H2699" s="52"/>
    </row>
    <row r="2700" spans="1:8" ht="15.75">
      <c r="A2700" s="124">
        <v>43325</v>
      </c>
      <c r="B2700" s="125">
        <v>48.03</v>
      </c>
      <c r="C2700" s="52"/>
      <c r="D2700" s="52"/>
      <c r="E2700" s="52"/>
      <c r="F2700" s="52"/>
      <c r="G2700" s="52"/>
      <c r="H2700" s="52"/>
    </row>
    <row r="2701" spans="1:8" ht="15.75">
      <c r="A2701" s="124">
        <v>43326</v>
      </c>
      <c r="B2701" s="125">
        <v>48.4</v>
      </c>
      <c r="C2701" s="52"/>
      <c r="D2701" s="52"/>
      <c r="E2701" s="52"/>
      <c r="F2701" s="52"/>
      <c r="G2701" s="52"/>
      <c r="H2701" s="52"/>
    </row>
    <row r="2702" spans="1:8" ht="15.75">
      <c r="A2702" s="124">
        <v>43327</v>
      </c>
      <c r="B2702" s="125">
        <v>47.95</v>
      </c>
      <c r="C2702" s="52"/>
      <c r="D2702" s="52"/>
      <c r="E2702" s="52"/>
      <c r="F2702" s="52"/>
      <c r="G2702" s="52"/>
      <c r="H2702" s="52"/>
    </row>
    <row r="2703" spans="1:8" ht="15.75">
      <c r="A2703" s="124">
        <v>43328</v>
      </c>
      <c r="B2703" s="125">
        <v>48.54</v>
      </c>
      <c r="C2703" s="52"/>
      <c r="D2703" s="52"/>
      <c r="E2703" s="52"/>
      <c r="F2703" s="52"/>
      <c r="G2703" s="52"/>
      <c r="H2703" s="52"/>
    </row>
    <row r="2704" spans="1:8" ht="15.75">
      <c r="A2704" s="124">
        <v>43329</v>
      </c>
      <c r="B2704" s="125">
        <v>48.73</v>
      </c>
      <c r="C2704" s="52"/>
      <c r="D2704" s="52"/>
      <c r="E2704" s="52"/>
      <c r="F2704" s="52"/>
      <c r="G2704" s="52"/>
      <c r="H2704" s="52"/>
    </row>
    <row r="2705" spans="1:8" ht="15.75">
      <c r="A2705" s="124">
        <v>43332</v>
      </c>
      <c r="B2705" s="125">
        <v>48.37</v>
      </c>
      <c r="C2705" s="52"/>
      <c r="D2705" s="52"/>
      <c r="E2705" s="52"/>
      <c r="F2705" s="52"/>
      <c r="G2705" s="52"/>
      <c r="H2705" s="52"/>
    </row>
    <row r="2706" spans="1:8" ht="15.75">
      <c r="A2706" s="124">
        <v>43333</v>
      </c>
      <c r="B2706" s="125">
        <v>48.38</v>
      </c>
      <c r="C2706" s="52"/>
      <c r="D2706" s="52"/>
      <c r="E2706" s="52"/>
      <c r="F2706" s="52"/>
      <c r="G2706" s="52"/>
      <c r="H2706" s="52"/>
    </row>
    <row r="2707" spans="1:8" ht="15.75">
      <c r="A2707" s="124">
        <v>43334</v>
      </c>
      <c r="B2707" s="125">
        <v>48.26</v>
      </c>
      <c r="C2707" s="52"/>
      <c r="D2707" s="52"/>
      <c r="E2707" s="52"/>
      <c r="F2707" s="52"/>
      <c r="G2707" s="52"/>
      <c r="H2707" s="52"/>
    </row>
    <row r="2708" spans="1:8" ht="15.75">
      <c r="A2708" s="124">
        <v>43335</v>
      </c>
      <c r="B2708" s="125">
        <v>48.03</v>
      </c>
      <c r="C2708" s="52"/>
      <c r="D2708" s="52"/>
      <c r="E2708" s="52"/>
      <c r="F2708" s="52"/>
      <c r="G2708" s="52"/>
      <c r="H2708" s="52"/>
    </row>
    <row r="2709" spans="1:8" ht="15.75">
      <c r="A2709" s="124">
        <v>43336</v>
      </c>
      <c r="B2709" s="125">
        <v>48.03</v>
      </c>
      <c r="C2709" s="52"/>
      <c r="D2709" s="52"/>
      <c r="E2709" s="52"/>
      <c r="F2709" s="52"/>
      <c r="G2709" s="52"/>
      <c r="H2709" s="52"/>
    </row>
    <row r="2710" spans="1:8" ht="15.75">
      <c r="A2710" s="124">
        <v>43339</v>
      </c>
      <c r="B2710" s="125">
        <v>47.91</v>
      </c>
      <c r="C2710" s="52"/>
      <c r="D2710" s="52"/>
      <c r="E2710" s="52"/>
      <c r="F2710" s="52"/>
      <c r="G2710" s="52"/>
      <c r="H2710" s="52"/>
    </row>
    <row r="2711" spans="1:8" ht="15.75">
      <c r="A2711" s="124">
        <v>43340</v>
      </c>
      <c r="B2711" s="125">
        <v>47.98</v>
      </c>
      <c r="C2711" s="52"/>
      <c r="D2711" s="52"/>
      <c r="E2711" s="52"/>
      <c r="F2711" s="52"/>
      <c r="G2711" s="52"/>
      <c r="H2711" s="52"/>
    </row>
    <row r="2712" spans="1:8" ht="15.75">
      <c r="A2712" s="124">
        <v>43341</v>
      </c>
      <c r="B2712" s="125">
        <v>47.86</v>
      </c>
      <c r="C2712" s="52"/>
      <c r="D2712" s="52"/>
      <c r="E2712" s="52"/>
      <c r="F2712" s="52"/>
      <c r="G2712" s="52"/>
      <c r="H2712" s="52"/>
    </row>
    <row r="2713" spans="1:8" ht="15.75">
      <c r="A2713" s="124">
        <v>43342</v>
      </c>
      <c r="B2713" s="125">
        <v>47.87</v>
      </c>
      <c r="C2713" s="52"/>
      <c r="D2713" s="52"/>
      <c r="E2713" s="52"/>
      <c r="F2713" s="52"/>
      <c r="G2713" s="52"/>
      <c r="H2713" s="52"/>
    </row>
    <row r="2714" spans="1:8" ht="15.75">
      <c r="A2714" s="124">
        <v>43343</v>
      </c>
      <c r="B2714" s="125">
        <v>47.88</v>
      </c>
      <c r="C2714" s="52"/>
      <c r="D2714" s="52"/>
      <c r="E2714" s="52"/>
      <c r="F2714" s="52"/>
      <c r="G2714" s="52"/>
      <c r="H2714" s="52"/>
    </row>
    <row r="2715" spans="1:8" ht="15.75">
      <c r="A2715" s="124">
        <v>43346</v>
      </c>
      <c r="B2715" s="125">
        <v>47.98</v>
      </c>
      <c r="C2715" s="52"/>
      <c r="D2715" s="52"/>
      <c r="E2715" s="52"/>
      <c r="F2715" s="52"/>
      <c r="G2715" s="52"/>
      <c r="H2715" s="52"/>
    </row>
    <row r="2716" spans="1:8" ht="15.75">
      <c r="A2716" s="124">
        <v>43347</v>
      </c>
      <c r="B2716" s="125">
        <v>48</v>
      </c>
      <c r="C2716" s="52"/>
      <c r="D2716" s="52"/>
      <c r="E2716" s="52"/>
      <c r="F2716" s="52"/>
      <c r="G2716" s="52"/>
      <c r="H2716" s="52"/>
    </row>
    <row r="2717" spans="1:8" ht="15.75">
      <c r="A2717" s="124">
        <v>43348</v>
      </c>
      <c r="B2717" s="125">
        <v>47.86</v>
      </c>
      <c r="C2717" s="52"/>
      <c r="D2717" s="52"/>
      <c r="E2717" s="52"/>
      <c r="F2717" s="52"/>
      <c r="G2717" s="52"/>
      <c r="H2717" s="52"/>
    </row>
    <row r="2718" spans="1:8" ht="15.75">
      <c r="A2718" s="124">
        <v>43349</v>
      </c>
      <c r="B2718" s="125">
        <v>47.85</v>
      </c>
      <c r="C2718" s="52"/>
      <c r="D2718" s="52"/>
      <c r="E2718" s="52"/>
      <c r="F2718" s="52"/>
      <c r="G2718" s="52"/>
      <c r="H2718" s="52"/>
    </row>
    <row r="2719" spans="1:8" ht="15.75">
      <c r="A2719" s="124">
        <v>43350</v>
      </c>
      <c r="B2719" s="125">
        <v>47.69</v>
      </c>
      <c r="C2719" s="52"/>
      <c r="D2719" s="52"/>
      <c r="E2719" s="52"/>
      <c r="F2719" s="52"/>
      <c r="G2719" s="52"/>
      <c r="H2719" s="52"/>
    </row>
    <row r="2720" spans="1:8" ht="15.75">
      <c r="A2720" s="124">
        <v>43353</v>
      </c>
      <c r="B2720" s="125">
        <v>47.52</v>
      </c>
      <c r="C2720" s="52"/>
      <c r="D2720" s="52"/>
      <c r="E2720" s="52"/>
      <c r="F2720" s="52"/>
      <c r="G2720" s="52"/>
      <c r="H2720" s="52"/>
    </row>
    <row r="2721" spans="1:8" ht="15.75">
      <c r="A2721" s="124">
        <v>43354</v>
      </c>
      <c r="B2721" s="125">
        <v>47.31</v>
      </c>
      <c r="C2721" s="52"/>
      <c r="D2721" s="52"/>
      <c r="E2721" s="52"/>
      <c r="F2721" s="52"/>
      <c r="G2721" s="52"/>
      <c r="H2721" s="52"/>
    </row>
    <row r="2722" spans="1:8" ht="15.75">
      <c r="A2722" s="124">
        <v>43355</v>
      </c>
      <c r="B2722" s="125">
        <v>47.74</v>
      </c>
      <c r="C2722" s="52"/>
      <c r="D2722" s="52"/>
      <c r="E2722" s="52"/>
      <c r="F2722" s="52"/>
      <c r="G2722" s="52"/>
      <c r="H2722" s="52"/>
    </row>
    <row r="2723" spans="1:8" ht="15.75">
      <c r="A2723" s="124">
        <v>43356</v>
      </c>
      <c r="B2723" s="125">
        <v>47.61</v>
      </c>
      <c r="C2723" s="52"/>
      <c r="D2723" s="52"/>
      <c r="E2723" s="52"/>
      <c r="F2723" s="52"/>
      <c r="G2723" s="52"/>
      <c r="H2723" s="52"/>
    </row>
    <row r="2724" spans="1:8" ht="15.75">
      <c r="A2724" s="124">
        <v>43357</v>
      </c>
      <c r="B2724" s="125">
        <v>47.63</v>
      </c>
      <c r="C2724" s="52"/>
      <c r="D2724" s="52"/>
      <c r="E2724" s="52"/>
      <c r="F2724" s="52"/>
      <c r="G2724" s="52"/>
      <c r="H2724" s="52"/>
    </row>
    <row r="2725" spans="1:8" ht="15.75">
      <c r="A2725" s="124">
        <v>43360</v>
      </c>
      <c r="B2725" s="125">
        <v>47.66</v>
      </c>
      <c r="C2725" s="52"/>
      <c r="D2725" s="52"/>
      <c r="E2725" s="52"/>
      <c r="F2725" s="52"/>
      <c r="G2725" s="52"/>
      <c r="H2725" s="52"/>
    </row>
    <row r="2726" spans="1:8" ht="15.75">
      <c r="A2726" s="124">
        <v>43361</v>
      </c>
      <c r="B2726" s="125">
        <v>47.5</v>
      </c>
      <c r="C2726" s="52"/>
      <c r="D2726" s="52"/>
      <c r="E2726" s="52"/>
      <c r="F2726" s="52"/>
      <c r="G2726" s="52"/>
      <c r="H2726" s="52"/>
    </row>
    <row r="2727" spans="1:8" ht="15.75">
      <c r="A2727" s="124">
        <v>43362</v>
      </c>
      <c r="B2727" s="125">
        <v>47.4</v>
      </c>
      <c r="C2727" s="52"/>
      <c r="D2727" s="52"/>
      <c r="E2727" s="52"/>
      <c r="F2727" s="52"/>
      <c r="G2727" s="52"/>
      <c r="H2727" s="52"/>
    </row>
    <row r="2728" spans="1:8" ht="15.75">
      <c r="A2728" s="124">
        <v>43363</v>
      </c>
      <c r="B2728" s="125">
        <v>47.5</v>
      </c>
      <c r="C2728" s="52"/>
      <c r="D2728" s="52"/>
      <c r="E2728" s="52"/>
      <c r="F2728" s="52"/>
      <c r="G2728" s="52"/>
      <c r="H2728" s="52"/>
    </row>
    <row r="2729" spans="1:8" ht="15.75">
      <c r="A2729" s="124">
        <v>43364</v>
      </c>
      <c r="B2729" s="125">
        <v>47.44</v>
      </c>
      <c r="C2729" s="52"/>
      <c r="D2729" s="52"/>
      <c r="E2729" s="52"/>
      <c r="F2729" s="52"/>
      <c r="G2729" s="52"/>
      <c r="H2729" s="52"/>
    </row>
    <row r="2730" spans="1:8" ht="15.75">
      <c r="A2730" s="124">
        <v>43367</v>
      </c>
      <c r="B2730" s="125">
        <v>47.4</v>
      </c>
      <c r="C2730" s="52"/>
      <c r="D2730" s="52"/>
      <c r="E2730" s="52"/>
      <c r="F2730" s="52"/>
      <c r="G2730" s="52"/>
      <c r="H2730" s="52"/>
    </row>
    <row r="2731" spans="1:8" ht="15.75">
      <c r="A2731" s="124">
        <v>43368</v>
      </c>
      <c r="B2731" s="125">
        <v>47.36</v>
      </c>
      <c r="C2731" s="52"/>
      <c r="D2731" s="52"/>
      <c r="E2731" s="52"/>
      <c r="F2731" s="52"/>
      <c r="G2731" s="52"/>
      <c r="H2731" s="52"/>
    </row>
    <row r="2732" spans="1:8" ht="15.75">
      <c r="A2732" s="124">
        <v>43369</v>
      </c>
      <c r="B2732" s="125">
        <v>47.35</v>
      </c>
      <c r="C2732" s="52"/>
      <c r="D2732" s="52"/>
      <c r="E2732" s="52"/>
      <c r="F2732" s="52"/>
      <c r="G2732" s="52"/>
      <c r="H2732" s="52"/>
    </row>
    <row r="2733" spans="1:8" ht="15.75">
      <c r="A2733" s="124">
        <v>43370</v>
      </c>
      <c r="B2733" s="125">
        <v>47.36</v>
      </c>
      <c r="C2733" s="52"/>
      <c r="D2733" s="52"/>
      <c r="E2733" s="52"/>
      <c r="F2733" s="52"/>
      <c r="G2733" s="52"/>
      <c r="H2733" s="52"/>
    </row>
    <row r="2734" spans="1:8" ht="15.75">
      <c r="A2734" s="124">
        <v>43371</v>
      </c>
      <c r="B2734" s="125">
        <v>47.36</v>
      </c>
      <c r="C2734" s="52"/>
      <c r="D2734" s="52"/>
      <c r="E2734" s="52"/>
      <c r="F2734" s="52"/>
      <c r="G2734" s="52"/>
      <c r="H2734" s="52"/>
    </row>
    <row r="2735" spans="1:8" ht="15.75">
      <c r="A2735" s="124">
        <v>43374</v>
      </c>
      <c r="B2735" s="125">
        <v>47.37</v>
      </c>
      <c r="C2735" s="52"/>
      <c r="D2735" s="52"/>
      <c r="E2735" s="52"/>
      <c r="F2735" s="52"/>
      <c r="G2735" s="52"/>
      <c r="H2735" s="52"/>
    </row>
    <row r="2736" spans="1:8" ht="15.75">
      <c r="A2736" s="124">
        <v>43375</v>
      </c>
      <c r="B2736" s="125">
        <v>47.32</v>
      </c>
      <c r="C2736" s="52"/>
      <c r="D2736" s="52"/>
      <c r="E2736" s="52"/>
      <c r="F2736" s="52"/>
      <c r="G2736" s="52"/>
      <c r="H2736" s="52"/>
    </row>
    <row r="2737" spans="1:8" ht="15.75">
      <c r="A2737" s="124">
        <v>43377</v>
      </c>
      <c r="B2737" s="125">
        <v>47.54</v>
      </c>
      <c r="C2737" s="52"/>
      <c r="D2737" s="52"/>
      <c r="E2737" s="52"/>
      <c r="F2737" s="52"/>
      <c r="G2737" s="52"/>
      <c r="H2737" s="52"/>
    </row>
    <row r="2738" spans="1:8" ht="15.75">
      <c r="A2738" s="124">
        <v>43378</v>
      </c>
      <c r="B2738" s="125">
        <v>47.42</v>
      </c>
      <c r="C2738" s="52"/>
      <c r="D2738" s="52"/>
      <c r="E2738" s="52"/>
      <c r="F2738" s="52"/>
      <c r="G2738" s="52"/>
      <c r="H2738" s="52"/>
    </row>
    <row r="2739" spans="1:8" ht="15.75">
      <c r="A2739" s="124">
        <v>43381</v>
      </c>
      <c r="B2739" s="125">
        <v>47.25</v>
      </c>
      <c r="C2739" s="52"/>
      <c r="D2739" s="52"/>
      <c r="E2739" s="52"/>
      <c r="F2739" s="52"/>
      <c r="G2739" s="52"/>
      <c r="H2739" s="52"/>
    </row>
    <row r="2740" spans="1:8" ht="15.75">
      <c r="A2740" s="124">
        <v>43382</v>
      </c>
      <c r="B2740" s="125">
        <v>47.28</v>
      </c>
      <c r="C2740" s="52"/>
      <c r="D2740" s="52"/>
      <c r="E2740" s="52"/>
      <c r="F2740" s="52"/>
      <c r="G2740" s="52"/>
      <c r="H2740" s="52"/>
    </row>
    <row r="2741" spans="1:8" ht="15.75">
      <c r="A2741" s="124">
        <v>43383</v>
      </c>
      <c r="B2741" s="125">
        <v>47.22</v>
      </c>
      <c r="C2741" s="52"/>
      <c r="D2741" s="52"/>
      <c r="E2741" s="52"/>
      <c r="F2741" s="52"/>
      <c r="G2741" s="52"/>
      <c r="H2741" s="52"/>
    </row>
    <row r="2742" spans="1:8" ht="15.75">
      <c r="A2742" s="124">
        <v>43384</v>
      </c>
      <c r="B2742" s="125">
        <v>47.15</v>
      </c>
      <c r="C2742" s="52"/>
      <c r="D2742" s="52"/>
      <c r="E2742" s="52"/>
      <c r="F2742" s="52"/>
      <c r="G2742" s="52"/>
      <c r="H2742" s="52"/>
    </row>
    <row r="2743" spans="1:8" ht="15.75">
      <c r="A2743" s="124">
        <v>43385</v>
      </c>
      <c r="B2743" s="125">
        <v>47.15</v>
      </c>
      <c r="C2743" s="52"/>
      <c r="D2743" s="52"/>
      <c r="E2743" s="52"/>
      <c r="F2743" s="52"/>
      <c r="G2743" s="52"/>
      <c r="H2743" s="52"/>
    </row>
    <row r="2744" spans="1:8" ht="15.75">
      <c r="A2744" s="124">
        <v>43388</v>
      </c>
      <c r="B2744" s="125">
        <v>47.15</v>
      </c>
      <c r="C2744" s="52"/>
      <c r="D2744" s="52"/>
      <c r="E2744" s="52"/>
      <c r="F2744" s="52"/>
      <c r="G2744" s="52"/>
      <c r="H2744" s="52"/>
    </row>
    <row r="2745" spans="1:8" ht="15.75">
      <c r="A2745" s="124">
        <v>43389</v>
      </c>
      <c r="B2745" s="125">
        <v>47.2</v>
      </c>
      <c r="C2745" s="52"/>
      <c r="D2745" s="52"/>
      <c r="E2745" s="52"/>
      <c r="F2745" s="52"/>
      <c r="G2745" s="52"/>
      <c r="H2745" s="52"/>
    </row>
    <row r="2746" spans="1:8" ht="15.75">
      <c r="A2746" s="124">
        <v>43390</v>
      </c>
      <c r="B2746" s="125">
        <v>47.2</v>
      </c>
      <c r="C2746" s="52"/>
      <c r="D2746" s="52"/>
      <c r="E2746" s="52"/>
      <c r="F2746" s="52"/>
      <c r="G2746" s="52"/>
      <c r="H2746" s="52"/>
    </row>
    <row r="2747" spans="1:8" ht="15.75">
      <c r="A2747" s="124">
        <v>43391</v>
      </c>
      <c r="B2747" s="125">
        <v>47.22</v>
      </c>
      <c r="C2747" s="52"/>
      <c r="D2747" s="52"/>
      <c r="E2747" s="52"/>
      <c r="F2747" s="52"/>
      <c r="G2747" s="52"/>
      <c r="H2747" s="52"/>
    </row>
    <row r="2748" spans="1:8" ht="15.75">
      <c r="A2748" s="124">
        <v>43392</v>
      </c>
      <c r="B2748" s="125">
        <v>47.22</v>
      </c>
      <c r="C2748" s="52"/>
      <c r="D2748" s="52"/>
      <c r="E2748" s="52"/>
      <c r="F2748" s="52"/>
      <c r="G2748" s="52"/>
      <c r="H2748" s="52"/>
    </row>
    <row r="2749" spans="1:8" ht="15.75">
      <c r="A2749" s="124">
        <v>43395</v>
      </c>
      <c r="B2749" s="125">
        <v>47.39</v>
      </c>
      <c r="C2749" s="52"/>
      <c r="D2749" s="52"/>
      <c r="E2749" s="52"/>
      <c r="F2749" s="52"/>
      <c r="G2749" s="52"/>
      <c r="H2749" s="52"/>
    </row>
    <row r="2750" spans="1:8" ht="15.75">
      <c r="A2750" s="124">
        <v>43396</v>
      </c>
      <c r="B2750" s="125">
        <v>47.56</v>
      </c>
      <c r="C2750" s="52"/>
      <c r="D2750" s="52"/>
      <c r="E2750" s="52"/>
      <c r="F2750" s="52"/>
      <c r="G2750" s="52"/>
      <c r="H2750" s="52"/>
    </row>
    <row r="2751" spans="1:8" ht="15.75">
      <c r="A2751" s="124">
        <v>43397</v>
      </c>
      <c r="B2751" s="125">
        <v>47.9</v>
      </c>
      <c r="C2751" s="52"/>
      <c r="D2751" s="52"/>
      <c r="E2751" s="52"/>
      <c r="F2751" s="52"/>
      <c r="G2751" s="52"/>
      <c r="H2751" s="52"/>
    </row>
    <row r="2752" spans="1:8" ht="15.75">
      <c r="A2752" s="124">
        <v>43398</v>
      </c>
      <c r="B2752" s="125">
        <v>47.61</v>
      </c>
      <c r="C2752" s="52"/>
      <c r="D2752" s="52"/>
      <c r="E2752" s="52"/>
      <c r="F2752" s="52"/>
      <c r="G2752" s="52"/>
      <c r="H2752" s="52"/>
    </row>
    <row r="2753" spans="1:8" ht="15.75">
      <c r="A2753" s="124">
        <v>43399</v>
      </c>
      <c r="B2753" s="125">
        <v>47.76</v>
      </c>
      <c r="C2753" s="52"/>
      <c r="D2753" s="52"/>
      <c r="E2753" s="52"/>
      <c r="F2753" s="52"/>
      <c r="G2753" s="52"/>
      <c r="H2753" s="52"/>
    </row>
    <row r="2754" spans="1:8" ht="15.75">
      <c r="A2754" s="124">
        <v>43402</v>
      </c>
      <c r="B2754" s="125">
        <v>47.72</v>
      </c>
      <c r="C2754" s="52"/>
      <c r="D2754" s="52"/>
      <c r="E2754" s="52"/>
      <c r="F2754" s="52"/>
      <c r="G2754" s="52"/>
      <c r="H2754" s="52"/>
    </row>
    <row r="2755" spans="1:8" ht="15.75">
      <c r="A2755" s="124">
        <v>43403</v>
      </c>
      <c r="B2755" s="125">
        <v>47.98</v>
      </c>
      <c r="C2755" s="52"/>
      <c r="D2755" s="52"/>
      <c r="E2755" s="52"/>
      <c r="F2755" s="52"/>
      <c r="G2755" s="52"/>
      <c r="H2755" s="52"/>
    </row>
    <row r="2756" spans="1:8" ht="15.75">
      <c r="A2756" s="124">
        <v>43404</v>
      </c>
      <c r="B2756" s="125">
        <v>47.9</v>
      </c>
      <c r="C2756" s="52"/>
      <c r="D2756" s="52"/>
      <c r="E2756" s="52"/>
      <c r="F2756" s="52"/>
      <c r="G2756" s="52"/>
      <c r="H2756" s="52"/>
    </row>
    <row r="2757" spans="1:8" ht="15.75">
      <c r="A2757" s="124">
        <v>43405</v>
      </c>
      <c r="B2757" s="125">
        <v>48.05</v>
      </c>
      <c r="C2757" s="52"/>
      <c r="D2757" s="52"/>
      <c r="E2757" s="52"/>
      <c r="F2757" s="52"/>
      <c r="G2757" s="52"/>
      <c r="H2757" s="52"/>
    </row>
    <row r="2758" spans="1:8" ht="15.75">
      <c r="A2758" s="124">
        <v>43406</v>
      </c>
      <c r="B2758" s="125">
        <v>47.81</v>
      </c>
      <c r="C2758" s="52"/>
      <c r="D2758" s="52"/>
      <c r="E2758" s="52"/>
      <c r="F2758" s="52"/>
      <c r="G2758" s="52"/>
      <c r="H2758" s="52"/>
    </row>
    <row r="2759" spans="1:8" ht="15.75">
      <c r="A2759" s="124">
        <v>43409</v>
      </c>
      <c r="B2759" s="125">
        <v>47.88</v>
      </c>
      <c r="C2759" s="52"/>
      <c r="D2759" s="52"/>
      <c r="E2759" s="52"/>
      <c r="F2759" s="52"/>
      <c r="G2759" s="52"/>
      <c r="H2759" s="52"/>
    </row>
    <row r="2760" spans="1:8" ht="15.75">
      <c r="A2760" s="124">
        <v>43410</v>
      </c>
      <c r="B2760" s="125">
        <v>47.76</v>
      </c>
      <c r="C2760" s="52"/>
      <c r="D2760" s="52"/>
      <c r="E2760" s="52"/>
      <c r="F2760" s="52"/>
      <c r="G2760" s="52"/>
      <c r="H2760" s="52"/>
    </row>
    <row r="2761" spans="1:8" ht="15.75">
      <c r="A2761" s="124">
        <v>43411</v>
      </c>
      <c r="B2761" s="125">
        <v>47.78</v>
      </c>
      <c r="C2761" s="52"/>
      <c r="D2761" s="52"/>
      <c r="E2761" s="52"/>
      <c r="F2761" s="52"/>
      <c r="G2761" s="52"/>
      <c r="H2761" s="52"/>
    </row>
    <row r="2762" spans="1:8" ht="15.75">
      <c r="A2762" s="124">
        <v>43412</v>
      </c>
      <c r="B2762" s="125">
        <v>47.63</v>
      </c>
      <c r="C2762" s="52"/>
      <c r="D2762" s="52"/>
      <c r="E2762" s="52"/>
      <c r="F2762" s="52"/>
      <c r="G2762" s="52"/>
      <c r="H2762" s="52"/>
    </row>
    <row r="2763" spans="1:8" ht="15.75">
      <c r="A2763" s="124">
        <v>43413</v>
      </c>
      <c r="B2763" s="125">
        <v>47.77</v>
      </c>
      <c r="C2763" s="52"/>
      <c r="D2763" s="52"/>
      <c r="E2763" s="52"/>
      <c r="F2763" s="52"/>
      <c r="G2763" s="52"/>
      <c r="H2763" s="52"/>
    </row>
    <row r="2764" spans="1:8" ht="15.75">
      <c r="A2764" s="124">
        <v>43416</v>
      </c>
      <c r="B2764" s="125">
        <v>47.68</v>
      </c>
      <c r="C2764" s="52"/>
      <c r="D2764" s="52"/>
      <c r="E2764" s="52"/>
      <c r="F2764" s="52"/>
      <c r="G2764" s="52"/>
      <c r="H2764" s="52"/>
    </row>
    <row r="2765" spans="1:8" ht="15.75">
      <c r="A2765" s="124">
        <v>43417</v>
      </c>
      <c r="B2765" s="125">
        <v>47.78</v>
      </c>
      <c r="C2765" s="52"/>
      <c r="D2765" s="52"/>
      <c r="E2765" s="52"/>
      <c r="F2765" s="52"/>
      <c r="G2765" s="52"/>
      <c r="H2765" s="52"/>
    </row>
    <row r="2766" spans="1:8" ht="15.75">
      <c r="A2766" s="124">
        <v>43418</v>
      </c>
      <c r="B2766" s="125">
        <v>47.83</v>
      </c>
      <c r="C2766" s="52"/>
      <c r="D2766" s="52"/>
      <c r="E2766" s="52"/>
      <c r="F2766" s="52"/>
      <c r="G2766" s="52"/>
      <c r="H2766" s="52"/>
    </row>
    <row r="2767" spans="1:8" ht="15.75">
      <c r="A2767" s="124">
        <v>43419</v>
      </c>
      <c r="B2767" s="125">
        <v>47.57</v>
      </c>
      <c r="C2767" s="52"/>
      <c r="D2767" s="52"/>
      <c r="E2767" s="52"/>
      <c r="F2767" s="52"/>
      <c r="G2767" s="52"/>
      <c r="H2767" s="52"/>
    </row>
    <row r="2768" spans="1:8" ht="15.75">
      <c r="A2768" s="124">
        <v>43420</v>
      </c>
      <c r="B2768" s="125">
        <v>47.62</v>
      </c>
      <c r="C2768" s="52"/>
      <c r="D2768" s="52"/>
      <c r="E2768" s="52"/>
      <c r="F2768" s="52"/>
      <c r="G2768" s="52"/>
      <c r="H2768" s="52"/>
    </row>
    <row r="2769" spans="1:8" ht="15.75">
      <c r="A2769" s="124">
        <v>43423</v>
      </c>
      <c r="B2769" s="125">
        <v>47.56</v>
      </c>
      <c r="C2769" s="52"/>
      <c r="D2769" s="52"/>
      <c r="E2769" s="52"/>
      <c r="F2769" s="52"/>
      <c r="G2769" s="52"/>
      <c r="H2769" s="52"/>
    </row>
    <row r="2770" spans="1:8" ht="15.75">
      <c r="A2770" s="124">
        <v>43424</v>
      </c>
      <c r="B2770" s="125">
        <v>47.57</v>
      </c>
      <c r="C2770" s="52"/>
      <c r="D2770" s="52"/>
      <c r="E2770" s="52"/>
      <c r="F2770" s="52"/>
      <c r="G2770" s="52"/>
      <c r="H2770" s="52"/>
    </row>
    <row r="2771" spans="1:8" ht="15.75">
      <c r="A2771" s="124">
        <v>43425</v>
      </c>
      <c r="B2771" s="125">
        <v>47.69</v>
      </c>
      <c r="C2771" s="52"/>
      <c r="D2771" s="52"/>
      <c r="E2771" s="52"/>
      <c r="F2771" s="52"/>
      <c r="G2771" s="52"/>
      <c r="H2771" s="52"/>
    </row>
    <row r="2772" spans="1:8" ht="15.75">
      <c r="A2772" s="124">
        <v>43426</v>
      </c>
      <c r="B2772" s="125">
        <v>47.75</v>
      </c>
      <c r="C2772" s="52"/>
      <c r="D2772" s="52"/>
      <c r="E2772" s="52"/>
      <c r="F2772" s="52"/>
      <c r="G2772" s="52"/>
      <c r="H2772" s="52"/>
    </row>
    <row r="2773" spans="1:8" ht="15.75">
      <c r="A2773" s="124">
        <v>43427</v>
      </c>
      <c r="B2773" s="125">
        <v>47.37</v>
      </c>
      <c r="C2773" s="52"/>
      <c r="D2773" s="52"/>
      <c r="E2773" s="52"/>
      <c r="F2773" s="52"/>
      <c r="G2773" s="52"/>
      <c r="H2773" s="52"/>
    </row>
    <row r="2774" spans="1:8" ht="15.75">
      <c r="A2774" s="124">
        <v>43430</v>
      </c>
      <c r="B2774" s="125">
        <v>47.61</v>
      </c>
      <c r="C2774" s="52"/>
      <c r="D2774" s="52"/>
      <c r="E2774" s="52"/>
      <c r="F2774" s="52"/>
      <c r="G2774" s="52"/>
      <c r="H2774" s="52"/>
    </row>
    <row r="2775" spans="1:8" ht="15.75">
      <c r="A2775" s="124">
        <v>43431</v>
      </c>
      <c r="B2775" s="125">
        <v>47.6</v>
      </c>
      <c r="C2775" s="52"/>
      <c r="D2775" s="52"/>
      <c r="E2775" s="52"/>
      <c r="F2775" s="52"/>
      <c r="G2775" s="52"/>
      <c r="H2775" s="52"/>
    </row>
    <row r="2776" spans="1:8" ht="15.75">
      <c r="A2776" s="124">
        <v>43432</v>
      </c>
      <c r="B2776" s="125">
        <v>47.67</v>
      </c>
      <c r="C2776" s="52"/>
      <c r="D2776" s="52"/>
      <c r="E2776" s="52"/>
      <c r="F2776" s="52"/>
      <c r="G2776" s="52"/>
      <c r="H2776" s="52"/>
    </row>
    <row r="2777" spans="1:8" ht="15.75">
      <c r="A2777" s="124">
        <v>43433</v>
      </c>
      <c r="B2777" s="125">
        <v>47.71</v>
      </c>
      <c r="C2777" s="52"/>
      <c r="D2777" s="52"/>
      <c r="E2777" s="52"/>
      <c r="F2777" s="52"/>
      <c r="G2777" s="52"/>
      <c r="H2777" s="52"/>
    </row>
    <row r="2778" spans="1:8" ht="15.75">
      <c r="A2778" s="124">
        <v>43434</v>
      </c>
      <c r="B2778" s="125">
        <v>47.61</v>
      </c>
      <c r="C2778" s="52"/>
      <c r="D2778" s="52"/>
      <c r="E2778" s="52"/>
      <c r="F2778" s="52"/>
      <c r="G2778" s="52"/>
      <c r="H2778" s="52"/>
    </row>
    <row r="2779" spans="1:8" ht="15.75">
      <c r="A2779" s="124">
        <v>43437</v>
      </c>
      <c r="B2779" s="125">
        <v>47.75</v>
      </c>
      <c r="C2779" s="52"/>
      <c r="D2779" s="52"/>
      <c r="E2779" s="52"/>
      <c r="F2779" s="52"/>
      <c r="G2779" s="52"/>
      <c r="H2779" s="52"/>
    </row>
    <row r="2780" spans="1:8" ht="15.75">
      <c r="A2780" s="124">
        <v>43438</v>
      </c>
      <c r="B2780" s="125">
        <v>47.54</v>
      </c>
      <c r="C2780" s="52"/>
      <c r="D2780" s="52"/>
      <c r="E2780" s="52"/>
      <c r="F2780" s="52"/>
      <c r="G2780" s="52"/>
      <c r="H2780" s="52"/>
    </row>
    <row r="2781" spans="1:8" ht="15.75">
      <c r="A2781" s="124">
        <v>43439</v>
      </c>
      <c r="B2781" s="125">
        <v>47.9</v>
      </c>
      <c r="C2781" s="52"/>
      <c r="D2781" s="52"/>
      <c r="E2781" s="52"/>
      <c r="F2781" s="52"/>
      <c r="G2781" s="52"/>
      <c r="H2781" s="52"/>
    </row>
    <row r="2782" spans="1:8" ht="15.75">
      <c r="A2782" s="124">
        <v>43440</v>
      </c>
      <c r="B2782" s="125">
        <v>47.75</v>
      </c>
      <c r="C2782" s="52"/>
      <c r="D2782" s="52"/>
      <c r="E2782" s="52"/>
      <c r="F2782" s="52"/>
      <c r="G2782" s="52"/>
      <c r="H2782" s="52"/>
    </row>
    <row r="2783" spans="1:8" ht="15.75">
      <c r="A2783" s="124">
        <v>43441</v>
      </c>
      <c r="B2783" s="125">
        <v>47.75</v>
      </c>
      <c r="C2783" s="52"/>
      <c r="D2783" s="52"/>
      <c r="E2783" s="52"/>
      <c r="F2783" s="52"/>
      <c r="G2783" s="52"/>
      <c r="H2783" s="52"/>
    </row>
    <row r="2784" spans="1:8" ht="15.75">
      <c r="A2784" s="124">
        <v>43444</v>
      </c>
      <c r="B2784" s="125">
        <v>47.55</v>
      </c>
      <c r="C2784" s="52"/>
      <c r="D2784" s="52"/>
      <c r="E2784" s="52"/>
      <c r="F2784" s="52"/>
      <c r="G2784" s="52"/>
      <c r="H2784" s="52"/>
    </row>
    <row r="2785" spans="1:8" ht="15.75">
      <c r="A2785" s="124">
        <v>43445</v>
      </c>
      <c r="B2785" s="125">
        <v>47.59</v>
      </c>
      <c r="C2785" s="52"/>
      <c r="D2785" s="52"/>
      <c r="E2785" s="52"/>
      <c r="F2785" s="52"/>
      <c r="G2785" s="52"/>
      <c r="H2785" s="52"/>
    </row>
    <row r="2786" spans="1:8" ht="15.75">
      <c r="A2786" s="124">
        <v>43446</v>
      </c>
      <c r="B2786" s="125">
        <v>47.62</v>
      </c>
      <c r="C2786" s="52"/>
      <c r="D2786" s="52"/>
      <c r="E2786" s="52"/>
      <c r="F2786" s="52"/>
      <c r="G2786" s="52"/>
      <c r="H2786" s="52"/>
    </row>
    <row r="2787" spans="1:8" ht="15.75">
      <c r="A2787" s="124">
        <v>43447</v>
      </c>
      <c r="B2787" s="125">
        <v>47.78</v>
      </c>
      <c r="C2787" s="52"/>
      <c r="D2787" s="52"/>
      <c r="E2787" s="52"/>
      <c r="F2787" s="52"/>
      <c r="G2787" s="52"/>
      <c r="H2787" s="52"/>
    </row>
    <row r="2788" spans="1:8" ht="15.75">
      <c r="A2788" s="124">
        <v>43448</v>
      </c>
      <c r="B2788" s="125">
        <v>47.63</v>
      </c>
      <c r="C2788" s="52"/>
      <c r="D2788" s="52"/>
      <c r="E2788" s="52"/>
      <c r="F2788" s="52"/>
      <c r="G2788" s="52"/>
      <c r="H2788" s="52"/>
    </row>
    <row r="2789" spans="1:8" ht="15.75">
      <c r="A2789" s="124">
        <v>43451</v>
      </c>
      <c r="B2789" s="125">
        <v>47.61</v>
      </c>
      <c r="C2789" s="52"/>
      <c r="D2789" s="52"/>
      <c r="E2789" s="52"/>
      <c r="F2789" s="52"/>
      <c r="G2789" s="52"/>
      <c r="H2789" s="52"/>
    </row>
    <row r="2790" spans="1:8" ht="15.75">
      <c r="A2790" s="124">
        <v>43452</v>
      </c>
      <c r="B2790" s="125">
        <v>47.55</v>
      </c>
      <c r="C2790" s="52"/>
      <c r="D2790" s="52"/>
      <c r="E2790" s="52"/>
      <c r="F2790" s="52"/>
      <c r="G2790" s="52"/>
      <c r="H2790" s="52"/>
    </row>
    <row r="2791" spans="1:8" ht="15.75">
      <c r="A2791" s="124">
        <v>43453</v>
      </c>
      <c r="B2791" s="125">
        <v>47.53</v>
      </c>
      <c r="C2791" s="52"/>
      <c r="D2791" s="52"/>
      <c r="E2791" s="52"/>
      <c r="F2791" s="52"/>
      <c r="G2791" s="52"/>
      <c r="H2791" s="52"/>
    </row>
    <row r="2792" spans="1:8" ht="15.75">
      <c r="A2792" s="124">
        <v>43454</v>
      </c>
      <c r="B2792" s="125">
        <v>47.45</v>
      </c>
      <c r="C2792" s="52"/>
      <c r="D2792" s="52"/>
      <c r="E2792" s="52"/>
      <c r="F2792" s="52"/>
      <c r="G2792" s="52"/>
      <c r="H2792" s="52"/>
    </row>
    <row r="2793" spans="1:8" ht="15.75">
      <c r="A2793" s="124">
        <v>43455</v>
      </c>
      <c r="B2793" s="125">
        <v>47.4</v>
      </c>
      <c r="C2793" s="52"/>
      <c r="D2793" s="52"/>
      <c r="E2793" s="52"/>
      <c r="F2793" s="52"/>
      <c r="G2793" s="52"/>
      <c r="H2793" s="52"/>
    </row>
    <row r="2794" spans="1:8" ht="15.75">
      <c r="A2794" s="124">
        <v>43461</v>
      </c>
      <c r="B2794" s="125">
        <v>47.49</v>
      </c>
      <c r="C2794" s="52"/>
      <c r="D2794" s="52"/>
      <c r="E2794" s="52"/>
      <c r="F2794" s="52"/>
      <c r="G2794" s="52"/>
      <c r="H2794" s="52"/>
    </row>
    <row r="2795" spans="1:8" ht="15.75">
      <c r="A2795" s="124">
        <v>43462</v>
      </c>
      <c r="B2795" s="125">
        <v>47.45</v>
      </c>
      <c r="C2795" s="52"/>
      <c r="D2795" s="52"/>
      <c r="E2795" s="52"/>
      <c r="F2795" s="52"/>
      <c r="G2795" s="52"/>
      <c r="H2795" s="52"/>
    </row>
    <row r="2796" spans="1:8" ht="15.75">
      <c r="A2796" s="124">
        <v>43467</v>
      </c>
      <c r="B2796" s="125">
        <v>47.46</v>
      </c>
      <c r="C2796" s="52"/>
      <c r="D2796" s="52"/>
      <c r="E2796" s="52"/>
      <c r="F2796" s="52"/>
      <c r="G2796" s="52"/>
      <c r="H2796" s="52"/>
    </row>
    <row r="2797" spans="1:8" ht="15.75">
      <c r="A2797" s="124">
        <v>43468</v>
      </c>
      <c r="B2797" s="125">
        <v>47.45</v>
      </c>
      <c r="C2797" s="52"/>
      <c r="D2797" s="52"/>
      <c r="E2797" s="52"/>
      <c r="F2797" s="52"/>
      <c r="G2797" s="52"/>
      <c r="H2797" s="52"/>
    </row>
    <row r="2798" spans="1:8" ht="15.75">
      <c r="A2798" s="124">
        <v>43469</v>
      </c>
      <c r="B2798" s="125">
        <v>47.74</v>
      </c>
      <c r="C2798" s="52"/>
      <c r="D2798" s="52"/>
      <c r="E2798" s="52"/>
      <c r="F2798" s="52"/>
      <c r="G2798" s="52"/>
      <c r="H2798" s="52"/>
    </row>
    <row r="2799" spans="1:8" ht="15.75">
      <c r="A2799" s="124">
        <v>43472</v>
      </c>
      <c r="B2799" s="125">
        <v>47.82</v>
      </c>
      <c r="C2799" s="52"/>
      <c r="D2799" s="52"/>
      <c r="E2799" s="52"/>
      <c r="F2799" s="52"/>
      <c r="G2799" s="52"/>
      <c r="H2799" s="52"/>
    </row>
    <row r="2800" spans="1:8" ht="15.75">
      <c r="A2800" s="124">
        <v>43473</v>
      </c>
      <c r="B2800" s="125">
        <v>47.71</v>
      </c>
      <c r="C2800" s="52"/>
      <c r="D2800" s="52"/>
      <c r="E2800" s="52"/>
      <c r="F2800" s="52"/>
      <c r="G2800" s="52"/>
      <c r="H2800" s="52"/>
    </row>
    <row r="2801" spans="1:8" ht="15.75">
      <c r="A2801" s="124">
        <v>43474</v>
      </c>
      <c r="B2801" s="125">
        <v>47.84</v>
      </c>
      <c r="C2801" s="52"/>
      <c r="D2801" s="52"/>
      <c r="E2801" s="52"/>
      <c r="F2801" s="52"/>
      <c r="G2801" s="52"/>
      <c r="H2801" s="52"/>
    </row>
    <row r="2802" spans="1:8" ht="15.75">
      <c r="A2802" s="124">
        <v>43475</v>
      </c>
      <c r="B2802" s="125">
        <v>47.9</v>
      </c>
      <c r="C2802" s="52"/>
      <c r="D2802" s="52"/>
      <c r="E2802" s="52"/>
      <c r="F2802" s="52"/>
      <c r="G2802" s="52"/>
      <c r="H2802" s="52"/>
    </row>
    <row r="2803" spans="1:8" ht="15.75">
      <c r="A2803" s="124">
        <v>43476</v>
      </c>
      <c r="B2803" s="125">
        <v>47.69</v>
      </c>
      <c r="C2803" s="52"/>
      <c r="D2803" s="52"/>
      <c r="E2803" s="52"/>
      <c r="F2803" s="52"/>
      <c r="G2803" s="52"/>
      <c r="H2803" s="52"/>
    </row>
    <row r="2804" spans="1:8" ht="15.75">
      <c r="A2804" s="124">
        <v>43479</v>
      </c>
      <c r="B2804" s="125">
        <v>48.16</v>
      </c>
      <c r="C2804" s="52"/>
      <c r="D2804" s="52"/>
      <c r="E2804" s="52"/>
      <c r="F2804" s="52"/>
      <c r="G2804" s="52"/>
      <c r="H2804" s="52"/>
    </row>
    <row r="2805" spans="1:8" ht="15.75">
      <c r="A2805" s="124">
        <v>43480</v>
      </c>
      <c r="B2805" s="125">
        <v>48.2</v>
      </c>
      <c r="C2805" s="52"/>
      <c r="D2805" s="52"/>
      <c r="E2805" s="52"/>
      <c r="F2805" s="52"/>
      <c r="G2805" s="52"/>
      <c r="H2805" s="52"/>
    </row>
    <row r="2806" spans="1:8" ht="15.75">
      <c r="A2806" s="124">
        <v>43481</v>
      </c>
      <c r="B2806" s="125">
        <v>48.05</v>
      </c>
      <c r="C2806" s="52"/>
      <c r="D2806" s="52"/>
      <c r="E2806" s="52"/>
      <c r="F2806" s="52"/>
      <c r="G2806" s="52"/>
      <c r="H2806" s="52"/>
    </row>
    <row r="2807" spans="1:8" ht="15.75">
      <c r="A2807" s="124">
        <v>43482</v>
      </c>
      <c r="B2807" s="125">
        <v>47.93</v>
      </c>
      <c r="C2807" s="52"/>
      <c r="D2807" s="52"/>
      <c r="E2807" s="52"/>
      <c r="F2807" s="52"/>
      <c r="G2807" s="52"/>
      <c r="H2807" s="52"/>
    </row>
    <row r="2808" spans="1:8" ht="15.75">
      <c r="A2808" s="124">
        <v>43483</v>
      </c>
      <c r="B2808" s="125">
        <v>48.25</v>
      </c>
      <c r="C2808" s="52"/>
      <c r="D2808" s="52"/>
      <c r="E2808" s="52"/>
      <c r="F2808" s="52"/>
      <c r="G2808" s="52"/>
      <c r="H2808" s="52"/>
    </row>
    <row r="2809" spans="1:8" ht="15.75">
      <c r="A2809" s="124">
        <v>43486</v>
      </c>
      <c r="B2809" s="125">
        <v>47.87</v>
      </c>
      <c r="C2809" s="52"/>
      <c r="D2809" s="52"/>
      <c r="E2809" s="52"/>
      <c r="F2809" s="52"/>
      <c r="G2809" s="52"/>
      <c r="H2809" s="52"/>
    </row>
    <row r="2810" spans="1:8" ht="15.75">
      <c r="A2810" s="124">
        <v>43487</v>
      </c>
      <c r="B2810" s="125">
        <v>48.05</v>
      </c>
      <c r="C2810" s="52"/>
      <c r="D2810" s="52"/>
      <c r="E2810" s="52"/>
      <c r="F2810" s="52"/>
      <c r="G2810" s="52"/>
      <c r="H2810" s="52"/>
    </row>
    <row r="2811" spans="1:8" ht="15.75">
      <c r="A2811" s="124">
        <v>43488</v>
      </c>
      <c r="B2811" s="125">
        <v>48</v>
      </c>
      <c r="C2811" s="52"/>
      <c r="D2811" s="52"/>
      <c r="E2811" s="52"/>
      <c r="F2811" s="52"/>
      <c r="G2811" s="52"/>
      <c r="H2811" s="52"/>
    </row>
    <row r="2812" spans="1:8" ht="15.75">
      <c r="A2812" s="124">
        <v>43489</v>
      </c>
      <c r="B2812" s="125">
        <v>47.97</v>
      </c>
      <c r="C2812" s="52"/>
      <c r="D2812" s="52"/>
      <c r="E2812" s="52"/>
      <c r="F2812" s="52"/>
      <c r="G2812" s="52"/>
      <c r="H2812" s="52"/>
    </row>
    <row r="2813" spans="1:8" ht="15.75">
      <c r="A2813" s="124">
        <v>43490</v>
      </c>
      <c r="B2813" s="125">
        <v>47.75</v>
      </c>
      <c r="C2813" s="52"/>
      <c r="D2813" s="52"/>
      <c r="E2813" s="52"/>
      <c r="F2813" s="52"/>
      <c r="G2813" s="52"/>
      <c r="H2813" s="52"/>
    </row>
    <row r="2814" spans="1:8" ht="15.75">
      <c r="A2814" s="124">
        <v>43493</v>
      </c>
      <c r="B2814" s="125">
        <v>47.85</v>
      </c>
      <c r="C2814" s="52"/>
      <c r="D2814" s="52"/>
      <c r="E2814" s="52"/>
      <c r="F2814" s="52"/>
      <c r="G2814" s="52"/>
      <c r="H2814" s="52"/>
    </row>
    <row r="2815" spans="1:8" ht="15.75">
      <c r="A2815" s="124">
        <v>43494</v>
      </c>
      <c r="B2815" s="125">
        <v>47.85</v>
      </c>
      <c r="C2815" s="52"/>
      <c r="D2815" s="52"/>
      <c r="E2815" s="52"/>
      <c r="F2815" s="52"/>
      <c r="G2815" s="52"/>
      <c r="H2815" s="52"/>
    </row>
    <row r="2816" spans="1:8" ht="15.75">
      <c r="A2816" s="124">
        <v>43495</v>
      </c>
      <c r="B2816" s="125">
        <v>48.48</v>
      </c>
      <c r="C2816" s="52"/>
      <c r="D2816" s="52"/>
      <c r="E2816" s="52"/>
      <c r="F2816" s="52"/>
      <c r="G2816" s="52"/>
      <c r="H2816" s="52"/>
    </row>
    <row r="2817" spans="1:8" ht="15.75">
      <c r="A2817" s="124">
        <v>43496</v>
      </c>
      <c r="B2817" s="125">
        <v>47.52</v>
      </c>
      <c r="C2817" s="52"/>
      <c r="D2817" s="52"/>
      <c r="E2817" s="52"/>
      <c r="F2817" s="52"/>
      <c r="G2817" s="52"/>
      <c r="H2817" s="52"/>
    </row>
    <row r="2818" spans="1:8" ht="15.75">
      <c r="A2818" s="124">
        <v>43497</v>
      </c>
      <c r="B2818" s="125">
        <v>48.11</v>
      </c>
      <c r="C2818" s="52"/>
      <c r="D2818" s="52"/>
      <c r="E2818" s="52"/>
      <c r="F2818" s="52"/>
      <c r="G2818" s="52"/>
      <c r="H2818" s="52"/>
    </row>
    <row r="2819" spans="1:8" ht="15.75">
      <c r="A2819" s="124">
        <v>43500</v>
      </c>
      <c r="B2819" s="125">
        <v>48.6</v>
      </c>
      <c r="C2819" s="52"/>
      <c r="D2819" s="52"/>
      <c r="E2819" s="52"/>
      <c r="F2819" s="52"/>
      <c r="G2819" s="52"/>
      <c r="H2819" s="52"/>
    </row>
    <row r="2820" spans="1:8" ht="15.75">
      <c r="A2820" s="124">
        <v>43501</v>
      </c>
      <c r="B2820" s="125">
        <v>48.2</v>
      </c>
      <c r="C2820" s="52"/>
      <c r="D2820" s="52"/>
      <c r="E2820" s="52"/>
      <c r="F2820" s="52"/>
      <c r="G2820" s="52"/>
      <c r="H2820" s="52"/>
    </row>
    <row r="2821" spans="1:8" ht="15.75">
      <c r="A2821" s="124">
        <v>43502</v>
      </c>
      <c r="B2821" s="125">
        <v>48.17</v>
      </c>
      <c r="C2821" s="52"/>
      <c r="D2821" s="52"/>
      <c r="E2821" s="52"/>
      <c r="F2821" s="52"/>
      <c r="G2821" s="52"/>
      <c r="H2821" s="52"/>
    </row>
    <row r="2822" spans="1:8" ht="15.75">
      <c r="A2822" s="124">
        <v>43503</v>
      </c>
      <c r="B2822" s="125">
        <v>48.08</v>
      </c>
      <c r="C2822" s="52"/>
      <c r="D2822" s="52"/>
      <c r="E2822" s="52"/>
      <c r="F2822" s="52"/>
      <c r="G2822" s="52"/>
      <c r="H2822" s="52"/>
    </row>
    <row r="2823" spans="1:8" ht="15.75">
      <c r="A2823" s="124">
        <v>43504</v>
      </c>
      <c r="B2823" s="125">
        <v>47.81</v>
      </c>
      <c r="C2823" s="52"/>
      <c r="D2823" s="52"/>
      <c r="E2823" s="52"/>
      <c r="F2823" s="52"/>
      <c r="G2823" s="52"/>
      <c r="H2823" s="52"/>
    </row>
    <row r="2824" spans="1:8" ht="15.75">
      <c r="A2824" s="124">
        <v>43507</v>
      </c>
      <c r="B2824" s="125">
        <v>47.81</v>
      </c>
      <c r="C2824" s="52"/>
      <c r="D2824" s="52"/>
      <c r="E2824" s="52"/>
      <c r="F2824" s="52"/>
      <c r="G2824" s="52"/>
      <c r="H2824" s="52"/>
    </row>
    <row r="2825" spans="1:8" ht="15.75">
      <c r="A2825" s="124">
        <v>43508</v>
      </c>
      <c r="B2825" s="125">
        <v>47.85</v>
      </c>
      <c r="C2825" s="52"/>
      <c r="D2825" s="52"/>
      <c r="E2825" s="52"/>
      <c r="F2825" s="52"/>
      <c r="G2825" s="52"/>
      <c r="H2825" s="52"/>
    </row>
    <row r="2826" spans="1:8" ht="15.75">
      <c r="A2826" s="124">
        <v>43509</v>
      </c>
      <c r="B2826" s="125">
        <v>47.9</v>
      </c>
      <c r="C2826" s="52"/>
      <c r="D2826" s="52"/>
      <c r="E2826" s="52"/>
      <c r="F2826" s="52"/>
      <c r="G2826" s="52"/>
      <c r="H2826" s="52"/>
    </row>
    <row r="2827" spans="1:8" ht="15.75">
      <c r="A2827" s="124">
        <v>43510</v>
      </c>
      <c r="B2827" s="125">
        <v>48.3</v>
      </c>
      <c r="C2827" s="52"/>
      <c r="D2827" s="52"/>
      <c r="E2827" s="52"/>
      <c r="F2827" s="52"/>
      <c r="G2827" s="52"/>
      <c r="H2827" s="52"/>
    </row>
    <row r="2828" spans="1:8" ht="15.75">
      <c r="A2828" s="124">
        <v>43511</v>
      </c>
      <c r="B2828" s="125">
        <v>48.25</v>
      </c>
      <c r="C2828" s="52"/>
      <c r="D2828" s="52"/>
      <c r="E2828" s="52"/>
      <c r="F2828" s="52"/>
      <c r="G2828" s="52"/>
      <c r="H2828" s="52"/>
    </row>
    <row r="2829" spans="1:8" ht="15.75">
      <c r="A2829" s="124">
        <v>43514</v>
      </c>
      <c r="B2829" s="125">
        <v>48.33</v>
      </c>
      <c r="C2829" s="52"/>
      <c r="D2829" s="52"/>
      <c r="E2829" s="52"/>
      <c r="F2829" s="52"/>
      <c r="G2829" s="52"/>
      <c r="H2829" s="52"/>
    </row>
    <row r="2830" spans="1:8" ht="15.75">
      <c r="A2830" s="124">
        <v>43515</v>
      </c>
      <c r="B2830" s="125">
        <v>48.55</v>
      </c>
      <c r="C2830" s="52"/>
      <c r="D2830" s="52"/>
      <c r="E2830" s="52"/>
      <c r="F2830" s="52"/>
      <c r="G2830" s="52"/>
      <c r="H2830" s="52"/>
    </row>
    <row r="2831" spans="1:8" ht="15.75">
      <c r="A2831" s="124">
        <v>43516</v>
      </c>
      <c r="B2831" s="125">
        <v>48.7</v>
      </c>
      <c r="C2831" s="52"/>
      <c r="D2831" s="52"/>
      <c r="E2831" s="52"/>
      <c r="F2831" s="52"/>
      <c r="G2831" s="52"/>
      <c r="H2831" s="52"/>
    </row>
    <row r="2832" spans="1:8" ht="15.75">
      <c r="A2832" s="124">
        <v>43517</v>
      </c>
      <c r="B2832" s="125">
        <v>48.3</v>
      </c>
      <c r="C2832" s="52"/>
      <c r="D2832" s="52"/>
      <c r="E2832" s="52"/>
      <c r="F2832" s="52"/>
      <c r="G2832" s="52"/>
      <c r="H2832" s="52"/>
    </row>
    <row r="2833" spans="1:8" ht="15.75">
      <c r="A2833" s="124">
        <v>43518</v>
      </c>
      <c r="B2833" s="125">
        <v>48.17</v>
      </c>
      <c r="C2833" s="52"/>
      <c r="D2833" s="52"/>
      <c r="E2833" s="52"/>
      <c r="F2833" s="52"/>
      <c r="G2833" s="52"/>
      <c r="H2833" s="52"/>
    </row>
    <row r="2834" spans="1:8" ht="15.75">
      <c r="A2834" s="124">
        <v>43521</v>
      </c>
      <c r="B2834" s="125">
        <v>47.95</v>
      </c>
      <c r="C2834" s="52"/>
      <c r="D2834" s="52"/>
      <c r="E2834" s="52"/>
      <c r="F2834" s="52"/>
      <c r="G2834" s="52"/>
      <c r="H2834" s="52"/>
    </row>
    <row r="2835" spans="1:8" ht="15.75">
      <c r="A2835" s="124">
        <v>43522</v>
      </c>
      <c r="B2835" s="125">
        <v>47.97</v>
      </c>
      <c r="C2835" s="52"/>
      <c r="D2835" s="52"/>
      <c r="E2835" s="52"/>
      <c r="F2835" s="52"/>
      <c r="G2835" s="52"/>
      <c r="H2835" s="52"/>
    </row>
    <row r="2836" spans="1:8" ht="15.75">
      <c r="A2836" s="124">
        <v>43523</v>
      </c>
      <c r="B2836" s="125">
        <v>47.9</v>
      </c>
      <c r="C2836" s="52"/>
      <c r="D2836" s="52"/>
      <c r="E2836" s="52"/>
      <c r="F2836" s="52"/>
      <c r="G2836" s="52"/>
      <c r="H2836" s="52"/>
    </row>
    <row r="2837" spans="1:8" ht="15.75">
      <c r="A2837" s="124">
        <v>43524</v>
      </c>
      <c r="B2837" s="125">
        <v>47.86</v>
      </c>
      <c r="C2837" s="52"/>
      <c r="D2837" s="52"/>
      <c r="E2837" s="52"/>
      <c r="F2837" s="52"/>
      <c r="G2837" s="52"/>
      <c r="H2837" s="52"/>
    </row>
    <row r="2838" spans="1:8" ht="15.75">
      <c r="A2838" s="124">
        <v>43525</v>
      </c>
      <c r="B2838" s="125">
        <v>47.81</v>
      </c>
      <c r="C2838" s="52"/>
      <c r="D2838" s="52"/>
      <c r="E2838" s="52"/>
      <c r="F2838" s="52"/>
      <c r="G2838" s="52"/>
      <c r="H2838" s="52"/>
    </row>
    <row r="2839" spans="1:8" ht="15.75">
      <c r="A2839" s="124">
        <v>43528</v>
      </c>
      <c r="B2839" s="125">
        <v>47.9</v>
      </c>
      <c r="C2839" s="52"/>
      <c r="D2839" s="52"/>
      <c r="E2839" s="52"/>
      <c r="F2839" s="52"/>
      <c r="G2839" s="52"/>
      <c r="H2839" s="52"/>
    </row>
    <row r="2840" spans="1:8" ht="15.75">
      <c r="A2840" s="124">
        <v>43529</v>
      </c>
      <c r="B2840" s="125">
        <v>48.2</v>
      </c>
      <c r="C2840" s="52"/>
      <c r="D2840" s="52"/>
      <c r="E2840" s="52"/>
      <c r="F2840" s="52"/>
      <c r="G2840" s="52"/>
      <c r="H2840" s="52"/>
    </row>
    <row r="2841" spans="1:8" ht="15.75">
      <c r="A2841" s="124">
        <v>43530</v>
      </c>
      <c r="B2841" s="125">
        <v>48.58</v>
      </c>
      <c r="C2841" s="52"/>
      <c r="D2841" s="52"/>
      <c r="E2841" s="52"/>
      <c r="F2841" s="52"/>
      <c r="G2841" s="52"/>
      <c r="H2841" s="52"/>
    </row>
    <row r="2842" spans="1:8" ht="15.75">
      <c r="A2842" s="124">
        <v>43531</v>
      </c>
      <c r="B2842" s="125">
        <v>48.7</v>
      </c>
      <c r="C2842" s="52"/>
      <c r="D2842" s="52"/>
      <c r="E2842" s="52"/>
      <c r="F2842" s="52"/>
      <c r="G2842" s="52"/>
      <c r="H2842" s="52"/>
    </row>
    <row r="2843" spans="1:8" ht="15.75">
      <c r="A2843" s="124">
        <v>43532</v>
      </c>
      <c r="B2843" s="125">
        <v>49.28</v>
      </c>
      <c r="C2843" s="52"/>
      <c r="D2843" s="52"/>
      <c r="E2843" s="52"/>
      <c r="F2843" s="52"/>
      <c r="G2843" s="52"/>
      <c r="H2843" s="52"/>
    </row>
    <row r="2844" spans="1:8" ht="15.75">
      <c r="A2844" s="124">
        <v>43535</v>
      </c>
      <c r="B2844" s="125">
        <v>48.51</v>
      </c>
      <c r="C2844" s="52"/>
      <c r="D2844" s="52"/>
      <c r="E2844" s="52"/>
      <c r="F2844" s="52"/>
      <c r="G2844" s="52"/>
      <c r="H2844" s="52"/>
    </row>
    <row r="2845" spans="1:8" ht="15.75">
      <c r="A2845" s="124">
        <v>43536</v>
      </c>
      <c r="B2845" s="125">
        <v>48.56</v>
      </c>
      <c r="C2845" s="52"/>
      <c r="D2845" s="52"/>
      <c r="E2845" s="52"/>
      <c r="F2845" s="52"/>
      <c r="G2845" s="52"/>
      <c r="H2845" s="52"/>
    </row>
    <row r="2846" spans="1:8" ht="15.75">
      <c r="A2846" s="124">
        <v>43537</v>
      </c>
      <c r="B2846" s="125">
        <v>48.56</v>
      </c>
      <c r="C2846" s="52"/>
      <c r="D2846" s="52"/>
      <c r="E2846" s="52"/>
      <c r="F2846" s="52"/>
      <c r="G2846" s="52"/>
      <c r="H2846" s="52"/>
    </row>
    <row r="2847" spans="1:8" ht="15.75">
      <c r="A2847" s="124">
        <v>43538</v>
      </c>
      <c r="B2847" s="125">
        <v>48.45</v>
      </c>
      <c r="C2847" s="52"/>
      <c r="D2847" s="52"/>
      <c r="E2847" s="52"/>
      <c r="F2847" s="52"/>
      <c r="G2847" s="52"/>
      <c r="H2847" s="52"/>
    </row>
    <row r="2848" spans="1:8" ht="15.75">
      <c r="A2848" s="124">
        <v>43539</v>
      </c>
      <c r="B2848" s="125">
        <v>48.68</v>
      </c>
      <c r="C2848" s="52"/>
      <c r="D2848" s="52"/>
      <c r="E2848" s="52"/>
      <c r="F2848" s="52"/>
      <c r="G2848" s="52"/>
      <c r="H2848" s="52"/>
    </row>
    <row r="2849" spans="1:8" ht="15.75">
      <c r="A2849" s="124">
        <v>43542</v>
      </c>
      <c r="B2849" s="125">
        <v>48.39</v>
      </c>
      <c r="C2849" s="52"/>
      <c r="D2849" s="52"/>
      <c r="E2849" s="52"/>
      <c r="F2849" s="52"/>
      <c r="G2849" s="52"/>
      <c r="H2849" s="52"/>
    </row>
    <row r="2850" spans="1:8" ht="15.75">
      <c r="A2850" s="124">
        <v>43543</v>
      </c>
      <c r="B2850" s="125">
        <v>48.4</v>
      </c>
      <c r="C2850" s="52"/>
      <c r="D2850" s="52"/>
      <c r="E2850" s="52"/>
      <c r="F2850" s="52"/>
      <c r="G2850" s="52"/>
      <c r="H2850" s="52"/>
    </row>
    <row r="2851" spans="1:8" ht="15.75">
      <c r="A2851" s="124">
        <v>43544</v>
      </c>
      <c r="B2851" s="125">
        <v>48.23</v>
      </c>
      <c r="C2851" s="52"/>
      <c r="D2851" s="52"/>
      <c r="E2851" s="52"/>
      <c r="F2851" s="52"/>
      <c r="G2851" s="52"/>
      <c r="H2851" s="52"/>
    </row>
    <row r="2852" spans="1:8" ht="15.75">
      <c r="A2852" s="124">
        <v>43545</v>
      </c>
      <c r="B2852" s="125">
        <v>48.21</v>
      </c>
      <c r="C2852" s="52"/>
      <c r="D2852" s="52"/>
      <c r="E2852" s="52"/>
      <c r="F2852" s="52"/>
      <c r="G2852" s="52"/>
      <c r="H2852" s="52"/>
    </row>
    <row r="2853" spans="1:8" ht="15.75">
      <c r="A2853" s="124">
        <v>43546</v>
      </c>
      <c r="B2853" s="125">
        <v>48.02</v>
      </c>
      <c r="C2853" s="52"/>
      <c r="D2853" s="52"/>
      <c r="E2853" s="52"/>
      <c r="F2853" s="52"/>
      <c r="G2853" s="52"/>
      <c r="H2853" s="52"/>
    </row>
    <row r="2854" spans="1:8" ht="15.75">
      <c r="A2854" s="124">
        <v>43549</v>
      </c>
      <c r="B2854" s="125">
        <v>48.05</v>
      </c>
      <c r="C2854" s="52"/>
      <c r="D2854" s="52"/>
      <c r="E2854" s="52"/>
      <c r="F2854" s="52"/>
      <c r="G2854" s="52"/>
      <c r="H2854" s="52"/>
    </row>
    <row r="2855" spans="1:8" ht="15.75">
      <c r="A2855" s="124">
        <v>43550</v>
      </c>
      <c r="B2855" s="125">
        <v>48.08</v>
      </c>
      <c r="C2855" s="52"/>
      <c r="D2855" s="52"/>
      <c r="E2855" s="52"/>
      <c r="F2855" s="52"/>
      <c r="G2855" s="52"/>
      <c r="H2855" s="52"/>
    </row>
    <row r="2856" spans="1:8" ht="15.75">
      <c r="A2856" s="124">
        <v>43551</v>
      </c>
      <c r="B2856" s="125">
        <v>47.91</v>
      </c>
      <c r="C2856" s="52"/>
      <c r="D2856" s="52"/>
      <c r="E2856" s="52"/>
      <c r="F2856" s="52"/>
      <c r="G2856" s="52"/>
      <c r="H2856" s="52"/>
    </row>
    <row r="2857" spans="1:8" ht="15.75">
      <c r="A2857" s="124">
        <v>43552</v>
      </c>
      <c r="B2857" s="125">
        <v>48.02</v>
      </c>
      <c r="C2857" s="52"/>
      <c r="D2857" s="52"/>
      <c r="E2857" s="52"/>
      <c r="F2857" s="52"/>
      <c r="G2857" s="52"/>
      <c r="H2857" s="52"/>
    </row>
    <row r="2858" spans="1:8" ht="15.75">
      <c r="A2858" s="124">
        <v>43553</v>
      </c>
      <c r="B2858" s="125">
        <v>48.01</v>
      </c>
      <c r="C2858" s="52"/>
      <c r="D2858" s="52"/>
      <c r="E2858" s="52"/>
      <c r="F2858" s="52"/>
      <c r="G2858" s="52"/>
      <c r="H2858" s="52"/>
    </row>
    <row r="2859" spans="1:8" ht="15.75">
      <c r="A2859" s="124">
        <v>43556</v>
      </c>
      <c r="B2859" s="125">
        <v>48.17</v>
      </c>
      <c r="C2859" s="52"/>
      <c r="D2859" s="52"/>
      <c r="E2859" s="52"/>
      <c r="F2859" s="52"/>
      <c r="G2859" s="52"/>
      <c r="H2859" s="52"/>
    </row>
    <row r="2860" spans="1:8" ht="15.75">
      <c r="A2860" s="124">
        <v>43557</v>
      </c>
      <c r="B2860" s="125">
        <v>48.37</v>
      </c>
      <c r="C2860" s="52"/>
      <c r="D2860" s="52"/>
      <c r="E2860" s="52"/>
      <c r="F2860" s="52"/>
      <c r="G2860" s="52"/>
      <c r="H2860" s="52"/>
    </row>
    <row r="2861" spans="1:8" ht="15.75">
      <c r="A2861" s="124">
        <v>43558</v>
      </c>
      <c r="B2861" s="125">
        <v>48.2</v>
      </c>
      <c r="C2861" s="52"/>
      <c r="D2861" s="52"/>
      <c r="E2861" s="52"/>
      <c r="F2861" s="52"/>
      <c r="G2861" s="52"/>
      <c r="H2861" s="52"/>
    </row>
    <row r="2862" spans="1:8" ht="15.75">
      <c r="A2862" s="124">
        <v>43559</v>
      </c>
      <c r="B2862" s="125">
        <v>48.36</v>
      </c>
      <c r="C2862" s="52"/>
      <c r="D2862" s="52"/>
      <c r="E2862" s="52"/>
      <c r="F2862" s="52"/>
      <c r="G2862" s="52"/>
      <c r="H2862" s="52"/>
    </row>
    <row r="2863" spans="1:8" ht="15.75">
      <c r="A2863" s="124">
        <v>43560</v>
      </c>
      <c r="B2863" s="125">
        <v>48.38</v>
      </c>
      <c r="C2863" s="52"/>
      <c r="D2863" s="52"/>
      <c r="E2863" s="52"/>
      <c r="F2863" s="52"/>
      <c r="G2863" s="52"/>
      <c r="H2863" s="52"/>
    </row>
    <row r="2864" spans="1:8" ht="15.75">
      <c r="A2864" s="124">
        <v>43563</v>
      </c>
      <c r="B2864" s="125">
        <v>48.33</v>
      </c>
      <c r="C2864" s="52"/>
      <c r="D2864" s="52"/>
      <c r="E2864" s="52"/>
      <c r="F2864" s="52"/>
      <c r="G2864" s="52"/>
      <c r="H2864" s="52"/>
    </row>
    <row r="2865" spans="1:8" ht="15.75">
      <c r="A2865" s="124">
        <v>43564</v>
      </c>
      <c r="B2865" s="125">
        <v>48.15</v>
      </c>
      <c r="C2865" s="52"/>
      <c r="D2865" s="52"/>
      <c r="E2865" s="52"/>
      <c r="F2865" s="52"/>
      <c r="G2865" s="52"/>
      <c r="H2865" s="52"/>
    </row>
    <row r="2866" spans="1:8" ht="15.75">
      <c r="A2866" s="124">
        <v>43565</v>
      </c>
      <c r="B2866" s="125">
        <v>48.08</v>
      </c>
      <c r="C2866" s="52"/>
      <c r="D2866" s="52"/>
      <c r="E2866" s="52"/>
      <c r="F2866" s="52"/>
      <c r="G2866" s="52"/>
      <c r="H2866" s="52"/>
    </row>
    <row r="2867" spans="1:8" ht="15.75">
      <c r="A2867" s="124">
        <v>43566</v>
      </c>
      <c r="B2867" s="125">
        <v>48.15</v>
      </c>
      <c r="C2867" s="52"/>
      <c r="D2867" s="52"/>
      <c r="E2867" s="52"/>
      <c r="F2867" s="52"/>
      <c r="G2867" s="52"/>
      <c r="H2867" s="52"/>
    </row>
    <row r="2868" spans="1:8" ht="15.75">
      <c r="A2868" s="124">
        <v>43567</v>
      </c>
      <c r="B2868" s="125">
        <v>48.16</v>
      </c>
      <c r="C2868" s="52"/>
      <c r="D2868" s="52"/>
      <c r="E2868" s="52"/>
      <c r="F2868" s="52"/>
      <c r="G2868" s="52"/>
      <c r="H2868" s="52"/>
    </row>
    <row r="2869" spans="1:8" ht="15.75">
      <c r="A2869" s="124">
        <v>43570</v>
      </c>
      <c r="B2869" s="125">
        <v>48.25</v>
      </c>
      <c r="C2869" s="52"/>
      <c r="D2869" s="52"/>
      <c r="E2869" s="52"/>
      <c r="F2869" s="52"/>
      <c r="G2869" s="52"/>
      <c r="H2869" s="52"/>
    </row>
    <row r="2870" spans="1:8" ht="15.75">
      <c r="A2870" s="124">
        <v>43571</v>
      </c>
      <c r="B2870" s="125">
        <v>48.25</v>
      </c>
      <c r="C2870" s="52"/>
      <c r="D2870" s="52"/>
      <c r="E2870" s="52"/>
      <c r="F2870" s="52"/>
      <c r="G2870" s="52"/>
      <c r="H2870" s="52"/>
    </row>
    <row r="2871" spans="1:8" ht="15.75">
      <c r="A2871" s="124">
        <v>43572</v>
      </c>
      <c r="B2871" s="125">
        <v>48.24</v>
      </c>
      <c r="C2871" s="52"/>
      <c r="D2871" s="52"/>
      <c r="E2871" s="52"/>
      <c r="F2871" s="52"/>
      <c r="G2871" s="52"/>
      <c r="H2871" s="52"/>
    </row>
    <row r="2872" spans="1:8" ht="15.75">
      <c r="A2872" s="124">
        <v>43573</v>
      </c>
      <c r="B2872" s="125">
        <v>47.96</v>
      </c>
      <c r="C2872" s="52"/>
      <c r="D2872" s="52"/>
      <c r="E2872" s="52"/>
      <c r="F2872" s="52"/>
      <c r="G2872" s="52"/>
      <c r="H2872" s="52"/>
    </row>
    <row r="2873" spans="1:8" ht="15.75">
      <c r="A2873" s="124">
        <v>43578</v>
      </c>
      <c r="B2873" s="125">
        <v>48.11</v>
      </c>
      <c r="C2873" s="52"/>
      <c r="D2873" s="52"/>
      <c r="E2873" s="52"/>
      <c r="F2873" s="52"/>
      <c r="G2873" s="52"/>
      <c r="H2873" s="52"/>
    </row>
    <row r="2874" spans="1:8" ht="15.75">
      <c r="A2874" s="124">
        <v>43579</v>
      </c>
      <c r="B2874" s="125">
        <v>48</v>
      </c>
      <c r="C2874" s="52"/>
      <c r="D2874" s="52"/>
      <c r="E2874" s="52"/>
      <c r="F2874" s="52"/>
      <c r="G2874" s="52"/>
      <c r="H2874" s="52"/>
    </row>
    <row r="2875" spans="1:8" ht="15.75">
      <c r="A2875" s="124">
        <v>43580</v>
      </c>
      <c r="B2875" s="125">
        <v>48.07</v>
      </c>
      <c r="C2875" s="52"/>
      <c r="D2875" s="52"/>
      <c r="E2875" s="52"/>
      <c r="F2875" s="52"/>
      <c r="G2875" s="52"/>
      <c r="H2875" s="52"/>
    </row>
    <row r="2876" spans="1:8" ht="15.75">
      <c r="A2876" s="124">
        <v>43581</v>
      </c>
      <c r="B2876" s="125">
        <v>48.06</v>
      </c>
      <c r="C2876" s="52"/>
      <c r="D2876" s="52"/>
      <c r="E2876" s="52"/>
      <c r="F2876" s="52"/>
      <c r="G2876" s="52"/>
      <c r="H2876" s="52"/>
    </row>
    <row r="2877" spans="1:8" ht="15.75">
      <c r="A2877" s="124">
        <v>43584</v>
      </c>
      <c r="B2877" s="125">
        <v>48.2</v>
      </c>
      <c r="C2877" s="52"/>
      <c r="D2877" s="52"/>
      <c r="E2877" s="52"/>
      <c r="F2877" s="52"/>
      <c r="G2877" s="52"/>
      <c r="H2877" s="52"/>
    </row>
    <row r="2878" spans="1:8" ht="15.75">
      <c r="A2878" s="124">
        <v>43585</v>
      </c>
      <c r="B2878" s="125">
        <v>47.97</v>
      </c>
      <c r="C2878" s="52"/>
      <c r="D2878" s="52"/>
      <c r="E2878" s="52"/>
      <c r="F2878" s="52"/>
      <c r="G2878" s="52"/>
      <c r="H2878" s="52"/>
    </row>
    <row r="2879" spans="1:8" ht="15.75">
      <c r="A2879" s="124">
        <v>43587</v>
      </c>
      <c r="B2879" s="125">
        <v>48.06</v>
      </c>
      <c r="C2879" s="52"/>
      <c r="D2879" s="52"/>
      <c r="E2879" s="52"/>
      <c r="F2879" s="52"/>
      <c r="G2879" s="52"/>
      <c r="H2879" s="52"/>
    </row>
    <row r="2880" spans="1:8" ht="15.75">
      <c r="A2880" s="124">
        <v>43588</v>
      </c>
      <c r="B2880" s="125">
        <v>48.06</v>
      </c>
      <c r="C2880" s="52"/>
      <c r="D2880" s="52"/>
      <c r="E2880" s="52"/>
      <c r="F2880" s="52"/>
      <c r="G2880" s="52"/>
      <c r="H2880" s="52"/>
    </row>
    <row r="2881" spans="1:8" ht="15.75">
      <c r="A2881" s="124">
        <v>43591</v>
      </c>
      <c r="B2881" s="125">
        <v>48.15</v>
      </c>
      <c r="C2881" s="52"/>
      <c r="D2881" s="52"/>
      <c r="E2881" s="52"/>
      <c r="F2881" s="52"/>
      <c r="G2881" s="52"/>
      <c r="H2881" s="52"/>
    </row>
    <row r="2882" spans="1:8" ht="15.75">
      <c r="A2882" s="124">
        <v>43592</v>
      </c>
      <c r="B2882" s="125">
        <v>48.18</v>
      </c>
      <c r="C2882" s="52"/>
      <c r="D2882" s="52"/>
      <c r="E2882" s="52"/>
      <c r="F2882" s="52"/>
      <c r="G2882" s="52"/>
      <c r="H2882" s="52"/>
    </row>
    <row r="2883" spans="1:8" ht="15.75">
      <c r="A2883" s="124">
        <v>43593</v>
      </c>
      <c r="B2883" s="125">
        <v>48.27</v>
      </c>
      <c r="C2883" s="52"/>
      <c r="D2883" s="52"/>
      <c r="E2883" s="52"/>
      <c r="F2883" s="52"/>
      <c r="G2883" s="52"/>
      <c r="H2883" s="52"/>
    </row>
    <row r="2884" spans="1:8" ht="15.75">
      <c r="A2884" s="124">
        <v>43594</v>
      </c>
      <c r="B2884" s="125">
        <v>48.12</v>
      </c>
      <c r="C2884" s="52"/>
      <c r="D2884" s="52"/>
      <c r="E2884" s="52"/>
      <c r="F2884" s="52"/>
      <c r="G2884" s="52"/>
      <c r="H2884" s="52"/>
    </row>
    <row r="2885" spans="1:8" ht="15.75">
      <c r="A2885" s="124">
        <v>43595</v>
      </c>
      <c r="B2885" s="125">
        <v>48.15</v>
      </c>
      <c r="C2885" s="52"/>
      <c r="D2885" s="52"/>
      <c r="E2885" s="52"/>
      <c r="F2885" s="52"/>
      <c r="G2885" s="52"/>
      <c r="H2885" s="52"/>
    </row>
    <row r="2886" spans="1:8" ht="15.75">
      <c r="A2886" s="124">
        <v>43598</v>
      </c>
      <c r="B2886" s="125">
        <v>48.1</v>
      </c>
      <c r="C2886" s="52"/>
      <c r="D2886" s="52"/>
      <c r="E2886" s="52"/>
      <c r="F2886" s="52"/>
      <c r="G2886" s="52"/>
      <c r="H2886" s="52"/>
    </row>
    <row r="2887" spans="1:8" ht="15.75">
      <c r="A2887" s="124">
        <v>43599</v>
      </c>
      <c r="B2887" s="125">
        <v>48.25</v>
      </c>
      <c r="C2887" s="52"/>
      <c r="D2887" s="52"/>
      <c r="E2887" s="52"/>
      <c r="F2887" s="52"/>
      <c r="G2887" s="52"/>
      <c r="H2887" s="52"/>
    </row>
    <row r="2888" spans="1:8" ht="15.75">
      <c r="A2888" s="124">
        <v>43600</v>
      </c>
      <c r="B2888" s="125">
        <v>48.18</v>
      </c>
      <c r="C2888" s="52"/>
      <c r="D2888" s="52"/>
      <c r="E2888" s="52"/>
      <c r="F2888" s="52"/>
      <c r="G2888" s="52"/>
      <c r="H2888" s="52"/>
    </row>
    <row r="2889" spans="1:8" ht="15.75">
      <c r="A2889" s="124">
        <v>43601</v>
      </c>
      <c r="B2889" s="125">
        <v>48.14</v>
      </c>
      <c r="C2889" s="52"/>
      <c r="D2889" s="52"/>
      <c r="E2889" s="52"/>
      <c r="F2889" s="52"/>
      <c r="G2889" s="52"/>
      <c r="H2889" s="52"/>
    </row>
    <row r="2890" spans="1:8" ht="15.75">
      <c r="A2890" s="124">
        <v>43602</v>
      </c>
      <c r="B2890" s="125">
        <v>48.18</v>
      </c>
      <c r="C2890" s="52"/>
      <c r="D2890" s="52"/>
      <c r="E2890" s="52"/>
      <c r="F2890" s="52"/>
      <c r="G2890" s="52"/>
      <c r="H2890" s="52"/>
    </row>
    <row r="2891" spans="1:8" ht="15.75">
      <c r="A2891" s="124">
        <v>43605</v>
      </c>
      <c r="B2891" s="125">
        <v>48.2</v>
      </c>
      <c r="C2891" s="52"/>
      <c r="D2891" s="52"/>
      <c r="E2891" s="52"/>
      <c r="F2891" s="52"/>
      <c r="G2891" s="52"/>
      <c r="H2891" s="52"/>
    </row>
    <row r="2892" spans="1:8" ht="15.75">
      <c r="A2892" s="124">
        <v>43606</v>
      </c>
      <c r="B2892" s="125">
        <v>48.2</v>
      </c>
      <c r="C2892" s="52"/>
      <c r="D2892" s="52"/>
      <c r="E2892" s="52"/>
      <c r="F2892" s="52"/>
      <c r="G2892" s="52"/>
      <c r="H2892" s="52"/>
    </row>
    <row r="2893" spans="1:8" ht="15.75">
      <c r="A2893" s="124">
        <v>43607</v>
      </c>
      <c r="B2893" s="125">
        <v>48.15</v>
      </c>
      <c r="C2893" s="52"/>
      <c r="D2893" s="52"/>
      <c r="E2893" s="52"/>
      <c r="F2893" s="52"/>
      <c r="G2893" s="52"/>
      <c r="H2893" s="52"/>
    </row>
    <row r="2894" spans="1:8" ht="15.75">
      <c r="A2894" s="124">
        <v>43608</v>
      </c>
      <c r="B2894" s="125">
        <v>48.11</v>
      </c>
      <c r="C2894" s="52"/>
      <c r="D2894" s="52"/>
      <c r="E2894" s="52"/>
      <c r="F2894" s="52"/>
      <c r="G2894" s="52"/>
      <c r="H2894" s="52"/>
    </row>
    <row r="2895" spans="1:8" ht="15.75">
      <c r="A2895" s="124">
        <v>43609</v>
      </c>
      <c r="B2895" s="125">
        <v>48.15</v>
      </c>
      <c r="C2895" s="52"/>
      <c r="D2895" s="52"/>
      <c r="E2895" s="52"/>
      <c r="F2895" s="52"/>
      <c r="G2895" s="52"/>
      <c r="H2895" s="52"/>
    </row>
    <row r="2896" spans="1:8" ht="15.75">
      <c r="A2896" s="124">
        <v>43612</v>
      </c>
      <c r="B2896" s="125">
        <v>48.06</v>
      </c>
      <c r="C2896" s="52"/>
      <c r="D2896" s="52"/>
      <c r="E2896" s="52"/>
      <c r="F2896" s="52"/>
      <c r="G2896" s="52"/>
      <c r="H2896" s="52"/>
    </row>
    <row r="2897" spans="1:8" ht="15.75">
      <c r="A2897" s="124">
        <v>43613</v>
      </c>
      <c r="B2897" s="125">
        <v>48.2</v>
      </c>
      <c r="C2897" s="52"/>
      <c r="D2897" s="52"/>
      <c r="E2897" s="52"/>
      <c r="F2897" s="52"/>
      <c r="G2897" s="52"/>
      <c r="H2897" s="52"/>
    </row>
    <row r="2898" spans="1:8" ht="15.75">
      <c r="A2898" s="124">
        <v>43614</v>
      </c>
      <c r="B2898" s="125">
        <v>48.11</v>
      </c>
      <c r="C2898" s="52"/>
      <c r="D2898" s="52"/>
      <c r="E2898" s="52"/>
      <c r="F2898" s="52"/>
      <c r="G2898" s="52"/>
      <c r="H2898" s="52"/>
    </row>
    <row r="2899" spans="1:8" ht="15.75">
      <c r="A2899" s="124">
        <v>43615</v>
      </c>
      <c r="B2899" s="125">
        <v>48.2</v>
      </c>
      <c r="C2899" s="52"/>
      <c r="D2899" s="52"/>
      <c r="E2899" s="52"/>
      <c r="F2899" s="52"/>
      <c r="G2899" s="52"/>
      <c r="H2899" s="52"/>
    </row>
    <row r="2900" spans="1:8" ht="15.75">
      <c r="A2900" s="124">
        <v>43616</v>
      </c>
      <c r="B2900" s="125">
        <v>48.11</v>
      </c>
      <c r="C2900" s="52"/>
      <c r="D2900" s="52"/>
      <c r="E2900" s="52"/>
      <c r="F2900" s="52"/>
      <c r="G2900" s="52"/>
      <c r="H2900" s="52"/>
    </row>
    <row r="2901" spans="1:8" ht="15.75">
      <c r="A2901" s="124">
        <v>43619</v>
      </c>
      <c r="B2901" s="125">
        <v>48.03</v>
      </c>
      <c r="C2901" s="52"/>
      <c r="D2901" s="52"/>
      <c r="E2901" s="52"/>
      <c r="F2901" s="52"/>
      <c r="G2901" s="52"/>
      <c r="H2901" s="52"/>
    </row>
    <row r="2902" spans="1:8" ht="15.75">
      <c r="A2902" s="124">
        <v>43620</v>
      </c>
      <c r="B2902" s="125">
        <v>48.06</v>
      </c>
      <c r="C2902" s="52"/>
      <c r="D2902" s="52"/>
      <c r="E2902" s="52"/>
      <c r="F2902" s="52"/>
      <c r="G2902" s="52"/>
      <c r="H2902" s="52"/>
    </row>
    <row r="2903" spans="1:8" ht="15.75">
      <c r="A2903" s="124">
        <v>43621</v>
      </c>
      <c r="B2903" s="125">
        <v>48.11</v>
      </c>
      <c r="C2903" s="52"/>
      <c r="D2903" s="52"/>
      <c r="E2903" s="52"/>
      <c r="F2903" s="52"/>
      <c r="G2903" s="52"/>
      <c r="H2903" s="52"/>
    </row>
    <row r="2904" spans="1:8" ht="15.75">
      <c r="A2904" s="124">
        <v>43622</v>
      </c>
      <c r="B2904" s="125">
        <v>48.11</v>
      </c>
      <c r="C2904" s="52"/>
      <c r="D2904" s="52"/>
      <c r="E2904" s="52"/>
      <c r="F2904" s="52"/>
      <c r="G2904" s="52"/>
      <c r="H2904" s="52"/>
    </row>
    <row r="2905" spans="1:8" ht="15.75">
      <c r="A2905" s="124">
        <v>43623</v>
      </c>
      <c r="B2905" s="125">
        <v>48.07</v>
      </c>
      <c r="C2905" s="52"/>
      <c r="D2905" s="52"/>
      <c r="E2905" s="52"/>
      <c r="F2905" s="52"/>
      <c r="G2905" s="52"/>
      <c r="H2905" s="52"/>
    </row>
    <row r="2906" spans="1:8" ht="15.75">
      <c r="A2906" s="124">
        <v>43627</v>
      </c>
      <c r="B2906" s="125">
        <v>48.07</v>
      </c>
      <c r="C2906" s="52"/>
      <c r="D2906" s="52"/>
      <c r="E2906" s="52"/>
      <c r="F2906" s="52"/>
      <c r="G2906" s="52"/>
      <c r="H2906" s="52"/>
    </row>
    <row r="2907" spans="1:8" ht="15.75">
      <c r="A2907" s="124">
        <v>43628</v>
      </c>
      <c r="B2907" s="125">
        <v>48.25</v>
      </c>
      <c r="C2907" s="52"/>
      <c r="D2907" s="52"/>
      <c r="E2907" s="52"/>
      <c r="F2907" s="52"/>
      <c r="G2907" s="52"/>
      <c r="H2907" s="52"/>
    </row>
    <row r="2908" spans="1:8" ht="15.75">
      <c r="A2908" s="124">
        <v>43629</v>
      </c>
      <c r="B2908" s="125">
        <v>48.08</v>
      </c>
      <c r="C2908" s="52"/>
      <c r="D2908" s="52"/>
      <c r="E2908" s="52"/>
      <c r="F2908" s="52"/>
      <c r="G2908" s="52"/>
      <c r="H2908" s="52"/>
    </row>
    <row r="2909" spans="1:8" ht="15.75">
      <c r="A2909" s="124">
        <v>43630</v>
      </c>
      <c r="B2909" s="125">
        <v>48.03</v>
      </c>
      <c r="C2909" s="52"/>
      <c r="D2909" s="52"/>
      <c r="E2909" s="52"/>
      <c r="F2909" s="52"/>
      <c r="G2909" s="52"/>
      <c r="H2909" s="52"/>
    </row>
    <row r="2910" spans="1:8" ht="15.75">
      <c r="A2910" s="124">
        <v>43633</v>
      </c>
      <c r="B2910" s="125">
        <v>48.03</v>
      </c>
      <c r="C2910" s="52"/>
      <c r="D2910" s="52"/>
      <c r="E2910" s="52"/>
      <c r="F2910" s="52"/>
      <c r="G2910" s="52"/>
      <c r="H2910" s="52"/>
    </row>
    <row r="2911" spans="1:8" ht="15.75">
      <c r="A2911" s="124">
        <v>43634</v>
      </c>
      <c r="B2911" s="125">
        <v>48.18</v>
      </c>
      <c r="C2911" s="52"/>
      <c r="D2911" s="52"/>
      <c r="E2911" s="52"/>
      <c r="F2911" s="52"/>
      <c r="G2911" s="52"/>
      <c r="H2911" s="52"/>
    </row>
    <row r="2912" spans="1:8" ht="15.75">
      <c r="A2912" s="124">
        <v>43635</v>
      </c>
      <c r="B2912" s="125">
        <v>48.08</v>
      </c>
      <c r="C2912" s="52"/>
      <c r="D2912" s="52"/>
      <c r="E2912" s="52"/>
      <c r="F2912" s="52"/>
      <c r="G2912" s="52"/>
      <c r="H2912" s="52"/>
    </row>
    <row r="2913" spans="1:8" ht="15.75">
      <c r="A2913" s="124">
        <v>43636</v>
      </c>
      <c r="B2913" s="125">
        <v>48.15</v>
      </c>
      <c r="C2913" s="52"/>
      <c r="D2913" s="52"/>
      <c r="E2913" s="52"/>
      <c r="F2913" s="52"/>
      <c r="G2913" s="52"/>
      <c r="H2913" s="52"/>
    </row>
    <row r="2914" spans="1:8" ht="15.75">
      <c r="A2914" s="124">
        <v>43637</v>
      </c>
      <c r="B2914" s="125">
        <v>48.15</v>
      </c>
      <c r="C2914" s="52"/>
      <c r="D2914" s="52"/>
      <c r="E2914" s="52"/>
      <c r="F2914" s="52"/>
      <c r="G2914" s="52"/>
      <c r="H2914" s="52"/>
    </row>
    <row r="2915" spans="1:8" ht="15.75">
      <c r="A2915" s="124">
        <v>43640</v>
      </c>
      <c r="B2915" s="125">
        <v>48.04</v>
      </c>
      <c r="C2915" s="52"/>
      <c r="D2915" s="52"/>
      <c r="E2915" s="52"/>
      <c r="F2915" s="52"/>
      <c r="G2915" s="52"/>
      <c r="H2915" s="52"/>
    </row>
    <row r="2916" spans="1:8" ht="15.75">
      <c r="A2916" s="124">
        <v>43641</v>
      </c>
      <c r="B2916" s="125">
        <v>48</v>
      </c>
      <c r="C2916" s="52"/>
      <c r="D2916" s="52"/>
      <c r="E2916" s="52"/>
      <c r="F2916" s="52"/>
      <c r="G2916" s="52"/>
      <c r="H2916" s="52"/>
    </row>
    <row r="2917" spans="1:8" ht="15.75">
      <c r="A2917" s="124">
        <v>43642</v>
      </c>
      <c r="B2917" s="125">
        <v>48.05</v>
      </c>
      <c r="C2917" s="52"/>
      <c r="D2917" s="52"/>
      <c r="E2917" s="52"/>
      <c r="F2917" s="52"/>
      <c r="G2917" s="52"/>
      <c r="H2917" s="52"/>
    </row>
    <row r="2918" spans="1:8" ht="15.75">
      <c r="A2918" s="124">
        <v>43643</v>
      </c>
      <c r="B2918" s="125">
        <v>48.01</v>
      </c>
      <c r="C2918" s="52"/>
      <c r="D2918" s="52"/>
      <c r="E2918" s="52"/>
      <c r="F2918" s="52"/>
      <c r="G2918" s="52"/>
      <c r="H2918" s="52"/>
    </row>
    <row r="2919" spans="1:8" ht="15.75">
      <c r="A2919" s="124">
        <v>43644</v>
      </c>
      <c r="B2919" s="125">
        <v>48.12</v>
      </c>
      <c r="C2919" s="52"/>
      <c r="D2919" s="52"/>
      <c r="E2919" s="52"/>
      <c r="F2919" s="52"/>
      <c r="G2919" s="52"/>
      <c r="H2919" s="52"/>
    </row>
    <row r="2920" spans="1:8" ht="15.75">
      <c r="A2920" s="124">
        <v>43647</v>
      </c>
      <c r="B2920" s="125">
        <v>48.03</v>
      </c>
      <c r="C2920" s="52"/>
      <c r="D2920" s="52"/>
      <c r="E2920" s="52"/>
      <c r="F2920" s="52"/>
      <c r="G2920" s="52"/>
      <c r="H2920" s="52"/>
    </row>
    <row r="2921" spans="1:8" ht="15.75">
      <c r="A2921" s="124">
        <v>43648</v>
      </c>
      <c r="B2921" s="125">
        <v>48.13</v>
      </c>
      <c r="C2921" s="52"/>
      <c r="D2921" s="52"/>
      <c r="E2921" s="52"/>
      <c r="F2921" s="52"/>
      <c r="G2921" s="52"/>
      <c r="H2921" s="52"/>
    </row>
    <row r="2922" spans="1:8" ht="15.75">
      <c r="A2922" s="124">
        <v>43649</v>
      </c>
      <c r="B2922" s="125">
        <v>48.04</v>
      </c>
      <c r="C2922" s="52"/>
      <c r="D2922" s="52"/>
      <c r="E2922" s="52"/>
      <c r="F2922" s="52"/>
      <c r="G2922" s="52"/>
      <c r="H2922" s="52"/>
    </row>
    <row r="2923" spans="1:8" ht="15.75">
      <c r="A2923" s="124">
        <v>43650</v>
      </c>
      <c r="B2923" s="125">
        <v>48.02</v>
      </c>
      <c r="C2923" s="52"/>
      <c r="D2923" s="52"/>
      <c r="E2923" s="52"/>
      <c r="F2923" s="52"/>
      <c r="G2923" s="52"/>
      <c r="H2923" s="52"/>
    </row>
    <row r="2924" spans="1:8" ht="15.75">
      <c r="A2924" s="124">
        <v>43651</v>
      </c>
      <c r="B2924" s="125">
        <v>48.07</v>
      </c>
      <c r="C2924" s="52"/>
      <c r="D2924" s="52"/>
      <c r="E2924" s="52"/>
      <c r="F2924" s="52"/>
      <c r="G2924" s="52"/>
      <c r="H2924" s="52"/>
    </row>
    <row r="2925" spans="1:8" ht="15.75">
      <c r="A2925" s="124">
        <v>43654</v>
      </c>
      <c r="B2925" s="125">
        <v>48.19</v>
      </c>
      <c r="C2925" s="52"/>
      <c r="D2925" s="52"/>
      <c r="E2925" s="52"/>
      <c r="F2925" s="52"/>
      <c r="G2925" s="52"/>
      <c r="H2925" s="52"/>
    </row>
    <row r="2926" spans="1:8" ht="15.75">
      <c r="A2926" s="124">
        <v>43655</v>
      </c>
      <c r="B2926" s="125">
        <v>48.07</v>
      </c>
      <c r="C2926" s="52"/>
      <c r="D2926" s="52"/>
      <c r="E2926" s="52"/>
      <c r="F2926" s="52"/>
      <c r="G2926" s="52"/>
      <c r="H2926" s="52"/>
    </row>
    <row r="2927" spans="1:8" ht="15.75">
      <c r="A2927" s="124">
        <v>43656</v>
      </c>
      <c r="B2927" s="125">
        <v>48.07</v>
      </c>
      <c r="C2927" s="52"/>
      <c r="D2927" s="52"/>
      <c r="E2927" s="52"/>
      <c r="F2927" s="52"/>
      <c r="G2927" s="52"/>
      <c r="H2927" s="52"/>
    </row>
    <row r="2928" spans="1:8" ht="15.75">
      <c r="A2928" s="124">
        <v>43657</v>
      </c>
      <c r="B2928" s="125">
        <v>48.16</v>
      </c>
      <c r="C2928" s="52"/>
      <c r="D2928" s="52"/>
      <c r="E2928" s="52"/>
      <c r="F2928" s="52"/>
      <c r="G2928" s="52"/>
      <c r="H2928" s="52"/>
    </row>
    <row r="2929" spans="1:8" ht="15.75">
      <c r="A2929" s="124">
        <v>43658</v>
      </c>
      <c r="B2929" s="125">
        <v>48.16</v>
      </c>
      <c r="C2929" s="52"/>
      <c r="D2929" s="52"/>
      <c r="E2929" s="52"/>
      <c r="F2929" s="52"/>
      <c r="G2929" s="52"/>
      <c r="H2929" s="52"/>
    </row>
    <row r="2930" spans="1:8" ht="15.75">
      <c r="A2930" s="124">
        <v>43661</v>
      </c>
      <c r="B2930" s="125">
        <v>48.22</v>
      </c>
      <c r="C2930" s="52"/>
      <c r="D2930" s="52"/>
      <c r="E2930" s="52"/>
      <c r="F2930" s="52"/>
      <c r="G2930" s="52"/>
      <c r="H2930" s="52"/>
    </row>
    <row r="2931" spans="1:8" ht="15.75">
      <c r="A2931" s="124">
        <v>43662</v>
      </c>
      <c r="B2931" s="125">
        <v>48.28</v>
      </c>
      <c r="C2931" s="52"/>
      <c r="D2931" s="52"/>
      <c r="E2931" s="52"/>
      <c r="F2931" s="52"/>
      <c r="G2931" s="52"/>
      <c r="H2931" s="52"/>
    </row>
    <row r="2932" spans="1:8" ht="15.75">
      <c r="A2932" s="124">
        <v>43663</v>
      </c>
      <c r="B2932" s="125">
        <v>48.28</v>
      </c>
      <c r="C2932" s="52"/>
      <c r="D2932" s="52"/>
      <c r="E2932" s="52"/>
      <c r="F2932" s="52"/>
      <c r="G2932" s="52"/>
      <c r="H2932" s="52"/>
    </row>
    <row r="2933" spans="1:8" ht="15.75">
      <c r="A2933" s="124">
        <v>43664</v>
      </c>
      <c r="B2933" s="125">
        <v>48.3</v>
      </c>
      <c r="C2933" s="52"/>
      <c r="D2933" s="52"/>
      <c r="E2933" s="52"/>
      <c r="F2933" s="52"/>
      <c r="G2933" s="52"/>
      <c r="H2933" s="52"/>
    </row>
    <row r="2934" spans="1:8" ht="15.75">
      <c r="A2934" s="124">
        <v>43665</v>
      </c>
      <c r="B2934" s="125">
        <v>48.31</v>
      </c>
      <c r="C2934" s="52"/>
      <c r="D2934" s="52"/>
      <c r="E2934" s="52"/>
      <c r="F2934" s="52"/>
      <c r="G2934" s="52"/>
      <c r="H2934" s="52"/>
    </row>
    <row r="2935" spans="1:8" ht="15.75">
      <c r="A2935" s="124">
        <v>43668</v>
      </c>
      <c r="B2935" s="125">
        <v>48.35</v>
      </c>
      <c r="C2935" s="52"/>
      <c r="D2935" s="52"/>
      <c r="E2935" s="52"/>
      <c r="F2935" s="52"/>
      <c r="G2935" s="52"/>
      <c r="H2935" s="52"/>
    </row>
    <row r="2936" spans="1:8" ht="15.75">
      <c r="A2936" s="124">
        <v>43669</v>
      </c>
      <c r="B2936" s="125">
        <v>48.47</v>
      </c>
      <c r="C2936" s="52"/>
      <c r="D2936" s="52"/>
      <c r="E2936" s="52"/>
      <c r="F2936" s="52"/>
      <c r="G2936" s="52"/>
      <c r="H2936" s="52"/>
    </row>
    <row r="2937" spans="1:8" ht="15.75">
      <c r="A2937" s="124">
        <v>43670</v>
      </c>
      <c r="B2937" s="125">
        <v>48.32</v>
      </c>
      <c r="C2937" s="52"/>
      <c r="D2937" s="52"/>
      <c r="E2937" s="52"/>
      <c r="F2937" s="52"/>
      <c r="G2937" s="52"/>
      <c r="H2937" s="52"/>
    </row>
    <row r="2938" spans="1:8" ht="15.75">
      <c r="A2938" s="124">
        <v>43671</v>
      </c>
      <c r="B2938" s="125">
        <v>48.35</v>
      </c>
      <c r="C2938" s="52"/>
      <c r="D2938" s="52"/>
      <c r="E2938" s="52"/>
      <c r="F2938" s="52"/>
      <c r="G2938" s="52"/>
      <c r="H2938" s="52"/>
    </row>
    <row r="2939" spans="1:8" ht="15.75">
      <c r="A2939" s="124">
        <v>43672</v>
      </c>
      <c r="B2939" s="125">
        <v>48.41</v>
      </c>
      <c r="C2939" s="52"/>
      <c r="D2939" s="52"/>
      <c r="E2939" s="52"/>
      <c r="F2939" s="52"/>
      <c r="G2939" s="52"/>
      <c r="H2939" s="52"/>
    </row>
    <row r="2940" spans="1:8" ht="15.75">
      <c r="A2940" s="124">
        <v>43675</v>
      </c>
      <c r="B2940" s="125">
        <v>48.31</v>
      </c>
      <c r="C2940" s="52"/>
      <c r="D2940" s="52"/>
      <c r="E2940" s="52"/>
      <c r="F2940" s="52"/>
      <c r="G2940" s="52"/>
      <c r="H2940" s="52"/>
    </row>
    <row r="2941" spans="1:8" ht="15.75">
      <c r="A2941" s="124">
        <v>43676</v>
      </c>
      <c r="B2941" s="125">
        <v>48.25</v>
      </c>
      <c r="C2941" s="52"/>
      <c r="D2941" s="52"/>
      <c r="E2941" s="52"/>
      <c r="F2941" s="52"/>
      <c r="G2941" s="52"/>
      <c r="H2941" s="52"/>
    </row>
    <row r="2942" spans="1:8" ht="15.75">
      <c r="A2942" s="124">
        <v>43677</v>
      </c>
      <c r="B2942" s="125">
        <v>48.46</v>
      </c>
      <c r="C2942" s="52"/>
      <c r="D2942" s="52"/>
      <c r="E2942" s="52"/>
      <c r="F2942" s="52"/>
      <c r="G2942" s="52"/>
      <c r="H2942" s="52"/>
    </row>
    <row r="2943" spans="1:8" ht="15.75">
      <c r="A2943" s="124">
        <v>43678</v>
      </c>
      <c r="B2943" s="125">
        <v>48.41</v>
      </c>
      <c r="C2943" s="52"/>
      <c r="D2943" s="52"/>
      <c r="E2943" s="52"/>
      <c r="F2943" s="52"/>
      <c r="G2943" s="52"/>
      <c r="H2943" s="52"/>
    </row>
    <row r="2944" spans="1:8" ht="15.75">
      <c r="A2944" s="124">
        <v>43679</v>
      </c>
      <c r="B2944" s="125">
        <v>48.65</v>
      </c>
      <c r="C2944" s="52"/>
      <c r="D2944" s="52"/>
      <c r="E2944" s="52"/>
      <c r="F2944" s="52"/>
      <c r="G2944" s="52"/>
      <c r="H2944" s="52"/>
    </row>
    <row r="2945" spans="1:8" ht="15.75">
      <c r="A2945" s="124">
        <v>43682</v>
      </c>
      <c r="B2945" s="125">
        <v>48.76</v>
      </c>
      <c r="C2945" s="52"/>
      <c r="D2945" s="52"/>
      <c r="E2945" s="52"/>
      <c r="F2945" s="52"/>
      <c r="G2945" s="52"/>
      <c r="H2945" s="52"/>
    </row>
    <row r="2946" spans="1:8" ht="15.75">
      <c r="A2946" s="124">
        <v>43683</v>
      </c>
      <c r="B2946" s="125">
        <v>48.94</v>
      </c>
      <c r="C2946" s="52"/>
      <c r="D2946" s="52"/>
      <c r="E2946" s="52"/>
      <c r="F2946" s="52"/>
      <c r="G2946" s="52"/>
      <c r="H2946" s="52"/>
    </row>
    <row r="2947" spans="1:8" ht="15.75">
      <c r="A2947" s="124">
        <v>43684</v>
      </c>
      <c r="B2947" s="125">
        <v>48.76</v>
      </c>
      <c r="C2947" s="52"/>
      <c r="D2947" s="52"/>
      <c r="E2947" s="52"/>
      <c r="F2947" s="52"/>
      <c r="G2947" s="52"/>
      <c r="H2947" s="52"/>
    </row>
    <row r="2948" spans="1:8" ht="15.75">
      <c r="A2948" s="124">
        <v>43685</v>
      </c>
      <c r="B2948" s="125">
        <v>48.95</v>
      </c>
      <c r="C2948" s="52"/>
      <c r="D2948" s="52"/>
      <c r="E2948" s="52"/>
      <c r="F2948" s="52"/>
      <c r="G2948" s="52"/>
      <c r="H2948" s="52"/>
    </row>
    <row r="2949" spans="1:8" ht="15.75">
      <c r="A2949" s="124">
        <v>43686</v>
      </c>
      <c r="B2949" s="125">
        <v>49.1</v>
      </c>
      <c r="C2949" s="52"/>
      <c r="D2949" s="52"/>
      <c r="E2949" s="52"/>
      <c r="F2949" s="52"/>
      <c r="G2949" s="52"/>
      <c r="H2949" s="52"/>
    </row>
    <row r="2950" spans="1:8" ht="15.75">
      <c r="A2950" s="124">
        <v>43689</v>
      </c>
      <c r="B2950" s="125">
        <v>48.77</v>
      </c>
      <c r="C2950" s="52"/>
      <c r="D2950" s="52"/>
      <c r="E2950" s="52"/>
      <c r="F2950" s="52"/>
      <c r="G2950" s="52"/>
      <c r="H2950" s="52"/>
    </row>
    <row r="2951" spans="1:8" ht="15.75">
      <c r="A2951" s="124">
        <v>43690</v>
      </c>
      <c r="B2951" s="125">
        <v>48.76</v>
      </c>
      <c r="C2951" s="52"/>
      <c r="D2951" s="52"/>
      <c r="E2951" s="52"/>
      <c r="F2951" s="52"/>
      <c r="G2951" s="52"/>
      <c r="H2951" s="52"/>
    </row>
    <row r="2952" spans="1:8" ht="15.75">
      <c r="A2952" s="124">
        <v>43691</v>
      </c>
      <c r="B2952" s="125">
        <v>49.2</v>
      </c>
      <c r="C2952" s="52"/>
      <c r="D2952" s="52"/>
      <c r="E2952" s="52"/>
      <c r="F2952" s="52"/>
      <c r="G2952" s="52"/>
      <c r="H2952" s="52"/>
    </row>
    <row r="2953" spans="1:8" ht="15.75">
      <c r="A2953" s="124">
        <v>43692</v>
      </c>
      <c r="B2953" s="125">
        <v>48.75</v>
      </c>
      <c r="C2953" s="52"/>
      <c r="D2953" s="52"/>
      <c r="E2953" s="52"/>
      <c r="F2953" s="52"/>
      <c r="G2953" s="52"/>
      <c r="H2953" s="52"/>
    </row>
    <row r="2954" spans="1:8" ht="15.75">
      <c r="A2954" s="124">
        <v>43693</v>
      </c>
      <c r="B2954" s="125">
        <v>49.4</v>
      </c>
      <c r="C2954" s="52"/>
      <c r="D2954" s="52"/>
      <c r="E2954" s="52"/>
      <c r="F2954" s="52"/>
      <c r="G2954" s="52"/>
      <c r="H2954" s="52"/>
    </row>
    <row r="2955" spans="1:8" ht="15.75">
      <c r="A2955" s="124">
        <v>43696</v>
      </c>
      <c r="B2955" s="125">
        <v>49.06</v>
      </c>
      <c r="C2955" s="52"/>
      <c r="D2955" s="52"/>
      <c r="E2955" s="52"/>
      <c r="F2955" s="52"/>
      <c r="G2955" s="52"/>
      <c r="H2955" s="52"/>
    </row>
    <row r="2956" spans="1:8" ht="15.75">
      <c r="A2956" s="124">
        <v>43697</v>
      </c>
      <c r="B2956" s="125">
        <v>48.93</v>
      </c>
      <c r="C2956" s="52"/>
      <c r="D2956" s="52"/>
      <c r="E2956" s="52"/>
      <c r="F2956" s="52"/>
      <c r="G2956" s="52"/>
      <c r="H2956" s="52"/>
    </row>
    <row r="2957" spans="1:8" ht="15.75">
      <c r="A2957" s="124">
        <v>43698</v>
      </c>
      <c r="B2957" s="125">
        <v>48.85</v>
      </c>
      <c r="C2957" s="52"/>
      <c r="D2957" s="52"/>
      <c r="E2957" s="52"/>
      <c r="F2957" s="52"/>
      <c r="G2957" s="52"/>
      <c r="H2957" s="52"/>
    </row>
    <row r="2958" spans="1:8" ht="15.75">
      <c r="A2958" s="124">
        <v>43699</v>
      </c>
      <c r="B2958" s="125">
        <v>48.77</v>
      </c>
      <c r="C2958" s="52"/>
      <c r="D2958" s="52"/>
      <c r="E2958" s="52"/>
      <c r="F2958" s="52"/>
      <c r="G2958" s="52"/>
      <c r="H2958" s="52"/>
    </row>
    <row r="2959" spans="1:8" ht="15.75">
      <c r="A2959" s="124">
        <v>43700</v>
      </c>
      <c r="B2959" s="125">
        <v>48.81</v>
      </c>
      <c r="C2959" s="52"/>
      <c r="D2959" s="52"/>
      <c r="E2959" s="52"/>
      <c r="F2959" s="52"/>
      <c r="G2959" s="52"/>
      <c r="H2959" s="52"/>
    </row>
    <row r="2960" spans="1:8" ht="15.75">
      <c r="A2960" s="124">
        <v>43703</v>
      </c>
      <c r="B2960" s="125">
        <v>48.77</v>
      </c>
      <c r="C2960" s="52"/>
      <c r="D2960" s="52"/>
      <c r="E2960" s="52"/>
      <c r="F2960" s="52"/>
      <c r="G2960" s="52"/>
      <c r="H2960" s="52"/>
    </row>
    <row r="2961" spans="1:8" ht="15.75">
      <c r="A2961" s="124">
        <v>43704</v>
      </c>
      <c r="B2961" s="125">
        <v>48.81</v>
      </c>
      <c r="C2961" s="52"/>
      <c r="D2961" s="52"/>
      <c r="E2961" s="52"/>
      <c r="F2961" s="52"/>
      <c r="G2961" s="52"/>
      <c r="H2961" s="52"/>
    </row>
    <row r="2962" spans="1:8" ht="15.75">
      <c r="A2962" s="124">
        <v>43705</v>
      </c>
      <c r="B2962" s="125">
        <v>48.82</v>
      </c>
      <c r="C2962" s="52"/>
      <c r="D2962" s="52"/>
      <c r="E2962" s="52"/>
      <c r="F2962" s="52"/>
      <c r="G2962" s="52"/>
      <c r="H2962" s="52"/>
    </row>
    <row r="2963" spans="1:8" ht="15.75">
      <c r="A2963" s="124">
        <v>43706</v>
      </c>
      <c r="B2963" s="125">
        <v>49.1</v>
      </c>
      <c r="C2963" s="52"/>
      <c r="D2963" s="52"/>
      <c r="E2963" s="52"/>
      <c r="F2963" s="52"/>
      <c r="G2963" s="52"/>
      <c r="H2963" s="52"/>
    </row>
    <row r="2964" spans="1:8" ht="15.75">
      <c r="A2964" s="124">
        <v>43707</v>
      </c>
      <c r="B2964" s="125">
        <v>49.15</v>
      </c>
      <c r="C2964" s="52"/>
      <c r="D2964" s="52"/>
      <c r="E2964" s="52"/>
      <c r="F2964" s="52"/>
      <c r="G2964" s="52"/>
      <c r="H2964" s="52"/>
    </row>
    <row r="2965" spans="1:8" ht="15.75">
      <c r="A2965" s="124">
        <v>43710</v>
      </c>
      <c r="B2965" s="125">
        <v>48.81</v>
      </c>
      <c r="C2965" s="52"/>
      <c r="D2965" s="52"/>
      <c r="E2965" s="52"/>
      <c r="F2965" s="52"/>
      <c r="G2965" s="52"/>
      <c r="H2965" s="52"/>
    </row>
    <row r="2966" spans="1:8" ht="15.75">
      <c r="A2966" s="124">
        <v>43711</v>
      </c>
      <c r="B2966" s="125">
        <v>49</v>
      </c>
      <c r="C2966" s="52"/>
      <c r="D2966" s="52"/>
      <c r="E2966" s="52"/>
      <c r="F2966" s="52"/>
      <c r="G2966" s="52"/>
      <c r="H2966" s="52"/>
    </row>
    <row r="2967" spans="1:8" ht="15.75">
      <c r="A2967" s="124">
        <v>43712</v>
      </c>
      <c r="B2967" s="125">
        <v>49.21</v>
      </c>
      <c r="C2967" s="52"/>
      <c r="D2967" s="52"/>
      <c r="E2967" s="52"/>
      <c r="F2967" s="52"/>
      <c r="G2967" s="52"/>
      <c r="H2967" s="52"/>
    </row>
    <row r="2968" spans="1:8" ht="15.75">
      <c r="A2968" s="124">
        <v>43713</v>
      </c>
      <c r="B2968" s="125">
        <v>48.95</v>
      </c>
      <c r="C2968" s="52"/>
      <c r="D2968" s="52"/>
      <c r="E2968" s="52"/>
      <c r="F2968" s="52"/>
      <c r="G2968" s="52"/>
      <c r="H2968" s="52"/>
    </row>
    <row r="2969" spans="1:8" ht="15.75">
      <c r="A2969" s="124">
        <v>43714</v>
      </c>
      <c r="B2969" s="125">
        <v>49.28</v>
      </c>
      <c r="C2969" s="52"/>
      <c r="D2969" s="52"/>
      <c r="E2969" s="52"/>
      <c r="F2969" s="52"/>
      <c r="G2969" s="52"/>
      <c r="H2969" s="52"/>
    </row>
    <row r="2970" spans="1:8" ht="15.75">
      <c r="A2970" s="124">
        <v>43717</v>
      </c>
      <c r="B2970" s="125">
        <v>49.16</v>
      </c>
      <c r="C2970" s="52"/>
      <c r="D2970" s="52"/>
      <c r="E2970" s="52"/>
      <c r="F2970" s="52"/>
      <c r="G2970" s="52"/>
      <c r="H2970" s="52"/>
    </row>
    <row r="2971" spans="1:8" ht="15.75">
      <c r="A2971" s="124">
        <v>43718</v>
      </c>
      <c r="B2971" s="125">
        <v>49.07</v>
      </c>
      <c r="C2971" s="52"/>
      <c r="D2971" s="52"/>
      <c r="E2971" s="52"/>
      <c r="F2971" s="52"/>
      <c r="G2971" s="52"/>
      <c r="H2971" s="52"/>
    </row>
    <row r="2972" spans="1:8" ht="15.75">
      <c r="A2972" s="124">
        <v>43719</v>
      </c>
      <c r="B2972" s="125">
        <v>48.91</v>
      </c>
      <c r="C2972" s="52"/>
      <c r="D2972" s="52"/>
      <c r="E2972" s="52"/>
      <c r="F2972" s="52"/>
      <c r="G2972" s="52"/>
      <c r="H2972" s="52"/>
    </row>
    <row r="2973" spans="1:8" ht="15.75">
      <c r="A2973" s="124">
        <v>43720</v>
      </c>
      <c r="B2973" s="125">
        <v>48.98</v>
      </c>
      <c r="C2973" s="52"/>
      <c r="D2973" s="52"/>
      <c r="E2973" s="52"/>
      <c r="F2973" s="52"/>
      <c r="G2973" s="52"/>
      <c r="H2973" s="52"/>
    </row>
    <row r="2974" spans="1:8" ht="15.75">
      <c r="A2974" s="124">
        <v>43721</v>
      </c>
      <c r="B2974" s="125">
        <v>49.01</v>
      </c>
      <c r="C2974" s="52"/>
      <c r="D2974" s="52"/>
      <c r="E2974" s="52"/>
      <c r="F2974" s="52"/>
      <c r="G2974" s="52"/>
      <c r="H2974" s="52"/>
    </row>
    <row r="2975" spans="1:8" ht="15.75">
      <c r="A2975" s="124">
        <v>43724</v>
      </c>
      <c r="B2975" s="125">
        <v>49</v>
      </c>
      <c r="C2975" s="52"/>
      <c r="D2975" s="52"/>
      <c r="E2975" s="52"/>
      <c r="F2975" s="52"/>
      <c r="G2975" s="52"/>
      <c r="H2975" s="52"/>
    </row>
    <row r="2976" spans="1:8" ht="15.75">
      <c r="A2976" s="124">
        <v>43725</v>
      </c>
      <c r="B2976" s="125">
        <v>49.06</v>
      </c>
      <c r="C2976" s="52"/>
      <c r="D2976" s="52"/>
      <c r="E2976" s="52"/>
      <c r="F2976" s="52"/>
      <c r="G2976" s="52"/>
      <c r="H2976" s="52"/>
    </row>
    <row r="2977" spans="1:8" ht="15.75">
      <c r="A2977" s="124">
        <v>43726</v>
      </c>
      <c r="B2977" s="125">
        <v>48.99</v>
      </c>
      <c r="C2977" s="52"/>
      <c r="D2977" s="52"/>
      <c r="E2977" s="52"/>
      <c r="F2977" s="52"/>
      <c r="G2977" s="52"/>
      <c r="H2977" s="52"/>
    </row>
    <row r="2978" spans="1:8" ht="15.75">
      <c r="A2978" s="124">
        <v>43727</v>
      </c>
      <c r="B2978" s="125">
        <v>49.11</v>
      </c>
      <c r="C2978" s="52"/>
      <c r="D2978" s="52"/>
      <c r="E2978" s="52"/>
      <c r="F2978" s="52"/>
      <c r="G2978" s="52"/>
      <c r="H2978" s="52"/>
    </row>
    <row r="2979" spans="1:8" ht="15.75">
      <c r="A2979" s="124">
        <v>43728</v>
      </c>
      <c r="B2979" s="125">
        <v>49.12</v>
      </c>
      <c r="C2979" s="52"/>
      <c r="D2979" s="52"/>
      <c r="E2979" s="52"/>
      <c r="F2979" s="52"/>
      <c r="G2979" s="52"/>
      <c r="H2979" s="52"/>
    </row>
    <row r="2980" spans="1:8" ht="15.75">
      <c r="A2980" s="124">
        <v>43731</v>
      </c>
      <c r="B2980" s="125">
        <v>49.01</v>
      </c>
      <c r="C2980" s="52"/>
      <c r="D2980" s="52"/>
      <c r="E2980" s="52"/>
      <c r="F2980" s="52"/>
      <c r="G2980" s="52"/>
      <c r="H2980" s="52"/>
    </row>
    <row r="2981" spans="1:8" ht="15.75">
      <c r="A2981" s="124">
        <v>43732</v>
      </c>
      <c r="B2981" s="125">
        <v>48.91</v>
      </c>
      <c r="C2981" s="52"/>
      <c r="D2981" s="52"/>
      <c r="E2981" s="52"/>
      <c r="F2981" s="52"/>
      <c r="G2981" s="52"/>
      <c r="H2981" s="52"/>
    </row>
    <row r="2982" spans="1:8" ht="15.75">
      <c r="A2982" s="124">
        <v>43733</v>
      </c>
      <c r="B2982" s="125">
        <v>48.86</v>
      </c>
      <c r="C2982" s="52"/>
      <c r="D2982" s="52"/>
      <c r="E2982" s="52"/>
      <c r="F2982" s="52"/>
      <c r="G2982" s="52"/>
      <c r="H2982" s="52"/>
    </row>
    <row r="2983" spans="1:8" ht="15.75">
      <c r="A2983" s="124">
        <v>43734</v>
      </c>
      <c r="B2983" s="125">
        <v>48.88</v>
      </c>
      <c r="C2983" s="52"/>
      <c r="D2983" s="52"/>
      <c r="E2983" s="52"/>
      <c r="F2983" s="52"/>
      <c r="G2983" s="52"/>
      <c r="H2983" s="52"/>
    </row>
    <row r="2984" spans="1:8" ht="15.75">
      <c r="A2984" s="124">
        <v>43735</v>
      </c>
      <c r="B2984" s="125">
        <v>48.85</v>
      </c>
      <c r="C2984" s="52"/>
      <c r="D2984" s="52"/>
      <c r="E2984" s="52"/>
      <c r="F2984" s="52"/>
      <c r="G2984" s="52"/>
      <c r="H2984" s="52"/>
    </row>
    <row r="2985" spans="1:8" ht="15.75">
      <c r="A2985" s="124">
        <v>43738</v>
      </c>
      <c r="B2985" s="125">
        <v>48.74</v>
      </c>
      <c r="C2985" s="52"/>
      <c r="D2985" s="52"/>
      <c r="E2985" s="52"/>
      <c r="F2985" s="52"/>
      <c r="G2985" s="52"/>
      <c r="H2985" s="52"/>
    </row>
    <row r="2986" spans="1:8" ht="15.75">
      <c r="A2986" s="124">
        <v>43739</v>
      </c>
      <c r="B2986" s="125">
        <v>48.77</v>
      </c>
      <c r="C2986" s="52"/>
      <c r="D2986" s="52"/>
      <c r="E2986" s="52"/>
      <c r="F2986" s="52"/>
      <c r="G2986" s="52"/>
      <c r="H2986" s="52"/>
    </row>
    <row r="2987" spans="1:8" ht="15.75">
      <c r="A2987" s="124">
        <v>43740</v>
      </c>
      <c r="B2987" s="125">
        <v>48.9</v>
      </c>
      <c r="C2987" s="52"/>
      <c r="D2987" s="52"/>
      <c r="E2987" s="52"/>
      <c r="F2987" s="52"/>
      <c r="G2987" s="52"/>
      <c r="H2987" s="52"/>
    </row>
    <row r="2988" spans="1:8" ht="15.75">
      <c r="A2988" s="124">
        <v>43742</v>
      </c>
      <c r="B2988" s="125">
        <v>48.77</v>
      </c>
      <c r="C2988" s="52"/>
      <c r="D2988" s="52"/>
      <c r="E2988" s="52"/>
      <c r="F2988" s="52"/>
      <c r="G2988" s="52"/>
      <c r="H2988" s="52"/>
    </row>
    <row r="2989" spans="1:8" ht="15.75">
      <c r="A2989" s="124">
        <v>43745</v>
      </c>
      <c r="B2989" s="125">
        <v>48.81</v>
      </c>
      <c r="C2989" s="52"/>
      <c r="D2989" s="52"/>
      <c r="E2989" s="52"/>
      <c r="F2989" s="52"/>
      <c r="G2989" s="52"/>
      <c r="H2989" s="52"/>
    </row>
    <row r="2990" spans="1:8" ht="15.75">
      <c r="A2990" s="124">
        <v>43746</v>
      </c>
      <c r="B2990" s="125">
        <v>48.95</v>
      </c>
      <c r="C2990" s="52"/>
      <c r="D2990" s="52"/>
      <c r="E2990" s="52"/>
      <c r="F2990" s="52"/>
      <c r="G2990" s="52"/>
      <c r="H2990" s="52"/>
    </row>
    <row r="2991" spans="1:8" ht="15.75">
      <c r="A2991" s="124">
        <v>43747</v>
      </c>
      <c r="B2991" s="125">
        <v>48.8</v>
      </c>
      <c r="C2991" s="52"/>
      <c r="D2991" s="52"/>
      <c r="E2991" s="52"/>
      <c r="F2991" s="52"/>
      <c r="G2991" s="52"/>
      <c r="H2991" s="52"/>
    </row>
    <row r="2992" spans="1:8" ht="15.75">
      <c r="A2992" s="124">
        <v>43748</v>
      </c>
      <c r="B2992" s="125">
        <v>48.9</v>
      </c>
      <c r="C2992" s="52"/>
      <c r="D2992" s="52"/>
      <c r="E2992" s="52"/>
      <c r="F2992" s="52"/>
      <c r="G2992" s="52"/>
      <c r="H2992" s="52"/>
    </row>
    <row r="2993" spans="1:8" ht="15.75">
      <c r="A2993" s="124">
        <v>43749</v>
      </c>
      <c r="B2993" s="125">
        <v>48.91</v>
      </c>
      <c r="C2993" s="52"/>
      <c r="D2993" s="52"/>
      <c r="E2993" s="52"/>
      <c r="F2993" s="52"/>
      <c r="G2993" s="52"/>
      <c r="H2993" s="52"/>
    </row>
    <row r="2994" spans="1:8" ht="15.75">
      <c r="A2994" s="124">
        <v>43752</v>
      </c>
      <c r="B2994" s="125">
        <v>48.96</v>
      </c>
      <c r="C2994" s="52"/>
      <c r="D2994" s="52"/>
      <c r="E2994" s="52"/>
      <c r="F2994" s="52"/>
      <c r="G2994" s="52"/>
      <c r="H2994" s="52"/>
    </row>
    <row r="2995" spans="1:8" ht="15.75">
      <c r="A2995" s="124">
        <v>43753</v>
      </c>
      <c r="B2995" s="125">
        <v>49.06</v>
      </c>
      <c r="C2995" s="52"/>
      <c r="D2995" s="52"/>
      <c r="E2995" s="52"/>
      <c r="F2995" s="52"/>
      <c r="G2995" s="52"/>
      <c r="H2995" s="52"/>
    </row>
    <row r="2996" spans="1:8" ht="15.75">
      <c r="A2996" s="124">
        <v>43754</v>
      </c>
      <c r="B2996" s="125">
        <v>49.06</v>
      </c>
      <c r="C2996" s="52"/>
      <c r="D2996" s="52"/>
      <c r="E2996" s="52"/>
      <c r="F2996" s="52"/>
      <c r="G2996" s="52"/>
      <c r="H2996" s="52"/>
    </row>
    <row r="2997" spans="1:8" ht="15.75">
      <c r="A2997" s="124">
        <v>43755</v>
      </c>
      <c r="B2997" s="125">
        <v>49.1</v>
      </c>
      <c r="C2997" s="52"/>
      <c r="D2997" s="52"/>
      <c r="E2997" s="52"/>
      <c r="F2997" s="52"/>
      <c r="G2997" s="52"/>
      <c r="H2997" s="52"/>
    </row>
    <row r="2998" spans="1:8" ht="15.75">
      <c r="A2998" s="124">
        <v>43756</v>
      </c>
      <c r="B2998" s="125">
        <v>49.08</v>
      </c>
      <c r="C2998" s="52"/>
      <c r="D2998" s="52"/>
      <c r="E2998" s="52"/>
      <c r="F2998" s="52"/>
      <c r="G2998" s="52"/>
      <c r="H2998" s="52"/>
    </row>
    <row r="2999" spans="1:8" ht="15.75">
      <c r="A2999" s="124">
        <v>43759</v>
      </c>
      <c r="B2999" s="125">
        <v>49.05</v>
      </c>
      <c r="C2999" s="52"/>
      <c r="D2999" s="52"/>
      <c r="E2999" s="52"/>
      <c r="F2999" s="52"/>
      <c r="G2999" s="52"/>
      <c r="H2999" s="52"/>
    </row>
    <row r="3000" spans="1:8" ht="15.75">
      <c r="A3000" s="124">
        <v>43760</v>
      </c>
      <c r="B3000" s="125">
        <v>49.08</v>
      </c>
      <c r="C3000" s="52"/>
      <c r="D3000" s="52"/>
      <c r="E3000" s="52"/>
      <c r="F3000" s="52"/>
      <c r="G3000" s="52"/>
      <c r="H3000" s="52"/>
    </row>
    <row r="3001" spans="1:8" ht="15.75">
      <c r="A3001" s="124">
        <v>43761</v>
      </c>
      <c r="B3001" s="125">
        <v>49.07</v>
      </c>
      <c r="C3001" s="52"/>
      <c r="D3001" s="52"/>
      <c r="E3001" s="52"/>
      <c r="F3001" s="52"/>
      <c r="G3001" s="52"/>
      <c r="H3001" s="52"/>
    </row>
    <row r="3002" spans="1:8" ht="15.75">
      <c r="A3002" s="124">
        <v>43762</v>
      </c>
      <c r="B3002" s="125">
        <v>49.06</v>
      </c>
      <c r="C3002" s="52"/>
      <c r="D3002" s="52"/>
      <c r="E3002" s="52"/>
      <c r="F3002" s="52"/>
      <c r="G3002" s="52"/>
      <c r="H3002" s="52"/>
    </row>
    <row r="3003" spans="1:8" ht="15.75">
      <c r="A3003" s="124">
        <v>43763</v>
      </c>
      <c r="B3003" s="125">
        <v>49.15</v>
      </c>
      <c r="C3003" s="52"/>
      <c r="D3003" s="52"/>
      <c r="E3003" s="52"/>
      <c r="F3003" s="52"/>
      <c r="G3003" s="52"/>
      <c r="H3003" s="52"/>
    </row>
    <row r="3004" spans="1:8" ht="15.75">
      <c r="A3004" s="124">
        <v>43766</v>
      </c>
      <c r="B3004" s="125">
        <v>49.05</v>
      </c>
      <c r="C3004" s="52"/>
      <c r="D3004" s="52"/>
      <c r="E3004" s="52"/>
      <c r="F3004" s="52"/>
      <c r="G3004" s="52"/>
      <c r="H3004" s="52"/>
    </row>
    <row r="3005" spans="1:8" ht="15.75">
      <c r="A3005" s="124">
        <v>43767</v>
      </c>
      <c r="B3005" s="125">
        <v>49.06</v>
      </c>
      <c r="C3005" s="52"/>
      <c r="D3005" s="52"/>
      <c r="E3005" s="52"/>
      <c r="F3005" s="52"/>
      <c r="G3005" s="52"/>
      <c r="H3005" s="52"/>
    </row>
    <row r="3006" spans="1:8" ht="15.75">
      <c r="A3006" s="124">
        <v>43768</v>
      </c>
      <c r="B3006" s="125">
        <v>49.05</v>
      </c>
      <c r="C3006" s="52"/>
      <c r="D3006" s="52"/>
      <c r="E3006" s="52"/>
      <c r="F3006" s="52"/>
      <c r="G3006" s="52"/>
      <c r="H3006" s="52"/>
    </row>
    <row r="3007" spans="1:8" ht="15.75">
      <c r="A3007" s="124">
        <v>43769</v>
      </c>
      <c r="B3007" s="125">
        <v>49.22</v>
      </c>
      <c r="C3007" s="52"/>
      <c r="D3007" s="52"/>
      <c r="E3007" s="52"/>
      <c r="F3007" s="52"/>
      <c r="G3007" s="52"/>
      <c r="H3007" s="52"/>
    </row>
    <row r="3008" spans="1:8" ht="15.75">
      <c r="A3008" s="124">
        <v>43770</v>
      </c>
      <c r="B3008" s="125">
        <v>49.24</v>
      </c>
      <c r="C3008" s="52"/>
      <c r="D3008" s="52"/>
      <c r="E3008" s="52"/>
      <c r="F3008" s="52"/>
      <c r="G3008" s="52"/>
      <c r="H3008" s="52"/>
    </row>
    <row r="3009" spans="1:8" ht="15.75">
      <c r="A3009" s="124">
        <v>43773</v>
      </c>
      <c r="B3009" s="125">
        <v>49.15</v>
      </c>
      <c r="C3009" s="52"/>
      <c r="D3009" s="52"/>
      <c r="E3009" s="52"/>
      <c r="F3009" s="52"/>
      <c r="G3009" s="52"/>
      <c r="H3009" s="52"/>
    </row>
    <row r="3010" spans="1:8" ht="15.75">
      <c r="A3010" s="124">
        <v>43774</v>
      </c>
      <c r="B3010" s="125">
        <v>49.22</v>
      </c>
      <c r="C3010" s="52"/>
      <c r="D3010" s="52"/>
      <c r="E3010" s="52"/>
      <c r="F3010" s="52"/>
      <c r="G3010" s="52"/>
      <c r="H3010" s="52"/>
    </row>
    <row r="3011" spans="1:8" ht="15.75">
      <c r="A3011" s="124">
        <v>43775</v>
      </c>
      <c r="B3011" s="125">
        <v>49.2</v>
      </c>
      <c r="C3011" s="52"/>
      <c r="D3011" s="52"/>
      <c r="E3011" s="52"/>
      <c r="F3011" s="52"/>
      <c r="G3011" s="52"/>
      <c r="H3011" s="52"/>
    </row>
    <row r="3012" spans="1:8" ht="15.75">
      <c r="A3012" s="124">
        <v>43776</v>
      </c>
      <c r="B3012" s="125">
        <v>49.33</v>
      </c>
      <c r="C3012" s="52"/>
      <c r="D3012" s="52"/>
      <c r="E3012" s="52"/>
      <c r="F3012" s="52"/>
      <c r="G3012" s="52"/>
      <c r="H3012" s="52"/>
    </row>
    <row r="3013" spans="1:8" ht="15.75">
      <c r="A3013" s="124">
        <v>43777</v>
      </c>
      <c r="B3013" s="125">
        <v>49.33</v>
      </c>
      <c r="C3013" s="52"/>
      <c r="D3013" s="52"/>
      <c r="E3013" s="52"/>
      <c r="F3013" s="52"/>
      <c r="G3013" s="52"/>
      <c r="H3013" s="52"/>
    </row>
    <row r="3014" spans="1:8" ht="15.75">
      <c r="A3014" s="124">
        <v>43780</v>
      </c>
      <c r="B3014" s="125">
        <v>49.44</v>
      </c>
      <c r="C3014" s="52"/>
      <c r="D3014" s="52"/>
      <c r="E3014" s="52"/>
      <c r="F3014" s="52"/>
      <c r="G3014" s="52"/>
      <c r="H3014" s="52"/>
    </row>
    <row r="3015" spans="1:8" ht="15.75">
      <c r="A3015" s="124">
        <v>43781</v>
      </c>
      <c r="B3015" s="125">
        <v>49.31</v>
      </c>
      <c r="C3015" s="52"/>
      <c r="D3015" s="52"/>
      <c r="E3015" s="52"/>
      <c r="F3015" s="52"/>
      <c r="G3015" s="52"/>
      <c r="H3015" s="52"/>
    </row>
    <row r="3016" spans="1:8" ht="15.75">
      <c r="A3016" s="124">
        <v>43782</v>
      </c>
      <c r="B3016" s="125">
        <v>49.52</v>
      </c>
      <c r="C3016" s="52"/>
      <c r="D3016" s="52"/>
      <c r="E3016" s="52"/>
      <c r="F3016" s="52"/>
      <c r="G3016" s="52"/>
      <c r="H3016" s="52"/>
    </row>
    <row r="3017" spans="1:8" ht="15.75">
      <c r="A3017" s="124">
        <v>43783</v>
      </c>
      <c r="B3017" s="125">
        <v>49.7</v>
      </c>
      <c r="C3017" s="52"/>
      <c r="D3017" s="52"/>
      <c r="E3017" s="52"/>
      <c r="F3017" s="52"/>
      <c r="G3017" s="52"/>
      <c r="H3017" s="52"/>
    </row>
    <row r="3018" spans="1:8" ht="15.75">
      <c r="A3018" s="124">
        <v>43784</v>
      </c>
      <c r="B3018" s="125">
        <v>49.5</v>
      </c>
      <c r="C3018" s="52"/>
      <c r="D3018" s="52"/>
      <c r="E3018" s="52"/>
      <c r="F3018" s="52"/>
      <c r="G3018" s="52"/>
      <c r="H3018" s="52"/>
    </row>
    <row r="3019" spans="1:8" ht="15.75">
      <c r="A3019" s="124">
        <v>43787</v>
      </c>
      <c r="B3019" s="125">
        <v>50.2</v>
      </c>
      <c r="C3019" s="52"/>
      <c r="D3019" s="52"/>
      <c r="E3019" s="52"/>
      <c r="F3019" s="52"/>
      <c r="G3019" s="52"/>
      <c r="H3019" s="52"/>
    </row>
    <row r="3020" spans="1:8" ht="15.75">
      <c r="A3020" s="124">
        <v>43788</v>
      </c>
      <c r="B3020" s="125">
        <v>49.81</v>
      </c>
      <c r="C3020" s="52"/>
      <c r="D3020" s="52"/>
      <c r="E3020" s="52"/>
      <c r="F3020" s="52"/>
      <c r="G3020" s="52"/>
      <c r="H3020" s="52"/>
    </row>
    <row r="3021" spans="1:8" ht="15.75">
      <c r="A3021" s="124">
        <v>43789</v>
      </c>
      <c r="B3021" s="125">
        <v>50.02</v>
      </c>
      <c r="C3021" s="52"/>
      <c r="D3021" s="52"/>
      <c r="E3021" s="52"/>
      <c r="F3021" s="52"/>
      <c r="G3021" s="52"/>
      <c r="H3021" s="52"/>
    </row>
    <row r="3022" spans="1:8" ht="15.75">
      <c r="A3022" s="124">
        <v>43790</v>
      </c>
      <c r="B3022" s="125">
        <v>49.71</v>
      </c>
      <c r="C3022" s="52"/>
      <c r="D3022" s="52"/>
      <c r="E3022" s="52"/>
      <c r="F3022" s="52"/>
      <c r="G3022" s="52"/>
      <c r="H3022" s="52"/>
    </row>
    <row r="3023" spans="1:8" ht="15.75">
      <c r="A3023" s="124">
        <v>43791</v>
      </c>
      <c r="B3023" s="125">
        <v>49.8</v>
      </c>
      <c r="C3023" s="52"/>
      <c r="D3023" s="52"/>
      <c r="E3023" s="52"/>
      <c r="F3023" s="52"/>
      <c r="G3023" s="52"/>
      <c r="H3023" s="52"/>
    </row>
    <row r="3024" spans="1:8" ht="15.75">
      <c r="A3024" s="124">
        <v>43794</v>
      </c>
      <c r="B3024" s="125">
        <v>49.71</v>
      </c>
      <c r="C3024" s="52"/>
      <c r="D3024" s="52"/>
      <c r="E3024" s="52"/>
      <c r="F3024" s="52"/>
      <c r="G3024" s="52"/>
      <c r="H3024" s="52"/>
    </row>
    <row r="3025" spans="1:18" ht="15.75">
      <c r="A3025" s="124">
        <v>43795</v>
      </c>
      <c r="B3025" s="125">
        <v>49.7</v>
      </c>
      <c r="C3025" s="52"/>
      <c r="D3025" s="52"/>
      <c r="E3025" s="52"/>
      <c r="F3025" s="52"/>
      <c r="G3025" s="52"/>
      <c r="H3025" s="52"/>
    </row>
    <row r="3026" spans="1:18" ht="15.75">
      <c r="A3026" s="124">
        <v>43796</v>
      </c>
      <c r="B3026" s="125">
        <v>49.66</v>
      </c>
      <c r="C3026" s="52"/>
      <c r="D3026" s="52"/>
      <c r="E3026" s="52"/>
      <c r="F3026" s="52"/>
      <c r="G3026" s="52"/>
      <c r="H3026" s="52"/>
    </row>
    <row r="3027" spans="1:18" ht="15.75">
      <c r="A3027" s="124">
        <v>43797</v>
      </c>
      <c r="B3027" s="125">
        <v>49.68</v>
      </c>
      <c r="C3027" s="52"/>
      <c r="D3027" s="52"/>
      <c r="E3027" s="52"/>
      <c r="F3027" s="52"/>
      <c r="G3027" s="52"/>
      <c r="H3027" s="52"/>
    </row>
    <row r="3028" spans="1:18" ht="15.75">
      <c r="A3028" s="124">
        <v>43798</v>
      </c>
      <c r="B3028" s="125">
        <v>49.52</v>
      </c>
      <c r="C3028" s="52"/>
      <c r="D3028" s="52"/>
      <c r="E3028" s="52"/>
      <c r="F3028" s="52"/>
      <c r="G3028" s="52"/>
      <c r="H3028" s="52"/>
    </row>
    <row r="3029" spans="1:18" ht="15.75">
      <c r="A3029" s="124">
        <v>43801</v>
      </c>
      <c r="B3029" s="125">
        <v>49.68</v>
      </c>
      <c r="C3029" s="52"/>
      <c r="D3029" s="52"/>
      <c r="E3029" s="52"/>
      <c r="F3029" s="52"/>
      <c r="G3029" s="52"/>
      <c r="H3029" s="52"/>
    </row>
    <row r="3030" spans="1:18" ht="15.75">
      <c r="A3030" s="124">
        <v>43802</v>
      </c>
      <c r="B3030" s="125">
        <v>49.6</v>
      </c>
      <c r="C3030" s="52"/>
      <c r="D3030" s="52"/>
      <c r="E3030" s="52"/>
      <c r="F3030" s="52"/>
      <c r="G3030" s="52"/>
      <c r="H3030" s="52"/>
    </row>
    <row r="3031" spans="1:18" ht="15.75">
      <c r="A3031" s="124">
        <v>43803</v>
      </c>
      <c r="B3031" s="125">
        <v>49.64</v>
      </c>
      <c r="C3031" s="52"/>
      <c r="D3031" s="52"/>
      <c r="E3031" s="52"/>
      <c r="F3031" s="52"/>
      <c r="G3031" s="52"/>
      <c r="H3031" s="52"/>
    </row>
    <row r="3032" spans="1:18" ht="15.75">
      <c r="A3032" s="124">
        <v>43804</v>
      </c>
      <c r="B3032" s="125">
        <v>49.62</v>
      </c>
      <c r="C3032" s="52"/>
      <c r="D3032" s="52"/>
      <c r="E3032" s="52"/>
      <c r="F3032" s="52"/>
      <c r="G3032" s="52"/>
      <c r="H3032" s="52"/>
    </row>
    <row r="3033" spans="1:18" ht="15.75">
      <c r="A3033" s="124">
        <v>43805</v>
      </c>
      <c r="B3033" s="125">
        <v>49.54</v>
      </c>
      <c r="C3033" s="52"/>
      <c r="D3033" s="52"/>
      <c r="E3033" s="52"/>
      <c r="F3033" s="52"/>
      <c r="G3033" s="52"/>
      <c r="H3033" s="52"/>
    </row>
    <row r="3034" spans="1:18" ht="15.75">
      <c r="A3034" s="124">
        <v>43808</v>
      </c>
      <c r="B3034" s="125">
        <v>49.55</v>
      </c>
      <c r="C3034" s="52"/>
      <c r="D3034" s="52"/>
      <c r="E3034" s="52"/>
      <c r="F3034" s="52"/>
      <c r="G3034" s="52"/>
      <c r="H3034" s="52"/>
    </row>
    <row r="3035" spans="1:18" ht="15.75">
      <c r="A3035" s="124">
        <v>43809</v>
      </c>
      <c r="B3035" s="125">
        <v>49.26</v>
      </c>
      <c r="C3035" s="52"/>
      <c r="D3035" s="52"/>
      <c r="E3035" s="52"/>
      <c r="F3035" s="52"/>
      <c r="G3035" s="52"/>
      <c r="H3035" s="52"/>
    </row>
    <row r="3036" spans="1:18" ht="15.75">
      <c r="A3036" s="124">
        <v>43810</v>
      </c>
      <c r="B3036" s="125">
        <v>49.4</v>
      </c>
      <c r="C3036" s="52"/>
      <c r="D3036" s="52"/>
      <c r="E3036" s="52"/>
      <c r="F3036" s="52"/>
      <c r="G3036" s="52"/>
      <c r="H3036" s="52"/>
    </row>
    <row r="3037" spans="1:18" ht="15.75">
      <c r="A3037" s="124">
        <v>43811</v>
      </c>
      <c r="B3037" s="125">
        <v>49.44</v>
      </c>
      <c r="C3037" s="52"/>
      <c r="D3037" s="52"/>
      <c r="E3037" s="52"/>
      <c r="F3037" s="52"/>
      <c r="G3037" s="52"/>
      <c r="H3037" s="52"/>
    </row>
    <row r="3038" spans="1:18" ht="15.75">
      <c r="A3038" s="124">
        <v>43812</v>
      </c>
      <c r="B3038" s="125">
        <v>49.31</v>
      </c>
      <c r="C3038" s="52"/>
      <c r="D3038" s="52"/>
      <c r="E3038" s="52"/>
      <c r="F3038" s="52"/>
      <c r="G3038" s="52"/>
      <c r="H3038" s="52"/>
    </row>
    <row r="3039" spans="1:18" ht="15.75">
      <c r="A3039" s="124">
        <v>43815</v>
      </c>
      <c r="B3039" s="125">
        <v>49.27</v>
      </c>
      <c r="C3039" s="52"/>
      <c r="D3039" s="52"/>
      <c r="E3039" s="52"/>
      <c r="F3039" s="52"/>
      <c r="G3039" s="52"/>
      <c r="H3039" s="52"/>
    </row>
    <row r="3040" spans="1:18" ht="15.75">
      <c r="A3040" s="124">
        <v>43816</v>
      </c>
      <c r="B3040" s="125">
        <v>49.38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4">
        <v>43817</v>
      </c>
      <c r="B3041" s="125">
        <v>49.45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4">
        <v>43818</v>
      </c>
      <c r="B3042" s="125">
        <v>49.38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4">
        <v>43819</v>
      </c>
      <c r="B3043" s="125">
        <v>49.39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4">
        <v>43822</v>
      </c>
      <c r="B3044" s="125">
        <v>49.37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4">
        <v>43826</v>
      </c>
      <c r="B3045" s="125">
        <v>49.37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4">
        <v>43829</v>
      </c>
      <c r="B3046" s="125">
        <v>49.47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4">
        <v>43832</v>
      </c>
      <c r="B3047" s="125">
        <v>49.4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4">
        <v>43833</v>
      </c>
      <c r="B3048" s="125">
        <v>49.75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4">
        <v>43836</v>
      </c>
      <c r="B3049" s="125">
        <v>49.7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4">
        <v>43837</v>
      </c>
      <c r="B3050" s="125">
        <v>49.8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4">
        <v>43838</v>
      </c>
      <c r="B3051" s="125">
        <v>49.85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4">
        <v>43839</v>
      </c>
      <c r="B3052" s="125">
        <v>49.88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4">
        <v>43840</v>
      </c>
      <c r="B3053" s="125">
        <v>49.12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4">
        <v>43843</v>
      </c>
      <c r="B3054" s="125">
        <v>49.9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4">
        <v>43844</v>
      </c>
      <c r="B3055" s="125">
        <v>50.2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4">
        <v>43845</v>
      </c>
      <c r="B3056" s="125">
        <v>49.25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4">
        <v>43846</v>
      </c>
      <c r="B3057" s="125">
        <v>49.19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4">
        <v>43847</v>
      </c>
      <c r="B3058" s="125">
        <v>48.95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4">
        <v>43850</v>
      </c>
      <c r="B3059" s="125">
        <v>49.05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4">
        <v>43851</v>
      </c>
      <c r="B3060" s="125">
        <v>49.15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4">
        <v>43852</v>
      </c>
      <c r="B3061" s="125">
        <v>49.38</v>
      </c>
      <c r="C3061" s="52"/>
      <c r="D3061" s="52"/>
      <c r="E3061" s="52"/>
      <c r="F3061" s="52"/>
      <c r="G3061" s="52"/>
      <c r="H3061" s="52"/>
    </row>
    <row r="3062" spans="1:18" ht="15.75">
      <c r="A3062" s="124">
        <v>43853</v>
      </c>
      <c r="B3062" s="125">
        <v>49.34</v>
      </c>
      <c r="C3062" s="52"/>
      <c r="D3062" s="52"/>
      <c r="E3062" s="52"/>
      <c r="F3062" s="52"/>
      <c r="G3062" s="52"/>
      <c r="H3062" s="52"/>
    </row>
    <row r="3063" spans="1:18" ht="15.75">
      <c r="A3063" s="124">
        <v>43854</v>
      </c>
      <c r="B3063" s="125">
        <v>49.18</v>
      </c>
      <c r="C3063" s="52"/>
      <c r="D3063" s="52"/>
      <c r="E3063" s="52"/>
      <c r="F3063" s="52"/>
      <c r="G3063" s="52"/>
      <c r="H3063" s="52"/>
    </row>
    <row r="3064" spans="1:18" ht="15.75">
      <c r="A3064" s="124">
        <v>43857</v>
      </c>
      <c r="B3064" s="125">
        <v>49.05</v>
      </c>
      <c r="C3064" s="52"/>
      <c r="D3064" s="52"/>
      <c r="E3064" s="52"/>
      <c r="F3064" s="52"/>
      <c r="G3064" s="52"/>
      <c r="H3064" s="52"/>
    </row>
    <row r="3065" spans="1:18" ht="15.75">
      <c r="A3065" s="124">
        <v>43858</v>
      </c>
      <c r="B3065" s="125">
        <v>49.07</v>
      </c>
      <c r="C3065" s="52"/>
      <c r="D3065" s="52"/>
      <c r="E3065" s="52"/>
      <c r="F3065" s="52"/>
      <c r="G3065" s="52"/>
      <c r="H3065" s="52"/>
    </row>
    <row r="3066" spans="1:18" ht="15.75">
      <c r="A3066" s="124">
        <v>43859</v>
      </c>
      <c r="B3066" s="125">
        <v>49.21</v>
      </c>
      <c r="C3066" s="52"/>
      <c r="D3066" s="52"/>
      <c r="E3066" s="52"/>
      <c r="F3066" s="52"/>
      <c r="G3066" s="52"/>
      <c r="H3066" s="52"/>
    </row>
    <row r="3067" spans="1:18" ht="15.75">
      <c r="A3067" s="124">
        <v>43860</v>
      </c>
      <c r="B3067" s="125">
        <v>49.37</v>
      </c>
      <c r="C3067" s="52"/>
      <c r="D3067" s="52"/>
      <c r="E3067" s="52"/>
      <c r="F3067" s="52"/>
      <c r="G3067" s="52"/>
      <c r="H3067" s="52"/>
    </row>
    <row r="3068" spans="1:18" ht="15.75">
      <c r="A3068" s="124">
        <v>43861</v>
      </c>
      <c r="B3068" s="125">
        <v>49.11</v>
      </c>
      <c r="C3068" s="52"/>
      <c r="D3068" s="52"/>
      <c r="E3068" s="52"/>
      <c r="F3068" s="52"/>
      <c r="G3068" s="52"/>
      <c r="H3068" s="52"/>
    </row>
    <row r="3069" spans="1:18" ht="15.75">
      <c r="A3069" s="124">
        <v>43864</v>
      </c>
      <c r="B3069" s="125">
        <v>49.45</v>
      </c>
      <c r="C3069" s="52"/>
      <c r="D3069" s="52"/>
      <c r="E3069" s="52"/>
      <c r="F3069" s="52"/>
      <c r="G3069" s="52"/>
      <c r="H3069" s="52"/>
    </row>
    <row r="3070" spans="1:18" ht="15.75">
      <c r="A3070" s="124">
        <v>43865</v>
      </c>
      <c r="B3070" s="125">
        <v>48.8</v>
      </c>
      <c r="C3070" s="52"/>
      <c r="D3070" s="52"/>
      <c r="E3070" s="52"/>
      <c r="F3070" s="52"/>
      <c r="G3070" s="52"/>
      <c r="H3070" s="52"/>
    </row>
    <row r="3071" spans="1:18" ht="15.75">
      <c r="A3071" s="124">
        <v>43866</v>
      </c>
      <c r="B3071" s="125">
        <v>48.6</v>
      </c>
      <c r="C3071" s="52"/>
      <c r="D3071" s="52"/>
      <c r="E3071" s="52"/>
      <c r="F3071" s="52"/>
      <c r="G3071" s="52"/>
      <c r="H3071" s="52"/>
    </row>
    <row r="3072" spans="1:18" ht="15.75">
      <c r="A3072" s="124">
        <v>43867</v>
      </c>
      <c r="B3072" s="125">
        <v>48.75</v>
      </c>
      <c r="C3072" s="52"/>
      <c r="D3072" s="52"/>
      <c r="E3072" s="52"/>
      <c r="F3072" s="52"/>
      <c r="G3072" s="52"/>
      <c r="H3072" s="52"/>
    </row>
    <row r="3073" spans="1:8" ht="15.75">
      <c r="A3073" s="124">
        <v>43868</v>
      </c>
      <c r="B3073" s="125">
        <v>49.01</v>
      </c>
      <c r="C3073" s="52"/>
      <c r="D3073" s="52"/>
      <c r="E3073" s="52"/>
      <c r="F3073" s="52"/>
      <c r="G3073" s="52"/>
      <c r="H3073" s="52"/>
    </row>
    <row r="3074" spans="1:8" ht="15.75">
      <c r="A3074" s="124">
        <v>43871</v>
      </c>
      <c r="B3074" s="125">
        <v>49</v>
      </c>
      <c r="C3074" s="52"/>
      <c r="D3074" s="52"/>
      <c r="E3074" s="52"/>
      <c r="F3074" s="52"/>
      <c r="G3074" s="52"/>
      <c r="H3074" s="52"/>
    </row>
    <row r="3075" spans="1:8" ht="15.75">
      <c r="A3075" s="124">
        <v>43872</v>
      </c>
      <c r="B3075" s="125">
        <v>49.1</v>
      </c>
      <c r="C3075" s="52"/>
      <c r="D3075" s="52"/>
      <c r="E3075" s="52"/>
      <c r="F3075" s="52"/>
      <c r="G3075" s="52"/>
      <c r="H3075" s="52"/>
    </row>
    <row r="3076" spans="1:8" ht="15.75">
      <c r="A3076" s="124">
        <v>43873</v>
      </c>
      <c r="B3076" s="125">
        <v>49.18</v>
      </c>
      <c r="C3076" s="52"/>
      <c r="D3076" s="52"/>
      <c r="E3076" s="52"/>
      <c r="F3076" s="52"/>
      <c r="G3076" s="52"/>
      <c r="H3076" s="52"/>
    </row>
    <row r="3077" spans="1:8" ht="15.75">
      <c r="A3077" s="124">
        <v>43874</v>
      </c>
      <c r="B3077" s="125">
        <v>49</v>
      </c>
      <c r="C3077" s="52"/>
      <c r="D3077" s="52"/>
      <c r="E3077" s="52"/>
      <c r="F3077" s="52"/>
      <c r="G3077" s="52"/>
      <c r="H3077" s="52"/>
    </row>
    <row r="3078" spans="1:8" ht="15.75">
      <c r="A3078" s="124">
        <v>43875</v>
      </c>
      <c r="B3078" s="125">
        <v>48.92</v>
      </c>
      <c r="C3078" s="52"/>
      <c r="D3078" s="52"/>
      <c r="E3078" s="52"/>
      <c r="F3078" s="52"/>
      <c r="G3078" s="52"/>
      <c r="H3078" s="52"/>
    </row>
    <row r="3079" spans="1:8" ht="15.75">
      <c r="A3079" s="124">
        <v>43878</v>
      </c>
      <c r="B3079" s="125">
        <v>48.56</v>
      </c>
      <c r="C3079" s="52"/>
      <c r="D3079" s="52"/>
      <c r="E3079" s="52"/>
      <c r="F3079" s="52"/>
      <c r="G3079" s="52"/>
      <c r="H3079" s="52"/>
    </row>
    <row r="3080" spans="1:8" ht="15.75">
      <c r="A3080" s="124">
        <v>43879</v>
      </c>
      <c r="B3080" s="125">
        <v>48.31</v>
      </c>
      <c r="C3080" s="52"/>
      <c r="D3080" s="52"/>
      <c r="E3080" s="52"/>
      <c r="F3080" s="52"/>
      <c r="G3080" s="52"/>
      <c r="H3080" s="52"/>
    </row>
    <row r="3081" spans="1:8" ht="15.75">
      <c r="A3081" s="124">
        <v>43880</v>
      </c>
      <c r="B3081" s="125">
        <v>48.31</v>
      </c>
      <c r="C3081" s="52"/>
      <c r="D3081" s="52"/>
      <c r="E3081" s="52"/>
      <c r="F3081" s="52"/>
      <c r="G3081" s="52"/>
      <c r="H3081" s="52"/>
    </row>
    <row r="3082" spans="1:8" ht="15.75">
      <c r="A3082" s="124">
        <v>43881</v>
      </c>
      <c r="B3082" s="125">
        <v>48.36</v>
      </c>
      <c r="C3082" s="52"/>
      <c r="D3082" s="52"/>
      <c r="E3082" s="52"/>
      <c r="F3082" s="52"/>
      <c r="G3082" s="52"/>
      <c r="H3082" s="52"/>
    </row>
    <row r="3083" spans="1:8" ht="15.75">
      <c r="A3083" s="124">
        <v>43882</v>
      </c>
      <c r="B3083" s="125">
        <v>48.68</v>
      </c>
      <c r="C3083" s="52"/>
      <c r="D3083" s="52"/>
      <c r="E3083" s="52"/>
      <c r="F3083" s="52"/>
      <c r="G3083" s="52"/>
      <c r="H3083" s="52"/>
    </row>
    <row r="3084" spans="1:8" ht="15.75">
      <c r="A3084" s="124">
        <v>43885</v>
      </c>
      <c r="B3084" s="125">
        <v>48.79</v>
      </c>
      <c r="C3084" s="52"/>
      <c r="D3084" s="52"/>
      <c r="E3084" s="52"/>
      <c r="F3084" s="52"/>
      <c r="G3084" s="52"/>
      <c r="H3084" s="52"/>
    </row>
    <row r="3085" spans="1:8" ht="15.75">
      <c r="A3085" s="124">
        <v>43886</v>
      </c>
      <c r="B3085" s="125">
        <v>48.41</v>
      </c>
      <c r="C3085" s="52"/>
      <c r="D3085" s="52"/>
      <c r="E3085" s="52"/>
      <c r="F3085" s="52"/>
      <c r="G3085" s="52"/>
      <c r="H3085" s="52"/>
    </row>
    <row r="3086" spans="1:8" ht="15.75">
      <c r="A3086" s="124">
        <v>43887</v>
      </c>
      <c r="B3086" s="125">
        <v>48.55</v>
      </c>
      <c r="C3086" s="52"/>
      <c r="D3086" s="52"/>
      <c r="E3086" s="52"/>
      <c r="F3086" s="52"/>
      <c r="G3086" s="52"/>
      <c r="H3086" s="52"/>
    </row>
    <row r="3087" spans="1:8" ht="15.75">
      <c r="A3087" s="124">
        <v>43888</v>
      </c>
      <c r="B3087" s="125">
        <v>48.31</v>
      </c>
      <c r="C3087" s="52"/>
      <c r="D3087" s="52"/>
      <c r="E3087" s="52"/>
      <c r="F3087" s="52"/>
      <c r="G3087" s="52"/>
      <c r="H3087" s="52"/>
    </row>
    <row r="3088" spans="1:8" ht="15.75">
      <c r="A3088" s="124">
        <v>43889</v>
      </c>
      <c r="B3088" s="125">
        <v>48.64</v>
      </c>
      <c r="C3088" s="52"/>
      <c r="D3088" s="52"/>
      <c r="E3088" s="52"/>
      <c r="F3088" s="52"/>
      <c r="G3088" s="52"/>
      <c r="H3088" s="52"/>
    </row>
    <row r="3089" spans="1:8" ht="15.75">
      <c r="A3089" s="124">
        <v>43892</v>
      </c>
      <c r="B3089" s="125">
        <v>47.19</v>
      </c>
      <c r="C3089" s="52"/>
      <c r="D3089" s="52"/>
      <c r="E3089" s="52"/>
      <c r="F3089" s="52"/>
      <c r="G3089" s="52"/>
      <c r="H3089" s="52"/>
    </row>
    <row r="3090" spans="1:8" ht="15.75">
      <c r="A3090" s="124">
        <v>43893</v>
      </c>
      <c r="B3090" s="125">
        <v>47.4</v>
      </c>
      <c r="C3090" s="52"/>
      <c r="D3090" s="52"/>
      <c r="E3090" s="52"/>
      <c r="F3090" s="52"/>
      <c r="G3090" s="52"/>
      <c r="H3090" s="52"/>
    </row>
    <row r="3091" spans="1:8" ht="15.75">
      <c r="A3091" s="124">
        <v>43894</v>
      </c>
      <c r="B3091" s="125">
        <v>47.16</v>
      </c>
      <c r="C3091" s="52"/>
      <c r="D3091" s="52"/>
      <c r="E3091" s="52"/>
      <c r="F3091" s="52"/>
      <c r="G3091" s="52"/>
      <c r="H3091" s="52"/>
    </row>
    <row r="3092" spans="1:8" ht="15.75">
      <c r="A3092" s="124">
        <v>43895</v>
      </c>
      <c r="B3092" s="125">
        <v>48.28</v>
      </c>
      <c r="C3092" s="52"/>
      <c r="D3092" s="52"/>
      <c r="E3092" s="52"/>
      <c r="F3092" s="52"/>
      <c r="G3092" s="52"/>
      <c r="H3092" s="52"/>
    </row>
    <row r="3093" spans="1:8" ht="15.75">
      <c r="A3093" s="124">
        <v>43896</v>
      </c>
      <c r="B3093" s="125">
        <v>47.7</v>
      </c>
      <c r="C3093" s="52"/>
      <c r="D3093" s="52"/>
      <c r="E3093" s="52"/>
      <c r="F3093" s="52"/>
      <c r="G3093" s="52"/>
      <c r="H3093" s="52"/>
    </row>
    <row r="3094" spans="1:8" ht="15.75">
      <c r="A3094" s="124">
        <v>43899</v>
      </c>
      <c r="B3094" s="125">
        <v>47.48</v>
      </c>
      <c r="C3094" s="52"/>
      <c r="D3094" s="52"/>
      <c r="E3094" s="52"/>
      <c r="F3094" s="52"/>
      <c r="G3094" s="52"/>
      <c r="H3094" s="52"/>
    </row>
    <row r="3095" spans="1:8" ht="15.75">
      <c r="A3095" s="124">
        <v>43900</v>
      </c>
      <c r="B3095" s="125">
        <v>47.99</v>
      </c>
      <c r="C3095" s="52"/>
      <c r="D3095" s="52"/>
      <c r="E3095" s="52"/>
      <c r="F3095" s="52"/>
      <c r="G3095" s="52"/>
      <c r="H3095" s="52"/>
    </row>
    <row r="3096" spans="1:8" ht="15.75">
      <c r="A3096" s="124">
        <v>43901</v>
      </c>
      <c r="B3096" s="125">
        <v>47.98</v>
      </c>
      <c r="C3096" s="52"/>
      <c r="D3096" s="52"/>
      <c r="E3096" s="52"/>
      <c r="F3096" s="52"/>
      <c r="G3096" s="52"/>
      <c r="H3096" s="52"/>
    </row>
    <row r="3097" spans="1:8" ht="15.75">
      <c r="A3097" s="124">
        <v>43902</v>
      </c>
      <c r="B3097" s="125">
        <v>47.03</v>
      </c>
      <c r="C3097" s="52"/>
      <c r="D3097" s="52"/>
      <c r="E3097" s="52"/>
      <c r="F3097" s="52"/>
      <c r="G3097" s="52"/>
      <c r="H3097" s="52"/>
    </row>
    <row r="3098" spans="1:8" ht="15.75">
      <c r="A3098" s="124">
        <v>43903</v>
      </c>
      <c r="B3098" s="125">
        <v>46.82</v>
      </c>
      <c r="C3098" s="52"/>
      <c r="D3098" s="52"/>
      <c r="E3098" s="52"/>
      <c r="F3098" s="52"/>
      <c r="G3098" s="52"/>
      <c r="H3098" s="52"/>
    </row>
    <row r="3099" spans="1:8" ht="15.75">
      <c r="A3099" s="124">
        <v>43906</v>
      </c>
      <c r="B3099" s="125">
        <v>44.95</v>
      </c>
      <c r="C3099" s="52"/>
      <c r="D3099" s="52"/>
      <c r="E3099" s="52"/>
      <c r="F3099" s="52"/>
      <c r="G3099" s="52"/>
      <c r="H3099" s="52"/>
    </row>
    <row r="3100" spans="1:8" ht="15.75">
      <c r="A3100" s="124">
        <v>43907</v>
      </c>
      <c r="B3100" s="125">
        <v>42.89</v>
      </c>
      <c r="C3100" s="52"/>
      <c r="D3100" s="52"/>
      <c r="E3100" s="52"/>
      <c r="F3100" s="52"/>
      <c r="G3100" s="52"/>
      <c r="H3100" s="52"/>
    </row>
    <row r="3101" spans="1:8" ht="15.75">
      <c r="A3101" s="124">
        <v>43908</v>
      </c>
      <c r="B3101" s="125">
        <v>44.2</v>
      </c>
      <c r="C3101" s="52"/>
      <c r="D3101" s="52"/>
      <c r="E3101" s="52"/>
      <c r="F3101" s="52"/>
      <c r="G3101" s="52"/>
      <c r="H3101" s="52"/>
    </row>
    <row r="3102" spans="1:8" ht="15.75">
      <c r="A3102" s="124">
        <v>43909</v>
      </c>
      <c r="B3102" s="125">
        <v>44.05</v>
      </c>
      <c r="C3102" s="52"/>
      <c r="D3102" s="52"/>
      <c r="E3102" s="52"/>
      <c r="F3102" s="52"/>
      <c r="G3102" s="52"/>
      <c r="H3102" s="52"/>
    </row>
    <row r="3103" spans="1:8" ht="15.75">
      <c r="A3103" s="124">
        <v>43910</v>
      </c>
      <c r="B3103" s="125">
        <v>45.01</v>
      </c>
      <c r="C3103" s="52"/>
      <c r="D3103" s="52"/>
      <c r="E3103" s="52"/>
      <c r="F3103" s="52"/>
      <c r="G3103" s="52"/>
      <c r="H3103" s="52"/>
    </row>
    <row r="3104" spans="1:8" ht="15.75">
      <c r="A3104" s="124">
        <v>43913</v>
      </c>
      <c r="B3104" s="125">
        <v>44.5</v>
      </c>
      <c r="C3104" s="52"/>
      <c r="D3104" s="52"/>
      <c r="E3104" s="52"/>
      <c r="F3104" s="52"/>
      <c r="G3104" s="52"/>
      <c r="H3104" s="52"/>
    </row>
    <row r="3105" spans="1:8" ht="15.75">
      <c r="A3105" s="124">
        <v>43914</v>
      </c>
      <c r="B3105" s="125">
        <v>45.15</v>
      </c>
      <c r="C3105" s="52"/>
      <c r="D3105" s="52"/>
      <c r="E3105" s="52"/>
      <c r="F3105" s="52"/>
      <c r="G3105" s="52"/>
      <c r="H3105" s="52"/>
    </row>
    <row r="3106" spans="1:8" ht="15.75">
      <c r="A3106" s="124">
        <v>43915</v>
      </c>
      <c r="B3106" s="125">
        <v>46.21</v>
      </c>
      <c r="C3106" s="52"/>
      <c r="D3106" s="52"/>
      <c r="E3106" s="52"/>
      <c r="F3106" s="52"/>
      <c r="G3106" s="52"/>
      <c r="H3106" s="52"/>
    </row>
    <row r="3107" spans="1:8" ht="15.75">
      <c r="A3107" s="124">
        <v>43916</v>
      </c>
      <c r="B3107" s="125">
        <v>46.01</v>
      </c>
      <c r="C3107" s="52"/>
      <c r="D3107" s="52"/>
      <c r="E3107" s="52"/>
      <c r="F3107" s="52"/>
      <c r="G3107" s="52"/>
      <c r="H3107" s="52"/>
    </row>
    <row r="3108" spans="1:8" ht="15.75">
      <c r="A3108" s="124">
        <v>43917</v>
      </c>
      <c r="B3108" s="125">
        <v>46.35</v>
      </c>
      <c r="C3108" s="52"/>
      <c r="D3108" s="52"/>
      <c r="E3108" s="52"/>
      <c r="F3108" s="52"/>
      <c r="G3108" s="52"/>
      <c r="H3108" s="52"/>
    </row>
    <row r="3109" spans="1:8" ht="15.75">
      <c r="A3109" s="124">
        <v>43920</v>
      </c>
      <c r="B3109" s="125">
        <v>45.95</v>
      </c>
      <c r="C3109" s="52"/>
      <c r="D3109" s="52"/>
      <c r="E3109" s="52"/>
      <c r="F3109" s="52"/>
      <c r="G3109" s="52"/>
      <c r="H3109" s="52"/>
    </row>
    <row r="3110" spans="1:8" ht="15.75">
      <c r="A3110" s="124">
        <v>43921</v>
      </c>
      <c r="B3110" s="125">
        <v>45.25</v>
      </c>
      <c r="C3110" s="52"/>
      <c r="D3110" s="52"/>
      <c r="E3110" s="52"/>
      <c r="F3110" s="52"/>
      <c r="G3110" s="52"/>
      <c r="H3110" s="52"/>
    </row>
    <row r="3111" spans="1:8" ht="15.75">
      <c r="A3111" s="124">
        <v>43922</v>
      </c>
      <c r="B3111" s="125">
        <v>46.15</v>
      </c>
      <c r="C3111" s="52"/>
      <c r="D3111" s="52"/>
      <c r="E3111" s="52"/>
      <c r="F3111" s="52"/>
      <c r="G3111" s="52"/>
      <c r="H3111" s="52"/>
    </row>
    <row r="3112" spans="1:8" ht="15.75">
      <c r="A3112" s="124">
        <v>43923</v>
      </c>
      <c r="B3112" s="125">
        <v>46.5</v>
      </c>
      <c r="C3112" s="52"/>
      <c r="D3112" s="52"/>
      <c r="E3112" s="52"/>
      <c r="F3112" s="52"/>
      <c r="G3112" s="52"/>
      <c r="H3112" s="52"/>
    </row>
    <row r="3113" spans="1:8" ht="15.75">
      <c r="A3113" s="124">
        <v>43924</v>
      </c>
      <c r="B3113" s="125">
        <v>46.41</v>
      </c>
      <c r="C3113" s="52"/>
      <c r="D3113" s="52"/>
      <c r="E3113" s="52"/>
      <c r="F3113" s="52"/>
      <c r="G3113" s="52"/>
      <c r="H3113" s="52"/>
    </row>
    <row r="3114" spans="1:8" ht="15.75">
      <c r="A3114" s="124">
        <v>43927</v>
      </c>
      <c r="B3114" s="125">
        <v>46.21</v>
      </c>
      <c r="C3114" s="52"/>
      <c r="D3114" s="52"/>
      <c r="E3114" s="52"/>
      <c r="F3114" s="52"/>
      <c r="G3114" s="52"/>
      <c r="H3114" s="52"/>
    </row>
    <row r="3115" spans="1:8" ht="15.75">
      <c r="A3115" s="124">
        <v>43928</v>
      </c>
      <c r="B3115" s="125">
        <v>46.3</v>
      </c>
      <c r="C3115" s="52"/>
      <c r="D3115" s="52"/>
      <c r="E3115" s="52"/>
      <c r="F3115" s="52"/>
      <c r="G3115" s="52"/>
      <c r="H3115" s="52"/>
    </row>
    <row r="3116" spans="1:8" ht="15.75">
      <c r="A3116" s="124">
        <v>43929</v>
      </c>
      <c r="B3116" s="125">
        <v>46.42</v>
      </c>
      <c r="C3116" s="52"/>
      <c r="D3116" s="52"/>
      <c r="E3116" s="52"/>
      <c r="F3116" s="52"/>
      <c r="G3116" s="52"/>
      <c r="H3116" s="52"/>
    </row>
    <row r="3117" spans="1:8" ht="15.75">
      <c r="A3117" s="124">
        <v>43930</v>
      </c>
      <c r="B3117" s="125">
        <v>46.35</v>
      </c>
      <c r="C3117" s="52"/>
      <c r="D3117" s="52"/>
      <c r="E3117" s="52"/>
      <c r="F3117" s="52"/>
      <c r="G3117" s="52"/>
      <c r="H3117" s="52"/>
    </row>
    <row r="3118" spans="1:8" ht="15.75">
      <c r="A3118" s="124">
        <v>43935</v>
      </c>
      <c r="B3118" s="125">
        <v>46.34</v>
      </c>
      <c r="C3118" s="52"/>
      <c r="D3118" s="52"/>
      <c r="E3118" s="52"/>
      <c r="F3118" s="52"/>
      <c r="G3118" s="52"/>
      <c r="H3118" s="52"/>
    </row>
    <row r="3119" spans="1:8" ht="15.75">
      <c r="A3119" s="124">
        <v>43936</v>
      </c>
      <c r="B3119" s="125">
        <v>46.42</v>
      </c>
      <c r="C3119" s="52"/>
      <c r="D3119" s="52"/>
      <c r="E3119" s="52"/>
      <c r="F3119" s="52"/>
      <c r="G3119" s="52"/>
      <c r="H3119" s="52"/>
    </row>
    <row r="3120" spans="1:8" ht="15.75">
      <c r="A3120" s="124">
        <v>43937</v>
      </c>
      <c r="B3120" s="125">
        <v>46.45</v>
      </c>
      <c r="C3120" s="52"/>
      <c r="D3120" s="52"/>
      <c r="E3120" s="52"/>
      <c r="F3120" s="52"/>
      <c r="G3120" s="52"/>
      <c r="H3120" s="52"/>
    </row>
    <row r="3121" spans="1:8" ht="15.75">
      <c r="A3121" s="124">
        <v>43938</v>
      </c>
      <c r="B3121" s="125">
        <v>46.51</v>
      </c>
      <c r="C3121" s="52"/>
      <c r="D3121" s="52"/>
      <c r="E3121" s="52"/>
      <c r="F3121" s="52"/>
      <c r="G3121" s="52"/>
      <c r="H3121" s="52"/>
    </row>
    <row r="3122" spans="1:8" ht="15.75">
      <c r="A3122" s="124">
        <v>43941</v>
      </c>
      <c r="B3122" s="125">
        <v>46.41</v>
      </c>
      <c r="C3122" s="52"/>
      <c r="D3122" s="52"/>
      <c r="E3122" s="52"/>
      <c r="F3122" s="52"/>
      <c r="G3122" s="52"/>
      <c r="H3122" s="52"/>
    </row>
    <row r="3123" spans="1:8" ht="15.75">
      <c r="A3123" s="124">
        <v>43942</v>
      </c>
      <c r="B3123" s="125">
        <v>46.55</v>
      </c>
      <c r="C3123" s="52"/>
      <c r="D3123" s="52"/>
      <c r="E3123" s="52"/>
      <c r="F3123" s="52"/>
      <c r="G3123" s="52"/>
      <c r="H3123" s="52"/>
    </row>
    <row r="3124" spans="1:8" ht="15.75">
      <c r="A3124" s="124">
        <v>43943</v>
      </c>
      <c r="B3124" s="125">
        <v>46.9</v>
      </c>
      <c r="C3124" s="52"/>
      <c r="D3124" s="52"/>
      <c r="E3124" s="52"/>
      <c r="F3124" s="52"/>
      <c r="G3124" s="52"/>
      <c r="H3124" s="52"/>
    </row>
    <row r="3125" spans="1:8" ht="15.75">
      <c r="A3125" s="124">
        <v>43944</v>
      </c>
      <c r="B3125" s="125">
        <v>46.3</v>
      </c>
      <c r="C3125" s="52"/>
      <c r="D3125" s="52"/>
      <c r="E3125" s="52"/>
      <c r="F3125" s="52"/>
      <c r="G3125" s="52"/>
      <c r="H3125" s="52"/>
    </row>
    <row r="3126" spans="1:8" ht="15.75">
      <c r="A3126" s="124">
        <v>43945</v>
      </c>
      <c r="B3126" s="125">
        <v>46.48</v>
      </c>
      <c r="C3126" s="52"/>
      <c r="D3126" s="52"/>
      <c r="E3126" s="52"/>
      <c r="F3126" s="52"/>
      <c r="G3126" s="52"/>
      <c r="H3126" s="52"/>
    </row>
    <row r="3127" spans="1:8" ht="15.75">
      <c r="A3127" s="124">
        <v>43948</v>
      </c>
      <c r="B3127" s="125">
        <v>46.61</v>
      </c>
      <c r="C3127" s="52"/>
      <c r="D3127" s="52"/>
      <c r="E3127" s="52"/>
      <c r="F3127" s="52"/>
      <c r="G3127" s="52"/>
      <c r="H3127" s="52"/>
    </row>
    <row r="3128" spans="1:8" ht="15.75">
      <c r="A3128" s="124">
        <v>43949</v>
      </c>
      <c r="B3128" s="125">
        <v>46.9</v>
      </c>
      <c r="C3128" s="52"/>
      <c r="D3128" s="52"/>
      <c r="E3128" s="52"/>
      <c r="F3128" s="52"/>
      <c r="G3128" s="52"/>
      <c r="H3128" s="52"/>
    </row>
    <row r="3129" spans="1:8" ht="15.75">
      <c r="A3129" s="124">
        <v>43950</v>
      </c>
      <c r="B3129" s="125">
        <v>46.66</v>
      </c>
      <c r="C3129" s="52"/>
      <c r="D3129" s="52"/>
      <c r="E3129" s="52"/>
      <c r="F3129" s="52"/>
      <c r="G3129" s="52"/>
      <c r="H3129" s="52"/>
    </row>
    <row r="3130" spans="1:8" ht="15.75">
      <c r="A3130" s="124">
        <v>43951</v>
      </c>
      <c r="B3130" s="125">
        <v>46.81</v>
      </c>
      <c r="C3130" s="52"/>
      <c r="D3130" s="52"/>
      <c r="E3130" s="52"/>
      <c r="F3130" s="52"/>
      <c r="G3130" s="52"/>
      <c r="H3130" s="52"/>
    </row>
    <row r="3131" spans="1:8" ht="15.75">
      <c r="A3131" s="124">
        <v>43955</v>
      </c>
      <c r="B3131" s="125">
        <v>46.75</v>
      </c>
      <c r="C3131" s="52"/>
      <c r="D3131" s="52"/>
      <c r="E3131" s="52"/>
      <c r="F3131" s="52"/>
      <c r="G3131" s="52"/>
      <c r="H3131" s="52"/>
    </row>
    <row r="3132" spans="1:8" ht="15.75">
      <c r="A3132" s="124">
        <v>43956</v>
      </c>
      <c r="B3132" s="125">
        <v>46.5</v>
      </c>
      <c r="C3132" s="52"/>
      <c r="D3132" s="52"/>
      <c r="E3132" s="52"/>
      <c r="F3132" s="52"/>
      <c r="G3132" s="52"/>
      <c r="H3132" s="52"/>
    </row>
    <row r="3133" spans="1:8" ht="15.75">
      <c r="A3133" s="124">
        <v>43957</v>
      </c>
      <c r="B3133" s="125">
        <v>46.45</v>
      </c>
      <c r="C3133" s="52"/>
      <c r="D3133" s="52"/>
      <c r="E3133" s="52"/>
      <c r="F3133" s="52"/>
      <c r="G3133" s="52"/>
      <c r="H3133" s="52"/>
    </row>
    <row r="3134" spans="1:8" ht="15.75">
      <c r="A3134" s="124">
        <v>43958</v>
      </c>
      <c r="B3134" s="125">
        <v>46.52</v>
      </c>
      <c r="C3134" s="52"/>
      <c r="D3134" s="52"/>
      <c r="E3134" s="52"/>
      <c r="F3134" s="52"/>
      <c r="G3134" s="52"/>
      <c r="H3134" s="52"/>
    </row>
    <row r="3135" spans="1:8" ht="15.75">
      <c r="A3135" s="124">
        <v>43959</v>
      </c>
      <c r="B3135" s="125">
        <v>46.6</v>
      </c>
      <c r="C3135" s="52"/>
      <c r="D3135" s="52"/>
      <c r="E3135" s="52"/>
      <c r="F3135" s="52"/>
      <c r="G3135" s="52"/>
      <c r="H3135" s="52"/>
    </row>
    <row r="3136" spans="1:8" ht="15.75">
      <c r="A3136" s="124">
        <v>43962</v>
      </c>
      <c r="B3136" s="125">
        <v>46.56</v>
      </c>
      <c r="C3136" s="52"/>
      <c r="D3136" s="52"/>
      <c r="E3136" s="52"/>
      <c r="F3136" s="52"/>
      <c r="G3136" s="52"/>
      <c r="H3136" s="52"/>
    </row>
    <row r="3137" spans="1:8" ht="15.75">
      <c r="A3137" s="124">
        <v>43963</v>
      </c>
      <c r="B3137" s="125">
        <v>46.61</v>
      </c>
      <c r="C3137" s="52"/>
      <c r="D3137" s="52"/>
      <c r="E3137" s="52"/>
      <c r="F3137" s="52"/>
      <c r="G3137" s="52"/>
      <c r="H3137" s="52"/>
    </row>
    <row r="3138" spans="1:8" ht="15.75">
      <c r="A3138" s="124">
        <v>43964</v>
      </c>
      <c r="B3138" s="125">
        <v>46.62</v>
      </c>
      <c r="C3138" s="52"/>
      <c r="D3138" s="52"/>
      <c r="E3138" s="52"/>
      <c r="F3138" s="52"/>
      <c r="G3138" s="52"/>
      <c r="H3138" s="52"/>
    </row>
    <row r="3139" spans="1:8" ht="15.75">
      <c r="A3139" s="124">
        <v>43965</v>
      </c>
      <c r="B3139" s="125">
        <v>46.59</v>
      </c>
      <c r="C3139" s="52"/>
      <c r="D3139" s="52"/>
      <c r="E3139" s="52"/>
      <c r="F3139" s="52"/>
      <c r="G3139" s="52"/>
      <c r="H3139" s="52"/>
    </row>
    <row r="3140" spans="1:8" ht="15.75">
      <c r="A3140" s="124">
        <v>43966</v>
      </c>
      <c r="B3140" s="125">
        <v>46.6</v>
      </c>
      <c r="C3140" s="52"/>
      <c r="D3140" s="52"/>
      <c r="E3140" s="52"/>
      <c r="F3140" s="52"/>
      <c r="G3140" s="52"/>
      <c r="H3140" s="52"/>
    </row>
    <row r="3141" spans="1:8" ht="15.75">
      <c r="A3141" s="125"/>
      <c r="B3141" s="125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F2"/>
    <mergeCell ref="A3:B3"/>
    <mergeCell ref="D3:H3"/>
    <mergeCell ref="J3:O3"/>
    <mergeCell ref="Q3:V3"/>
  </mergeCells>
  <conditionalFormatting sqref="M107 F6:F147 M6:M52 M54:M55">
    <cfRule type="cellIs" dxfId="64" priority="30" operator="lessThan">
      <formula>0</formula>
    </cfRule>
    <cfRule type="cellIs" dxfId="63" priority="31" operator="greaterThan">
      <formula>0</formula>
    </cfRule>
  </conditionalFormatting>
  <conditionalFormatting sqref="H7:H155">
    <cfRule type="cellIs" dxfId="62" priority="28" operator="lessThan">
      <formula>0</formula>
    </cfRule>
    <cfRule type="cellIs" dxfId="61" priority="29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60" priority="26" operator="lessThan">
      <formula>0</formula>
    </cfRule>
    <cfRule type="cellIs" dxfId="59" priority="27" operator="greaterThan">
      <formula>0</formula>
    </cfRule>
  </conditionalFormatting>
  <conditionalFormatting sqref="G6:H6">
    <cfRule type="cellIs" dxfId="58" priority="24" operator="lessThan">
      <formula>0</formula>
    </cfRule>
    <cfRule type="cellIs" dxfId="57" priority="25" operator="greaterThan">
      <formula>0</formula>
    </cfRule>
  </conditionalFormatting>
  <conditionalFormatting sqref="F148:F150">
    <cfRule type="cellIs" dxfId="56" priority="22" operator="lessThan">
      <formula>0</formula>
    </cfRule>
    <cfRule type="cellIs" dxfId="55" priority="23" operator="greaterThan">
      <formula>0</formula>
    </cfRule>
  </conditionalFormatting>
  <conditionalFormatting sqref="N6:O6">
    <cfRule type="cellIs" dxfId="54" priority="20" operator="lessThan">
      <formula>0</formula>
    </cfRule>
    <cfRule type="cellIs" dxfId="53" priority="21" operator="greaterThan">
      <formula>0</formula>
    </cfRule>
  </conditionalFormatting>
  <conditionalFormatting sqref="U6:V6">
    <cfRule type="cellIs" dxfId="52" priority="18" operator="lessThan">
      <formula>0</formula>
    </cfRule>
    <cfRule type="cellIs" dxfId="51" priority="19" operator="greaterThan">
      <formula>0</formula>
    </cfRule>
  </conditionalFormatting>
  <conditionalFormatting sqref="T6:T17">
    <cfRule type="cellIs" dxfId="50" priority="17" operator="greaterThan">
      <formula>0</formula>
    </cfRule>
  </conditionalFormatting>
  <conditionalFormatting sqref="T6:T17">
    <cfRule type="cellIs" dxfId="49" priority="16" operator="lessThan">
      <formula>0</formula>
    </cfRule>
  </conditionalFormatting>
  <conditionalFormatting sqref="M53">
    <cfRule type="cellIs" dxfId="48" priority="14" operator="lessThan">
      <formula>0</formula>
    </cfRule>
    <cfRule type="cellIs" dxfId="47" priority="15" operator="greaterThan">
      <formula>0</formula>
    </cfRule>
  </conditionalFormatting>
  <conditionalFormatting sqref="AH6:AH15 AI6:AJ6 AO6:AO13 AP6:AQ6 AT6:AT8 AU6:AV6">
    <cfRule type="cellIs" dxfId="46" priority="13" operator="greaterThan">
      <formula>0</formula>
    </cfRule>
  </conditionalFormatting>
  <conditionalFormatting sqref="AH6:AH15 AI6:AJ6 AO6:AO13 AP6:AQ6 AT6:AT8 AU6:AV6">
    <cfRule type="cellIs" dxfId="45" priority="12" operator="lessThan">
      <formula>0</formula>
    </cfRule>
  </conditionalFormatting>
  <conditionalFormatting sqref="M108">
    <cfRule type="cellIs" dxfId="44" priority="8" operator="lessThan">
      <formula>0</formula>
    </cfRule>
    <cfRule type="cellIs" dxfId="43" priority="9" operator="greaterThan">
      <formula>0</formula>
    </cfRule>
  </conditionalFormatting>
  <conditionalFormatting sqref="M111:M158">
    <cfRule type="cellIs" dxfId="42" priority="6" operator="lessThan">
      <formula>0</formula>
    </cfRule>
    <cfRule type="cellIs" dxfId="41" priority="7" operator="greaterThan">
      <formula>0</formula>
    </cfRule>
  </conditionalFormatting>
  <conditionalFormatting sqref="M59:M106">
    <cfRule type="cellIs" dxfId="40" priority="10" operator="lessThan">
      <formula>0</formula>
    </cfRule>
    <cfRule type="cellIs" dxfId="39" priority="11" operator="greaterThan">
      <formula>0</formula>
    </cfRule>
  </conditionalFormatting>
  <conditionalFormatting sqref="N59:O59 N111:O111">
    <cfRule type="cellIs" dxfId="38" priority="4" operator="lessThan">
      <formula>0</formula>
    </cfRule>
    <cfRule type="cellIs" dxfId="37" priority="5" operator="greaterThan">
      <formula>0</formula>
    </cfRule>
  </conditionalFormatting>
  <conditionalFormatting sqref="AA6:AC11">
    <cfRule type="cellIs" dxfId="36" priority="1" operator="lessThan">
      <formula>0</formula>
    </cfRule>
    <cfRule type="cellIs" dxfId="35" priority="2" operator="lessThan">
      <formula>0</formula>
    </cfRule>
    <cfRule type="cellIs" dxfId="34" priority="3" operator="greaterThan">
      <formula>0</formula>
    </cfRule>
  </conditionalFormatting>
  <hyperlinks>
    <hyperlink ref="A2" r:id="rId1" xr:uid="{A1402EB5-3B16-45F3-9C22-C5D38EACF02F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EB4A-C68B-4182-8822-83CA662EC951}">
  <dimension ref="A1:AV3177"/>
  <sheetViews>
    <sheetView topLeftCell="A16" zoomScale="85" zoomScaleNormal="85" workbookViewId="0">
      <selection activeCell="T47" sqref="T47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1" t="s">
        <v>54</v>
      </c>
      <c r="B1" s="221"/>
      <c r="C1" s="221"/>
      <c r="D1" s="221"/>
      <c r="E1" s="221"/>
      <c r="F1" s="27"/>
    </row>
    <row r="2" spans="1:48">
      <c r="A2" s="222" t="s">
        <v>55</v>
      </c>
      <c r="B2" s="222"/>
      <c r="C2" s="222"/>
      <c r="D2" s="222"/>
      <c r="E2" s="222"/>
      <c r="F2" s="222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4">
        <v>39449</v>
      </c>
      <c r="B6" s="125">
        <v>24.65</v>
      </c>
      <c r="C6" s="52"/>
      <c r="D6" s="53">
        <v>39448</v>
      </c>
      <c r="E6" s="54">
        <f t="shared" ref="E6:E69" si="0">AVERAGEIFS($B$6:$B$3140,$A$6:$A$3140,"&gt;="&amp;D6,$A$6:$A$3140,"&lt;="&amp;EOMONTH(D6,0))</f>
        <v>23.46409090909091</v>
      </c>
      <c r="F6" s="55"/>
      <c r="G6" s="56">
        <f>AVERAGE(F6:F150)</f>
        <v>9.7341925427641106E-3</v>
      </c>
      <c r="H6" s="56">
        <f>_xlfn.STDEV.P(F6:F150)</f>
        <v>6.0070848783674233E-2</v>
      </c>
      <c r="J6" s="57">
        <v>39448</v>
      </c>
      <c r="K6" s="58" t="s">
        <v>46</v>
      </c>
      <c r="L6" s="59">
        <v>39539</v>
      </c>
      <c r="M6" s="60">
        <f>$E$9/$E$6-1</f>
        <v>0.13517754402278137</v>
      </c>
      <c r="N6" s="61">
        <f>AVERAGE(M6:M53)</f>
        <v>3.0817676397078872E-2</v>
      </c>
      <c r="O6" s="62">
        <f>_xlfn.STDEV.P(M6:M53)</f>
        <v>0.11846504265296892</v>
      </c>
      <c r="Q6" s="63">
        <v>39448</v>
      </c>
      <c r="R6" s="64" t="s">
        <v>46</v>
      </c>
      <c r="S6" s="65">
        <v>39814</v>
      </c>
      <c r="T6" s="66">
        <f>E18/E6-1</f>
        <v>-0.17103319892882274</v>
      </c>
      <c r="U6" s="67">
        <f>AVERAGE(T6:T17)</f>
        <v>0.13186904263614727</v>
      </c>
      <c r="V6" s="66">
        <f>_xlfn.STDEV.P(T6:T17)</f>
        <v>0.2823791726623392</v>
      </c>
      <c r="X6" s="68">
        <v>39448</v>
      </c>
      <c r="Y6" s="68" t="s">
        <v>46</v>
      </c>
      <c r="Z6" s="69">
        <v>40179</v>
      </c>
      <c r="AA6" s="70">
        <f>E30/E6-1</f>
        <v>-1.8404331570485044E-2</v>
      </c>
      <c r="AB6" s="71">
        <f>AVERAGE(AA6:AA11)</f>
        <v>0.29522947851801379</v>
      </c>
      <c r="AC6" s="70">
        <f>_xlfn.STDEV.P(AA6:AA11)</f>
        <v>0.46360023613151313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4">
        <v>39450</v>
      </c>
      <c r="B7" s="125">
        <v>24.52</v>
      </c>
      <c r="C7" s="52"/>
      <c r="D7" s="53">
        <v>39479</v>
      </c>
      <c r="E7" s="54">
        <f t="shared" si="0"/>
        <v>25.944761904761901</v>
      </c>
      <c r="F7" s="55">
        <f t="shared" ref="F7:F70" si="1">E7/E6-1</f>
        <v>0.10572201604920828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-4.9191372163199021E-2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0.18411939677332456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0.88658590375747881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4">
        <v>39451</v>
      </c>
      <c r="B8" s="125">
        <v>23.55</v>
      </c>
      <c r="C8" s="52"/>
      <c r="D8" s="53">
        <v>39508</v>
      </c>
      <c r="E8" s="54">
        <f t="shared" si="0"/>
        <v>25.222105263157893</v>
      </c>
      <c r="F8" s="55">
        <f t="shared" si="1"/>
        <v>-2.7853662494831788E-2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2.0120517090421952E-2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0.65761362561501513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-9.7307288762708777E-2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4">
        <v>39454</v>
      </c>
      <c r="B9" s="125">
        <v>22.55</v>
      </c>
      <c r="C9" s="52"/>
      <c r="D9" s="53">
        <v>39539</v>
      </c>
      <c r="E9" s="54">
        <f t="shared" si="0"/>
        <v>26.635909090909092</v>
      </c>
      <c r="F9" s="55">
        <f t="shared" si="1"/>
        <v>5.6054156185619819E-2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-0.24711481671142377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0.13813368483714594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0.8423384283777362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4">
        <v>39455</v>
      </c>
      <c r="B10" s="125">
        <v>22.85</v>
      </c>
      <c r="C10" s="52"/>
      <c r="D10" s="53">
        <v>39569</v>
      </c>
      <c r="E10" s="54">
        <f t="shared" si="0"/>
        <v>27.259523809523806</v>
      </c>
      <c r="F10" s="55">
        <f t="shared" si="1"/>
        <v>2.3412556203217916E-2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-0.19772565916713603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-2.6758693698736291E-3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-0.30473413443161179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4">
        <v>39456</v>
      </c>
      <c r="B11" s="125">
        <v>22.25</v>
      </c>
      <c r="C11" s="52"/>
      <c r="D11" s="53">
        <v>39600</v>
      </c>
      <c r="E11" s="54">
        <f t="shared" si="0"/>
        <v>26.381428571428572</v>
      </c>
      <c r="F11" s="55">
        <f t="shared" si="1"/>
        <v>-3.221242029871596E-2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-5.3341320368332501E-2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-9.4885320114580396E-2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0.46289829373767355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4">
        <v>39457</v>
      </c>
      <c r="B12" s="125">
        <v>22.62</v>
      </c>
      <c r="C12" s="52"/>
      <c r="D12" s="53">
        <v>39630</v>
      </c>
      <c r="E12" s="54">
        <f t="shared" si="0"/>
        <v>25.325652173913046</v>
      </c>
      <c r="F12" s="55">
        <f t="shared" si="1"/>
        <v>-4.0019682583032901E-2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0.32837989335031481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0.70053654409975308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4">
        <v>39458</v>
      </c>
      <c r="B13" s="125">
        <v>22.84</v>
      </c>
      <c r="C13" s="52"/>
      <c r="D13" s="53">
        <v>39661</v>
      </c>
      <c r="E13" s="54">
        <f t="shared" si="0"/>
        <v>29.112380952380949</v>
      </c>
      <c r="F13" s="55">
        <f t="shared" si="1"/>
        <v>0.14952147144974459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0.1736993884925413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8.3386555125783302E-2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4">
        <v>39461</v>
      </c>
      <c r="B14" s="125">
        <v>22.42</v>
      </c>
      <c r="C14" s="52"/>
      <c r="D14" s="53">
        <v>39692</v>
      </c>
      <c r="E14" s="54">
        <f t="shared" si="0"/>
        <v>29.706136363636361</v>
      </c>
      <c r="F14" s="55">
        <f t="shared" si="1"/>
        <v>2.0395288596512184E-2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0.36823367235072579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-0.18292139603427837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4">
        <v>39462</v>
      </c>
      <c r="B15" s="125">
        <v>22.44</v>
      </c>
      <c r="C15" s="52"/>
      <c r="D15" s="53">
        <v>39722</v>
      </c>
      <c r="E15" s="54">
        <f t="shared" si="0"/>
        <v>25.835217391304344</v>
      </c>
      <c r="F15" s="55">
        <f t="shared" si="1"/>
        <v>-0.13030704918834402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7.7135772980411188E-2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-0.14908325564530844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4">
        <v>39463</v>
      </c>
      <c r="B16" s="125">
        <v>21.95</v>
      </c>
      <c r="C16" s="52"/>
      <c r="D16" s="53">
        <v>39753</v>
      </c>
      <c r="E16" s="54">
        <f t="shared" si="0"/>
        <v>23.069499999999998</v>
      </c>
      <c r="F16" s="55">
        <f t="shared" si="1"/>
        <v>-0.10705222059541231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4.2821274336790838E-2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0.19289992219588536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4">
        <v>39464</v>
      </c>
      <c r="B17" s="125">
        <v>22.59</v>
      </c>
      <c r="C17" s="52"/>
      <c r="D17" s="53">
        <v>39783</v>
      </c>
      <c r="E17" s="54">
        <f t="shared" si="0"/>
        <v>22.420000000000005</v>
      </c>
      <c r="F17" s="55">
        <f t="shared" si="1"/>
        <v>-2.8154056221417534E-2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7.8556006215065644E-2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0.2263378230797235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4">
        <v>39465</v>
      </c>
      <c r="B18" s="125">
        <v>22.37</v>
      </c>
      <c r="C18" s="52"/>
      <c r="D18" s="53">
        <v>39814</v>
      </c>
      <c r="E18" s="54">
        <f t="shared" si="0"/>
        <v>19.450952380952383</v>
      </c>
      <c r="F18" s="55">
        <f t="shared" si="1"/>
        <v>-0.13242852894949242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2.1832504554182508E-2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4">
        <v>39468</v>
      </c>
      <c r="B19" s="125">
        <v>22.29</v>
      </c>
      <c r="C19" s="52"/>
      <c r="D19" s="53">
        <v>39845</v>
      </c>
      <c r="E19" s="54">
        <f t="shared" si="0"/>
        <v>16.237000000000002</v>
      </c>
      <c r="F19" s="55">
        <f t="shared" si="1"/>
        <v>-0.16523367689181578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0.10381489454786519</v>
      </c>
      <c r="N19" s="78"/>
      <c r="O19" s="78"/>
    </row>
    <row r="20" spans="1:48" ht="15.75">
      <c r="A20" s="124">
        <v>39469</v>
      </c>
      <c r="B20" s="125">
        <v>22.03</v>
      </c>
      <c r="C20" s="52"/>
      <c r="D20" s="53">
        <v>39873</v>
      </c>
      <c r="E20" s="54">
        <f t="shared" si="0"/>
        <v>13.999545454545457</v>
      </c>
      <c r="F20" s="55">
        <f t="shared" si="1"/>
        <v>-0.13779975028974223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-8.8913585571239628E-2</v>
      </c>
      <c r="N20" s="78"/>
      <c r="O20" s="78"/>
    </row>
    <row r="21" spans="1:48" ht="15.75">
      <c r="A21" s="124">
        <v>39470</v>
      </c>
      <c r="B21" s="125">
        <v>23.02</v>
      </c>
      <c r="C21" s="52"/>
      <c r="D21" s="53">
        <v>39904</v>
      </c>
      <c r="E21" s="54">
        <f t="shared" si="0"/>
        <v>15.605</v>
      </c>
      <c r="F21" s="55">
        <f t="shared" si="1"/>
        <v>0.11467904802103956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0.10753572256121124</v>
      </c>
      <c r="N21" s="78"/>
      <c r="O21" s="78"/>
    </row>
    <row r="22" spans="1:48" ht="15.75">
      <c r="A22" s="124">
        <v>39471</v>
      </c>
      <c r="B22" s="125">
        <v>25.5</v>
      </c>
      <c r="C22" s="52"/>
      <c r="D22" s="53">
        <v>39934</v>
      </c>
      <c r="E22" s="54">
        <f t="shared" si="0"/>
        <v>16.499500000000001</v>
      </c>
      <c r="F22" s="55">
        <f t="shared" si="1"/>
        <v>5.7321371355334882E-2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6.8202956229478584E-2</v>
      </c>
      <c r="N22" s="78"/>
      <c r="O22" s="78"/>
    </row>
    <row r="23" spans="1:48" ht="15.75">
      <c r="A23" s="124">
        <v>39472</v>
      </c>
      <c r="B23" s="125">
        <v>25.15</v>
      </c>
      <c r="C23" s="52"/>
      <c r="D23" s="53">
        <v>39965</v>
      </c>
      <c r="E23" s="54">
        <f t="shared" si="0"/>
        <v>16.437727272727276</v>
      </c>
      <c r="F23" s="55">
        <f t="shared" si="1"/>
        <v>-3.7439151048652697E-3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0.10931043461642109</v>
      </c>
      <c r="N23" s="78"/>
      <c r="O23" s="78"/>
    </row>
    <row r="24" spans="1:48" ht="15.75">
      <c r="A24" s="124">
        <v>39475</v>
      </c>
      <c r="B24" s="125">
        <v>25.35</v>
      </c>
      <c r="C24" s="52"/>
      <c r="D24" s="53">
        <v>39995</v>
      </c>
      <c r="E24" s="54">
        <f t="shared" si="0"/>
        <v>14.772608695652172</v>
      </c>
      <c r="F24" s="55">
        <f t="shared" si="1"/>
        <v>-0.10129858887717358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-0.15714064413591655</v>
      </c>
      <c r="N24" s="78"/>
      <c r="O24" s="78"/>
    </row>
    <row r="25" spans="1:48" ht="15.75">
      <c r="A25" s="124">
        <v>39476</v>
      </c>
      <c r="B25" s="125">
        <v>25.35</v>
      </c>
      <c r="C25" s="52"/>
      <c r="D25" s="53">
        <v>40026</v>
      </c>
      <c r="E25" s="54">
        <f t="shared" si="0"/>
        <v>18.952857142857145</v>
      </c>
      <c r="F25" s="55">
        <f t="shared" si="1"/>
        <v>0.28297293547315649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-1.4395947622485306E-3</v>
      </c>
      <c r="N25" s="78"/>
      <c r="O25" s="78"/>
    </row>
    <row r="26" spans="1:48" ht="15.75">
      <c r="A26" s="124">
        <v>39477</v>
      </c>
      <c r="B26" s="125">
        <v>25.35</v>
      </c>
      <c r="C26" s="52"/>
      <c r="D26" s="53">
        <v>40057</v>
      </c>
      <c r="E26" s="54">
        <f t="shared" si="0"/>
        <v>20.048636363636362</v>
      </c>
      <c r="F26" s="55">
        <f t="shared" si="1"/>
        <v>5.7816043909358017E-2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1.541227214900065E-2</v>
      </c>
      <c r="N26" s="78"/>
      <c r="O26" s="78"/>
    </row>
    <row r="27" spans="1:48" ht="15.75">
      <c r="A27" s="124">
        <v>39478</v>
      </c>
      <c r="B27" s="125">
        <v>24.57</v>
      </c>
      <c r="C27" s="52"/>
      <c r="D27" s="53">
        <v>40087</v>
      </c>
      <c r="E27" s="54">
        <f t="shared" si="0"/>
        <v>19.623636363636365</v>
      </c>
      <c r="F27" s="55">
        <f t="shared" si="1"/>
        <v>-2.1198449225746319E-2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1.5967886189782732E-3</v>
      </c>
      <c r="N27" s="78"/>
      <c r="O27" s="78"/>
    </row>
    <row r="28" spans="1:48" ht="15.75">
      <c r="A28" s="124">
        <v>39479</v>
      </c>
      <c r="B28" s="125">
        <v>24.95</v>
      </c>
      <c r="C28" s="52"/>
      <c r="D28" s="53">
        <v>40118</v>
      </c>
      <c r="E28" s="54">
        <f t="shared" si="0"/>
        <v>20.483333333333331</v>
      </c>
      <c r="F28" s="55">
        <f t="shared" si="1"/>
        <v>4.3809259087680186E-2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-0.10826402500919885</v>
      </c>
      <c r="N28" s="78"/>
      <c r="O28" s="78"/>
    </row>
    <row r="29" spans="1:48" ht="15.75">
      <c r="A29" s="124">
        <v>39482</v>
      </c>
      <c r="B29" s="125">
        <v>25.91</v>
      </c>
      <c r="C29" s="52"/>
      <c r="D29" s="53">
        <v>40148</v>
      </c>
      <c r="E29" s="54">
        <f t="shared" si="0"/>
        <v>22.369499999999995</v>
      </c>
      <c r="F29" s="55">
        <f t="shared" si="1"/>
        <v>9.2082994304312438E-2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-1.9966714097754412E-3</v>
      </c>
      <c r="N29" s="78"/>
      <c r="O29" s="78"/>
    </row>
    <row r="30" spans="1:48" ht="15.75">
      <c r="A30" s="124">
        <v>39483</v>
      </c>
      <c r="B30" s="125">
        <v>25.48</v>
      </c>
      <c r="C30" s="52"/>
      <c r="D30" s="53">
        <v>40179</v>
      </c>
      <c r="E30" s="54">
        <f t="shared" si="0"/>
        <v>23.032249999999998</v>
      </c>
      <c r="F30" s="55">
        <f t="shared" si="1"/>
        <v>2.962739444332696E-2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7.8299050907953083E-2</v>
      </c>
      <c r="N30" s="78"/>
      <c r="O30" s="78"/>
    </row>
    <row r="31" spans="1:48" ht="15.75">
      <c r="A31" s="124">
        <v>39484</v>
      </c>
      <c r="B31" s="125">
        <v>24.78</v>
      </c>
      <c r="C31" s="52"/>
      <c r="D31" s="53">
        <v>40210</v>
      </c>
      <c r="E31" s="54">
        <f t="shared" si="0"/>
        <v>24.514499999999998</v>
      </c>
      <c r="F31" s="55">
        <f t="shared" si="1"/>
        <v>6.4355414690271173E-2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0.12054798153644208</v>
      </c>
      <c r="N31" s="78"/>
      <c r="O31" s="78"/>
    </row>
    <row r="32" spans="1:48" ht="15.75">
      <c r="A32" s="124">
        <v>39485</v>
      </c>
      <c r="B32" s="125">
        <v>25.42</v>
      </c>
      <c r="C32" s="52"/>
      <c r="D32" s="53">
        <v>40238</v>
      </c>
      <c r="E32" s="54">
        <f t="shared" si="0"/>
        <v>27.967608695652167</v>
      </c>
      <c r="F32" s="55">
        <f t="shared" si="1"/>
        <v>0.14085984603610791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9.155847134352868E-2</v>
      </c>
      <c r="N32" s="78"/>
      <c r="O32" s="78"/>
    </row>
    <row r="33" spans="1:15" ht="15.75">
      <c r="A33" s="124">
        <v>39486</v>
      </c>
      <c r="B33" s="125">
        <v>26.39</v>
      </c>
      <c r="C33" s="52"/>
      <c r="D33" s="53">
        <v>40269</v>
      </c>
      <c r="E33" s="54">
        <f t="shared" si="0"/>
        <v>31.513500000000001</v>
      </c>
      <c r="F33" s="55">
        <f t="shared" si="1"/>
        <v>0.12678564488422195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0.28934542684453701</v>
      </c>
      <c r="N33" s="78"/>
      <c r="O33" s="78"/>
    </row>
    <row r="34" spans="1:15" ht="15.75">
      <c r="A34" s="124">
        <v>39489</v>
      </c>
      <c r="B34" s="125">
        <v>25</v>
      </c>
      <c r="C34" s="52"/>
      <c r="D34" s="53">
        <v>40299</v>
      </c>
      <c r="E34" s="54">
        <f t="shared" si="0"/>
        <v>35.840714285714292</v>
      </c>
      <c r="F34" s="55">
        <f t="shared" si="1"/>
        <v>0.13731303364317804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5.3363467362298245E-2</v>
      </c>
      <c r="N34" s="78"/>
      <c r="O34" s="78"/>
    </row>
    <row r="35" spans="1:15" ht="15.75">
      <c r="A35" s="124">
        <v>39490</v>
      </c>
      <c r="B35" s="125">
        <v>24.95</v>
      </c>
      <c r="C35" s="52"/>
      <c r="D35" s="53">
        <v>40330</v>
      </c>
      <c r="E35" s="54">
        <f t="shared" si="0"/>
        <v>35.809318181818185</v>
      </c>
      <c r="F35" s="55">
        <f t="shared" si="1"/>
        <v>-8.7598990482784522E-4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-4.377893907869046E-2</v>
      </c>
      <c r="N35" s="78"/>
      <c r="O35" s="78"/>
    </row>
    <row r="36" spans="1:15" ht="15.75">
      <c r="A36" s="124">
        <v>39491</v>
      </c>
      <c r="B36" s="125">
        <v>26.25</v>
      </c>
      <c r="C36" s="52"/>
      <c r="D36" s="53">
        <v>40360</v>
      </c>
      <c r="E36" s="54">
        <f t="shared" si="0"/>
        <v>33.94431818181819</v>
      </c>
      <c r="F36" s="55">
        <f t="shared" si="1"/>
        <v>-5.2081416086467991E-2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2.6838509592288506E-2</v>
      </c>
      <c r="N36" s="78"/>
      <c r="O36" s="78"/>
    </row>
    <row r="37" spans="1:15" ht="15.75">
      <c r="A37" s="124">
        <v>39492</v>
      </c>
      <c r="B37" s="125">
        <v>26.35</v>
      </c>
      <c r="C37" s="52"/>
      <c r="D37" s="53">
        <v>40391</v>
      </c>
      <c r="E37" s="54">
        <f t="shared" si="0"/>
        <v>34.951363636363645</v>
      </c>
      <c r="F37" s="55">
        <f t="shared" si="1"/>
        <v>2.9667570553379541E-2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4.747758194696039E-2</v>
      </c>
      <c r="N37" s="78"/>
      <c r="O37" s="78"/>
    </row>
    <row r="38" spans="1:15" ht="15.75">
      <c r="A38" s="124">
        <v>39493</v>
      </c>
      <c r="B38" s="125">
        <v>25.85</v>
      </c>
      <c r="C38" s="52"/>
      <c r="D38" s="53">
        <v>40422</v>
      </c>
      <c r="E38" s="54">
        <f t="shared" si="0"/>
        <v>36.654318181818184</v>
      </c>
      <c r="F38" s="55">
        <f t="shared" si="1"/>
        <v>4.8723550908404967E-2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-0.13281585940397578</v>
      </c>
      <c r="N38" s="78"/>
      <c r="O38" s="78"/>
    </row>
    <row r="39" spans="1:15" ht="15.75">
      <c r="A39" s="124">
        <v>39496</v>
      </c>
      <c r="B39" s="125">
        <v>26.08</v>
      </c>
      <c r="C39" s="52"/>
      <c r="D39" s="53">
        <v>40452</v>
      </c>
      <c r="E39" s="54">
        <f t="shared" si="0"/>
        <v>35.397857142857141</v>
      </c>
      <c r="F39" s="55">
        <f t="shared" si="1"/>
        <v>-3.4278663505035278E-2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-3.6983535601692319E-3</v>
      </c>
      <c r="N39" s="78"/>
      <c r="O39" s="78"/>
    </row>
    <row r="40" spans="1:15" ht="15.75">
      <c r="A40" s="124">
        <v>39497</v>
      </c>
      <c r="B40" s="125">
        <v>25.98</v>
      </c>
      <c r="C40" s="52"/>
      <c r="D40" s="53">
        <v>40483</v>
      </c>
      <c r="E40" s="54">
        <f t="shared" si="0"/>
        <v>36.037045454545449</v>
      </c>
      <c r="F40" s="55">
        <f t="shared" si="1"/>
        <v>1.8057260051327351E-2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-0.11880497191722494</v>
      </c>
      <c r="N40" s="78"/>
      <c r="O40" s="78"/>
    </row>
    <row r="41" spans="1:15" ht="15.75">
      <c r="A41" s="124">
        <v>39498</v>
      </c>
      <c r="B41" s="125">
        <v>25.78</v>
      </c>
      <c r="C41" s="52"/>
      <c r="D41" s="53">
        <v>40513</v>
      </c>
      <c r="E41" s="54">
        <f t="shared" si="0"/>
        <v>38.461190476190474</v>
      </c>
      <c r="F41" s="55">
        <f t="shared" si="1"/>
        <v>6.7268140078316607E-2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7.3222145010021444E-2</v>
      </c>
      <c r="N41" s="78"/>
      <c r="O41" s="78"/>
    </row>
    <row r="42" spans="1:15" ht="15.75">
      <c r="A42" s="124">
        <v>39499</v>
      </c>
      <c r="B42" s="125">
        <v>26.84</v>
      </c>
      <c r="C42" s="52"/>
      <c r="D42" s="53">
        <v>40544</v>
      </c>
      <c r="E42" s="54">
        <f t="shared" si="0"/>
        <v>38.178571428571431</v>
      </c>
      <c r="F42" s="55">
        <f t="shared" si="1"/>
        <v>-7.3481617214631312E-3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7.0968320820705699E-3</v>
      </c>
      <c r="N42" s="78"/>
      <c r="O42" s="78"/>
    </row>
    <row r="43" spans="1:15" ht="15.75">
      <c r="A43" s="124">
        <v>39500</v>
      </c>
      <c r="B43" s="125">
        <v>26.27</v>
      </c>
      <c r="C43" s="52"/>
      <c r="D43" s="53">
        <v>40575</v>
      </c>
      <c r="E43" s="54">
        <f t="shared" si="0"/>
        <v>39.183999999999997</v>
      </c>
      <c r="F43" s="55">
        <f t="shared" si="1"/>
        <v>2.6334892422825051E-2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-3.5288260825463325E-2</v>
      </c>
      <c r="N43" s="78"/>
      <c r="O43" s="78"/>
    </row>
    <row r="44" spans="1:15" ht="15.75">
      <c r="A44" s="124">
        <v>39503</v>
      </c>
      <c r="B44" s="125">
        <v>26.81</v>
      </c>
      <c r="C44" s="52"/>
      <c r="D44" s="53">
        <v>40603</v>
      </c>
      <c r="E44" s="54">
        <f t="shared" si="0"/>
        <v>38.365434782608695</v>
      </c>
      <c r="F44" s="55">
        <f t="shared" si="1"/>
        <v>-2.0890292399737165E-2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-1.3698827994325313E-2</v>
      </c>
      <c r="N44" s="78"/>
      <c r="O44" s="78"/>
    </row>
    <row r="45" spans="1:15" ht="15.75">
      <c r="A45" s="124">
        <v>39504</v>
      </c>
      <c r="B45" s="125">
        <v>27.58</v>
      </c>
      <c r="C45" s="52"/>
      <c r="D45" s="53">
        <v>40634</v>
      </c>
      <c r="E45" s="54">
        <f t="shared" si="0"/>
        <v>39.012105263157899</v>
      </c>
      <c r="F45" s="55">
        <f t="shared" si="1"/>
        <v>1.6855549382235768E-2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-0.11200866605760906</v>
      </c>
      <c r="N45" s="78"/>
      <c r="O45" s="78"/>
    </row>
    <row r="46" spans="1:15" ht="15.75">
      <c r="A46" s="124">
        <v>39505</v>
      </c>
      <c r="B46" s="125">
        <v>26.65</v>
      </c>
      <c r="C46" s="52"/>
      <c r="D46" s="53">
        <v>40664</v>
      </c>
      <c r="E46" s="54">
        <f t="shared" si="0"/>
        <v>41.301818181818184</v>
      </c>
      <c r="F46" s="55">
        <f t="shared" si="1"/>
        <v>5.8692370053216258E-2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3.5373731159626942E-4</v>
      </c>
      <c r="N46" s="78"/>
      <c r="O46" s="78"/>
    </row>
    <row r="47" spans="1:15" ht="15.75">
      <c r="A47" s="124">
        <v>39506</v>
      </c>
      <c r="B47" s="125">
        <v>26.26</v>
      </c>
      <c r="C47" s="52"/>
      <c r="D47" s="53">
        <v>40695</v>
      </c>
      <c r="E47" s="54">
        <f t="shared" si="0"/>
        <v>41.287272727272729</v>
      </c>
      <c r="F47" s="55">
        <f t="shared" si="1"/>
        <v>-3.5217467864068208E-4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9.0572661886119121E-2</v>
      </c>
      <c r="N47" s="78"/>
      <c r="O47" s="78"/>
    </row>
    <row r="48" spans="1:15" ht="15.75">
      <c r="A48" s="124">
        <v>39507</v>
      </c>
      <c r="B48" s="125">
        <v>25.26</v>
      </c>
      <c r="C48" s="52"/>
      <c r="D48" s="53">
        <v>40725</v>
      </c>
      <c r="E48" s="54">
        <f t="shared" si="0"/>
        <v>43.062142857142852</v>
      </c>
      <c r="F48" s="55">
        <f t="shared" si="1"/>
        <v>4.2988311230780729E-2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3.063323050386435E-2</v>
      </c>
      <c r="N48" s="78"/>
      <c r="O48" s="78"/>
    </row>
    <row r="49" spans="1:15" ht="15.75">
      <c r="A49" s="124">
        <v>39510</v>
      </c>
      <c r="B49" s="125">
        <v>24.95</v>
      </c>
      <c r="C49" s="52"/>
      <c r="D49" s="53">
        <v>40756</v>
      </c>
      <c r="E49" s="54">
        <f t="shared" si="0"/>
        <v>40.43</v>
      </c>
      <c r="F49" s="55">
        <f t="shared" si="1"/>
        <v>-6.1124288818484862E-2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6.0942051141758213E-2</v>
      </c>
      <c r="N49" s="78"/>
      <c r="O49" s="78"/>
    </row>
    <row r="50" spans="1:15" ht="15.75">
      <c r="A50" s="124">
        <v>39511</v>
      </c>
      <c r="B50" s="125">
        <v>25.55</v>
      </c>
      <c r="C50" s="52"/>
      <c r="D50" s="53">
        <v>40787</v>
      </c>
      <c r="E50" s="54">
        <f t="shared" si="0"/>
        <v>41.036363636363646</v>
      </c>
      <c r="F50" s="55">
        <f t="shared" si="1"/>
        <v>1.4997863872462158E-2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0.12190723213202292</v>
      </c>
      <c r="N50" s="78"/>
      <c r="O50" s="78"/>
    </row>
    <row r="51" spans="1:15" ht="15.75">
      <c r="A51" s="124">
        <v>39512</v>
      </c>
      <c r="B51" s="125">
        <v>25.37</v>
      </c>
      <c r="C51" s="52"/>
      <c r="D51" s="53">
        <v>40817</v>
      </c>
      <c r="E51" s="54">
        <f t="shared" si="0"/>
        <v>39.233333333333334</v>
      </c>
      <c r="F51" s="55">
        <f t="shared" si="1"/>
        <v>-4.3937380002953996E-2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3.7345873991217582E-2</v>
      </c>
      <c r="N51" s="78"/>
      <c r="O51" s="78"/>
    </row>
    <row r="52" spans="1:15" ht="15.75">
      <c r="A52" s="124">
        <v>39513</v>
      </c>
      <c r="B52" s="125">
        <v>25.1</v>
      </c>
      <c r="C52" s="52"/>
      <c r="D52" s="53">
        <v>40848</v>
      </c>
      <c r="E52" s="54">
        <f t="shared" si="0"/>
        <v>41.058636363636374</v>
      </c>
      <c r="F52" s="55">
        <f t="shared" si="1"/>
        <v>4.6524291341623725E-2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0.13355867469811256</v>
      </c>
      <c r="N52" s="78"/>
      <c r="O52" s="78"/>
    </row>
    <row r="53" spans="1:15" ht="15.75">
      <c r="A53" s="124">
        <v>39514</v>
      </c>
      <c r="B53" s="125">
        <v>23.62</v>
      </c>
      <c r="C53" s="52"/>
      <c r="D53" s="53">
        <v>40878</v>
      </c>
      <c r="E53" s="54">
        <f t="shared" si="0"/>
        <v>41.89442857142857</v>
      </c>
      <c r="F53" s="55">
        <f t="shared" si="1"/>
        <v>2.0356063469570529E-2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-7.0422535211267512E-2</v>
      </c>
      <c r="N53" s="78"/>
      <c r="O53" s="78"/>
    </row>
    <row r="54" spans="1:15" ht="15.75">
      <c r="A54" s="124">
        <v>39517</v>
      </c>
      <c r="B54" s="125">
        <v>23.98</v>
      </c>
      <c r="C54" s="52"/>
      <c r="D54" s="53">
        <v>40909</v>
      </c>
      <c r="E54" s="54">
        <f t="shared" si="0"/>
        <v>43.452318181818185</v>
      </c>
      <c r="F54" s="55">
        <f t="shared" si="1"/>
        <v>3.7186080906521202E-2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4">
        <v>39518</v>
      </c>
      <c r="B55" s="125">
        <v>24.4</v>
      </c>
      <c r="C55" s="52"/>
      <c r="D55" s="53">
        <v>40940</v>
      </c>
      <c r="E55" s="54">
        <f t="shared" si="0"/>
        <v>43.909142857142861</v>
      </c>
      <c r="F55" s="55">
        <f t="shared" si="1"/>
        <v>1.0513240591979001E-2</v>
      </c>
      <c r="G55" s="81"/>
      <c r="H55" s="55"/>
      <c r="J55" s="87"/>
      <c r="K55" s="88"/>
      <c r="L55" s="89"/>
    </row>
    <row r="56" spans="1:15" ht="15.75">
      <c r="A56" s="124">
        <v>39519</v>
      </c>
      <c r="B56" s="125">
        <v>25.01</v>
      </c>
      <c r="C56" s="52"/>
      <c r="D56" s="53">
        <v>40969</v>
      </c>
      <c r="E56" s="54">
        <f t="shared" si="0"/>
        <v>44.915272727272729</v>
      </c>
      <c r="F56" s="55">
        <f t="shared" si="1"/>
        <v>2.2913903680681802E-2</v>
      </c>
      <c r="G56" s="76"/>
      <c r="H56" s="77"/>
      <c r="J56" s="90"/>
      <c r="K56" s="90"/>
      <c r="L56" s="90"/>
      <c r="M56" s="90"/>
    </row>
    <row r="57" spans="1:15" ht="18">
      <c r="A57" s="124">
        <v>39520</v>
      </c>
      <c r="B57" s="125">
        <v>24.35</v>
      </c>
      <c r="C57" s="52"/>
      <c r="D57" s="53">
        <v>41000</v>
      </c>
      <c r="E57" s="54">
        <f t="shared" si="0"/>
        <v>46.415894736842105</v>
      </c>
      <c r="F57" s="55">
        <f t="shared" si="1"/>
        <v>3.341006117632217E-2</v>
      </c>
      <c r="G57" s="76"/>
      <c r="H57" s="77"/>
      <c r="J57" s="33"/>
      <c r="K57" s="33"/>
      <c r="L57" s="91"/>
      <c r="M57" s="33"/>
      <c r="N57" s="90"/>
    </row>
    <row r="58" spans="1:15" ht="18">
      <c r="A58" s="124">
        <v>39521</v>
      </c>
      <c r="B58" s="125">
        <v>24.5</v>
      </c>
      <c r="C58" s="52"/>
      <c r="D58" s="53">
        <v>41030</v>
      </c>
      <c r="E58" s="54">
        <f t="shared" si="0"/>
        <v>48.438954545454543</v>
      </c>
      <c r="F58" s="55">
        <f t="shared" si="1"/>
        <v>4.3585496306433491E-2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24">
        <v>39524</v>
      </c>
      <c r="B59" s="125">
        <v>24.26</v>
      </c>
      <c r="C59" s="52"/>
      <c r="D59" s="53">
        <v>41061</v>
      </c>
      <c r="E59" s="54">
        <f t="shared" si="0"/>
        <v>48.085619047619048</v>
      </c>
      <c r="F59" s="55">
        <f t="shared" si="1"/>
        <v>-7.2944492950178796E-3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4">
        <v>39525</v>
      </c>
      <c r="B60" s="125">
        <v>24.04</v>
      </c>
      <c r="C60" s="52"/>
      <c r="D60" s="53">
        <v>41091</v>
      </c>
      <c r="E60" s="54">
        <f t="shared" si="0"/>
        <v>51.489636363636372</v>
      </c>
      <c r="F60" s="55">
        <f t="shared" si="1"/>
        <v>7.0790755810928419E-2</v>
      </c>
      <c r="G60" s="76"/>
      <c r="H60" s="77"/>
      <c r="J60" s="87"/>
      <c r="K60" s="88"/>
      <c r="L60" s="89"/>
      <c r="M60" s="92"/>
    </row>
    <row r="61" spans="1:15" ht="15.75">
      <c r="A61" s="124">
        <v>39526</v>
      </c>
      <c r="B61" s="125">
        <v>25.7</v>
      </c>
      <c r="C61" s="52"/>
      <c r="D61" s="53">
        <v>41122</v>
      </c>
      <c r="E61" s="54">
        <f t="shared" si="0"/>
        <v>48.798434782608695</v>
      </c>
      <c r="F61" s="55">
        <f t="shared" si="1"/>
        <v>-5.2266859334984317E-2</v>
      </c>
      <c r="G61" s="81"/>
      <c r="H61" s="55"/>
      <c r="J61" s="95"/>
      <c r="K61" s="88"/>
      <c r="L61" s="96"/>
      <c r="M61" s="92"/>
    </row>
    <row r="62" spans="1:15" ht="15.75">
      <c r="A62" s="124">
        <v>39527</v>
      </c>
      <c r="B62" s="125">
        <v>25.73</v>
      </c>
      <c r="C62" s="52"/>
      <c r="D62" s="53">
        <v>41153</v>
      </c>
      <c r="E62" s="54">
        <f t="shared" si="0"/>
        <v>45.841850000000008</v>
      </c>
      <c r="F62" s="55">
        <f t="shared" si="1"/>
        <v>-6.0587697039462984E-2</v>
      </c>
      <c r="G62" s="76"/>
      <c r="H62" s="77"/>
      <c r="J62" s="87"/>
      <c r="K62" s="88"/>
      <c r="L62" s="89"/>
      <c r="M62" s="92"/>
    </row>
    <row r="63" spans="1:15" ht="15.75">
      <c r="A63" s="124">
        <v>39532</v>
      </c>
      <c r="B63" s="125">
        <v>27.75</v>
      </c>
      <c r="C63" s="52"/>
      <c r="D63" s="53">
        <v>41183</v>
      </c>
      <c r="E63" s="54">
        <f t="shared" si="0"/>
        <v>43.398521739130437</v>
      </c>
      <c r="F63" s="55">
        <f t="shared" si="1"/>
        <v>-5.3299076299703652E-2</v>
      </c>
      <c r="G63" s="76"/>
      <c r="H63" s="77"/>
      <c r="J63" s="87"/>
      <c r="K63" s="88"/>
      <c r="L63" s="89"/>
      <c r="M63" s="92"/>
    </row>
    <row r="64" spans="1:15" ht="15.75">
      <c r="A64" s="124">
        <v>39533</v>
      </c>
      <c r="B64" s="125">
        <v>27.65</v>
      </c>
      <c r="C64" s="52"/>
      <c r="D64" s="53">
        <v>41214</v>
      </c>
      <c r="E64" s="54">
        <f t="shared" si="0"/>
        <v>43.394363636363643</v>
      </c>
      <c r="F64" s="55">
        <f t="shared" si="1"/>
        <v>-9.5812082996471482E-5</v>
      </c>
      <c r="G64" s="81"/>
      <c r="H64" s="55"/>
      <c r="J64" s="87"/>
      <c r="K64" s="88"/>
      <c r="L64" s="89"/>
      <c r="M64" s="92"/>
    </row>
    <row r="65" spans="1:13" ht="15.75">
      <c r="A65" s="124">
        <v>39534</v>
      </c>
      <c r="B65" s="125">
        <v>26.13</v>
      </c>
      <c r="C65" s="52"/>
      <c r="D65" s="53">
        <v>41244</v>
      </c>
      <c r="E65" s="54">
        <f t="shared" si="0"/>
        <v>42.120941176470595</v>
      </c>
      <c r="F65" s="55">
        <f t="shared" si="1"/>
        <v>-2.9345342417372078E-2</v>
      </c>
      <c r="G65" s="76"/>
      <c r="H65" s="77"/>
      <c r="J65" s="87"/>
      <c r="K65" s="88"/>
      <c r="L65" s="96"/>
      <c r="M65" s="92"/>
    </row>
    <row r="66" spans="1:13" ht="15.75">
      <c r="A66" s="124">
        <v>39535</v>
      </c>
      <c r="B66" s="125">
        <v>25.81</v>
      </c>
      <c r="C66" s="52"/>
      <c r="D66" s="53">
        <v>41275</v>
      </c>
      <c r="E66" s="54">
        <f t="shared" si="0"/>
        <v>43.336045454545456</v>
      </c>
      <c r="F66" s="55">
        <f t="shared" si="1"/>
        <v>2.8847984972226515E-2</v>
      </c>
      <c r="G66" s="76"/>
      <c r="H66" s="77"/>
      <c r="J66" s="95"/>
      <c r="K66" s="88"/>
      <c r="L66" s="89"/>
      <c r="M66" s="92"/>
    </row>
    <row r="67" spans="1:13" ht="15.75">
      <c r="A67" s="124">
        <v>39538</v>
      </c>
      <c r="B67" s="125">
        <v>25.32</v>
      </c>
      <c r="C67" s="52"/>
      <c r="D67" s="53">
        <v>41306</v>
      </c>
      <c r="E67" s="54">
        <f t="shared" si="0"/>
        <v>42.006649999999993</v>
      </c>
      <c r="F67" s="55">
        <f t="shared" si="1"/>
        <v>-3.0676436684557329E-2</v>
      </c>
      <c r="G67" s="81"/>
      <c r="H67" s="55"/>
      <c r="J67" s="87"/>
      <c r="K67" s="88"/>
      <c r="L67" s="89"/>
      <c r="M67" s="92"/>
    </row>
    <row r="68" spans="1:13" ht="15.75">
      <c r="A68" s="124">
        <v>39539</v>
      </c>
      <c r="B68" s="125">
        <v>26.22</v>
      </c>
      <c r="C68" s="52"/>
      <c r="D68" s="53">
        <v>41334</v>
      </c>
      <c r="E68" s="54">
        <f t="shared" si="0"/>
        <v>42.49114999999999</v>
      </c>
      <c r="F68" s="55">
        <f t="shared" si="1"/>
        <v>1.1533888086767252E-2</v>
      </c>
      <c r="G68" s="76"/>
      <c r="H68" s="77"/>
      <c r="J68" s="87"/>
      <c r="K68" s="88"/>
      <c r="L68" s="89"/>
      <c r="M68" s="92"/>
    </row>
    <row r="69" spans="1:13" ht="15.75">
      <c r="A69" s="124">
        <v>39540</v>
      </c>
      <c r="B69" s="125">
        <v>28.17</v>
      </c>
      <c r="C69" s="52"/>
      <c r="D69" s="53">
        <v>41365</v>
      </c>
      <c r="E69" s="54">
        <f t="shared" si="0"/>
        <v>44.003952380952377</v>
      </c>
      <c r="F69" s="55">
        <f t="shared" si="1"/>
        <v>3.5602763892066625E-2</v>
      </c>
      <c r="G69" s="76"/>
      <c r="H69" s="77"/>
      <c r="J69" s="87"/>
      <c r="K69" s="88"/>
      <c r="L69" s="96"/>
      <c r="M69" s="92"/>
    </row>
    <row r="70" spans="1:13" ht="15.75">
      <c r="A70" s="124">
        <v>39541</v>
      </c>
      <c r="B70" s="125">
        <v>27.45</v>
      </c>
      <c r="C70" s="52"/>
      <c r="D70" s="53">
        <v>41395</v>
      </c>
      <c r="E70" s="54">
        <f t="shared" ref="E70:E133" si="2">AVERAGEIFS($B$6:$B$3140,$A$6:$A$3140,"&gt;="&amp;D70,$A$6:$A$3140,"&lt;="&amp;EOMONTH(D70,0))</f>
        <v>44.892499999999991</v>
      </c>
      <c r="F70" s="55">
        <f t="shared" si="1"/>
        <v>2.0192450245270166E-2</v>
      </c>
      <c r="G70" s="81"/>
      <c r="H70" s="55"/>
      <c r="J70" s="87"/>
      <c r="K70" s="88"/>
      <c r="L70" s="89"/>
      <c r="M70" s="92"/>
    </row>
    <row r="71" spans="1:13" ht="15.75">
      <c r="A71" s="124">
        <v>39542</v>
      </c>
      <c r="B71" s="125">
        <v>27.68</v>
      </c>
      <c r="C71" s="52"/>
      <c r="D71" s="53">
        <v>41426</v>
      </c>
      <c r="E71" s="54">
        <f t="shared" si="2"/>
        <v>42.440649999999998</v>
      </c>
      <c r="F71" s="55">
        <f t="shared" ref="F71:F134" si="3">E71/E70-1</f>
        <v>-5.4616027176031534E-2</v>
      </c>
      <c r="G71" s="76"/>
      <c r="H71" s="77"/>
      <c r="J71" s="95"/>
      <c r="K71" s="88"/>
      <c r="L71" s="89"/>
      <c r="M71" s="92"/>
    </row>
    <row r="72" spans="1:13" ht="15.75">
      <c r="A72" s="124">
        <v>39545</v>
      </c>
      <c r="B72" s="125">
        <v>27.4</v>
      </c>
      <c r="C72" s="52"/>
      <c r="D72" s="53">
        <v>41456</v>
      </c>
      <c r="E72" s="54">
        <f t="shared" si="2"/>
        <v>44.074217391304344</v>
      </c>
      <c r="F72" s="55">
        <f t="shared" si="3"/>
        <v>3.8490630829272066E-2</v>
      </c>
      <c r="G72" s="76"/>
      <c r="H72" s="77"/>
      <c r="J72" s="87"/>
      <c r="K72" s="88"/>
      <c r="L72" s="89"/>
      <c r="M72" s="92"/>
    </row>
    <row r="73" spans="1:13" ht="15.75">
      <c r="A73" s="124">
        <v>39546</v>
      </c>
      <c r="B73" s="125">
        <v>27.28</v>
      </c>
      <c r="C73" s="52"/>
      <c r="D73" s="53">
        <v>41487</v>
      </c>
      <c r="E73" s="54">
        <f t="shared" si="2"/>
        <v>39.512272727272737</v>
      </c>
      <c r="F73" s="55">
        <f t="shared" si="3"/>
        <v>-0.10350597092920044</v>
      </c>
      <c r="G73" s="81"/>
      <c r="H73" s="55"/>
      <c r="J73" s="87"/>
      <c r="K73" s="88"/>
      <c r="L73" s="96"/>
      <c r="M73" s="92"/>
    </row>
    <row r="74" spans="1:13" ht="15.75">
      <c r="A74" s="124">
        <v>39547</v>
      </c>
      <c r="B74" s="125">
        <v>26.58</v>
      </c>
      <c r="C74" s="52"/>
      <c r="D74" s="53">
        <v>41518</v>
      </c>
      <c r="E74" s="54">
        <f t="shared" si="2"/>
        <v>40.251761904761906</v>
      </c>
      <c r="F74" s="55">
        <f t="shared" si="3"/>
        <v>1.8715430078987794E-2</v>
      </c>
      <c r="G74" s="76"/>
      <c r="H74" s="77"/>
      <c r="J74" s="87"/>
      <c r="K74" s="88"/>
      <c r="L74" s="89"/>
      <c r="M74" s="92"/>
    </row>
    <row r="75" spans="1:13" ht="15.75">
      <c r="A75" s="124">
        <v>39548</v>
      </c>
      <c r="B75" s="125">
        <v>25.64</v>
      </c>
      <c r="C75" s="52"/>
      <c r="D75" s="53">
        <v>41548</v>
      </c>
      <c r="E75" s="54">
        <f t="shared" si="2"/>
        <v>39.302565217391304</v>
      </c>
      <c r="F75" s="55">
        <f t="shared" si="3"/>
        <v>-2.358149413723698E-2</v>
      </c>
      <c r="G75" s="76"/>
      <c r="H75" s="77"/>
      <c r="J75" s="87"/>
      <c r="K75" s="88"/>
      <c r="L75" s="89"/>
      <c r="M75" s="92"/>
    </row>
    <row r="76" spans="1:13" ht="15.75">
      <c r="A76" s="124">
        <v>39549</v>
      </c>
      <c r="B76" s="125">
        <v>25.62</v>
      </c>
      <c r="C76" s="52"/>
      <c r="D76" s="53">
        <v>41579</v>
      </c>
      <c r="E76" s="54">
        <f t="shared" si="2"/>
        <v>38.098047619047612</v>
      </c>
      <c r="F76" s="55">
        <f t="shared" si="3"/>
        <v>-3.0647302324447123E-2</v>
      </c>
      <c r="G76" s="81"/>
      <c r="H76" s="55"/>
      <c r="J76" s="95"/>
      <c r="K76" s="88"/>
      <c r="L76" s="89"/>
      <c r="M76" s="92"/>
    </row>
    <row r="77" spans="1:13" ht="15.75">
      <c r="A77" s="124">
        <v>39552</v>
      </c>
      <c r="B77" s="125">
        <v>25.37</v>
      </c>
      <c r="C77" s="52"/>
      <c r="D77" s="53">
        <v>41609</v>
      </c>
      <c r="E77" s="54">
        <f t="shared" si="2"/>
        <v>37.982166666666657</v>
      </c>
      <c r="F77" s="55">
        <f t="shared" si="3"/>
        <v>-3.0416506782625641E-3</v>
      </c>
      <c r="G77" s="76"/>
      <c r="H77" s="77"/>
      <c r="J77" s="87"/>
      <c r="K77" s="88"/>
      <c r="L77" s="96"/>
      <c r="M77" s="92"/>
    </row>
    <row r="78" spans="1:13" ht="15.75">
      <c r="A78" s="124">
        <v>39553</v>
      </c>
      <c r="B78" s="125">
        <v>25.17</v>
      </c>
      <c r="C78" s="52"/>
      <c r="D78" s="53">
        <v>41640</v>
      </c>
      <c r="E78" s="54">
        <f t="shared" si="2"/>
        <v>39.224090909090904</v>
      </c>
      <c r="F78" s="55">
        <f t="shared" si="3"/>
        <v>3.2697561814296616E-2</v>
      </c>
      <c r="G78" s="76"/>
      <c r="H78" s="77"/>
      <c r="J78" s="87"/>
      <c r="K78" s="88"/>
      <c r="L78" s="89"/>
      <c r="M78" s="92"/>
    </row>
    <row r="79" spans="1:13" ht="15.75">
      <c r="A79" s="124">
        <v>39554</v>
      </c>
      <c r="B79" s="125">
        <v>25.38</v>
      </c>
      <c r="C79" s="52"/>
      <c r="D79" s="53">
        <v>41671</v>
      </c>
      <c r="E79" s="54">
        <f t="shared" si="2"/>
        <v>42.086499999999994</v>
      </c>
      <c r="F79" s="55">
        <f t="shared" si="3"/>
        <v>7.2975791779170907E-2</v>
      </c>
      <c r="G79" s="81"/>
      <c r="H79" s="55"/>
      <c r="J79" s="87"/>
      <c r="K79" s="88"/>
      <c r="L79" s="89"/>
      <c r="M79" s="92"/>
    </row>
    <row r="80" spans="1:13" ht="15.75">
      <c r="A80" s="124">
        <v>39555</v>
      </c>
      <c r="B80" s="125">
        <v>26.32</v>
      </c>
      <c r="C80" s="52"/>
      <c r="D80" s="53">
        <v>41699</v>
      </c>
      <c r="E80" s="54">
        <f t="shared" si="2"/>
        <v>41.673761904761896</v>
      </c>
      <c r="F80" s="55">
        <f t="shared" si="3"/>
        <v>-9.806899961700255E-3</v>
      </c>
      <c r="G80" s="76"/>
      <c r="H80" s="77"/>
      <c r="J80" s="87"/>
      <c r="K80" s="88"/>
      <c r="L80" s="89"/>
      <c r="M80" s="92"/>
    </row>
    <row r="81" spans="1:13" ht="15.75">
      <c r="A81" s="124">
        <v>39556</v>
      </c>
      <c r="B81" s="125">
        <v>27.11</v>
      </c>
      <c r="C81" s="52"/>
      <c r="D81" s="53">
        <v>41730</v>
      </c>
      <c r="E81" s="54">
        <f t="shared" si="2"/>
        <v>42.29529999999999</v>
      </c>
      <c r="F81" s="55">
        <f t="shared" si="3"/>
        <v>1.4914374580785594E-2</v>
      </c>
      <c r="G81" s="76"/>
      <c r="H81" s="77"/>
      <c r="J81" s="95"/>
      <c r="K81" s="88"/>
      <c r="L81" s="96"/>
      <c r="M81" s="92"/>
    </row>
    <row r="82" spans="1:13" ht="15.75">
      <c r="A82" s="124">
        <v>39559</v>
      </c>
      <c r="B82" s="125">
        <v>26.55</v>
      </c>
      <c r="C82" s="52"/>
      <c r="D82" s="53">
        <v>41760</v>
      </c>
      <c r="E82" s="54">
        <f t="shared" si="2"/>
        <v>44.428190476190473</v>
      </c>
      <c r="F82" s="55">
        <f t="shared" si="3"/>
        <v>5.0428545871302077E-2</v>
      </c>
      <c r="G82" s="81"/>
      <c r="H82" s="55"/>
      <c r="J82" s="87"/>
      <c r="K82" s="88"/>
      <c r="L82" s="89"/>
      <c r="M82" s="92"/>
    </row>
    <row r="83" spans="1:13" ht="15.75">
      <c r="A83" s="124">
        <v>39560</v>
      </c>
      <c r="B83" s="125">
        <v>26.25</v>
      </c>
      <c r="C83" s="52"/>
      <c r="D83" s="53">
        <v>41791</v>
      </c>
      <c r="E83" s="54">
        <f t="shared" si="2"/>
        <v>45.357761904761915</v>
      </c>
      <c r="F83" s="55">
        <f t="shared" si="3"/>
        <v>2.0923008986143854E-2</v>
      </c>
      <c r="G83" s="76"/>
      <c r="H83" s="77"/>
      <c r="J83" s="87"/>
      <c r="K83" s="88"/>
      <c r="L83" s="89"/>
      <c r="M83" s="92"/>
    </row>
    <row r="84" spans="1:13" ht="15.75">
      <c r="A84" s="124">
        <v>39561</v>
      </c>
      <c r="B84" s="125">
        <v>25.68</v>
      </c>
      <c r="C84" s="52"/>
      <c r="D84" s="53">
        <v>41821</v>
      </c>
      <c r="E84" s="54">
        <f t="shared" si="2"/>
        <v>47.393913043478271</v>
      </c>
      <c r="F84" s="55">
        <f t="shared" si="3"/>
        <v>4.4890908484234382E-2</v>
      </c>
      <c r="G84" s="76"/>
      <c r="H84" s="77"/>
      <c r="J84" s="87"/>
      <c r="K84" s="88"/>
      <c r="L84" s="89"/>
      <c r="M84" s="92"/>
    </row>
    <row r="85" spans="1:13" ht="15.75">
      <c r="A85" s="124">
        <v>39562</v>
      </c>
      <c r="B85" s="125">
        <v>26.5</v>
      </c>
      <c r="C85" s="52"/>
      <c r="D85" s="53">
        <v>41852</v>
      </c>
      <c r="E85" s="54">
        <f t="shared" si="2"/>
        <v>49.125476190476192</v>
      </c>
      <c r="F85" s="55">
        <f t="shared" si="3"/>
        <v>3.6535559859963929E-2</v>
      </c>
      <c r="G85" s="81"/>
      <c r="H85" s="55"/>
      <c r="J85" s="87"/>
      <c r="K85" s="88"/>
      <c r="L85" s="96"/>
      <c r="M85" s="92"/>
    </row>
    <row r="86" spans="1:13" ht="15.75">
      <c r="A86" s="124">
        <v>39563</v>
      </c>
      <c r="B86" s="125">
        <v>27.55</v>
      </c>
      <c r="C86" s="52"/>
      <c r="D86" s="53">
        <v>41883</v>
      </c>
      <c r="E86" s="54">
        <f t="shared" si="2"/>
        <v>49.116772727272739</v>
      </c>
      <c r="F86" s="55">
        <f t="shared" si="3"/>
        <v>-1.7716801705303098E-4</v>
      </c>
      <c r="G86" s="76"/>
      <c r="H86" s="77"/>
      <c r="J86" s="95"/>
      <c r="K86" s="88"/>
      <c r="L86" s="89"/>
      <c r="M86" s="92"/>
    </row>
    <row r="87" spans="1:13" ht="15.75">
      <c r="A87" s="124">
        <v>39566</v>
      </c>
      <c r="B87" s="125">
        <v>27.8</v>
      </c>
      <c r="C87" s="52"/>
      <c r="D87" s="53">
        <v>41913</v>
      </c>
      <c r="E87" s="54">
        <f t="shared" si="2"/>
        <v>51.73322727272727</v>
      </c>
      <c r="F87" s="55">
        <f t="shared" si="3"/>
        <v>5.3270082706425637E-2</v>
      </c>
      <c r="G87" s="76"/>
      <c r="H87" s="77"/>
      <c r="J87" s="87"/>
      <c r="K87" s="88"/>
      <c r="L87" s="89"/>
      <c r="M87" s="92"/>
    </row>
    <row r="88" spans="1:13" ht="15.75">
      <c r="A88" s="124">
        <v>39567</v>
      </c>
      <c r="B88" s="125">
        <v>27.27</v>
      </c>
      <c r="C88" s="52"/>
      <c r="D88" s="53">
        <v>41944</v>
      </c>
      <c r="E88" s="54">
        <f t="shared" si="2"/>
        <v>55.819800000000008</v>
      </c>
      <c r="F88" s="55">
        <f t="shared" si="3"/>
        <v>7.8993191469171942E-2</v>
      </c>
      <c r="G88" s="81"/>
      <c r="H88" s="55"/>
      <c r="J88" s="87"/>
      <c r="K88" s="88"/>
      <c r="L88" s="89"/>
      <c r="M88" s="92"/>
    </row>
    <row r="89" spans="1:13" ht="15.75">
      <c r="A89" s="124">
        <v>39568</v>
      </c>
      <c r="B89" s="125">
        <v>27</v>
      </c>
      <c r="C89" s="52"/>
      <c r="D89" s="53">
        <v>41974</v>
      </c>
      <c r="E89" s="54">
        <f t="shared" si="2"/>
        <v>58.148105263157902</v>
      </c>
      <c r="F89" s="55">
        <f t="shared" si="3"/>
        <v>4.171110006051415E-2</v>
      </c>
      <c r="G89" s="76"/>
      <c r="H89" s="77"/>
      <c r="J89" s="87"/>
      <c r="K89" s="88"/>
      <c r="L89" s="96"/>
      <c r="M89" s="92"/>
    </row>
    <row r="90" spans="1:13" ht="15.75">
      <c r="A90" s="124">
        <v>39570</v>
      </c>
      <c r="B90" s="125">
        <v>27.55</v>
      </c>
      <c r="C90" s="52"/>
      <c r="D90" s="53">
        <v>42005</v>
      </c>
      <c r="E90" s="54">
        <f t="shared" si="2"/>
        <v>66.701999999999984</v>
      </c>
      <c r="F90" s="55">
        <f t="shared" si="3"/>
        <v>0.1471053046033084</v>
      </c>
      <c r="G90" s="76"/>
      <c r="H90" s="77"/>
      <c r="J90" s="87"/>
      <c r="K90" s="88"/>
      <c r="L90" s="89"/>
      <c r="M90" s="92"/>
    </row>
    <row r="91" spans="1:13" ht="15.75">
      <c r="A91" s="124">
        <v>39573</v>
      </c>
      <c r="B91" s="125">
        <v>27.98</v>
      </c>
      <c r="C91" s="52"/>
      <c r="D91" s="53">
        <v>42036</v>
      </c>
      <c r="E91" s="54">
        <f t="shared" si="2"/>
        <v>68.648849999999996</v>
      </c>
      <c r="F91" s="55">
        <f t="shared" si="3"/>
        <v>2.9187280741207244E-2</v>
      </c>
      <c r="G91" s="81"/>
      <c r="H91" s="55"/>
      <c r="J91" s="95"/>
      <c r="K91" s="88"/>
      <c r="L91" s="89"/>
      <c r="M91" s="92"/>
    </row>
    <row r="92" spans="1:13" ht="15.75">
      <c r="A92" s="124">
        <v>39574</v>
      </c>
      <c r="B92" s="125">
        <v>27.75</v>
      </c>
      <c r="C92" s="52"/>
      <c r="D92" s="53">
        <v>42064</v>
      </c>
      <c r="E92" s="54">
        <f t="shared" si="2"/>
        <v>71.960727272727269</v>
      </c>
      <c r="F92" s="55">
        <f t="shared" si="3"/>
        <v>4.8243740029545679E-2</v>
      </c>
      <c r="G92" s="76"/>
      <c r="H92" s="77"/>
      <c r="J92" s="87"/>
      <c r="K92" s="88"/>
      <c r="L92" s="89"/>
      <c r="M92" s="92"/>
    </row>
    <row r="93" spans="1:13" ht="15.75">
      <c r="A93" s="124">
        <v>39575</v>
      </c>
      <c r="B93" s="125">
        <v>28.15</v>
      </c>
      <c r="C93" s="52"/>
      <c r="D93" s="53">
        <v>42095</v>
      </c>
      <c r="E93" s="54">
        <f t="shared" si="2"/>
        <v>70.261449999999996</v>
      </c>
      <c r="F93" s="55">
        <f t="shared" si="3"/>
        <v>-2.3613953570634449E-2</v>
      </c>
      <c r="G93" s="76"/>
      <c r="H93" s="77"/>
      <c r="J93" s="87"/>
      <c r="K93" s="88"/>
      <c r="L93" s="96"/>
      <c r="M93" s="92"/>
    </row>
    <row r="94" spans="1:13" ht="15.75">
      <c r="A94" s="124">
        <v>39576</v>
      </c>
      <c r="B94" s="125">
        <v>27.38</v>
      </c>
      <c r="C94" s="52"/>
      <c r="D94" s="53">
        <v>42125</v>
      </c>
      <c r="E94" s="54">
        <f t="shared" si="2"/>
        <v>66.396684210526303</v>
      </c>
      <c r="F94" s="55">
        <f t="shared" si="3"/>
        <v>-5.5005494328307925E-2</v>
      </c>
      <c r="G94" s="81"/>
      <c r="H94" s="55"/>
      <c r="J94" s="87"/>
      <c r="K94" s="88"/>
      <c r="L94" s="89"/>
      <c r="M94" s="92"/>
    </row>
    <row r="95" spans="1:13" ht="15.75">
      <c r="A95" s="124">
        <v>39577</v>
      </c>
      <c r="B95" s="125">
        <v>26.88</v>
      </c>
      <c r="C95" s="52"/>
      <c r="D95" s="53">
        <v>42156</v>
      </c>
      <c r="E95" s="54">
        <f t="shared" si="2"/>
        <v>63.94877272727274</v>
      </c>
      <c r="F95" s="55">
        <f t="shared" si="3"/>
        <v>-3.6867977857025003E-2</v>
      </c>
      <c r="G95" s="76"/>
      <c r="H95" s="77"/>
      <c r="J95" s="87"/>
      <c r="K95" s="88"/>
      <c r="L95" s="89"/>
      <c r="M95" s="92"/>
    </row>
    <row r="96" spans="1:13" ht="15.75">
      <c r="A96" s="124">
        <v>39580</v>
      </c>
      <c r="B96" s="125">
        <v>26.8</v>
      </c>
      <c r="C96" s="52"/>
      <c r="D96" s="53">
        <v>42186</v>
      </c>
      <c r="E96" s="54">
        <f t="shared" si="2"/>
        <v>67.185478260869544</v>
      </c>
      <c r="F96" s="55">
        <f t="shared" si="3"/>
        <v>5.061403676033982E-2</v>
      </c>
      <c r="G96" s="76"/>
      <c r="H96" s="77"/>
      <c r="J96" s="95"/>
      <c r="K96" s="88"/>
      <c r="L96" s="89"/>
      <c r="M96" s="92"/>
    </row>
    <row r="97" spans="1:15" ht="15.75">
      <c r="A97" s="124">
        <v>39581</v>
      </c>
      <c r="B97" s="125">
        <v>27.78</v>
      </c>
      <c r="C97" s="52"/>
      <c r="D97" s="53">
        <v>42217</v>
      </c>
      <c r="E97" s="54">
        <f t="shared" si="2"/>
        <v>66.757142857142867</v>
      </c>
      <c r="F97" s="55">
        <f t="shared" si="3"/>
        <v>-6.3754164562693783E-3</v>
      </c>
      <c r="G97" s="81"/>
      <c r="H97" s="55"/>
      <c r="J97" s="87"/>
      <c r="K97" s="88"/>
      <c r="L97" s="96"/>
      <c r="M97" s="92"/>
    </row>
    <row r="98" spans="1:15" ht="15.75">
      <c r="A98" s="124">
        <v>39582</v>
      </c>
      <c r="B98" s="125">
        <v>27.81</v>
      </c>
      <c r="C98" s="52"/>
      <c r="D98" s="53">
        <v>42248</v>
      </c>
      <c r="E98" s="54">
        <f t="shared" si="2"/>
        <v>63.206590909090899</v>
      </c>
      <c r="F98" s="55">
        <f t="shared" si="3"/>
        <v>-5.3186098087660505E-2</v>
      </c>
      <c r="G98" s="76"/>
      <c r="H98" s="77"/>
      <c r="J98" s="87"/>
      <c r="K98" s="88"/>
      <c r="L98" s="89"/>
      <c r="M98" s="92"/>
    </row>
    <row r="99" spans="1:15" ht="15.75">
      <c r="A99" s="124">
        <v>39583</v>
      </c>
      <c r="B99" s="125">
        <v>28.02</v>
      </c>
      <c r="C99" s="52"/>
      <c r="D99" s="53">
        <v>42278</v>
      </c>
      <c r="E99" s="54">
        <f t="shared" si="2"/>
        <v>68.988636363636388</v>
      </c>
      <c r="F99" s="55">
        <f t="shared" si="3"/>
        <v>9.1478521011546299E-2</v>
      </c>
      <c r="G99" s="76"/>
      <c r="H99" s="77"/>
      <c r="J99" s="87"/>
      <c r="K99" s="88"/>
      <c r="L99" s="89"/>
      <c r="M99" s="92"/>
    </row>
    <row r="100" spans="1:15" ht="15.75">
      <c r="A100" s="124">
        <v>39584</v>
      </c>
      <c r="B100" s="125">
        <v>28.33</v>
      </c>
      <c r="C100" s="52"/>
      <c r="D100" s="53">
        <v>42309</v>
      </c>
      <c r="E100" s="54">
        <f t="shared" si="2"/>
        <v>73.037095238095233</v>
      </c>
      <c r="F100" s="55">
        <f t="shared" si="3"/>
        <v>5.868298154379481E-2</v>
      </c>
      <c r="G100" s="81"/>
      <c r="H100" s="55"/>
      <c r="J100" s="87"/>
      <c r="K100" s="88"/>
      <c r="L100" s="89"/>
      <c r="M100" s="92"/>
    </row>
    <row r="101" spans="1:15" ht="15.75">
      <c r="A101" s="124">
        <v>39587</v>
      </c>
      <c r="B101" s="125">
        <v>28.05</v>
      </c>
      <c r="C101" s="52"/>
      <c r="D101" s="53">
        <v>42339</v>
      </c>
      <c r="E101" s="54">
        <f t="shared" si="2"/>
        <v>72.726449999999986</v>
      </c>
      <c r="F101" s="55">
        <f t="shared" si="3"/>
        <v>-4.2532529132295327E-3</v>
      </c>
      <c r="G101" s="76"/>
      <c r="H101" s="77"/>
      <c r="J101" s="87"/>
      <c r="K101" s="88"/>
      <c r="L101" s="96"/>
      <c r="M101" s="92"/>
    </row>
    <row r="102" spans="1:15" ht="15.75">
      <c r="A102" s="124">
        <v>39588</v>
      </c>
      <c r="B102" s="125">
        <v>28.31</v>
      </c>
      <c r="C102" s="52"/>
      <c r="D102" s="53">
        <v>42370</v>
      </c>
      <c r="E102" s="54">
        <f t="shared" si="2"/>
        <v>72.264049999999983</v>
      </c>
      <c r="F102" s="55">
        <f t="shared" si="3"/>
        <v>-6.358071925688713E-3</v>
      </c>
      <c r="G102" s="76"/>
      <c r="H102" s="77"/>
      <c r="J102" s="87"/>
      <c r="K102" s="88"/>
      <c r="L102" s="89"/>
      <c r="M102" s="92"/>
    </row>
    <row r="103" spans="1:15" ht="15.75">
      <c r="A103" s="124">
        <v>39589</v>
      </c>
      <c r="B103" s="125">
        <v>27.42</v>
      </c>
      <c r="C103" s="52"/>
      <c r="D103" s="53">
        <v>42401</v>
      </c>
      <c r="E103" s="54">
        <f t="shared" si="2"/>
        <v>65.711666666666659</v>
      </c>
      <c r="F103" s="55">
        <f t="shared" si="3"/>
        <v>-9.0672794194808115E-2</v>
      </c>
      <c r="G103" s="81"/>
      <c r="H103" s="55"/>
      <c r="J103" s="95"/>
      <c r="K103" s="88"/>
      <c r="L103" s="89"/>
      <c r="M103" s="92"/>
    </row>
    <row r="104" spans="1:15" ht="15.75">
      <c r="A104" s="124">
        <v>39590</v>
      </c>
      <c r="B104" s="125">
        <v>26.34</v>
      </c>
      <c r="C104" s="52"/>
      <c r="D104" s="53">
        <v>42430</v>
      </c>
      <c r="E104" s="54">
        <f t="shared" si="2"/>
        <v>64.608238095238107</v>
      </c>
      <c r="F104" s="55">
        <f t="shared" si="3"/>
        <v>-1.67919735931501E-2</v>
      </c>
      <c r="G104" s="76"/>
      <c r="H104" s="77"/>
      <c r="J104" s="87"/>
      <c r="K104" s="88"/>
      <c r="L104" s="89"/>
      <c r="M104" s="92"/>
    </row>
    <row r="105" spans="1:15" ht="15.75">
      <c r="A105" s="124">
        <v>39591</v>
      </c>
      <c r="B105" s="125">
        <v>26.31</v>
      </c>
      <c r="C105" s="52"/>
      <c r="D105" s="53">
        <v>42461</v>
      </c>
      <c r="E105" s="54">
        <f t="shared" si="2"/>
        <v>62.666238095238107</v>
      </c>
      <c r="F105" s="55">
        <f t="shared" si="3"/>
        <v>-3.0058086356376523E-2</v>
      </c>
      <c r="G105" s="76"/>
      <c r="H105" s="77"/>
      <c r="J105" s="87"/>
      <c r="K105" s="88"/>
      <c r="L105" s="96"/>
      <c r="M105" s="92"/>
    </row>
    <row r="106" spans="1:15" ht="15.75">
      <c r="A106" s="124">
        <v>39594</v>
      </c>
      <c r="B106" s="125">
        <v>25.76</v>
      </c>
      <c r="C106" s="52"/>
      <c r="D106" s="53">
        <v>42491</v>
      </c>
      <c r="E106" s="54">
        <f t="shared" si="2"/>
        <v>60.771095238095235</v>
      </c>
      <c r="F106" s="55">
        <f t="shared" si="3"/>
        <v>-3.0241848158536255E-2</v>
      </c>
      <c r="G106" s="81"/>
      <c r="H106" s="55"/>
      <c r="J106" s="87"/>
      <c r="K106" s="88"/>
      <c r="L106" s="96"/>
      <c r="M106" s="92"/>
    </row>
    <row r="107" spans="1:15" ht="15.75">
      <c r="A107" s="124">
        <v>39595</v>
      </c>
      <c r="B107" s="125">
        <v>25.78</v>
      </c>
      <c r="C107" s="52"/>
      <c r="D107" s="53">
        <v>42522</v>
      </c>
      <c r="E107" s="54">
        <f t="shared" si="2"/>
        <v>57.968181818181826</v>
      </c>
      <c r="F107" s="55">
        <f t="shared" si="3"/>
        <v>-4.6122476630244491E-2</v>
      </c>
      <c r="G107" s="76"/>
      <c r="H107" s="77"/>
      <c r="J107" s="87"/>
      <c r="K107" s="88"/>
      <c r="L107" s="89"/>
      <c r="M107" s="94"/>
    </row>
    <row r="108" spans="1:15" ht="15.75">
      <c r="A108" s="124">
        <v>39596</v>
      </c>
      <c r="B108" s="125">
        <v>26.22</v>
      </c>
      <c r="C108" s="52"/>
      <c r="D108" s="53">
        <v>42552</v>
      </c>
      <c r="E108" s="54">
        <f t="shared" si="2"/>
        <v>62.434476190476168</v>
      </c>
      <c r="F108" s="55">
        <f t="shared" si="3"/>
        <v>7.7047342735415691E-2</v>
      </c>
      <c r="G108" s="76"/>
      <c r="H108" s="77"/>
      <c r="J108" s="90"/>
      <c r="K108" s="90"/>
      <c r="L108" s="90"/>
      <c r="M108" s="90"/>
    </row>
    <row r="109" spans="1:15" ht="18">
      <c r="A109" s="124">
        <v>39597</v>
      </c>
      <c r="B109" s="125">
        <v>26.55</v>
      </c>
      <c r="C109" s="52"/>
      <c r="D109" s="53">
        <v>42583</v>
      </c>
      <c r="E109" s="54">
        <f t="shared" si="2"/>
        <v>58.556999999999995</v>
      </c>
      <c r="F109" s="55">
        <f t="shared" si="3"/>
        <v>-6.210472846199111E-2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124">
        <v>39598</v>
      </c>
      <c r="B110" s="125">
        <v>27.28</v>
      </c>
      <c r="C110" s="52"/>
      <c r="D110" s="53">
        <v>42614</v>
      </c>
      <c r="E110" s="54">
        <f t="shared" si="2"/>
        <v>56.982681818181824</v>
      </c>
      <c r="F110" s="55">
        <f t="shared" si="3"/>
        <v>-2.6885226050142097E-2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24">
        <v>39601</v>
      </c>
      <c r="B111" s="125">
        <v>27</v>
      </c>
      <c r="C111" s="52"/>
      <c r="D111" s="53">
        <v>42644</v>
      </c>
      <c r="E111" s="54">
        <f t="shared" si="2"/>
        <v>55.016949999999994</v>
      </c>
      <c r="F111" s="55">
        <f t="shared" si="3"/>
        <v>-3.4497004273228327E-2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4">
        <v>39602</v>
      </c>
      <c r="B112" s="125">
        <v>26.6</v>
      </c>
      <c r="C112" s="52"/>
      <c r="D112" s="53">
        <v>42675</v>
      </c>
      <c r="E112" s="54">
        <f t="shared" si="2"/>
        <v>55.521999999999998</v>
      </c>
      <c r="F112" s="55">
        <f t="shared" si="3"/>
        <v>9.1798981950108605E-3</v>
      </c>
      <c r="G112" s="81"/>
      <c r="H112" s="55"/>
      <c r="J112" s="87"/>
      <c r="K112" s="88"/>
      <c r="L112" s="87"/>
      <c r="M112" s="92"/>
    </row>
    <row r="113" spans="1:13" ht="15.75">
      <c r="A113" s="124">
        <v>39603</v>
      </c>
      <c r="B113" s="125">
        <v>27.52</v>
      </c>
      <c r="C113" s="52"/>
      <c r="D113" s="53">
        <v>42705</v>
      </c>
      <c r="E113" s="54">
        <f t="shared" si="2"/>
        <v>59.063428571428574</v>
      </c>
      <c r="F113" s="55">
        <f t="shared" si="3"/>
        <v>6.3784239966654166E-2</v>
      </c>
      <c r="G113" s="76"/>
      <c r="H113" s="77"/>
      <c r="J113" s="87"/>
      <c r="K113" s="88"/>
      <c r="L113" s="87"/>
      <c r="M113" s="92"/>
    </row>
    <row r="114" spans="1:13" ht="15.75">
      <c r="A114" s="124">
        <v>39604</v>
      </c>
      <c r="B114" s="125">
        <v>28.08</v>
      </c>
      <c r="C114" s="52"/>
      <c r="D114" s="53">
        <v>42736</v>
      </c>
      <c r="E114" s="54">
        <f t="shared" si="2"/>
        <v>59.045409090909089</v>
      </c>
      <c r="F114" s="55">
        <f t="shared" si="3"/>
        <v>-3.0508693713393598E-4</v>
      </c>
      <c r="G114" s="76"/>
      <c r="H114" s="77"/>
      <c r="J114" s="95"/>
      <c r="K114" s="88"/>
      <c r="L114" s="87"/>
      <c r="M114" s="92"/>
    </row>
    <row r="115" spans="1:13" ht="15.75">
      <c r="A115" s="124">
        <v>39605</v>
      </c>
      <c r="B115" s="125">
        <v>28.11</v>
      </c>
      <c r="C115" s="52"/>
      <c r="D115" s="53">
        <v>42767</v>
      </c>
      <c r="E115" s="54">
        <f t="shared" si="2"/>
        <v>57.657050000000005</v>
      </c>
      <c r="F115" s="55">
        <f t="shared" si="3"/>
        <v>-2.3513413020333274E-2</v>
      </c>
      <c r="G115" s="81"/>
      <c r="H115" s="55"/>
      <c r="J115" s="87"/>
      <c r="K115" s="88"/>
      <c r="L115" s="87"/>
      <c r="M115" s="92"/>
    </row>
    <row r="116" spans="1:13" ht="15.75">
      <c r="A116" s="124">
        <v>39608</v>
      </c>
      <c r="B116" s="125">
        <v>26.74</v>
      </c>
      <c r="C116" s="52"/>
      <c r="D116" s="53">
        <v>42795</v>
      </c>
      <c r="E116" s="54">
        <f t="shared" si="2"/>
        <v>58.585086956521756</v>
      </c>
      <c r="F116" s="55">
        <f t="shared" si="3"/>
        <v>1.6095810599427995E-2</v>
      </c>
      <c r="G116" s="76"/>
      <c r="H116" s="77"/>
      <c r="J116" s="87"/>
      <c r="K116" s="88"/>
      <c r="L116" s="87"/>
      <c r="M116" s="92"/>
    </row>
    <row r="117" spans="1:13" ht="15.75">
      <c r="A117" s="124">
        <v>39609</v>
      </c>
      <c r="B117" s="125">
        <v>26.28</v>
      </c>
      <c r="C117" s="52"/>
      <c r="D117" s="53">
        <v>42826</v>
      </c>
      <c r="E117" s="54">
        <f t="shared" si="2"/>
        <v>59.464444444444439</v>
      </c>
      <c r="F117" s="55">
        <f t="shared" si="3"/>
        <v>1.5009920333058258E-2</v>
      </c>
      <c r="G117" s="76"/>
      <c r="H117" s="77"/>
      <c r="J117" s="87"/>
      <c r="K117" s="88"/>
      <c r="L117" s="87"/>
      <c r="M117" s="92"/>
    </row>
    <row r="118" spans="1:13" ht="15.75">
      <c r="A118" s="124">
        <v>39610</v>
      </c>
      <c r="B118" s="125">
        <v>26.71</v>
      </c>
      <c r="C118" s="52"/>
      <c r="D118" s="53">
        <v>42856</v>
      </c>
      <c r="E118" s="54">
        <f t="shared" si="2"/>
        <v>58.685545454545448</v>
      </c>
      <c r="F118" s="55">
        <f t="shared" si="3"/>
        <v>-1.3098566667459344E-2</v>
      </c>
      <c r="G118" s="81"/>
      <c r="H118" s="55"/>
      <c r="J118" s="95"/>
      <c r="K118" s="88"/>
      <c r="L118" s="87"/>
      <c r="M118" s="92"/>
    </row>
    <row r="119" spans="1:13" ht="15.75">
      <c r="A119" s="124">
        <v>39611</v>
      </c>
      <c r="B119" s="125">
        <v>26.55</v>
      </c>
      <c r="C119" s="52"/>
      <c r="D119" s="53">
        <v>42887</v>
      </c>
      <c r="E119" s="54">
        <f t="shared" si="2"/>
        <v>59.586000000000013</v>
      </c>
      <c r="F119" s="55">
        <f t="shared" si="3"/>
        <v>1.5343719453915661E-2</v>
      </c>
      <c r="G119" s="76"/>
      <c r="H119" s="77"/>
      <c r="J119" s="87"/>
      <c r="K119" s="88"/>
      <c r="L119" s="87"/>
      <c r="M119" s="92"/>
    </row>
    <row r="120" spans="1:13" ht="15.75">
      <c r="A120" s="124">
        <v>39612</v>
      </c>
      <c r="B120" s="125">
        <v>26.75</v>
      </c>
      <c r="C120" s="52"/>
      <c r="D120" s="53">
        <v>42917</v>
      </c>
      <c r="E120" s="54">
        <f t="shared" si="2"/>
        <v>57.366047619047613</v>
      </c>
      <c r="F120" s="55">
        <f t="shared" si="3"/>
        <v>-3.7256274644251963E-2</v>
      </c>
      <c r="G120" s="76"/>
      <c r="H120" s="77"/>
      <c r="J120" s="87"/>
      <c r="K120" s="88"/>
      <c r="L120" s="87"/>
      <c r="M120" s="92"/>
    </row>
    <row r="121" spans="1:13" ht="15.75">
      <c r="A121" s="124">
        <v>39615</v>
      </c>
      <c r="B121" s="125">
        <v>27.5</v>
      </c>
      <c r="C121" s="52"/>
      <c r="D121" s="53">
        <v>42948</v>
      </c>
      <c r="E121" s="54">
        <f t="shared" si="2"/>
        <v>57.059086956521753</v>
      </c>
      <c r="F121" s="55">
        <f t="shared" si="3"/>
        <v>-5.350911824434923E-3</v>
      </c>
      <c r="G121" s="81"/>
      <c r="H121" s="55"/>
      <c r="J121" s="87"/>
      <c r="K121" s="88"/>
      <c r="L121" s="87"/>
      <c r="M121" s="92"/>
    </row>
    <row r="122" spans="1:13" ht="15.75">
      <c r="A122" s="124">
        <v>39616</v>
      </c>
      <c r="B122" s="125">
        <v>27.64</v>
      </c>
      <c r="C122" s="52"/>
      <c r="D122" s="53">
        <v>42979</v>
      </c>
      <c r="E122" s="54">
        <f t="shared" si="2"/>
        <v>56.106333333333339</v>
      </c>
      <c r="F122" s="55">
        <f t="shared" si="3"/>
        <v>-1.6697666822366064E-2</v>
      </c>
      <c r="G122" s="76"/>
      <c r="H122" s="77"/>
      <c r="J122" s="95"/>
      <c r="K122" s="88"/>
      <c r="L122" s="87"/>
      <c r="M122" s="92"/>
    </row>
    <row r="123" spans="1:13" ht="15.75">
      <c r="A123" s="124">
        <v>39617</v>
      </c>
      <c r="B123" s="125">
        <v>26.51</v>
      </c>
      <c r="C123" s="52"/>
      <c r="D123" s="53">
        <v>43009</v>
      </c>
      <c r="E123" s="54">
        <f t="shared" si="2"/>
        <v>56.580200000000005</v>
      </c>
      <c r="F123" s="55">
        <f t="shared" si="3"/>
        <v>8.4458676679399769E-3</v>
      </c>
      <c r="G123" s="76"/>
      <c r="H123" s="77"/>
      <c r="J123" s="95"/>
      <c r="K123" s="88"/>
      <c r="L123" s="87"/>
      <c r="M123" s="92"/>
    </row>
    <row r="124" spans="1:13" ht="15.75">
      <c r="A124" s="124">
        <v>39618</v>
      </c>
      <c r="B124" s="125">
        <v>25.95</v>
      </c>
      <c r="C124" s="52"/>
      <c r="D124" s="53">
        <v>43040</v>
      </c>
      <c r="E124" s="54">
        <f t="shared" si="2"/>
        <v>58.274454545454539</v>
      </c>
      <c r="F124" s="55">
        <f t="shared" si="3"/>
        <v>2.9944301106297422E-2</v>
      </c>
      <c r="G124" s="81"/>
      <c r="H124" s="55"/>
      <c r="J124" s="87"/>
      <c r="K124" s="88"/>
      <c r="L124" s="87"/>
      <c r="M124" s="92"/>
    </row>
    <row r="125" spans="1:13" ht="15.75">
      <c r="A125" s="124">
        <v>39619</v>
      </c>
      <c r="B125" s="125">
        <v>26.56</v>
      </c>
      <c r="C125" s="52"/>
      <c r="D125" s="53">
        <v>43070</v>
      </c>
      <c r="E125" s="54">
        <f t="shared" si="2"/>
        <v>54.912894736842098</v>
      </c>
      <c r="F125" s="55">
        <f t="shared" si="3"/>
        <v>-5.7684963932015831E-2</v>
      </c>
      <c r="G125" s="76"/>
      <c r="H125" s="77"/>
      <c r="J125" s="87"/>
      <c r="K125" s="88"/>
      <c r="L125" s="87"/>
      <c r="M125" s="92"/>
    </row>
    <row r="126" spans="1:13" ht="15.75">
      <c r="A126" s="124">
        <v>39622</v>
      </c>
      <c r="B126" s="125">
        <v>25.69</v>
      </c>
      <c r="C126" s="52"/>
      <c r="D126" s="53">
        <v>43101</v>
      </c>
      <c r="E126" s="54">
        <f t="shared" si="2"/>
        <v>50.242727272727272</v>
      </c>
      <c r="F126" s="55">
        <f t="shared" si="3"/>
        <v>-8.5046827097634781E-2</v>
      </c>
      <c r="G126" s="76"/>
      <c r="H126" s="77"/>
      <c r="J126" s="87"/>
      <c r="K126" s="88"/>
      <c r="L126" s="87"/>
      <c r="M126" s="92"/>
    </row>
    <row r="127" spans="1:13" ht="15.75">
      <c r="A127" s="124">
        <v>39623</v>
      </c>
      <c r="B127" s="125">
        <v>25</v>
      </c>
      <c r="C127" s="52"/>
      <c r="D127" s="53">
        <v>43132</v>
      </c>
      <c r="E127" s="54">
        <f t="shared" si="2"/>
        <v>46.379500000000007</v>
      </c>
      <c r="F127" s="55">
        <f t="shared" si="3"/>
        <v>-7.6891273273381744E-2</v>
      </c>
      <c r="G127" s="81"/>
      <c r="H127" s="55"/>
      <c r="J127" s="95"/>
      <c r="K127" s="88"/>
      <c r="L127" s="87"/>
      <c r="M127" s="92"/>
    </row>
    <row r="128" spans="1:13" ht="15.75">
      <c r="A128" s="124">
        <v>39624</v>
      </c>
      <c r="B128" s="125">
        <v>25.2</v>
      </c>
      <c r="C128" s="52"/>
      <c r="D128" s="53">
        <v>43160</v>
      </c>
      <c r="E128" s="54">
        <f t="shared" si="2"/>
        <v>47.687142857142859</v>
      </c>
      <c r="F128" s="55">
        <f t="shared" si="3"/>
        <v>2.8194414712164884E-2</v>
      </c>
      <c r="G128" s="76"/>
      <c r="H128" s="77"/>
      <c r="J128" s="87"/>
      <c r="K128" s="88"/>
      <c r="L128" s="87"/>
      <c r="M128" s="92"/>
    </row>
    <row r="129" spans="1:13" ht="15.75">
      <c r="A129" s="124">
        <v>39625</v>
      </c>
      <c r="B129" s="125">
        <v>25.47</v>
      </c>
      <c r="C129" s="52"/>
      <c r="D129" s="53">
        <v>43191</v>
      </c>
      <c r="E129" s="54">
        <f t="shared" si="2"/>
        <v>50.260499999999993</v>
      </c>
      <c r="F129" s="55">
        <f t="shared" si="3"/>
        <v>5.3963332434618261E-2</v>
      </c>
      <c r="G129" s="76"/>
      <c r="H129" s="77"/>
      <c r="J129" s="87"/>
      <c r="K129" s="88"/>
      <c r="L129" s="87"/>
      <c r="M129" s="92"/>
    </row>
    <row r="130" spans="1:13" ht="15.75">
      <c r="A130" s="124">
        <v>39626</v>
      </c>
      <c r="B130" s="125">
        <v>24.15</v>
      </c>
      <c r="C130" s="52"/>
      <c r="D130" s="53">
        <v>43221</v>
      </c>
      <c r="E130" s="54">
        <f t="shared" si="2"/>
        <v>52.177619047619046</v>
      </c>
      <c r="F130" s="55">
        <f t="shared" si="3"/>
        <v>3.8143652522737659E-2</v>
      </c>
      <c r="G130" s="81"/>
      <c r="H130" s="55"/>
      <c r="J130" s="87"/>
      <c r="K130" s="88"/>
      <c r="L130" s="87"/>
      <c r="M130" s="92"/>
    </row>
    <row r="131" spans="1:13" ht="15.75">
      <c r="A131" s="124">
        <v>39629</v>
      </c>
      <c r="B131" s="125">
        <v>24</v>
      </c>
      <c r="C131" s="52"/>
      <c r="D131" s="53">
        <v>43252</v>
      </c>
      <c r="E131" s="54">
        <f t="shared" si="2"/>
        <v>54.3552380952381</v>
      </c>
      <c r="F131" s="55">
        <f t="shared" si="3"/>
        <v>4.1734733921677813E-2</v>
      </c>
      <c r="G131" s="76"/>
      <c r="H131" s="77"/>
      <c r="J131" s="95"/>
      <c r="K131" s="88"/>
      <c r="L131" s="87"/>
      <c r="M131" s="92"/>
    </row>
    <row r="132" spans="1:13" ht="15.75">
      <c r="A132" s="124">
        <v>39630</v>
      </c>
      <c r="B132" s="125">
        <v>24.11</v>
      </c>
      <c r="C132" s="52"/>
      <c r="D132" s="53">
        <v>43282</v>
      </c>
      <c r="E132" s="54">
        <f t="shared" si="2"/>
        <v>54.81272727272728</v>
      </c>
      <c r="F132" s="55">
        <f t="shared" si="3"/>
        <v>8.4166529946496649E-3</v>
      </c>
      <c r="G132" s="76"/>
      <c r="H132" s="77"/>
      <c r="J132" s="87"/>
      <c r="K132" s="88"/>
      <c r="L132" s="87"/>
      <c r="M132" s="92"/>
    </row>
    <row r="133" spans="1:13" ht="15.75">
      <c r="A133" s="124">
        <v>39631</v>
      </c>
      <c r="B133" s="125">
        <v>23.93</v>
      </c>
      <c r="C133" s="52"/>
      <c r="D133" s="53">
        <v>43313</v>
      </c>
      <c r="E133" s="54">
        <f t="shared" si="2"/>
        <v>57.963478260869557</v>
      </c>
      <c r="F133" s="55">
        <f t="shared" si="3"/>
        <v>5.7482105797533878E-2</v>
      </c>
      <c r="G133" s="81"/>
      <c r="H133" s="55"/>
      <c r="J133" s="95"/>
      <c r="K133" s="88"/>
      <c r="L133" s="87"/>
      <c r="M133" s="92"/>
    </row>
    <row r="134" spans="1:13" ht="15.75">
      <c r="A134" s="124">
        <v>39632</v>
      </c>
      <c r="B134" s="125">
        <v>23.29</v>
      </c>
      <c r="C134" s="52"/>
      <c r="D134" s="53">
        <v>43344</v>
      </c>
      <c r="E134" s="54">
        <f t="shared" ref="E134:E150" si="4">AVERAGEIFS($B$6:$B$3140,$A$6:$A$3140,"&gt;="&amp;D134,$A$6:$A$3140,"&lt;="&amp;EOMONTH(D134,0))</f>
        <v>57.587000000000003</v>
      </c>
      <c r="F134" s="55">
        <f t="shared" si="3"/>
        <v>-6.4950943622669177E-3</v>
      </c>
      <c r="G134" s="76"/>
      <c r="H134" s="77"/>
      <c r="J134" s="87"/>
      <c r="K134" s="88"/>
      <c r="L134" s="87"/>
      <c r="M134" s="92"/>
    </row>
    <row r="135" spans="1:13" ht="15.75">
      <c r="A135" s="124">
        <v>39633</v>
      </c>
      <c r="B135" s="125">
        <v>23.87</v>
      </c>
      <c r="C135" s="52"/>
      <c r="D135" s="53">
        <v>43374</v>
      </c>
      <c r="E135" s="54">
        <f t="shared" si="4"/>
        <v>56.491818181818182</v>
      </c>
      <c r="F135" s="55">
        <f t="shared" ref="F135:F150" si="5">E135/E134-1</f>
        <v>-1.9017865458902494E-2</v>
      </c>
      <c r="G135" s="76"/>
      <c r="H135" s="77"/>
      <c r="J135" s="87"/>
      <c r="K135" s="88"/>
      <c r="L135" s="87"/>
      <c r="M135" s="92"/>
    </row>
    <row r="136" spans="1:13" ht="15.75">
      <c r="A136" s="124">
        <v>39636</v>
      </c>
      <c r="B136" s="125">
        <v>23.97</v>
      </c>
      <c r="C136" s="52"/>
      <c r="D136" s="53">
        <v>43405</v>
      </c>
      <c r="E136" s="54">
        <f t="shared" si="4"/>
        <v>59.930454545454538</v>
      </c>
      <c r="F136" s="55">
        <f t="shared" si="5"/>
        <v>6.0869635184499726E-2</v>
      </c>
      <c r="G136" s="81"/>
      <c r="H136" s="55"/>
      <c r="J136" s="87"/>
      <c r="K136" s="88"/>
      <c r="L136" s="87"/>
      <c r="M136" s="92"/>
    </row>
    <row r="137" spans="1:13" ht="15.75">
      <c r="A137" s="124">
        <v>39637</v>
      </c>
      <c r="B137" s="125">
        <v>23.84</v>
      </c>
      <c r="C137" s="52"/>
      <c r="D137" s="53">
        <v>43435</v>
      </c>
      <c r="E137" s="54">
        <f t="shared" si="4"/>
        <v>60.9435294117647</v>
      </c>
      <c r="F137" s="55">
        <f t="shared" si="5"/>
        <v>1.6904174580250952E-2</v>
      </c>
      <c r="G137" s="76"/>
      <c r="H137" s="77"/>
      <c r="J137" s="95"/>
      <c r="K137" s="88"/>
      <c r="L137" s="87"/>
      <c r="M137" s="92"/>
    </row>
    <row r="138" spans="1:13" ht="15.75">
      <c r="A138" s="124">
        <v>39638</v>
      </c>
      <c r="B138" s="125">
        <v>25.96</v>
      </c>
      <c r="C138" s="52"/>
      <c r="D138" s="53">
        <v>43466</v>
      </c>
      <c r="E138" s="54">
        <f t="shared" si="4"/>
        <v>59.93454545454545</v>
      </c>
      <c r="F138" s="55">
        <f t="shared" si="5"/>
        <v>-1.6556047327060064E-2</v>
      </c>
      <c r="G138" s="76"/>
      <c r="H138" s="77"/>
      <c r="J138" s="87"/>
      <c r="K138" s="88"/>
      <c r="L138" s="87"/>
      <c r="M138" s="92"/>
    </row>
    <row r="139" spans="1:13" ht="15.75">
      <c r="A139" s="124">
        <v>39639</v>
      </c>
      <c r="B139" s="125">
        <v>24</v>
      </c>
      <c r="C139" s="52"/>
      <c r="D139" s="53">
        <v>43497</v>
      </c>
      <c r="E139" s="54">
        <f t="shared" si="4"/>
        <v>64.346000000000004</v>
      </c>
      <c r="F139" s="55">
        <f t="shared" si="5"/>
        <v>7.3604538284189003E-2</v>
      </c>
      <c r="G139" s="81"/>
      <c r="H139" s="55"/>
      <c r="J139" s="95"/>
      <c r="K139" s="88"/>
      <c r="L139" s="87"/>
      <c r="M139" s="92"/>
    </row>
    <row r="140" spans="1:13" ht="15.75">
      <c r="A140" s="124">
        <v>39640</v>
      </c>
      <c r="B140" s="125">
        <v>24.97</v>
      </c>
      <c r="C140" s="52"/>
      <c r="D140" s="53">
        <v>43525</v>
      </c>
      <c r="E140" s="54">
        <f t="shared" si="4"/>
        <v>65.696666666666658</v>
      </c>
      <c r="F140" s="55">
        <f t="shared" si="5"/>
        <v>2.0990685771713258E-2</v>
      </c>
      <c r="G140" s="76"/>
      <c r="H140" s="77"/>
      <c r="J140" s="87"/>
      <c r="K140" s="88"/>
      <c r="L140" s="87"/>
      <c r="M140" s="92"/>
    </row>
    <row r="141" spans="1:13" ht="15.75">
      <c r="A141" s="124">
        <v>39643</v>
      </c>
      <c r="B141" s="125">
        <v>24.51</v>
      </c>
      <c r="C141" s="52"/>
      <c r="D141" s="53">
        <v>43556</v>
      </c>
      <c r="E141" s="54">
        <f t="shared" si="4"/>
        <v>67.241</v>
      </c>
      <c r="F141" s="55">
        <f t="shared" si="5"/>
        <v>2.3507027246435719E-2</v>
      </c>
      <c r="G141" s="76"/>
      <c r="H141" s="77"/>
      <c r="J141" s="87"/>
      <c r="K141" s="88"/>
      <c r="L141" s="87"/>
      <c r="M141" s="92"/>
    </row>
    <row r="142" spans="1:13" ht="15.75">
      <c r="A142" s="124">
        <v>39644</v>
      </c>
      <c r="B142" s="125">
        <v>23.91</v>
      </c>
      <c r="C142" s="52"/>
      <c r="D142" s="53">
        <v>43586</v>
      </c>
      <c r="E142" s="54">
        <f t="shared" si="4"/>
        <v>68.024999999999991</v>
      </c>
      <c r="F142" s="55">
        <f t="shared" si="5"/>
        <v>1.1659552951324148E-2</v>
      </c>
      <c r="G142" s="81"/>
      <c r="H142" s="55"/>
      <c r="J142" s="87"/>
      <c r="K142" s="88"/>
      <c r="L142" s="87"/>
      <c r="M142" s="92"/>
    </row>
    <row r="143" spans="1:13" ht="15.75">
      <c r="A143" s="124">
        <v>39645</v>
      </c>
      <c r="B143" s="125">
        <v>23.43</v>
      </c>
      <c r="C143" s="52"/>
      <c r="D143" s="53">
        <v>43617</v>
      </c>
      <c r="E143" s="54">
        <f t="shared" si="4"/>
        <v>68.350000000000009</v>
      </c>
      <c r="F143" s="55">
        <f t="shared" si="5"/>
        <v>4.7776552737965883E-3</v>
      </c>
      <c r="G143" s="76"/>
      <c r="H143" s="77"/>
      <c r="J143" s="95"/>
      <c r="K143" s="88"/>
      <c r="L143" s="87"/>
      <c r="M143" s="92"/>
    </row>
    <row r="144" spans="1:13" ht="15.75">
      <c r="A144" s="124">
        <v>39646</v>
      </c>
      <c r="B144" s="125">
        <v>25.31</v>
      </c>
      <c r="C144" s="52"/>
      <c r="D144" s="53">
        <v>43647</v>
      </c>
      <c r="E144" s="54">
        <f t="shared" si="4"/>
        <v>69.752173913043464</v>
      </c>
      <c r="F144" s="55">
        <f t="shared" si="5"/>
        <v>2.0514614675105403E-2</v>
      </c>
      <c r="G144" s="76"/>
      <c r="H144" s="77"/>
      <c r="J144" s="95"/>
      <c r="K144" s="88"/>
      <c r="L144" s="87"/>
      <c r="M144" s="92"/>
    </row>
    <row r="145" spans="1:13" ht="15.75">
      <c r="A145" s="124">
        <v>39647</v>
      </c>
      <c r="B145" s="125">
        <v>25.81</v>
      </c>
      <c r="C145" s="52"/>
      <c r="D145" s="53">
        <v>43678</v>
      </c>
      <c r="E145" s="54">
        <f t="shared" si="4"/>
        <v>73.210909090909084</v>
      </c>
      <c r="F145" s="55">
        <f t="shared" si="5"/>
        <v>4.9586055657239392E-2</v>
      </c>
      <c r="G145" s="81"/>
      <c r="H145" s="55"/>
      <c r="J145" s="87"/>
      <c r="K145" s="88"/>
      <c r="L145" s="87"/>
      <c r="M145" s="92"/>
    </row>
    <row r="146" spans="1:13" ht="15.75">
      <c r="A146" s="124">
        <v>39650</v>
      </c>
      <c r="B146" s="125">
        <v>25.81</v>
      </c>
      <c r="C146" s="52"/>
      <c r="D146" s="53">
        <v>43709</v>
      </c>
      <c r="E146" s="54">
        <f t="shared" si="4"/>
        <v>77.388571428571439</v>
      </c>
      <c r="F146" s="55">
        <f t="shared" si="5"/>
        <v>5.7063385628428387E-2</v>
      </c>
      <c r="G146" s="76"/>
      <c r="H146" s="77"/>
      <c r="J146" s="87"/>
      <c r="K146" s="88"/>
      <c r="L146" s="87"/>
      <c r="M146" s="92"/>
    </row>
    <row r="147" spans="1:13" ht="15.75">
      <c r="A147" s="124">
        <v>39651</v>
      </c>
      <c r="B147" s="125">
        <v>26</v>
      </c>
      <c r="C147" s="52"/>
      <c r="D147" s="53">
        <v>43739</v>
      </c>
      <c r="E147" s="54">
        <f t="shared" si="4"/>
        <v>79.068181818181813</v>
      </c>
      <c r="F147" s="55">
        <f t="shared" si="5"/>
        <v>2.170359729615412E-2</v>
      </c>
      <c r="G147" s="76"/>
      <c r="H147" s="77"/>
      <c r="J147" s="87"/>
      <c r="K147" s="88"/>
      <c r="L147" s="87"/>
      <c r="M147" s="92"/>
    </row>
    <row r="148" spans="1:13" ht="15.75">
      <c r="A148" s="124">
        <v>39652</v>
      </c>
      <c r="B148" s="125">
        <v>27.17</v>
      </c>
      <c r="C148" s="52"/>
      <c r="D148" s="53">
        <v>43770</v>
      </c>
      <c r="E148" s="54">
        <f t="shared" si="4"/>
        <v>77.095238095238102</v>
      </c>
      <c r="F148" s="55">
        <f t="shared" si="5"/>
        <v>-2.4952435702651155E-2</v>
      </c>
      <c r="G148" s="81"/>
      <c r="H148" s="55"/>
      <c r="J148" s="95"/>
      <c r="K148" s="88"/>
      <c r="L148" s="87"/>
      <c r="M148" s="92"/>
    </row>
    <row r="149" spans="1:13" ht="15.75">
      <c r="A149" s="124">
        <v>39653</v>
      </c>
      <c r="B149" s="125">
        <v>28.13</v>
      </c>
      <c r="C149" s="52"/>
      <c r="D149" s="53">
        <v>43800</v>
      </c>
      <c r="E149" s="54">
        <f t="shared" si="4"/>
        <v>73.861111111111114</v>
      </c>
      <c r="F149" s="55">
        <f t="shared" si="5"/>
        <v>-4.1949763228330328E-2</v>
      </c>
      <c r="G149" s="76"/>
      <c r="H149" s="77"/>
      <c r="J149" s="87"/>
      <c r="K149" s="88"/>
      <c r="L149" s="87"/>
      <c r="M149" s="92"/>
    </row>
    <row r="150" spans="1:13" ht="15.75">
      <c r="A150" s="124">
        <v>39654</v>
      </c>
      <c r="B150" s="125">
        <v>26.07</v>
      </c>
      <c r="C150" s="52"/>
      <c r="D150" s="53">
        <v>43831</v>
      </c>
      <c r="E150" s="54">
        <f t="shared" si="4"/>
        <v>73.5</v>
      </c>
      <c r="F150" s="55">
        <f t="shared" si="5"/>
        <v>-4.8890560361037894E-3</v>
      </c>
      <c r="G150" s="76"/>
      <c r="H150" s="77"/>
      <c r="J150" s="87"/>
      <c r="K150" s="88"/>
      <c r="L150" s="87"/>
      <c r="M150" s="92"/>
    </row>
    <row r="151" spans="1:13" ht="15.75">
      <c r="A151" s="124">
        <v>39657</v>
      </c>
      <c r="B151" s="125">
        <v>26.97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4">
        <v>39658</v>
      </c>
      <c r="B152" s="125">
        <v>26.1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4">
        <v>39659</v>
      </c>
      <c r="B153" s="125">
        <v>27.8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24">
        <v>39660</v>
      </c>
      <c r="B154" s="125">
        <v>27.53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24">
        <v>39661</v>
      </c>
      <c r="B155" s="125">
        <v>27.5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4">
        <v>39664</v>
      </c>
      <c r="B156" s="125">
        <v>28.08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4">
        <v>39665</v>
      </c>
      <c r="B157" s="125">
        <v>28.16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4">
        <v>39666</v>
      </c>
      <c r="B158" s="125">
        <v>29.82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24">
        <v>39667</v>
      </c>
      <c r="B159" s="125">
        <v>29.44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4">
        <v>39668</v>
      </c>
      <c r="B160" s="125">
        <v>28.53</v>
      </c>
      <c r="C160" s="52"/>
      <c r="D160" s="95"/>
      <c r="E160" s="52"/>
      <c r="F160" s="52"/>
      <c r="G160" s="52"/>
      <c r="H160" s="52"/>
    </row>
    <row r="161" spans="1:8" ht="15.75">
      <c r="A161" s="124">
        <v>39671</v>
      </c>
      <c r="B161" s="125">
        <v>30.2</v>
      </c>
      <c r="C161" s="52"/>
      <c r="D161" s="95"/>
      <c r="E161" s="52"/>
      <c r="F161" s="52"/>
      <c r="G161" s="52"/>
      <c r="H161" s="52"/>
    </row>
    <row r="162" spans="1:8" ht="15.75">
      <c r="A162" s="124">
        <v>39672</v>
      </c>
      <c r="B162" s="125">
        <v>31.42</v>
      </c>
      <c r="C162" s="52"/>
      <c r="D162" s="95"/>
      <c r="E162" s="52"/>
      <c r="F162" s="52"/>
      <c r="G162" s="52"/>
      <c r="H162" s="52"/>
    </row>
    <row r="163" spans="1:8" ht="15.75">
      <c r="A163" s="124">
        <v>39673</v>
      </c>
      <c r="B163" s="125">
        <v>30.03</v>
      </c>
      <c r="C163" s="52"/>
      <c r="D163" s="95"/>
      <c r="E163" s="52"/>
      <c r="F163" s="52"/>
      <c r="G163" s="52"/>
      <c r="H163" s="52"/>
    </row>
    <row r="164" spans="1:8" ht="15.75">
      <c r="A164" s="124">
        <v>39674</v>
      </c>
      <c r="B164" s="125">
        <v>30.54</v>
      </c>
      <c r="C164" s="52"/>
      <c r="D164" s="52"/>
      <c r="E164" s="52"/>
      <c r="F164" s="52"/>
      <c r="G164" s="52"/>
      <c r="H164" s="52"/>
    </row>
    <row r="165" spans="1:8" ht="15.75">
      <c r="A165" s="124">
        <v>39675</v>
      </c>
      <c r="B165" s="125">
        <v>30.6</v>
      </c>
      <c r="C165" s="52"/>
      <c r="D165" s="52"/>
      <c r="E165" s="52"/>
      <c r="F165" s="52"/>
      <c r="G165" s="52"/>
      <c r="H165" s="52"/>
    </row>
    <row r="166" spans="1:8" ht="15.75">
      <c r="A166" s="124">
        <v>39678</v>
      </c>
      <c r="B166" s="125">
        <v>30.18</v>
      </c>
      <c r="C166" s="52"/>
      <c r="D166" s="52"/>
      <c r="E166" s="52"/>
      <c r="F166" s="52"/>
      <c r="G166" s="52"/>
      <c r="H166" s="52"/>
    </row>
    <row r="167" spans="1:8" ht="15.75">
      <c r="A167" s="124">
        <v>39679</v>
      </c>
      <c r="B167" s="125">
        <v>29.76</v>
      </c>
      <c r="C167" s="52"/>
      <c r="D167" s="52"/>
      <c r="E167" s="52"/>
      <c r="F167" s="52"/>
      <c r="G167" s="52"/>
      <c r="H167" s="52"/>
    </row>
    <row r="168" spans="1:8" ht="15.75">
      <c r="A168" s="124">
        <v>39680</v>
      </c>
      <c r="B168" s="125">
        <v>28.59</v>
      </c>
      <c r="C168" s="52"/>
      <c r="D168" s="52"/>
      <c r="E168" s="52"/>
      <c r="F168" s="52"/>
      <c r="G168" s="52"/>
      <c r="H168" s="52"/>
    </row>
    <row r="169" spans="1:8" ht="15.75">
      <c r="A169" s="124">
        <v>39681</v>
      </c>
      <c r="B169" s="125">
        <v>28.38</v>
      </c>
      <c r="C169" s="52"/>
      <c r="D169" s="52"/>
      <c r="E169" s="52"/>
      <c r="F169" s="52"/>
      <c r="G169" s="52"/>
      <c r="H169" s="52"/>
    </row>
    <row r="170" spans="1:8" ht="15.75">
      <c r="A170" s="124">
        <v>39682</v>
      </c>
      <c r="B170" s="125">
        <v>28.03</v>
      </c>
      <c r="C170" s="52"/>
      <c r="D170" s="52"/>
      <c r="E170" s="52"/>
      <c r="F170" s="52"/>
      <c r="G170" s="52"/>
      <c r="H170" s="52"/>
    </row>
    <row r="171" spans="1:8" ht="15.75">
      <c r="A171" s="124">
        <v>39685</v>
      </c>
      <c r="B171" s="125">
        <v>28.8</v>
      </c>
      <c r="C171" s="52"/>
      <c r="D171" s="52"/>
      <c r="E171" s="52"/>
      <c r="F171" s="52"/>
      <c r="G171" s="52"/>
      <c r="H171" s="52"/>
    </row>
    <row r="172" spans="1:8" ht="15.75">
      <c r="A172" s="124">
        <v>39686</v>
      </c>
      <c r="B172" s="125">
        <v>27.96</v>
      </c>
      <c r="C172" s="52"/>
      <c r="D172" s="52"/>
      <c r="E172" s="52"/>
      <c r="F172" s="52"/>
      <c r="G172" s="52"/>
      <c r="H172" s="52"/>
    </row>
    <row r="173" spans="1:8" ht="15.75">
      <c r="A173" s="124">
        <v>39687</v>
      </c>
      <c r="B173" s="125">
        <v>28.41</v>
      </c>
      <c r="C173" s="52"/>
      <c r="D173" s="52"/>
      <c r="E173" s="52"/>
      <c r="F173" s="52"/>
      <c r="G173" s="52"/>
      <c r="H173" s="52"/>
    </row>
    <row r="174" spans="1:8" ht="15.75">
      <c r="A174" s="124">
        <v>39688</v>
      </c>
      <c r="B174" s="125">
        <v>28.06</v>
      </c>
      <c r="C174" s="52"/>
      <c r="D174" s="52"/>
      <c r="E174" s="52"/>
      <c r="F174" s="52"/>
      <c r="G174" s="52"/>
      <c r="H174" s="52"/>
    </row>
    <row r="175" spans="1:8" ht="15.75">
      <c r="A175" s="124">
        <v>39689</v>
      </c>
      <c r="B175" s="125">
        <v>28.87</v>
      </c>
      <c r="C175" s="52"/>
      <c r="D175" s="52"/>
      <c r="E175" s="52"/>
      <c r="F175" s="52"/>
      <c r="G175" s="52"/>
      <c r="H175" s="52"/>
    </row>
    <row r="176" spans="1:8" ht="15.75">
      <c r="A176" s="124">
        <v>39692</v>
      </c>
      <c r="B176" s="125">
        <v>28.59</v>
      </c>
      <c r="C176" s="52"/>
      <c r="D176" s="52"/>
      <c r="E176" s="52"/>
      <c r="F176" s="52"/>
      <c r="G176" s="52"/>
      <c r="H176" s="52"/>
    </row>
    <row r="177" spans="1:8" ht="15.75">
      <c r="A177" s="124">
        <v>39693</v>
      </c>
      <c r="B177" s="125">
        <v>28.78</v>
      </c>
      <c r="C177" s="52"/>
      <c r="D177" s="52"/>
      <c r="E177" s="52"/>
      <c r="F177" s="52"/>
      <c r="G177" s="52"/>
      <c r="H177" s="52"/>
    </row>
    <row r="178" spans="1:8" ht="15.75">
      <c r="A178" s="124">
        <v>39694</v>
      </c>
      <c r="B178" s="125">
        <v>29.07</v>
      </c>
      <c r="C178" s="52"/>
      <c r="D178" s="52"/>
      <c r="E178" s="52"/>
      <c r="F178" s="52"/>
      <c r="G178" s="52"/>
      <c r="H178" s="52"/>
    </row>
    <row r="179" spans="1:8" ht="15.75">
      <c r="A179" s="124">
        <v>39695</v>
      </c>
      <c r="B179" s="125">
        <v>29.88</v>
      </c>
      <c r="C179" s="52"/>
      <c r="D179" s="52"/>
      <c r="E179" s="52"/>
      <c r="F179" s="52"/>
      <c r="G179" s="52"/>
      <c r="H179" s="52"/>
    </row>
    <row r="180" spans="1:8" ht="15.75">
      <c r="A180" s="124">
        <v>39696</v>
      </c>
      <c r="B180" s="125">
        <v>28.86</v>
      </c>
      <c r="C180" s="52"/>
      <c r="D180" s="52"/>
      <c r="E180" s="52"/>
      <c r="F180" s="52"/>
      <c r="G180" s="52"/>
      <c r="H180" s="52"/>
    </row>
    <row r="181" spans="1:8" ht="15.75">
      <c r="A181" s="124">
        <v>39699</v>
      </c>
      <c r="B181" s="125">
        <v>30.914999999999999</v>
      </c>
      <c r="C181" s="52"/>
      <c r="D181" s="52"/>
      <c r="E181" s="52"/>
      <c r="F181" s="52"/>
      <c r="G181" s="52"/>
      <c r="H181" s="52"/>
    </row>
    <row r="182" spans="1:8" ht="15.75">
      <c r="A182" s="124">
        <v>39700</v>
      </c>
      <c r="B182" s="125">
        <v>30.954999999999998</v>
      </c>
      <c r="C182" s="52"/>
      <c r="D182" s="52"/>
      <c r="E182" s="52"/>
      <c r="F182" s="52"/>
      <c r="G182" s="52"/>
      <c r="H182" s="52"/>
    </row>
    <row r="183" spans="1:8" ht="15.75">
      <c r="A183" s="124">
        <v>39701</v>
      </c>
      <c r="B183" s="125">
        <v>29.664999999999999</v>
      </c>
      <c r="C183" s="52"/>
      <c r="D183" s="52"/>
      <c r="E183" s="52"/>
      <c r="F183" s="52"/>
      <c r="G183" s="52"/>
      <c r="H183" s="52"/>
    </row>
    <row r="184" spans="1:8" ht="15.75">
      <c r="A184" s="124">
        <v>39702</v>
      </c>
      <c r="B184" s="125">
        <v>29.905000000000001</v>
      </c>
      <c r="C184" s="52"/>
      <c r="D184" s="52"/>
      <c r="E184" s="52"/>
      <c r="F184" s="52"/>
      <c r="G184" s="52"/>
      <c r="H184" s="52"/>
    </row>
    <row r="185" spans="1:8" ht="15.75">
      <c r="A185" s="124">
        <v>39703</v>
      </c>
      <c r="B185" s="125">
        <v>30.09</v>
      </c>
      <c r="C185" s="52"/>
      <c r="D185" s="52"/>
      <c r="E185" s="52"/>
      <c r="F185" s="52"/>
      <c r="G185" s="52"/>
      <c r="H185" s="52"/>
    </row>
    <row r="186" spans="1:8" ht="15.75">
      <c r="A186" s="124">
        <v>39706</v>
      </c>
      <c r="B186" s="125">
        <v>28.835000000000001</v>
      </c>
      <c r="C186" s="52"/>
      <c r="D186" s="52"/>
      <c r="E186" s="52"/>
      <c r="F186" s="52"/>
      <c r="G186" s="52"/>
      <c r="H186" s="52"/>
    </row>
    <row r="187" spans="1:8" ht="15.75">
      <c r="A187" s="124">
        <v>39707</v>
      </c>
      <c r="B187" s="125">
        <v>27.85</v>
      </c>
      <c r="C187" s="52"/>
      <c r="D187" s="52"/>
      <c r="E187" s="52"/>
      <c r="F187" s="52"/>
      <c r="G187" s="52"/>
      <c r="H187" s="52"/>
    </row>
    <row r="188" spans="1:8" ht="15.75">
      <c r="A188" s="124">
        <v>39708</v>
      </c>
      <c r="B188" s="125">
        <v>29.08</v>
      </c>
      <c r="C188" s="52"/>
      <c r="D188" s="52"/>
      <c r="E188" s="52"/>
      <c r="F188" s="52"/>
      <c r="G188" s="52"/>
      <c r="H188" s="52"/>
    </row>
    <row r="189" spans="1:8" ht="15.75">
      <c r="A189" s="124">
        <v>39709</v>
      </c>
      <c r="B189" s="125">
        <v>27.45</v>
      </c>
      <c r="C189" s="52"/>
      <c r="D189" s="52"/>
      <c r="E189" s="52"/>
      <c r="F189" s="52"/>
      <c r="G189" s="52"/>
      <c r="H189" s="52"/>
    </row>
    <row r="190" spans="1:8" ht="15.75">
      <c r="A190" s="124">
        <v>39710</v>
      </c>
      <c r="B190" s="125">
        <v>34.200000000000003</v>
      </c>
      <c r="C190" s="52"/>
      <c r="D190" s="52"/>
      <c r="E190" s="52"/>
      <c r="F190" s="52"/>
      <c r="G190" s="52"/>
      <c r="H190" s="52"/>
    </row>
    <row r="191" spans="1:8" ht="15.75">
      <c r="A191" s="124">
        <v>39713</v>
      </c>
      <c r="B191" s="125">
        <v>32.369999999999997</v>
      </c>
      <c r="C191" s="52"/>
      <c r="D191" s="52"/>
      <c r="E191" s="52"/>
      <c r="F191" s="52"/>
      <c r="G191" s="52"/>
      <c r="H191" s="52"/>
    </row>
    <row r="192" spans="1:8" ht="15.75">
      <c r="A192" s="124">
        <v>39714</v>
      </c>
      <c r="B192" s="125">
        <v>29.23</v>
      </c>
      <c r="C192" s="52"/>
      <c r="D192" s="52"/>
      <c r="E192" s="52"/>
      <c r="F192" s="52"/>
      <c r="G192" s="52"/>
      <c r="H192" s="52"/>
    </row>
    <row r="193" spans="1:8" ht="15.75">
      <c r="A193" s="124">
        <v>39715</v>
      </c>
      <c r="B193" s="125">
        <v>29.21</v>
      </c>
      <c r="C193" s="52"/>
      <c r="D193" s="52"/>
      <c r="E193" s="52"/>
      <c r="F193" s="52"/>
      <c r="G193" s="52"/>
      <c r="H193" s="52"/>
    </row>
    <row r="194" spans="1:8" ht="15.75">
      <c r="A194" s="124">
        <v>39716</v>
      </c>
      <c r="B194" s="125">
        <v>28.73</v>
      </c>
      <c r="C194" s="52"/>
      <c r="D194" s="52"/>
      <c r="E194" s="52"/>
      <c r="F194" s="52"/>
      <c r="G194" s="52"/>
      <c r="H194" s="52"/>
    </row>
    <row r="195" spans="1:8" ht="15.75">
      <c r="A195" s="124">
        <v>39717</v>
      </c>
      <c r="B195" s="125">
        <v>29.73</v>
      </c>
      <c r="C195" s="52"/>
      <c r="D195" s="52"/>
      <c r="E195" s="52"/>
      <c r="F195" s="52"/>
      <c r="G195" s="52"/>
      <c r="H195" s="52"/>
    </row>
    <row r="196" spans="1:8" ht="15.75">
      <c r="A196" s="124">
        <v>39720</v>
      </c>
      <c r="B196" s="125">
        <v>31.48</v>
      </c>
      <c r="C196" s="52"/>
      <c r="D196" s="52"/>
      <c r="E196" s="52"/>
      <c r="F196" s="52"/>
      <c r="G196" s="52"/>
      <c r="H196" s="52"/>
    </row>
    <row r="197" spans="1:8" ht="15.75">
      <c r="A197" s="124">
        <v>39721</v>
      </c>
      <c r="B197" s="125">
        <v>28.66</v>
      </c>
      <c r="C197" s="52"/>
      <c r="D197" s="52"/>
      <c r="E197" s="52"/>
      <c r="F197" s="52"/>
      <c r="G197" s="52"/>
      <c r="H197" s="52"/>
    </row>
    <row r="198" spans="1:8" ht="15.75">
      <c r="A198" s="124">
        <v>39722</v>
      </c>
      <c r="B198" s="125">
        <v>31.21</v>
      </c>
      <c r="C198" s="52"/>
      <c r="D198" s="52"/>
      <c r="E198" s="52"/>
      <c r="F198" s="52"/>
      <c r="G198" s="52"/>
      <c r="H198" s="52"/>
    </row>
    <row r="199" spans="1:8" ht="15.75">
      <c r="A199" s="124">
        <v>39723</v>
      </c>
      <c r="B199" s="125">
        <v>30.79</v>
      </c>
      <c r="C199" s="52"/>
      <c r="D199" s="52"/>
      <c r="E199" s="52"/>
      <c r="F199" s="52"/>
      <c r="G199" s="52"/>
      <c r="H199" s="52"/>
    </row>
    <row r="200" spans="1:8" ht="15.75">
      <c r="A200" s="124">
        <v>39724</v>
      </c>
      <c r="B200" s="125">
        <v>29.3</v>
      </c>
      <c r="C200" s="52"/>
      <c r="D200" s="52"/>
      <c r="E200" s="52"/>
      <c r="F200" s="52"/>
      <c r="G200" s="52"/>
      <c r="H200" s="52"/>
    </row>
    <row r="201" spans="1:8" ht="15.75">
      <c r="A201" s="124">
        <v>39727</v>
      </c>
      <c r="B201" s="125">
        <v>27.87</v>
      </c>
      <c r="C201" s="52"/>
      <c r="D201" s="52"/>
      <c r="E201" s="52"/>
      <c r="F201" s="52"/>
      <c r="G201" s="52"/>
      <c r="H201" s="52"/>
    </row>
    <row r="202" spans="1:8" ht="15.75">
      <c r="A202" s="124">
        <v>39728</v>
      </c>
      <c r="B202" s="125">
        <v>27.39</v>
      </c>
      <c r="C202" s="52"/>
      <c r="D202" s="52"/>
      <c r="E202" s="52"/>
      <c r="F202" s="52"/>
      <c r="G202" s="52"/>
      <c r="H202" s="52"/>
    </row>
    <row r="203" spans="1:8" ht="15.75">
      <c r="A203" s="124">
        <v>39729</v>
      </c>
      <c r="B203" s="125">
        <v>27.28</v>
      </c>
      <c r="C203" s="52"/>
      <c r="D203" s="52"/>
      <c r="E203" s="52"/>
      <c r="F203" s="52"/>
      <c r="G203" s="52"/>
      <c r="H203" s="52"/>
    </row>
    <row r="204" spans="1:8" ht="15.75">
      <c r="A204" s="124">
        <v>39730</v>
      </c>
      <c r="B204" s="125">
        <v>27.14</v>
      </c>
      <c r="C204" s="52"/>
      <c r="D204" s="52"/>
      <c r="E204" s="52"/>
      <c r="F204" s="52"/>
      <c r="G204" s="52"/>
      <c r="H204" s="52"/>
    </row>
    <row r="205" spans="1:8" ht="15.75">
      <c r="A205" s="124">
        <v>39731</v>
      </c>
      <c r="B205" s="125">
        <v>24.6</v>
      </c>
      <c r="C205" s="52"/>
      <c r="D205" s="52"/>
      <c r="E205" s="52"/>
      <c r="F205" s="52"/>
      <c r="G205" s="52"/>
      <c r="H205" s="52"/>
    </row>
    <row r="206" spans="1:8" ht="15.75">
      <c r="A206" s="124">
        <v>39734</v>
      </c>
      <c r="B206" s="125">
        <v>27.73</v>
      </c>
      <c r="C206" s="52"/>
      <c r="D206" s="52"/>
      <c r="E206" s="52"/>
      <c r="F206" s="52"/>
      <c r="G206" s="52"/>
      <c r="H206" s="52"/>
    </row>
    <row r="207" spans="1:8" ht="15.75">
      <c r="A207" s="124">
        <v>39735</v>
      </c>
      <c r="B207" s="125">
        <v>27.95</v>
      </c>
      <c r="C207" s="52"/>
      <c r="D207" s="52"/>
      <c r="E207" s="52"/>
      <c r="F207" s="52"/>
      <c r="G207" s="52"/>
      <c r="H207" s="52"/>
    </row>
    <row r="208" spans="1:8" ht="15.75">
      <c r="A208" s="124">
        <v>39736</v>
      </c>
      <c r="B208" s="125">
        <v>24.77</v>
      </c>
      <c r="C208" s="52"/>
      <c r="D208" s="52"/>
      <c r="E208" s="52"/>
      <c r="F208" s="52"/>
      <c r="G208" s="52"/>
      <c r="H208" s="52"/>
    </row>
    <row r="209" spans="1:8" ht="15.75">
      <c r="A209" s="124">
        <v>39737</v>
      </c>
      <c r="B209" s="125">
        <v>22.54</v>
      </c>
      <c r="C209" s="52"/>
      <c r="D209" s="52"/>
      <c r="E209" s="52"/>
      <c r="F209" s="52"/>
      <c r="G209" s="52"/>
      <c r="H209" s="52"/>
    </row>
    <row r="210" spans="1:8" ht="15.75">
      <c r="A210" s="124">
        <v>39738</v>
      </c>
      <c r="B210" s="125">
        <v>23.58</v>
      </c>
      <c r="C210" s="52"/>
      <c r="D210" s="52"/>
      <c r="E210" s="52"/>
      <c r="F210" s="52"/>
      <c r="G210" s="52"/>
      <c r="H210" s="52"/>
    </row>
    <row r="211" spans="1:8" ht="15.75">
      <c r="A211" s="124">
        <v>39741</v>
      </c>
      <c r="B211" s="125">
        <v>23.88</v>
      </c>
      <c r="C211" s="52"/>
      <c r="D211" s="52"/>
      <c r="E211" s="52"/>
      <c r="F211" s="52"/>
      <c r="G211" s="52"/>
      <c r="H211" s="52"/>
    </row>
    <row r="212" spans="1:8" ht="15.75">
      <c r="A212" s="124">
        <v>39742</v>
      </c>
      <c r="B212" s="125">
        <v>24.88</v>
      </c>
      <c r="C212" s="52"/>
      <c r="D212" s="52"/>
      <c r="E212" s="52"/>
      <c r="F212" s="52"/>
      <c r="G212" s="52"/>
      <c r="H212" s="52"/>
    </row>
    <row r="213" spans="1:8" ht="15.75">
      <c r="A213" s="124">
        <v>39743</v>
      </c>
      <c r="B213" s="125">
        <v>24.29</v>
      </c>
      <c r="C213" s="52"/>
      <c r="D213" s="52"/>
      <c r="E213" s="52"/>
      <c r="F213" s="52"/>
      <c r="G213" s="52"/>
      <c r="H213" s="52"/>
    </row>
    <row r="214" spans="1:8" ht="15.75">
      <c r="A214" s="124">
        <v>39744</v>
      </c>
      <c r="B214" s="125">
        <v>23.25</v>
      </c>
      <c r="C214" s="52"/>
      <c r="D214" s="52"/>
      <c r="E214" s="52"/>
      <c r="F214" s="52"/>
      <c r="G214" s="52"/>
      <c r="H214" s="52"/>
    </row>
    <row r="215" spans="1:8" ht="15.75">
      <c r="A215" s="124">
        <v>39745</v>
      </c>
      <c r="B215" s="125">
        <v>24.01</v>
      </c>
      <c r="C215" s="52"/>
      <c r="D215" s="52"/>
      <c r="E215" s="52"/>
      <c r="F215" s="52"/>
      <c r="G215" s="52"/>
      <c r="H215" s="52"/>
    </row>
    <row r="216" spans="1:8" ht="15.75">
      <c r="A216" s="124">
        <v>39748</v>
      </c>
      <c r="B216" s="125">
        <v>24.39</v>
      </c>
      <c r="C216" s="52"/>
      <c r="D216" s="52"/>
      <c r="E216" s="52"/>
      <c r="F216" s="52"/>
      <c r="G216" s="52"/>
      <c r="H216" s="52"/>
    </row>
    <row r="217" spans="1:8" ht="15.75">
      <c r="A217" s="124">
        <v>39749</v>
      </c>
      <c r="B217" s="125">
        <v>22.77</v>
      </c>
      <c r="C217" s="52"/>
      <c r="D217" s="52"/>
      <c r="E217" s="52"/>
      <c r="F217" s="52"/>
      <c r="G217" s="52"/>
      <c r="H217" s="52"/>
    </row>
    <row r="218" spans="1:8" ht="15.75">
      <c r="A218" s="124">
        <v>39750</v>
      </c>
      <c r="B218" s="125">
        <v>24.81</v>
      </c>
      <c r="C218" s="52"/>
      <c r="D218" s="52"/>
      <c r="E218" s="52"/>
      <c r="F218" s="52"/>
      <c r="G218" s="52"/>
      <c r="H218" s="52"/>
    </row>
    <row r="219" spans="1:8" ht="15.75">
      <c r="A219" s="124">
        <v>39751</v>
      </c>
      <c r="B219" s="125">
        <v>23.99</v>
      </c>
      <c r="C219" s="52"/>
      <c r="D219" s="52"/>
      <c r="E219" s="52"/>
      <c r="F219" s="52"/>
      <c r="G219" s="52"/>
      <c r="H219" s="52"/>
    </row>
    <row r="220" spans="1:8" ht="15.75">
      <c r="A220" s="124">
        <v>39752</v>
      </c>
      <c r="B220" s="125">
        <v>25.79</v>
      </c>
      <c r="C220" s="52"/>
      <c r="D220" s="52"/>
      <c r="E220" s="52"/>
      <c r="F220" s="52"/>
      <c r="G220" s="52"/>
      <c r="H220" s="52"/>
    </row>
    <row r="221" spans="1:8" ht="15.75">
      <c r="A221" s="124">
        <v>39755</v>
      </c>
      <c r="B221" s="125">
        <v>27.02</v>
      </c>
      <c r="C221" s="52"/>
      <c r="D221" s="52"/>
      <c r="E221" s="52"/>
      <c r="F221" s="52"/>
      <c r="G221" s="52"/>
      <c r="H221" s="52"/>
    </row>
    <row r="222" spans="1:8" ht="15.75">
      <c r="A222" s="124">
        <v>39756</v>
      </c>
      <c r="B222" s="125">
        <v>25.87</v>
      </c>
      <c r="C222" s="52"/>
      <c r="D222" s="52"/>
      <c r="E222" s="52"/>
      <c r="F222" s="52"/>
      <c r="G222" s="52"/>
      <c r="H222" s="52"/>
    </row>
    <row r="223" spans="1:8" ht="15.75">
      <c r="A223" s="124">
        <v>39757</v>
      </c>
      <c r="B223" s="125">
        <v>27.2</v>
      </c>
      <c r="C223" s="52"/>
      <c r="D223" s="52"/>
      <c r="E223" s="52"/>
      <c r="F223" s="52"/>
      <c r="G223" s="52"/>
      <c r="H223" s="52"/>
    </row>
    <row r="224" spans="1:8" ht="15.75">
      <c r="A224" s="124">
        <v>39758</v>
      </c>
      <c r="B224" s="125">
        <v>24.17</v>
      </c>
      <c r="C224" s="52"/>
      <c r="D224" s="52"/>
      <c r="E224" s="52"/>
      <c r="F224" s="52"/>
      <c r="G224" s="52"/>
      <c r="H224" s="52"/>
    </row>
    <row r="225" spans="1:8" ht="15.75">
      <c r="A225" s="124">
        <v>39759</v>
      </c>
      <c r="B225" s="125">
        <v>23.36</v>
      </c>
      <c r="C225" s="52"/>
      <c r="D225" s="52"/>
      <c r="E225" s="52"/>
      <c r="F225" s="52"/>
      <c r="G225" s="52"/>
      <c r="H225" s="52"/>
    </row>
    <row r="226" spans="1:8" ht="15.75">
      <c r="A226" s="124">
        <v>39762</v>
      </c>
      <c r="B226" s="125">
        <v>25.31</v>
      </c>
      <c r="C226" s="52"/>
      <c r="D226" s="52"/>
      <c r="E226" s="52"/>
      <c r="F226" s="52"/>
      <c r="G226" s="52"/>
      <c r="H226" s="52"/>
    </row>
    <row r="227" spans="1:8" ht="15.75">
      <c r="A227" s="124">
        <v>39763</v>
      </c>
      <c r="B227" s="125">
        <v>23.61</v>
      </c>
      <c r="C227" s="52"/>
      <c r="D227" s="52"/>
      <c r="E227" s="52"/>
      <c r="F227" s="52"/>
      <c r="G227" s="52"/>
      <c r="H227" s="52"/>
    </row>
    <row r="228" spans="1:8" ht="15.75">
      <c r="A228" s="124">
        <v>39764</v>
      </c>
      <c r="B228" s="125">
        <v>23.94</v>
      </c>
      <c r="C228" s="52"/>
      <c r="D228" s="52"/>
      <c r="E228" s="52"/>
      <c r="F228" s="52"/>
      <c r="G228" s="52"/>
      <c r="H228" s="52"/>
    </row>
    <row r="229" spans="1:8" ht="15.75">
      <c r="A229" s="124">
        <v>39765</v>
      </c>
      <c r="B229" s="125">
        <v>23.27</v>
      </c>
      <c r="C229" s="52"/>
      <c r="D229" s="52"/>
      <c r="E229" s="52"/>
      <c r="F229" s="52"/>
      <c r="G229" s="52"/>
      <c r="H229" s="52"/>
    </row>
    <row r="230" spans="1:8" ht="15.75">
      <c r="A230" s="124">
        <v>39766</v>
      </c>
      <c r="B230" s="125">
        <v>24.98</v>
      </c>
      <c r="C230" s="52"/>
      <c r="D230" s="52"/>
      <c r="E230" s="52"/>
      <c r="F230" s="52"/>
      <c r="G230" s="52"/>
      <c r="H230" s="52"/>
    </row>
    <row r="231" spans="1:8" ht="15.75">
      <c r="A231" s="124">
        <v>39769</v>
      </c>
      <c r="B231" s="125">
        <v>21.48</v>
      </c>
      <c r="C231" s="52"/>
      <c r="D231" s="52"/>
      <c r="E231" s="52"/>
      <c r="F231" s="52"/>
      <c r="G231" s="52"/>
      <c r="H231" s="52"/>
    </row>
    <row r="232" spans="1:8" ht="15.75">
      <c r="A232" s="124">
        <v>39770</v>
      </c>
      <c r="B232" s="125">
        <v>20.86</v>
      </c>
      <c r="C232" s="52"/>
      <c r="D232" s="52"/>
      <c r="E232" s="52"/>
      <c r="F232" s="52"/>
      <c r="G232" s="52"/>
      <c r="H232" s="52"/>
    </row>
    <row r="233" spans="1:8" ht="15.75">
      <c r="A233" s="124">
        <v>39771</v>
      </c>
      <c r="B233" s="125">
        <v>20.78</v>
      </c>
      <c r="C233" s="52"/>
      <c r="D233" s="52"/>
      <c r="E233" s="52"/>
      <c r="F233" s="52"/>
      <c r="G233" s="52"/>
      <c r="H233" s="52"/>
    </row>
    <row r="234" spans="1:8" ht="15.75">
      <c r="A234" s="124">
        <v>39772</v>
      </c>
      <c r="B234" s="125">
        <v>17.77</v>
      </c>
      <c r="C234" s="52"/>
      <c r="D234" s="52"/>
      <c r="E234" s="52"/>
      <c r="F234" s="52"/>
      <c r="G234" s="52"/>
      <c r="H234" s="52"/>
    </row>
    <row r="235" spans="1:8" ht="15.75">
      <c r="A235" s="124">
        <v>39773</v>
      </c>
      <c r="B235" s="125">
        <v>17.7</v>
      </c>
      <c r="C235" s="52"/>
      <c r="D235" s="52"/>
      <c r="E235" s="52"/>
      <c r="F235" s="52"/>
      <c r="G235" s="52"/>
      <c r="H235" s="52"/>
    </row>
    <row r="236" spans="1:8" ht="15.75">
      <c r="A236" s="124">
        <v>39776</v>
      </c>
      <c r="B236" s="125">
        <v>20.010000000000002</v>
      </c>
      <c r="C236" s="52"/>
      <c r="D236" s="52"/>
      <c r="E236" s="52"/>
      <c r="F236" s="52"/>
      <c r="G236" s="52"/>
      <c r="H236" s="52"/>
    </row>
    <row r="237" spans="1:8" ht="15.75">
      <c r="A237" s="124">
        <v>39777</v>
      </c>
      <c r="B237" s="125">
        <v>23.07</v>
      </c>
      <c r="C237" s="52"/>
      <c r="D237" s="52"/>
      <c r="E237" s="52"/>
      <c r="F237" s="52"/>
      <c r="G237" s="52"/>
      <c r="H237" s="52"/>
    </row>
    <row r="238" spans="1:8" ht="15.75">
      <c r="A238" s="124">
        <v>39778</v>
      </c>
      <c r="B238" s="125">
        <v>22.75</v>
      </c>
      <c r="C238" s="52"/>
      <c r="D238" s="52"/>
      <c r="E238" s="52"/>
      <c r="F238" s="52"/>
      <c r="G238" s="52"/>
      <c r="H238" s="52"/>
    </row>
    <row r="239" spans="1:8" ht="15.75">
      <c r="A239" s="124">
        <v>39779</v>
      </c>
      <c r="B239" s="125">
        <v>24.15</v>
      </c>
      <c r="C239" s="52"/>
      <c r="D239" s="52"/>
      <c r="E239" s="52"/>
      <c r="F239" s="52"/>
      <c r="G239" s="52"/>
      <c r="H239" s="52"/>
    </row>
    <row r="240" spans="1:8" ht="15.75">
      <c r="A240" s="124">
        <v>39780</v>
      </c>
      <c r="B240" s="125">
        <v>24.09</v>
      </c>
      <c r="C240" s="52"/>
      <c r="D240" s="52"/>
      <c r="E240" s="52"/>
      <c r="F240" s="52"/>
      <c r="G240" s="52"/>
      <c r="H240" s="52"/>
    </row>
    <row r="241" spans="1:8" ht="15.75">
      <c r="A241" s="124">
        <v>39783</v>
      </c>
      <c r="B241" s="125">
        <v>22.98</v>
      </c>
      <c r="C241" s="52"/>
      <c r="D241" s="52"/>
      <c r="E241" s="52"/>
      <c r="F241" s="52"/>
      <c r="G241" s="52"/>
      <c r="H241" s="52"/>
    </row>
    <row r="242" spans="1:8" ht="15.75">
      <c r="A242" s="124">
        <v>39784</v>
      </c>
      <c r="B242" s="125">
        <v>20.36</v>
      </c>
      <c r="C242" s="52"/>
      <c r="D242" s="52"/>
      <c r="E242" s="52"/>
      <c r="F242" s="52"/>
      <c r="G242" s="52"/>
      <c r="H242" s="52"/>
    </row>
    <row r="243" spans="1:8" ht="15.75">
      <c r="A243" s="124">
        <v>39785</v>
      </c>
      <c r="B243" s="125">
        <v>22.35</v>
      </c>
      <c r="C243" s="52"/>
      <c r="D243" s="52"/>
      <c r="E243" s="52"/>
      <c r="F243" s="52"/>
      <c r="G243" s="52"/>
      <c r="H243" s="52"/>
    </row>
    <row r="244" spans="1:8" ht="15.75">
      <c r="A244" s="124">
        <v>39786</v>
      </c>
      <c r="B244" s="125">
        <v>24.03</v>
      </c>
      <c r="C244" s="52"/>
      <c r="D244" s="52"/>
      <c r="E244" s="52"/>
      <c r="F244" s="52"/>
      <c r="G244" s="52"/>
      <c r="H244" s="52"/>
    </row>
    <row r="245" spans="1:8" ht="15.75">
      <c r="A245" s="124">
        <v>39787</v>
      </c>
      <c r="B245" s="125">
        <v>22.9</v>
      </c>
      <c r="C245" s="52"/>
      <c r="D245" s="52"/>
      <c r="E245" s="52"/>
      <c r="F245" s="52"/>
      <c r="G245" s="52"/>
      <c r="H245" s="52"/>
    </row>
    <row r="246" spans="1:8" ht="15.75">
      <c r="A246" s="124">
        <v>39790</v>
      </c>
      <c r="B246" s="125">
        <v>25.85</v>
      </c>
      <c r="C246" s="52"/>
      <c r="D246" s="52"/>
      <c r="E246" s="52"/>
      <c r="F246" s="52"/>
      <c r="G246" s="52"/>
      <c r="H246" s="52"/>
    </row>
    <row r="247" spans="1:8" ht="15.75">
      <c r="A247" s="124">
        <v>39791</v>
      </c>
      <c r="B247" s="125">
        <v>26.69</v>
      </c>
      <c r="C247" s="52"/>
      <c r="D247" s="52"/>
      <c r="E247" s="52"/>
      <c r="F247" s="52"/>
      <c r="G247" s="52"/>
      <c r="H247" s="52"/>
    </row>
    <row r="248" spans="1:8" ht="15.75">
      <c r="A248" s="124">
        <v>39792</v>
      </c>
      <c r="B248" s="125">
        <v>24.41</v>
      </c>
      <c r="C248" s="52"/>
      <c r="D248" s="52"/>
      <c r="E248" s="52"/>
      <c r="F248" s="52"/>
      <c r="G248" s="52"/>
      <c r="H248" s="52"/>
    </row>
    <row r="249" spans="1:8" ht="15.75">
      <c r="A249" s="124">
        <v>39793</v>
      </c>
      <c r="B249" s="125">
        <v>26.03</v>
      </c>
      <c r="C249" s="52"/>
      <c r="D249" s="52"/>
      <c r="E249" s="52"/>
      <c r="F249" s="52"/>
      <c r="G249" s="52"/>
      <c r="H249" s="52"/>
    </row>
    <row r="250" spans="1:8" ht="15.75">
      <c r="A250" s="124">
        <v>39794</v>
      </c>
      <c r="B250" s="125">
        <v>20.39</v>
      </c>
      <c r="C250" s="52"/>
      <c r="D250" s="52"/>
      <c r="E250" s="52"/>
      <c r="F250" s="52"/>
      <c r="G250" s="52"/>
      <c r="H250" s="52"/>
    </row>
    <row r="251" spans="1:8" ht="15.75">
      <c r="A251" s="124">
        <v>39797</v>
      </c>
      <c r="B251" s="125">
        <v>23.26</v>
      </c>
      <c r="C251" s="52"/>
      <c r="D251" s="52"/>
      <c r="E251" s="52"/>
      <c r="F251" s="52"/>
      <c r="G251" s="52"/>
      <c r="H251" s="52"/>
    </row>
    <row r="252" spans="1:8" ht="15.75">
      <c r="A252" s="124">
        <v>39798</v>
      </c>
      <c r="B252" s="125">
        <v>21.47</v>
      </c>
      <c r="C252" s="52"/>
      <c r="D252" s="52"/>
      <c r="E252" s="52"/>
      <c r="F252" s="52"/>
      <c r="G252" s="52"/>
      <c r="H252" s="52"/>
    </row>
    <row r="253" spans="1:8" ht="15.75">
      <c r="A253" s="124">
        <v>39799</v>
      </c>
      <c r="B253" s="125">
        <v>23.44</v>
      </c>
      <c r="C253" s="52"/>
      <c r="D253" s="52"/>
      <c r="E253" s="52"/>
      <c r="F253" s="52"/>
      <c r="G253" s="52"/>
      <c r="H253" s="52"/>
    </row>
    <row r="254" spans="1:8" ht="15.75">
      <c r="A254" s="124">
        <v>39800</v>
      </c>
      <c r="B254" s="125">
        <v>22.93</v>
      </c>
      <c r="C254" s="52"/>
      <c r="D254" s="52"/>
      <c r="E254" s="52"/>
      <c r="F254" s="52"/>
      <c r="G254" s="52"/>
      <c r="H254" s="52"/>
    </row>
    <row r="255" spans="1:8" ht="15.75">
      <c r="A255" s="124">
        <v>39801</v>
      </c>
      <c r="B255" s="125">
        <v>20.04</v>
      </c>
      <c r="C255" s="52"/>
      <c r="D255" s="52"/>
      <c r="E255" s="52"/>
      <c r="F255" s="52"/>
      <c r="G255" s="52"/>
      <c r="H255" s="52"/>
    </row>
    <row r="256" spans="1:8" ht="15.75">
      <c r="A256" s="124">
        <v>39804</v>
      </c>
      <c r="B256" s="125">
        <v>20.79</v>
      </c>
      <c r="C256" s="52"/>
      <c r="D256" s="52"/>
      <c r="E256" s="52"/>
      <c r="F256" s="52"/>
      <c r="G256" s="52"/>
      <c r="H256" s="52"/>
    </row>
    <row r="257" spans="1:8" ht="15.75">
      <c r="A257" s="124">
        <v>39805</v>
      </c>
      <c r="B257" s="125">
        <v>20.100000000000001</v>
      </c>
      <c r="C257" s="52"/>
      <c r="D257" s="52"/>
      <c r="E257" s="52"/>
      <c r="F257" s="52"/>
      <c r="G257" s="52"/>
      <c r="H257" s="52"/>
    </row>
    <row r="258" spans="1:8" ht="15.75">
      <c r="A258" s="124">
        <v>39811</v>
      </c>
      <c r="B258" s="125">
        <v>18.989999999999998</v>
      </c>
      <c r="C258" s="52"/>
      <c r="D258" s="52"/>
      <c r="E258" s="52"/>
      <c r="F258" s="52"/>
      <c r="G258" s="52"/>
      <c r="H258" s="52"/>
    </row>
    <row r="259" spans="1:8" ht="15.75">
      <c r="A259" s="124">
        <v>39812</v>
      </c>
      <c r="B259" s="125">
        <v>18.97</v>
      </c>
      <c r="C259" s="52"/>
      <c r="D259" s="52"/>
      <c r="E259" s="52"/>
      <c r="F259" s="52"/>
      <c r="G259" s="52"/>
      <c r="H259" s="52"/>
    </row>
    <row r="260" spans="1:8" ht="15.75">
      <c r="A260" s="124">
        <v>39815</v>
      </c>
      <c r="B260" s="125">
        <v>21.29</v>
      </c>
      <c r="C260" s="52"/>
      <c r="D260" s="52"/>
      <c r="E260" s="52"/>
      <c r="F260" s="52"/>
      <c r="G260" s="52"/>
      <c r="H260" s="52"/>
    </row>
    <row r="261" spans="1:8" ht="15.75">
      <c r="A261" s="124">
        <v>39818</v>
      </c>
      <c r="B261" s="125">
        <v>20.41</v>
      </c>
      <c r="C261" s="52"/>
      <c r="D261" s="52"/>
      <c r="E261" s="52"/>
      <c r="F261" s="52"/>
      <c r="G261" s="52"/>
      <c r="H261" s="52"/>
    </row>
    <row r="262" spans="1:8" ht="15.75">
      <c r="A262" s="124">
        <v>39819</v>
      </c>
      <c r="B262" s="125">
        <v>20.100000000000001</v>
      </c>
      <c r="C262" s="52"/>
      <c r="D262" s="52"/>
      <c r="E262" s="52"/>
      <c r="F262" s="52"/>
      <c r="G262" s="52"/>
      <c r="H262" s="52"/>
    </row>
    <row r="263" spans="1:8" ht="15.75">
      <c r="A263" s="124">
        <v>39820</v>
      </c>
      <c r="B263" s="125">
        <v>19.7</v>
      </c>
      <c r="C263" s="52"/>
      <c r="D263" s="52"/>
      <c r="E263" s="52"/>
      <c r="F263" s="52"/>
      <c r="G263" s="52"/>
      <c r="H263" s="52"/>
    </row>
    <row r="264" spans="1:8" ht="15.75">
      <c r="A264" s="124">
        <v>39821</v>
      </c>
      <c r="B264" s="125">
        <v>19.309999999999999</v>
      </c>
      <c r="C264" s="52"/>
      <c r="D264" s="52"/>
      <c r="E264" s="52"/>
      <c r="F264" s="52"/>
      <c r="G264" s="52"/>
      <c r="H264" s="52"/>
    </row>
    <row r="265" spans="1:8" ht="15.75">
      <c r="A265" s="124">
        <v>39822</v>
      </c>
      <c r="B265" s="125">
        <v>19.489999999999998</v>
      </c>
      <c r="C265" s="52"/>
      <c r="D265" s="52"/>
      <c r="E265" s="52"/>
      <c r="F265" s="52"/>
      <c r="G265" s="52"/>
      <c r="H265" s="52"/>
    </row>
    <row r="266" spans="1:8" ht="15.75">
      <c r="A266" s="124">
        <v>39825</v>
      </c>
      <c r="B266" s="125">
        <v>18.63</v>
      </c>
      <c r="C266" s="52"/>
      <c r="D266" s="52"/>
      <c r="E266" s="52"/>
      <c r="F266" s="52"/>
      <c r="G266" s="52"/>
      <c r="H266" s="52"/>
    </row>
    <row r="267" spans="1:8" ht="15.75">
      <c r="A267" s="124">
        <v>39826</v>
      </c>
      <c r="B267" s="125">
        <v>18.36</v>
      </c>
      <c r="C267" s="52"/>
      <c r="D267" s="52"/>
      <c r="E267" s="52"/>
      <c r="F267" s="52"/>
      <c r="G267" s="52"/>
      <c r="H267" s="52"/>
    </row>
    <row r="268" spans="1:8" ht="15.75">
      <c r="A268" s="124">
        <v>39827</v>
      </c>
      <c r="B268" s="125">
        <v>19.16</v>
      </c>
      <c r="C268" s="52"/>
      <c r="D268" s="52"/>
      <c r="E268" s="52"/>
      <c r="F268" s="52"/>
      <c r="G268" s="52"/>
      <c r="H268" s="52"/>
    </row>
    <row r="269" spans="1:8" ht="15.75">
      <c r="A269" s="124">
        <v>39828</v>
      </c>
      <c r="B269" s="125">
        <v>18.62</v>
      </c>
      <c r="C269" s="52"/>
      <c r="D269" s="52"/>
      <c r="E269" s="52"/>
      <c r="F269" s="52"/>
      <c r="G269" s="52"/>
      <c r="H269" s="52"/>
    </row>
    <row r="270" spans="1:8" ht="15.75">
      <c r="A270" s="124">
        <v>39829</v>
      </c>
      <c r="B270" s="125">
        <v>20.190000000000001</v>
      </c>
      <c r="C270" s="52"/>
      <c r="D270" s="52"/>
      <c r="E270" s="52"/>
      <c r="F270" s="52"/>
      <c r="G270" s="52"/>
      <c r="H270" s="52"/>
    </row>
    <row r="271" spans="1:8" ht="15.75">
      <c r="A271" s="124">
        <v>39832</v>
      </c>
      <c r="B271" s="125">
        <v>20.309999999999999</v>
      </c>
      <c r="C271" s="52"/>
      <c r="D271" s="52"/>
      <c r="E271" s="52"/>
      <c r="F271" s="52"/>
      <c r="G271" s="52"/>
      <c r="H271" s="52"/>
    </row>
    <row r="272" spans="1:8" ht="15.75">
      <c r="A272" s="124">
        <v>39833</v>
      </c>
      <c r="B272" s="125">
        <v>19.88</v>
      </c>
      <c r="C272" s="52"/>
      <c r="D272" s="52"/>
      <c r="E272" s="52"/>
      <c r="F272" s="52"/>
      <c r="G272" s="52"/>
      <c r="H272" s="52"/>
    </row>
    <row r="273" spans="1:8" ht="15.75">
      <c r="A273" s="124">
        <v>39834</v>
      </c>
      <c r="B273" s="125">
        <v>18.71</v>
      </c>
      <c r="C273" s="52"/>
      <c r="D273" s="52"/>
      <c r="E273" s="52"/>
      <c r="F273" s="52"/>
      <c r="G273" s="52"/>
      <c r="H273" s="52"/>
    </row>
    <row r="274" spans="1:8" ht="15.75">
      <c r="A274" s="124">
        <v>39835</v>
      </c>
      <c r="B274" s="125">
        <v>19.079999999999998</v>
      </c>
      <c r="C274" s="52"/>
      <c r="D274" s="52"/>
      <c r="E274" s="52"/>
      <c r="F274" s="52"/>
      <c r="G274" s="52"/>
      <c r="H274" s="52"/>
    </row>
    <row r="275" spans="1:8" ht="15.75">
      <c r="A275" s="124">
        <v>39836</v>
      </c>
      <c r="B275" s="125">
        <v>19.170000000000002</v>
      </c>
      <c r="C275" s="52"/>
      <c r="D275" s="52"/>
      <c r="E275" s="52"/>
      <c r="F275" s="52"/>
      <c r="G275" s="52"/>
      <c r="H275" s="52"/>
    </row>
    <row r="276" spans="1:8" ht="15.75">
      <c r="A276" s="124">
        <v>39839</v>
      </c>
      <c r="B276" s="125">
        <v>19.13</v>
      </c>
      <c r="C276" s="52"/>
      <c r="D276" s="52"/>
      <c r="E276" s="52"/>
      <c r="F276" s="52"/>
      <c r="G276" s="52"/>
      <c r="H276" s="52"/>
    </row>
    <row r="277" spans="1:8" ht="15.75">
      <c r="A277" s="124">
        <v>39840</v>
      </c>
      <c r="B277" s="125">
        <v>18.420000000000002</v>
      </c>
      <c r="C277" s="52"/>
      <c r="D277" s="52"/>
      <c r="E277" s="52"/>
      <c r="F277" s="52"/>
      <c r="G277" s="52"/>
      <c r="H277" s="52"/>
    </row>
    <row r="278" spans="1:8" ht="15.75">
      <c r="A278" s="124">
        <v>39841</v>
      </c>
      <c r="B278" s="125">
        <v>18.97</v>
      </c>
      <c r="C278" s="52"/>
      <c r="D278" s="52"/>
      <c r="E278" s="52"/>
      <c r="F278" s="52"/>
      <c r="G278" s="52"/>
      <c r="H278" s="52"/>
    </row>
    <row r="279" spans="1:8" ht="15.75">
      <c r="A279" s="124">
        <v>39842</v>
      </c>
      <c r="B279" s="125">
        <v>19.97</v>
      </c>
      <c r="C279" s="52"/>
      <c r="D279" s="52"/>
      <c r="E279" s="52"/>
      <c r="F279" s="52"/>
      <c r="G279" s="52"/>
      <c r="H279" s="52"/>
    </row>
    <row r="280" spans="1:8" ht="15.75">
      <c r="A280" s="124">
        <v>39843</v>
      </c>
      <c r="B280" s="125">
        <v>19.57</v>
      </c>
      <c r="C280" s="52"/>
      <c r="D280" s="52"/>
      <c r="E280" s="52"/>
      <c r="F280" s="52"/>
      <c r="G280" s="52"/>
      <c r="H280" s="52"/>
    </row>
    <row r="281" spans="1:8" ht="15.75">
      <c r="A281" s="124">
        <v>39846</v>
      </c>
      <c r="B281" s="125">
        <v>18.100000000000001</v>
      </c>
      <c r="C281" s="52"/>
      <c r="D281" s="52"/>
      <c r="E281" s="52"/>
      <c r="F281" s="52"/>
      <c r="G281" s="52"/>
      <c r="H281" s="52"/>
    </row>
    <row r="282" spans="1:8" ht="15.75">
      <c r="A282" s="124">
        <v>39847</v>
      </c>
      <c r="B282" s="125">
        <v>18.22</v>
      </c>
      <c r="C282" s="52"/>
      <c r="D282" s="52"/>
      <c r="E282" s="52"/>
      <c r="F282" s="52"/>
      <c r="G282" s="52"/>
      <c r="H282" s="52"/>
    </row>
    <row r="283" spans="1:8" ht="15.75">
      <c r="A283" s="124">
        <v>39848</v>
      </c>
      <c r="B283" s="125">
        <v>18.86</v>
      </c>
      <c r="C283" s="52"/>
      <c r="D283" s="52"/>
      <c r="E283" s="52"/>
      <c r="F283" s="52"/>
      <c r="G283" s="52"/>
      <c r="H283" s="52"/>
    </row>
    <row r="284" spans="1:8" ht="15.75">
      <c r="A284" s="124">
        <v>39849</v>
      </c>
      <c r="B284" s="125">
        <v>16.48</v>
      </c>
      <c r="C284" s="52"/>
      <c r="D284" s="52"/>
      <c r="E284" s="52"/>
      <c r="F284" s="52"/>
      <c r="G284" s="52"/>
      <c r="H284" s="52"/>
    </row>
    <row r="285" spans="1:8" ht="15.75">
      <c r="A285" s="124">
        <v>39850</v>
      </c>
      <c r="B285" s="125">
        <v>17.059999999999999</v>
      </c>
      <c r="C285" s="52"/>
      <c r="D285" s="52"/>
      <c r="E285" s="52"/>
      <c r="F285" s="52"/>
      <c r="G285" s="52"/>
      <c r="H285" s="52"/>
    </row>
    <row r="286" spans="1:8" ht="15.75">
      <c r="A286" s="124">
        <v>39853</v>
      </c>
      <c r="B286" s="125">
        <v>17.18</v>
      </c>
      <c r="C286" s="52"/>
      <c r="D286" s="52"/>
      <c r="E286" s="52"/>
      <c r="F286" s="52"/>
      <c r="G286" s="52"/>
      <c r="H286" s="52"/>
    </row>
    <row r="287" spans="1:8" ht="15.75">
      <c r="A287" s="124">
        <v>39854</v>
      </c>
      <c r="B287" s="125">
        <v>17.309999999999999</v>
      </c>
      <c r="C287" s="52"/>
      <c r="D287" s="52"/>
      <c r="E287" s="52"/>
      <c r="F287" s="52"/>
      <c r="G287" s="52"/>
      <c r="H287" s="52"/>
    </row>
    <row r="288" spans="1:8" ht="15.75">
      <c r="A288" s="124">
        <v>39855</v>
      </c>
      <c r="B288" s="125">
        <v>16.27</v>
      </c>
      <c r="C288" s="52"/>
      <c r="D288" s="52"/>
      <c r="E288" s="52"/>
      <c r="F288" s="52"/>
      <c r="G288" s="52"/>
      <c r="H288" s="52"/>
    </row>
    <row r="289" spans="1:8" ht="15.75">
      <c r="A289" s="124">
        <v>39856</v>
      </c>
      <c r="B289" s="125">
        <v>16.670000000000002</v>
      </c>
      <c r="C289" s="52"/>
      <c r="D289" s="52"/>
      <c r="E289" s="52"/>
      <c r="F289" s="52"/>
      <c r="G289" s="52"/>
      <c r="H289" s="52"/>
    </row>
    <row r="290" spans="1:8" ht="15.75">
      <c r="A290" s="124">
        <v>39857</v>
      </c>
      <c r="B290" s="125">
        <v>16.39</v>
      </c>
      <c r="C290" s="52"/>
      <c r="D290" s="52"/>
      <c r="E290" s="52"/>
      <c r="F290" s="52"/>
      <c r="G290" s="52"/>
      <c r="H290" s="52"/>
    </row>
    <row r="291" spans="1:8" ht="15.75">
      <c r="A291" s="124">
        <v>39860</v>
      </c>
      <c r="B291" s="125">
        <v>16.350000000000001</v>
      </c>
      <c r="C291" s="52"/>
      <c r="D291" s="52"/>
      <c r="E291" s="52"/>
      <c r="F291" s="52"/>
      <c r="G291" s="52"/>
      <c r="H291" s="52"/>
    </row>
    <row r="292" spans="1:8" ht="15.75">
      <c r="A292" s="124">
        <v>39861</v>
      </c>
      <c r="B292" s="125">
        <v>15.9</v>
      </c>
      <c r="C292" s="52"/>
      <c r="D292" s="52"/>
      <c r="E292" s="52"/>
      <c r="F292" s="52"/>
      <c r="G292" s="52"/>
      <c r="H292" s="52"/>
    </row>
    <row r="293" spans="1:8" ht="15.75">
      <c r="A293" s="124">
        <v>39862</v>
      </c>
      <c r="B293" s="125">
        <v>15.34</v>
      </c>
      <c r="C293" s="52"/>
      <c r="D293" s="52"/>
      <c r="E293" s="52"/>
      <c r="F293" s="52"/>
      <c r="G293" s="52"/>
      <c r="H293" s="52"/>
    </row>
    <row r="294" spans="1:8" ht="15.75">
      <c r="A294" s="124">
        <v>39863</v>
      </c>
      <c r="B294" s="125">
        <v>15.48</v>
      </c>
      <c r="C294" s="52"/>
      <c r="D294" s="52"/>
      <c r="E294" s="52"/>
      <c r="F294" s="52"/>
      <c r="G294" s="52"/>
      <c r="H294" s="52"/>
    </row>
    <row r="295" spans="1:8" ht="15.75">
      <c r="A295" s="124">
        <v>39864</v>
      </c>
      <c r="B295" s="125">
        <v>14.81</v>
      </c>
      <c r="C295" s="52"/>
      <c r="D295" s="52"/>
      <c r="E295" s="52"/>
      <c r="F295" s="52"/>
      <c r="G295" s="52"/>
      <c r="H295" s="52"/>
    </row>
    <row r="296" spans="1:8" ht="15.75">
      <c r="A296" s="124">
        <v>39867</v>
      </c>
      <c r="B296" s="125">
        <v>15.55</v>
      </c>
      <c r="C296" s="52"/>
      <c r="D296" s="52"/>
      <c r="E296" s="52"/>
      <c r="F296" s="52"/>
      <c r="G296" s="52"/>
      <c r="H296" s="52"/>
    </row>
    <row r="297" spans="1:8" ht="15.75">
      <c r="A297" s="124">
        <v>39868</v>
      </c>
      <c r="B297" s="125">
        <v>14.36</v>
      </c>
      <c r="C297" s="52"/>
      <c r="D297" s="52"/>
      <c r="E297" s="52"/>
      <c r="F297" s="52"/>
      <c r="G297" s="52"/>
      <c r="H297" s="52"/>
    </row>
    <row r="298" spans="1:8" ht="15.75">
      <c r="A298" s="124">
        <v>39869</v>
      </c>
      <c r="B298" s="125">
        <v>14.99</v>
      </c>
      <c r="C298" s="52"/>
      <c r="D298" s="52"/>
      <c r="E298" s="52"/>
      <c r="F298" s="52"/>
      <c r="G298" s="52"/>
      <c r="H298" s="52"/>
    </row>
    <row r="299" spans="1:8" ht="15.75">
      <c r="A299" s="124">
        <v>39870</v>
      </c>
      <c r="B299" s="125">
        <v>15.13</v>
      </c>
      <c r="C299" s="52"/>
      <c r="D299" s="52"/>
      <c r="E299" s="52"/>
      <c r="F299" s="52"/>
      <c r="G299" s="52"/>
      <c r="H299" s="52"/>
    </row>
    <row r="300" spans="1:8" ht="15.75">
      <c r="A300" s="124">
        <v>39871</v>
      </c>
      <c r="B300" s="125">
        <v>14.29</v>
      </c>
      <c r="C300" s="52"/>
      <c r="D300" s="52"/>
      <c r="E300" s="52"/>
      <c r="F300" s="52"/>
      <c r="G300" s="52"/>
      <c r="H300" s="52"/>
    </row>
    <row r="301" spans="1:8" ht="15.75">
      <c r="A301" s="124">
        <v>39874</v>
      </c>
      <c r="B301" s="125">
        <v>13.71</v>
      </c>
      <c r="C301" s="52"/>
      <c r="D301" s="52"/>
      <c r="E301" s="52"/>
      <c r="F301" s="52"/>
      <c r="G301" s="52"/>
      <c r="H301" s="52"/>
    </row>
    <row r="302" spans="1:8" ht="15.75">
      <c r="A302" s="124">
        <v>39875</v>
      </c>
      <c r="B302" s="125">
        <v>13.53</v>
      </c>
      <c r="C302" s="52"/>
      <c r="D302" s="52"/>
      <c r="E302" s="52"/>
      <c r="F302" s="52"/>
      <c r="G302" s="52"/>
      <c r="H302" s="52"/>
    </row>
    <row r="303" spans="1:8" ht="15.75">
      <c r="A303" s="124">
        <v>39876</v>
      </c>
      <c r="B303" s="125">
        <v>13.55</v>
      </c>
      <c r="C303" s="52"/>
      <c r="D303" s="52"/>
      <c r="E303" s="52"/>
      <c r="F303" s="52"/>
      <c r="G303" s="52"/>
      <c r="H303" s="52"/>
    </row>
    <row r="304" spans="1:8" ht="15.75">
      <c r="A304" s="124">
        <v>39877</v>
      </c>
      <c r="B304" s="125">
        <v>13.73</v>
      </c>
      <c r="C304" s="52"/>
      <c r="D304" s="52"/>
      <c r="E304" s="52"/>
      <c r="F304" s="52"/>
      <c r="G304" s="52"/>
      <c r="H304" s="52"/>
    </row>
    <row r="305" spans="1:8" ht="15.75">
      <c r="A305" s="124">
        <v>39878</v>
      </c>
      <c r="B305" s="125">
        <v>12.29</v>
      </c>
      <c r="C305" s="52"/>
      <c r="D305" s="52"/>
      <c r="E305" s="52"/>
      <c r="F305" s="52"/>
      <c r="G305" s="52"/>
      <c r="H305" s="52"/>
    </row>
    <row r="306" spans="1:8" ht="15.75">
      <c r="A306" s="124">
        <v>39881</v>
      </c>
      <c r="B306" s="125">
        <v>13.39</v>
      </c>
      <c r="C306" s="52"/>
      <c r="D306" s="52"/>
      <c r="E306" s="52"/>
      <c r="F306" s="52"/>
      <c r="G306" s="52"/>
      <c r="H306" s="52"/>
    </row>
    <row r="307" spans="1:8" ht="15.75">
      <c r="A307" s="124">
        <v>39882</v>
      </c>
      <c r="B307" s="125">
        <v>14.21</v>
      </c>
      <c r="C307" s="52"/>
      <c r="D307" s="52"/>
      <c r="E307" s="52"/>
      <c r="F307" s="52"/>
      <c r="G307" s="52"/>
      <c r="H307" s="52"/>
    </row>
    <row r="308" spans="1:8" ht="15.75">
      <c r="A308" s="124">
        <v>39883</v>
      </c>
      <c r="B308" s="125">
        <v>15.45</v>
      </c>
      <c r="C308" s="52"/>
      <c r="D308" s="52"/>
      <c r="E308" s="52"/>
      <c r="F308" s="52"/>
      <c r="G308" s="52"/>
      <c r="H308" s="52"/>
    </row>
    <row r="309" spans="1:8" ht="15.75">
      <c r="A309" s="124">
        <v>39884</v>
      </c>
      <c r="B309" s="125">
        <v>15.23</v>
      </c>
      <c r="C309" s="52"/>
      <c r="D309" s="52"/>
      <c r="E309" s="52"/>
      <c r="F309" s="52"/>
      <c r="G309" s="52"/>
      <c r="H309" s="52"/>
    </row>
    <row r="310" spans="1:8" ht="15.75">
      <c r="A310" s="124">
        <v>39885</v>
      </c>
      <c r="B310" s="125">
        <v>15.66</v>
      </c>
      <c r="C310" s="52"/>
      <c r="D310" s="52"/>
      <c r="E310" s="52"/>
      <c r="F310" s="52"/>
      <c r="G310" s="52"/>
      <c r="H310" s="52"/>
    </row>
    <row r="311" spans="1:8" ht="15.75">
      <c r="A311" s="124">
        <v>39888</v>
      </c>
      <c r="B311" s="125">
        <v>14.72</v>
      </c>
      <c r="C311" s="52"/>
      <c r="D311" s="52"/>
      <c r="E311" s="52"/>
      <c r="F311" s="52"/>
      <c r="G311" s="52"/>
      <c r="H311" s="52"/>
    </row>
    <row r="312" spans="1:8" ht="15.75">
      <c r="A312" s="124">
        <v>39889</v>
      </c>
      <c r="B312" s="125">
        <v>13.96</v>
      </c>
      <c r="C312" s="52"/>
      <c r="D312" s="52"/>
      <c r="E312" s="52"/>
      <c r="F312" s="52"/>
      <c r="G312" s="52"/>
      <c r="H312" s="52"/>
    </row>
    <row r="313" spans="1:8" ht="15.75">
      <c r="A313" s="124">
        <v>39890</v>
      </c>
      <c r="B313" s="125">
        <v>14.75</v>
      </c>
      <c r="C313" s="52"/>
      <c r="D313" s="52"/>
      <c r="E313" s="52"/>
      <c r="F313" s="52"/>
      <c r="G313" s="52"/>
      <c r="H313" s="52"/>
    </row>
    <row r="314" spans="1:8" ht="15.75">
      <c r="A314" s="124">
        <v>39891</v>
      </c>
      <c r="B314" s="125">
        <v>15.73</v>
      </c>
      <c r="C314" s="52"/>
      <c r="D314" s="52"/>
      <c r="E314" s="52"/>
      <c r="F314" s="52"/>
      <c r="G314" s="52"/>
      <c r="H314" s="52"/>
    </row>
    <row r="315" spans="1:8" ht="15.75">
      <c r="A315" s="124">
        <v>39892</v>
      </c>
      <c r="B315" s="125">
        <v>13.28</v>
      </c>
      <c r="C315" s="52"/>
      <c r="D315" s="52"/>
      <c r="E315" s="52"/>
      <c r="F315" s="52"/>
      <c r="G315" s="52"/>
      <c r="H315" s="52"/>
    </row>
    <row r="316" spans="1:8" ht="15.75">
      <c r="A316" s="124">
        <v>39895</v>
      </c>
      <c r="B316" s="125">
        <v>13.12</v>
      </c>
      <c r="C316" s="52"/>
      <c r="D316" s="52"/>
      <c r="E316" s="52"/>
      <c r="F316" s="52"/>
      <c r="G316" s="52"/>
      <c r="H316" s="52"/>
    </row>
    <row r="317" spans="1:8" ht="15.75">
      <c r="A317" s="124">
        <v>39896</v>
      </c>
      <c r="B317" s="125">
        <v>14.55</v>
      </c>
      <c r="C317" s="52"/>
      <c r="D317" s="52"/>
      <c r="E317" s="52"/>
      <c r="F317" s="52"/>
      <c r="G317" s="52"/>
      <c r="H317" s="52"/>
    </row>
    <row r="318" spans="1:8" ht="15.75">
      <c r="A318" s="124">
        <v>39897</v>
      </c>
      <c r="B318" s="125">
        <v>13.93</v>
      </c>
      <c r="C318" s="52"/>
      <c r="D318" s="52"/>
      <c r="E318" s="52"/>
      <c r="F318" s="52"/>
      <c r="G318" s="52"/>
      <c r="H318" s="52"/>
    </row>
    <row r="319" spans="1:8" ht="15.75">
      <c r="A319" s="124">
        <v>39898</v>
      </c>
      <c r="B319" s="125">
        <v>13.17</v>
      </c>
      <c r="C319" s="52"/>
      <c r="D319" s="52"/>
      <c r="E319" s="52"/>
      <c r="F319" s="52"/>
      <c r="G319" s="52"/>
      <c r="H319" s="52"/>
    </row>
    <row r="320" spans="1:8" ht="15.75">
      <c r="A320" s="124">
        <v>39899</v>
      </c>
      <c r="B320" s="125">
        <v>13.93</v>
      </c>
      <c r="C320" s="52"/>
      <c r="D320" s="52"/>
      <c r="E320" s="52"/>
      <c r="F320" s="52"/>
      <c r="G320" s="52"/>
      <c r="H320" s="52"/>
    </row>
    <row r="321" spans="1:8" ht="15.75">
      <c r="A321" s="124">
        <v>39902</v>
      </c>
      <c r="B321" s="125">
        <v>13.22</v>
      </c>
      <c r="C321" s="52"/>
      <c r="D321" s="52"/>
      <c r="E321" s="52"/>
      <c r="F321" s="52"/>
      <c r="G321" s="52"/>
      <c r="H321" s="52"/>
    </row>
    <row r="322" spans="1:8" ht="15.75">
      <c r="A322" s="124">
        <v>39903</v>
      </c>
      <c r="B322" s="125">
        <v>12.88</v>
      </c>
      <c r="C322" s="52"/>
      <c r="D322" s="52"/>
      <c r="E322" s="52"/>
      <c r="F322" s="52"/>
      <c r="G322" s="52"/>
      <c r="H322" s="52"/>
    </row>
    <row r="323" spans="1:8" ht="15.75">
      <c r="A323" s="124">
        <v>39904</v>
      </c>
      <c r="B323" s="125">
        <v>13.29</v>
      </c>
      <c r="C323" s="52"/>
      <c r="D323" s="52"/>
      <c r="E323" s="52"/>
      <c r="F323" s="52"/>
      <c r="G323" s="52"/>
      <c r="H323" s="52"/>
    </row>
    <row r="324" spans="1:8" ht="15.75">
      <c r="A324" s="124">
        <v>39905</v>
      </c>
      <c r="B324" s="125">
        <v>13.73</v>
      </c>
      <c r="C324" s="52"/>
      <c r="D324" s="52"/>
      <c r="E324" s="52"/>
      <c r="F324" s="52"/>
      <c r="G324" s="52"/>
      <c r="H324" s="52"/>
    </row>
    <row r="325" spans="1:8" ht="15.75">
      <c r="A325" s="124">
        <v>39906</v>
      </c>
      <c r="B325" s="125">
        <v>14.39</v>
      </c>
      <c r="C325" s="52"/>
      <c r="D325" s="52"/>
      <c r="E325" s="52"/>
      <c r="F325" s="52"/>
      <c r="G325" s="52"/>
      <c r="H325" s="52"/>
    </row>
    <row r="326" spans="1:8" ht="15.75">
      <c r="A326" s="124">
        <v>39909</v>
      </c>
      <c r="B326" s="125">
        <v>15.47</v>
      </c>
      <c r="C326" s="52"/>
      <c r="D326" s="52"/>
      <c r="E326" s="52"/>
      <c r="F326" s="52"/>
      <c r="G326" s="52"/>
      <c r="H326" s="52"/>
    </row>
    <row r="327" spans="1:8" ht="15.75">
      <c r="A327" s="124">
        <v>39910</v>
      </c>
      <c r="B327" s="125">
        <v>15.25</v>
      </c>
      <c r="C327" s="52"/>
      <c r="D327" s="52"/>
      <c r="E327" s="52"/>
      <c r="F327" s="52"/>
      <c r="G327" s="52"/>
      <c r="H327" s="52"/>
    </row>
    <row r="328" spans="1:8" ht="15.75">
      <c r="A328" s="124">
        <v>39911</v>
      </c>
      <c r="B328" s="125">
        <v>15.25</v>
      </c>
      <c r="C328" s="52"/>
      <c r="D328" s="52"/>
      <c r="E328" s="52"/>
      <c r="F328" s="52"/>
      <c r="G328" s="52"/>
      <c r="H328" s="52"/>
    </row>
    <row r="329" spans="1:8" ht="15.75">
      <c r="A329" s="124">
        <v>39912</v>
      </c>
      <c r="B329" s="125">
        <v>14.95</v>
      </c>
      <c r="C329" s="52"/>
      <c r="D329" s="52"/>
      <c r="E329" s="52"/>
      <c r="F329" s="52"/>
      <c r="G329" s="52"/>
      <c r="H329" s="52"/>
    </row>
    <row r="330" spans="1:8" ht="15.75">
      <c r="A330" s="124">
        <v>39917</v>
      </c>
      <c r="B330" s="125">
        <v>16.2</v>
      </c>
      <c r="C330" s="52"/>
      <c r="D330" s="52"/>
      <c r="E330" s="52"/>
      <c r="F330" s="52"/>
      <c r="G330" s="52"/>
      <c r="H330" s="52"/>
    </row>
    <row r="331" spans="1:8" ht="15.75">
      <c r="A331" s="124">
        <v>39918</v>
      </c>
      <c r="B331" s="125">
        <v>15.3</v>
      </c>
      <c r="C331" s="52"/>
      <c r="D331" s="52"/>
      <c r="E331" s="52"/>
      <c r="F331" s="52"/>
      <c r="G331" s="52"/>
      <c r="H331" s="52"/>
    </row>
    <row r="332" spans="1:8" ht="15.75">
      <c r="A332" s="124">
        <v>39919</v>
      </c>
      <c r="B332" s="125">
        <v>15.72</v>
      </c>
      <c r="C332" s="52"/>
      <c r="D332" s="52"/>
      <c r="E332" s="52"/>
      <c r="F332" s="52"/>
      <c r="G332" s="52"/>
      <c r="H332" s="52"/>
    </row>
    <row r="333" spans="1:8" ht="15.75">
      <c r="A333" s="124">
        <v>39920</v>
      </c>
      <c r="B333" s="125">
        <v>16.73</v>
      </c>
      <c r="C333" s="52"/>
      <c r="D333" s="52"/>
      <c r="E333" s="52"/>
      <c r="F333" s="52"/>
      <c r="G333" s="52"/>
      <c r="H333" s="52"/>
    </row>
    <row r="334" spans="1:8" ht="15.75">
      <c r="A334" s="124">
        <v>39923</v>
      </c>
      <c r="B334" s="125">
        <v>16.760000000000002</v>
      </c>
      <c r="C334" s="52"/>
      <c r="D334" s="52"/>
      <c r="E334" s="52"/>
      <c r="F334" s="52"/>
      <c r="G334" s="52"/>
      <c r="H334" s="52"/>
    </row>
    <row r="335" spans="1:8" ht="15.75">
      <c r="A335" s="124">
        <v>39924</v>
      </c>
      <c r="B335" s="125">
        <v>14.99</v>
      </c>
      <c r="C335" s="52"/>
      <c r="D335" s="52"/>
      <c r="E335" s="52"/>
      <c r="F335" s="52"/>
      <c r="G335" s="52"/>
      <c r="H335" s="52"/>
    </row>
    <row r="336" spans="1:8" ht="15.75">
      <c r="A336" s="124">
        <v>39925</v>
      </c>
      <c r="B336" s="125">
        <v>16.21</v>
      </c>
      <c r="C336" s="52"/>
      <c r="D336" s="52"/>
      <c r="E336" s="52"/>
      <c r="F336" s="52"/>
      <c r="G336" s="52"/>
      <c r="H336" s="52"/>
    </row>
    <row r="337" spans="1:8" ht="15.75">
      <c r="A337" s="124">
        <v>39926</v>
      </c>
      <c r="B337" s="125">
        <v>15.82</v>
      </c>
      <c r="C337" s="52"/>
      <c r="D337" s="52"/>
      <c r="E337" s="52"/>
      <c r="F337" s="52"/>
      <c r="G337" s="52"/>
      <c r="H337" s="52"/>
    </row>
    <row r="338" spans="1:8" ht="15.75">
      <c r="A338" s="124">
        <v>39927</v>
      </c>
      <c r="B338" s="125">
        <v>16.25</v>
      </c>
      <c r="C338" s="52"/>
      <c r="D338" s="52"/>
      <c r="E338" s="52"/>
      <c r="F338" s="52"/>
      <c r="G338" s="52"/>
      <c r="H338" s="52"/>
    </row>
    <row r="339" spans="1:8" ht="15.75">
      <c r="A339" s="124">
        <v>39930</v>
      </c>
      <c r="B339" s="125">
        <v>16.600000000000001</v>
      </c>
      <c r="C339" s="52"/>
      <c r="D339" s="52"/>
      <c r="E339" s="52"/>
      <c r="F339" s="52"/>
      <c r="G339" s="52"/>
      <c r="H339" s="52"/>
    </row>
    <row r="340" spans="1:8" ht="15.75">
      <c r="A340" s="124">
        <v>39931</v>
      </c>
      <c r="B340" s="125">
        <v>15.98</v>
      </c>
      <c r="C340" s="52"/>
      <c r="D340" s="52"/>
      <c r="E340" s="52"/>
      <c r="F340" s="52"/>
      <c r="G340" s="52"/>
      <c r="H340" s="52"/>
    </row>
    <row r="341" spans="1:8" ht="15.75">
      <c r="A341" s="124">
        <v>39932</v>
      </c>
      <c r="B341" s="125">
        <v>16.13</v>
      </c>
      <c r="C341" s="52"/>
      <c r="D341" s="52"/>
      <c r="E341" s="52"/>
      <c r="F341" s="52"/>
      <c r="G341" s="52"/>
      <c r="H341" s="52"/>
    </row>
    <row r="342" spans="1:8" ht="15.75">
      <c r="A342" s="124">
        <v>39933</v>
      </c>
      <c r="B342" s="125">
        <v>17.079999999999998</v>
      </c>
      <c r="C342" s="52"/>
      <c r="D342" s="52"/>
      <c r="E342" s="52"/>
      <c r="F342" s="52"/>
      <c r="G342" s="52"/>
      <c r="H342" s="52"/>
    </row>
    <row r="343" spans="1:8" ht="15.75">
      <c r="A343" s="124">
        <v>39937</v>
      </c>
      <c r="B343" s="125">
        <v>16.579999999999998</v>
      </c>
      <c r="C343" s="52"/>
      <c r="D343" s="52"/>
      <c r="E343" s="52"/>
      <c r="F343" s="52"/>
      <c r="G343" s="52"/>
      <c r="H343" s="52"/>
    </row>
    <row r="344" spans="1:8" ht="15.75">
      <c r="A344" s="124">
        <v>39938</v>
      </c>
      <c r="B344" s="125">
        <v>16.940000000000001</v>
      </c>
      <c r="C344" s="52"/>
      <c r="D344" s="52"/>
      <c r="E344" s="52"/>
      <c r="F344" s="52"/>
      <c r="G344" s="52"/>
      <c r="H344" s="52"/>
    </row>
    <row r="345" spans="1:8" ht="15.75">
      <c r="A345" s="124">
        <v>39939</v>
      </c>
      <c r="B345" s="125">
        <v>17.510000000000002</v>
      </c>
      <c r="C345" s="52"/>
      <c r="D345" s="52"/>
      <c r="E345" s="52"/>
      <c r="F345" s="52"/>
      <c r="G345" s="52"/>
      <c r="H345" s="52"/>
    </row>
    <row r="346" spans="1:8" ht="15.75">
      <c r="A346" s="124">
        <v>39940</v>
      </c>
      <c r="B346" s="125">
        <v>17.489999999999998</v>
      </c>
      <c r="C346" s="52"/>
      <c r="D346" s="52"/>
      <c r="E346" s="52"/>
      <c r="F346" s="52"/>
      <c r="G346" s="52"/>
      <c r="H346" s="52"/>
    </row>
    <row r="347" spans="1:8" ht="15.75">
      <c r="A347" s="124">
        <v>39941</v>
      </c>
      <c r="B347" s="125">
        <v>16.2</v>
      </c>
      <c r="C347" s="52"/>
      <c r="D347" s="52"/>
      <c r="E347" s="52"/>
      <c r="F347" s="52"/>
      <c r="G347" s="52"/>
      <c r="H347" s="52"/>
    </row>
    <row r="348" spans="1:8" ht="15.75">
      <c r="A348" s="124">
        <v>39944</v>
      </c>
      <c r="B348" s="125">
        <v>16.8</v>
      </c>
      <c r="C348" s="52"/>
      <c r="D348" s="52"/>
      <c r="E348" s="52"/>
      <c r="F348" s="52"/>
      <c r="G348" s="52"/>
      <c r="H348" s="52"/>
    </row>
    <row r="349" spans="1:8" ht="15.75">
      <c r="A349" s="124">
        <v>39945</v>
      </c>
      <c r="B349" s="125">
        <v>16.079999999999998</v>
      </c>
      <c r="C349" s="52"/>
      <c r="D349" s="52"/>
      <c r="E349" s="52"/>
      <c r="F349" s="52"/>
      <c r="G349" s="52"/>
      <c r="H349" s="52"/>
    </row>
    <row r="350" spans="1:8" ht="15.75">
      <c r="A350" s="124">
        <v>39946</v>
      </c>
      <c r="B350" s="125">
        <v>15.78</v>
      </c>
      <c r="C350" s="52"/>
      <c r="D350" s="52"/>
      <c r="E350" s="52"/>
      <c r="F350" s="52"/>
      <c r="G350" s="52"/>
      <c r="H350" s="52"/>
    </row>
    <row r="351" spans="1:8" ht="15.75">
      <c r="A351" s="124">
        <v>39947</v>
      </c>
      <c r="B351" s="125">
        <v>15.56</v>
      </c>
      <c r="C351" s="52"/>
      <c r="D351" s="52"/>
      <c r="E351" s="52"/>
      <c r="F351" s="52"/>
      <c r="G351" s="52"/>
      <c r="H351" s="52"/>
    </row>
    <row r="352" spans="1:8" ht="15.75">
      <c r="A352" s="124">
        <v>39948</v>
      </c>
      <c r="B352" s="125">
        <v>16.29</v>
      </c>
      <c r="C352" s="52"/>
      <c r="D352" s="52"/>
      <c r="E352" s="52"/>
      <c r="F352" s="52"/>
      <c r="G352" s="52"/>
      <c r="H352" s="52"/>
    </row>
    <row r="353" spans="1:8" ht="15.75">
      <c r="A353" s="124">
        <v>39951</v>
      </c>
      <c r="B353" s="125">
        <v>16.97</v>
      </c>
      <c r="C353" s="52"/>
      <c r="D353" s="52"/>
      <c r="E353" s="52"/>
      <c r="F353" s="52"/>
      <c r="G353" s="52"/>
      <c r="H353" s="52"/>
    </row>
    <row r="354" spans="1:8" ht="15.75">
      <c r="A354" s="124">
        <v>39952</v>
      </c>
      <c r="B354" s="125">
        <v>17.190000000000001</v>
      </c>
      <c r="C354" s="52"/>
      <c r="D354" s="52"/>
      <c r="E354" s="52"/>
      <c r="F354" s="52"/>
      <c r="G354" s="52"/>
      <c r="H354" s="52"/>
    </row>
    <row r="355" spans="1:8" ht="15.75">
      <c r="A355" s="124">
        <v>39953</v>
      </c>
      <c r="B355" s="125">
        <v>17.149999999999999</v>
      </c>
      <c r="C355" s="52"/>
      <c r="D355" s="52"/>
      <c r="E355" s="52"/>
      <c r="F355" s="52"/>
      <c r="G355" s="52"/>
      <c r="H355" s="52"/>
    </row>
    <row r="356" spans="1:8" ht="15.75">
      <c r="A356" s="124">
        <v>39954</v>
      </c>
      <c r="B356" s="125">
        <v>16.38</v>
      </c>
      <c r="C356" s="52"/>
      <c r="D356" s="52"/>
      <c r="E356" s="52"/>
      <c r="F356" s="52"/>
      <c r="G356" s="52"/>
      <c r="H356" s="52"/>
    </row>
    <row r="357" spans="1:8" ht="15.75">
      <c r="A357" s="124">
        <v>39955</v>
      </c>
      <c r="B357" s="125">
        <v>16.149999999999999</v>
      </c>
      <c r="C357" s="52"/>
      <c r="D357" s="52"/>
      <c r="E357" s="52"/>
      <c r="F357" s="52"/>
      <c r="G357" s="52"/>
      <c r="H357" s="52"/>
    </row>
    <row r="358" spans="1:8" ht="15.75">
      <c r="A358" s="124">
        <v>39958</v>
      </c>
      <c r="B358" s="125">
        <v>15.79</v>
      </c>
      <c r="C358" s="52"/>
      <c r="D358" s="52"/>
      <c r="E358" s="52"/>
      <c r="F358" s="52"/>
      <c r="G358" s="52"/>
      <c r="H358" s="52"/>
    </row>
    <row r="359" spans="1:8" ht="15.75">
      <c r="A359" s="124">
        <v>39959</v>
      </c>
      <c r="B359" s="125">
        <v>15.9</v>
      </c>
      <c r="C359" s="52"/>
      <c r="D359" s="52"/>
      <c r="E359" s="52"/>
      <c r="F359" s="52"/>
      <c r="G359" s="52"/>
      <c r="H359" s="52"/>
    </row>
    <row r="360" spans="1:8" ht="15.75">
      <c r="A360" s="124">
        <v>39960</v>
      </c>
      <c r="B360" s="125">
        <v>16.66</v>
      </c>
      <c r="C360" s="52"/>
      <c r="D360" s="52"/>
      <c r="E360" s="52"/>
      <c r="F360" s="52"/>
      <c r="G360" s="52"/>
      <c r="H360" s="52"/>
    </row>
    <row r="361" spans="1:8" ht="15.75">
      <c r="A361" s="124">
        <v>39961</v>
      </c>
      <c r="B361" s="125">
        <v>16.329999999999998</v>
      </c>
      <c r="C361" s="52"/>
      <c r="D361" s="52"/>
      <c r="E361" s="52"/>
      <c r="F361" s="52"/>
      <c r="G361" s="52"/>
      <c r="H361" s="52"/>
    </row>
    <row r="362" spans="1:8" ht="15.75">
      <c r="A362" s="124">
        <v>39962</v>
      </c>
      <c r="B362" s="125">
        <v>16.239999999999998</v>
      </c>
      <c r="C362" s="52"/>
      <c r="D362" s="52"/>
      <c r="E362" s="52"/>
      <c r="F362" s="52"/>
      <c r="G362" s="52"/>
      <c r="H362" s="52"/>
    </row>
    <row r="363" spans="1:8" ht="15.75">
      <c r="A363" s="124">
        <v>39965</v>
      </c>
      <c r="B363" s="125">
        <v>17.05</v>
      </c>
      <c r="C363" s="52"/>
      <c r="D363" s="52"/>
      <c r="E363" s="52"/>
      <c r="F363" s="52"/>
      <c r="G363" s="52"/>
      <c r="H363" s="52"/>
    </row>
    <row r="364" spans="1:8" ht="15.75">
      <c r="A364" s="124">
        <v>39966</v>
      </c>
      <c r="B364" s="125">
        <v>17.12</v>
      </c>
      <c r="C364" s="52"/>
      <c r="D364" s="52"/>
      <c r="E364" s="52"/>
      <c r="F364" s="52"/>
      <c r="G364" s="52"/>
      <c r="H364" s="52"/>
    </row>
    <row r="365" spans="1:8" ht="15.75">
      <c r="A365" s="124">
        <v>39967</v>
      </c>
      <c r="B365" s="125">
        <v>16.8</v>
      </c>
      <c r="C365" s="52"/>
      <c r="D365" s="52"/>
      <c r="E365" s="52"/>
      <c r="F365" s="52"/>
      <c r="G365" s="52"/>
      <c r="H365" s="52"/>
    </row>
    <row r="366" spans="1:8" ht="15.75">
      <c r="A366" s="124">
        <v>39968</v>
      </c>
      <c r="B366" s="125">
        <v>17.350000000000001</v>
      </c>
      <c r="C366" s="52"/>
      <c r="D366" s="52"/>
      <c r="E366" s="52"/>
      <c r="F366" s="52"/>
      <c r="G366" s="52"/>
      <c r="H366" s="52"/>
    </row>
    <row r="367" spans="1:8" ht="15.75">
      <c r="A367" s="124">
        <v>39969</v>
      </c>
      <c r="B367" s="125">
        <v>17.920000000000002</v>
      </c>
      <c r="C367" s="52"/>
      <c r="D367" s="52"/>
      <c r="E367" s="52"/>
      <c r="F367" s="52"/>
      <c r="G367" s="52"/>
      <c r="H367" s="52"/>
    </row>
    <row r="368" spans="1:8" ht="15.75">
      <c r="A368" s="124">
        <v>39972</v>
      </c>
      <c r="B368" s="125">
        <v>17.739999999999998</v>
      </c>
      <c r="C368" s="52"/>
      <c r="D368" s="52"/>
      <c r="E368" s="52"/>
      <c r="F368" s="52"/>
      <c r="G368" s="52"/>
      <c r="H368" s="52"/>
    </row>
    <row r="369" spans="1:8" ht="15.75">
      <c r="A369" s="124">
        <v>39973</v>
      </c>
      <c r="B369" s="125">
        <v>17.309999999999999</v>
      </c>
      <c r="C369" s="52"/>
      <c r="D369" s="52"/>
      <c r="E369" s="52"/>
      <c r="F369" s="52"/>
      <c r="G369" s="52"/>
      <c r="H369" s="52"/>
    </row>
    <row r="370" spans="1:8" ht="15.75">
      <c r="A370" s="124">
        <v>39974</v>
      </c>
      <c r="B370" s="125">
        <v>17.25</v>
      </c>
      <c r="C370" s="52"/>
      <c r="D370" s="52"/>
      <c r="E370" s="52"/>
      <c r="F370" s="52"/>
      <c r="G370" s="52"/>
      <c r="H370" s="52"/>
    </row>
    <row r="371" spans="1:8" ht="15.75">
      <c r="A371" s="124">
        <v>39975</v>
      </c>
      <c r="B371" s="125">
        <v>16.989999999999998</v>
      </c>
      <c r="C371" s="52"/>
      <c r="D371" s="52"/>
      <c r="E371" s="52"/>
      <c r="F371" s="52"/>
      <c r="G371" s="52"/>
      <c r="H371" s="52"/>
    </row>
    <row r="372" spans="1:8" ht="15.75">
      <c r="A372" s="124">
        <v>39976</v>
      </c>
      <c r="B372" s="125">
        <v>16.579999999999998</v>
      </c>
      <c r="C372" s="52"/>
      <c r="D372" s="52"/>
      <c r="E372" s="52"/>
      <c r="F372" s="52"/>
      <c r="G372" s="52"/>
      <c r="H372" s="52"/>
    </row>
    <row r="373" spans="1:8" ht="15.75">
      <c r="A373" s="124">
        <v>39979</v>
      </c>
      <c r="B373" s="125">
        <v>17.03</v>
      </c>
      <c r="C373" s="52"/>
      <c r="D373" s="52"/>
      <c r="E373" s="52"/>
      <c r="F373" s="52"/>
      <c r="G373" s="52"/>
      <c r="H373" s="52"/>
    </row>
    <row r="374" spans="1:8" ht="15.75">
      <c r="A374" s="124">
        <v>39980</v>
      </c>
      <c r="B374" s="125">
        <v>16.350000000000001</v>
      </c>
      <c r="C374" s="52"/>
      <c r="D374" s="52"/>
      <c r="E374" s="52"/>
      <c r="F374" s="52"/>
      <c r="G374" s="52"/>
      <c r="H374" s="52"/>
    </row>
    <row r="375" spans="1:8" ht="15.75">
      <c r="A375" s="124">
        <v>39981</v>
      </c>
      <c r="B375" s="125">
        <v>15.89</v>
      </c>
      <c r="C375" s="52"/>
      <c r="D375" s="52"/>
      <c r="E375" s="52"/>
      <c r="F375" s="52"/>
      <c r="G375" s="52"/>
      <c r="H375" s="52"/>
    </row>
    <row r="376" spans="1:8" ht="15.75">
      <c r="A376" s="124">
        <v>39982</v>
      </c>
      <c r="B376" s="125">
        <v>15.55</v>
      </c>
      <c r="C376" s="52"/>
      <c r="D376" s="52"/>
      <c r="E376" s="52"/>
      <c r="F376" s="52"/>
      <c r="G376" s="52"/>
      <c r="H376" s="52"/>
    </row>
    <row r="377" spans="1:8" ht="15.75">
      <c r="A377" s="124">
        <v>39983</v>
      </c>
      <c r="B377" s="125">
        <v>16</v>
      </c>
      <c r="C377" s="52"/>
      <c r="D377" s="52"/>
      <c r="E377" s="52"/>
      <c r="F377" s="52"/>
      <c r="G377" s="52"/>
      <c r="H377" s="52"/>
    </row>
    <row r="378" spans="1:8" ht="15.75">
      <c r="A378" s="124">
        <v>39986</v>
      </c>
      <c r="B378" s="125">
        <v>15.72</v>
      </c>
      <c r="C378" s="52"/>
      <c r="D378" s="52"/>
      <c r="E378" s="52"/>
      <c r="F378" s="52"/>
      <c r="G378" s="52"/>
      <c r="H378" s="52"/>
    </row>
    <row r="379" spans="1:8" ht="15.75">
      <c r="A379" s="124">
        <v>39987</v>
      </c>
      <c r="B379" s="125">
        <v>15.32</v>
      </c>
      <c r="C379" s="52"/>
      <c r="D379" s="52"/>
      <c r="E379" s="52"/>
      <c r="F379" s="52"/>
      <c r="G379" s="52"/>
      <c r="H379" s="52"/>
    </row>
    <row r="380" spans="1:8" ht="15.75">
      <c r="A380" s="124">
        <v>39988</v>
      </c>
      <c r="B380" s="125">
        <v>15.14</v>
      </c>
      <c r="C380" s="52"/>
      <c r="D380" s="52"/>
      <c r="E380" s="52"/>
      <c r="F380" s="52"/>
      <c r="G380" s="52"/>
      <c r="H380" s="52"/>
    </row>
    <row r="381" spans="1:8" ht="15.75">
      <c r="A381" s="124">
        <v>39989</v>
      </c>
      <c r="B381" s="125">
        <v>15.54</v>
      </c>
      <c r="C381" s="52"/>
      <c r="D381" s="52"/>
      <c r="E381" s="52"/>
      <c r="F381" s="52"/>
      <c r="G381" s="52"/>
      <c r="H381" s="52"/>
    </row>
    <row r="382" spans="1:8" ht="15.75">
      <c r="A382" s="124">
        <v>39990</v>
      </c>
      <c r="B382" s="125">
        <v>15.59</v>
      </c>
      <c r="C382" s="52"/>
      <c r="D382" s="52"/>
      <c r="E382" s="52"/>
      <c r="F382" s="52"/>
      <c r="G382" s="52"/>
      <c r="H382" s="52"/>
    </row>
    <row r="383" spans="1:8" ht="15.75">
      <c r="A383" s="124">
        <v>39993</v>
      </c>
      <c r="B383" s="125">
        <v>15.72</v>
      </c>
      <c r="C383" s="52"/>
      <c r="D383" s="52"/>
      <c r="E383" s="52"/>
      <c r="F383" s="52"/>
      <c r="G383" s="52"/>
      <c r="H383" s="52"/>
    </row>
    <row r="384" spans="1:8" ht="15.75">
      <c r="A384" s="124">
        <v>39994</v>
      </c>
      <c r="B384" s="125">
        <v>15.67</v>
      </c>
      <c r="C384" s="52"/>
      <c r="D384" s="52"/>
      <c r="E384" s="52"/>
      <c r="F384" s="52"/>
      <c r="G384" s="52"/>
      <c r="H384" s="52"/>
    </row>
    <row r="385" spans="1:8" ht="15.75">
      <c r="A385" s="124">
        <v>39995</v>
      </c>
      <c r="B385" s="125">
        <v>15.66</v>
      </c>
      <c r="C385" s="52"/>
      <c r="D385" s="52"/>
      <c r="E385" s="52"/>
      <c r="F385" s="52"/>
      <c r="G385" s="52"/>
      <c r="H385" s="52"/>
    </row>
    <row r="386" spans="1:8" ht="15.75">
      <c r="A386" s="124">
        <v>39996</v>
      </c>
      <c r="B386" s="125">
        <v>15.64</v>
      </c>
      <c r="C386" s="52"/>
      <c r="D386" s="52"/>
      <c r="E386" s="52"/>
      <c r="F386" s="52"/>
      <c r="G386" s="52"/>
      <c r="H386" s="52"/>
    </row>
    <row r="387" spans="1:8" ht="15.75">
      <c r="A387" s="124">
        <v>39997</v>
      </c>
      <c r="B387" s="125">
        <v>14.84</v>
      </c>
      <c r="C387" s="52"/>
      <c r="D387" s="52"/>
      <c r="E387" s="52"/>
      <c r="F387" s="52"/>
      <c r="G387" s="52"/>
      <c r="H387" s="52"/>
    </row>
    <row r="388" spans="1:8" ht="15.75">
      <c r="A388" s="124">
        <v>40000</v>
      </c>
      <c r="B388" s="125">
        <v>14.88</v>
      </c>
      <c r="C388" s="52"/>
      <c r="D388" s="52"/>
      <c r="E388" s="52"/>
      <c r="F388" s="52"/>
      <c r="G388" s="52"/>
      <c r="H388" s="52"/>
    </row>
    <row r="389" spans="1:8" ht="15.75">
      <c r="A389" s="124">
        <v>40001</v>
      </c>
      <c r="B389" s="125">
        <v>15.29</v>
      </c>
      <c r="C389" s="52"/>
      <c r="D389" s="52"/>
      <c r="E389" s="52"/>
      <c r="F389" s="52"/>
      <c r="G389" s="52"/>
      <c r="H389" s="52"/>
    </row>
    <row r="390" spans="1:8" ht="15.75">
      <c r="A390" s="124">
        <v>40002</v>
      </c>
      <c r="B390" s="125">
        <v>14.28</v>
      </c>
      <c r="C390" s="52"/>
      <c r="D390" s="52"/>
      <c r="E390" s="52"/>
      <c r="F390" s="52"/>
      <c r="G390" s="52"/>
      <c r="H390" s="52"/>
    </row>
    <row r="391" spans="1:8" ht="15.75">
      <c r="A391" s="124">
        <v>40003</v>
      </c>
      <c r="B391" s="125">
        <v>14</v>
      </c>
      <c r="C391" s="52"/>
      <c r="D391" s="52"/>
      <c r="E391" s="52"/>
      <c r="F391" s="52"/>
      <c r="G391" s="52"/>
      <c r="H391" s="52"/>
    </row>
    <row r="392" spans="1:8" ht="15.75">
      <c r="A392" s="124">
        <v>40004</v>
      </c>
      <c r="B392" s="125">
        <v>13.81</v>
      </c>
      <c r="C392" s="52"/>
      <c r="D392" s="52"/>
      <c r="E392" s="52"/>
      <c r="F392" s="52"/>
      <c r="G392" s="52"/>
      <c r="H392" s="52"/>
    </row>
    <row r="393" spans="1:8" ht="15.75">
      <c r="A393" s="124">
        <v>40007</v>
      </c>
      <c r="B393" s="125">
        <v>13.78</v>
      </c>
      <c r="C393" s="52"/>
      <c r="D393" s="52"/>
      <c r="E393" s="52"/>
      <c r="F393" s="52"/>
      <c r="G393" s="52"/>
      <c r="H393" s="52"/>
    </row>
    <row r="394" spans="1:8" ht="15.75">
      <c r="A394" s="124">
        <v>40008</v>
      </c>
      <c r="B394" s="125">
        <v>14.32</v>
      </c>
      <c r="C394" s="52"/>
      <c r="D394" s="52"/>
      <c r="E394" s="52"/>
      <c r="F394" s="52"/>
      <c r="G394" s="52"/>
      <c r="H394" s="52"/>
    </row>
    <row r="395" spans="1:8" ht="15.75">
      <c r="A395" s="124">
        <v>40009</v>
      </c>
      <c r="B395" s="125">
        <v>14.26</v>
      </c>
      <c r="C395" s="52"/>
      <c r="D395" s="52"/>
      <c r="E395" s="52"/>
      <c r="F395" s="52"/>
      <c r="G395" s="52"/>
      <c r="H395" s="52"/>
    </row>
    <row r="396" spans="1:8" ht="15.75">
      <c r="A396" s="124">
        <v>40010</v>
      </c>
      <c r="B396" s="125">
        <v>14.58</v>
      </c>
      <c r="C396" s="52"/>
      <c r="D396" s="52"/>
      <c r="E396" s="52"/>
      <c r="F396" s="52"/>
      <c r="G396" s="52"/>
      <c r="H396" s="52"/>
    </row>
    <row r="397" spans="1:8" ht="15.75">
      <c r="A397" s="124">
        <v>40011</v>
      </c>
      <c r="B397" s="125">
        <v>14.64</v>
      </c>
      <c r="C397" s="52"/>
      <c r="D397" s="52"/>
      <c r="E397" s="52"/>
      <c r="F397" s="52"/>
      <c r="G397" s="52"/>
      <c r="H397" s="52"/>
    </row>
    <row r="398" spans="1:8" ht="15.75">
      <c r="A398" s="124">
        <v>40014</v>
      </c>
      <c r="B398" s="125">
        <v>14.26</v>
      </c>
      <c r="C398" s="52"/>
      <c r="D398" s="52"/>
      <c r="E398" s="52"/>
      <c r="F398" s="52"/>
      <c r="G398" s="52"/>
      <c r="H398" s="52"/>
    </row>
    <row r="399" spans="1:8" ht="15.75">
      <c r="A399" s="124">
        <v>40015</v>
      </c>
      <c r="B399" s="125">
        <v>14.32</v>
      </c>
      <c r="C399" s="52"/>
      <c r="D399" s="52"/>
      <c r="E399" s="52"/>
      <c r="F399" s="52"/>
      <c r="G399" s="52"/>
      <c r="H399" s="52"/>
    </row>
    <row r="400" spans="1:8" ht="15.75">
      <c r="A400" s="124">
        <v>40016</v>
      </c>
      <c r="B400" s="125">
        <v>14.36</v>
      </c>
      <c r="C400" s="52"/>
      <c r="D400" s="52"/>
      <c r="E400" s="52"/>
      <c r="F400" s="52"/>
      <c r="G400" s="52"/>
      <c r="H400" s="52"/>
    </row>
    <row r="401" spans="1:8" ht="15.75">
      <c r="A401" s="124">
        <v>40017</v>
      </c>
      <c r="B401" s="125">
        <v>14.37</v>
      </c>
      <c r="C401" s="52"/>
      <c r="D401" s="52"/>
      <c r="E401" s="52"/>
      <c r="F401" s="52"/>
      <c r="G401" s="52"/>
      <c r="H401" s="52"/>
    </row>
    <row r="402" spans="1:8" ht="15.75">
      <c r="A402" s="124">
        <v>40018</v>
      </c>
      <c r="B402" s="125">
        <v>15.34</v>
      </c>
      <c r="C402" s="52"/>
      <c r="D402" s="52"/>
      <c r="E402" s="52"/>
      <c r="F402" s="52"/>
      <c r="G402" s="52"/>
      <c r="H402" s="52"/>
    </row>
    <row r="403" spans="1:8" ht="15.75">
      <c r="A403" s="124">
        <v>40021</v>
      </c>
      <c r="B403" s="125">
        <v>14.68</v>
      </c>
      <c r="C403" s="52"/>
      <c r="D403" s="52"/>
      <c r="E403" s="52"/>
      <c r="F403" s="52"/>
      <c r="G403" s="52"/>
      <c r="H403" s="52"/>
    </row>
    <row r="404" spans="1:8" ht="15.75">
      <c r="A404" s="124">
        <v>40022</v>
      </c>
      <c r="B404" s="125">
        <v>15.22</v>
      </c>
      <c r="C404" s="52"/>
      <c r="D404" s="52"/>
      <c r="E404" s="52"/>
      <c r="F404" s="52"/>
      <c r="G404" s="52"/>
      <c r="H404" s="52"/>
    </row>
    <row r="405" spans="1:8" ht="15.75">
      <c r="A405" s="124">
        <v>40023</v>
      </c>
      <c r="B405" s="125">
        <v>15.32</v>
      </c>
      <c r="C405" s="52"/>
      <c r="D405" s="52"/>
      <c r="E405" s="52"/>
      <c r="F405" s="52"/>
      <c r="G405" s="52"/>
      <c r="H405" s="52"/>
    </row>
    <row r="406" spans="1:8" ht="15.75">
      <c r="A406" s="124">
        <v>40024</v>
      </c>
      <c r="B406" s="125">
        <v>15.39</v>
      </c>
      <c r="C406" s="52"/>
      <c r="D406" s="52"/>
      <c r="E406" s="52"/>
      <c r="F406" s="52"/>
      <c r="G406" s="52"/>
      <c r="H406" s="52"/>
    </row>
    <row r="407" spans="1:8" ht="15.75">
      <c r="A407" s="124">
        <v>40025</v>
      </c>
      <c r="B407" s="125">
        <v>16.53</v>
      </c>
      <c r="C407" s="52"/>
      <c r="D407" s="52"/>
      <c r="E407" s="52"/>
      <c r="F407" s="52"/>
      <c r="G407" s="52"/>
      <c r="H407" s="52"/>
    </row>
    <row r="408" spans="1:8" ht="15.75">
      <c r="A408" s="124">
        <v>40028</v>
      </c>
      <c r="B408" s="125">
        <v>16.690000000000001</v>
      </c>
      <c r="C408" s="52"/>
      <c r="D408" s="52"/>
      <c r="E408" s="52"/>
      <c r="F408" s="52"/>
      <c r="G408" s="52"/>
      <c r="H408" s="52"/>
    </row>
    <row r="409" spans="1:8" ht="15.75">
      <c r="A409" s="124">
        <v>40029</v>
      </c>
      <c r="B409" s="125">
        <v>16.75</v>
      </c>
      <c r="C409" s="52"/>
      <c r="D409" s="52"/>
      <c r="E409" s="52"/>
      <c r="F409" s="52"/>
      <c r="G409" s="52"/>
      <c r="H409" s="52"/>
    </row>
    <row r="410" spans="1:8" ht="15.75">
      <c r="A410" s="124">
        <v>40030</v>
      </c>
      <c r="B410" s="125">
        <v>17.920000000000002</v>
      </c>
      <c r="C410" s="52"/>
      <c r="D410" s="52"/>
      <c r="E410" s="52"/>
      <c r="F410" s="52"/>
      <c r="G410" s="52"/>
      <c r="H410" s="52"/>
    </row>
    <row r="411" spans="1:8" ht="15.75">
      <c r="A411" s="124">
        <v>40031</v>
      </c>
      <c r="B411" s="125">
        <v>19.79</v>
      </c>
      <c r="C411" s="52"/>
      <c r="D411" s="52"/>
      <c r="E411" s="52"/>
      <c r="F411" s="52"/>
      <c r="G411" s="52"/>
      <c r="H411" s="52"/>
    </row>
    <row r="412" spans="1:8" ht="15.75">
      <c r="A412" s="124">
        <v>40032</v>
      </c>
      <c r="B412" s="125">
        <v>19.93</v>
      </c>
      <c r="C412" s="52"/>
      <c r="D412" s="52"/>
      <c r="E412" s="52"/>
      <c r="F412" s="52"/>
      <c r="G412" s="52"/>
      <c r="H412" s="52"/>
    </row>
    <row r="413" spans="1:8" ht="15.75">
      <c r="A413" s="124">
        <v>40035</v>
      </c>
      <c r="B413" s="125">
        <v>20.63</v>
      </c>
      <c r="C413" s="52"/>
      <c r="D413" s="52"/>
      <c r="E413" s="52"/>
      <c r="F413" s="52"/>
      <c r="G413" s="52"/>
      <c r="H413" s="52"/>
    </row>
    <row r="414" spans="1:8" ht="15.75">
      <c r="A414" s="124">
        <v>40036</v>
      </c>
      <c r="B414" s="125">
        <v>19.97</v>
      </c>
      <c r="C414" s="52"/>
      <c r="D414" s="52"/>
      <c r="E414" s="52"/>
      <c r="F414" s="52"/>
      <c r="G414" s="52"/>
      <c r="H414" s="52"/>
    </row>
    <row r="415" spans="1:8" ht="15.75">
      <c r="A415" s="124">
        <v>40037</v>
      </c>
      <c r="B415" s="125">
        <v>19.57</v>
      </c>
      <c r="C415" s="52"/>
      <c r="D415" s="52"/>
      <c r="E415" s="52"/>
      <c r="F415" s="52"/>
      <c r="G415" s="52"/>
      <c r="H415" s="52"/>
    </row>
    <row r="416" spans="1:8" ht="15.75">
      <c r="A416" s="124">
        <v>40038</v>
      </c>
      <c r="B416" s="125">
        <v>19.2</v>
      </c>
      <c r="C416" s="52"/>
      <c r="D416" s="52"/>
      <c r="E416" s="52"/>
      <c r="F416" s="52"/>
      <c r="G416" s="52"/>
      <c r="H416" s="52"/>
    </row>
    <row r="417" spans="1:8" ht="15.75">
      <c r="A417" s="124">
        <v>40039</v>
      </c>
      <c r="B417" s="125">
        <v>19.329999999999998</v>
      </c>
      <c r="C417" s="52"/>
      <c r="D417" s="52"/>
      <c r="E417" s="52"/>
      <c r="F417" s="52"/>
      <c r="G417" s="52"/>
      <c r="H417" s="52"/>
    </row>
    <row r="418" spans="1:8" ht="15.75">
      <c r="A418" s="124">
        <v>40042</v>
      </c>
      <c r="B418" s="125">
        <v>18.440000000000001</v>
      </c>
      <c r="C418" s="52"/>
      <c r="D418" s="52"/>
      <c r="E418" s="52"/>
      <c r="F418" s="52"/>
      <c r="G418" s="52"/>
      <c r="H418" s="52"/>
    </row>
    <row r="419" spans="1:8" ht="15.75">
      <c r="A419" s="124">
        <v>40043</v>
      </c>
      <c r="B419" s="125">
        <v>18.47</v>
      </c>
      <c r="C419" s="52"/>
      <c r="D419" s="52"/>
      <c r="E419" s="52"/>
      <c r="F419" s="52"/>
      <c r="G419" s="52"/>
      <c r="H419" s="52"/>
    </row>
    <row r="420" spans="1:8" ht="15.75">
      <c r="A420" s="124">
        <v>40044</v>
      </c>
      <c r="B420" s="125">
        <v>18.350000000000001</v>
      </c>
      <c r="C420" s="52"/>
      <c r="D420" s="52"/>
      <c r="E420" s="52"/>
      <c r="F420" s="52"/>
      <c r="G420" s="52"/>
      <c r="H420" s="52"/>
    </row>
    <row r="421" spans="1:8" ht="15.75">
      <c r="A421" s="124">
        <v>40045</v>
      </c>
      <c r="B421" s="125">
        <v>18.47</v>
      </c>
      <c r="C421" s="52"/>
      <c r="D421" s="52"/>
      <c r="E421" s="52"/>
      <c r="F421" s="52"/>
      <c r="G421" s="52"/>
      <c r="H421" s="52"/>
    </row>
    <row r="422" spans="1:8" ht="15.75">
      <c r="A422" s="124">
        <v>40046</v>
      </c>
      <c r="B422" s="125">
        <v>19.600000000000001</v>
      </c>
      <c r="C422" s="52"/>
      <c r="D422" s="52"/>
      <c r="E422" s="52"/>
      <c r="F422" s="52"/>
      <c r="G422" s="52"/>
      <c r="H422" s="52"/>
    </row>
    <row r="423" spans="1:8" ht="15.75">
      <c r="A423" s="124">
        <v>40049</v>
      </c>
      <c r="B423" s="125">
        <v>19.149999999999999</v>
      </c>
      <c r="C423" s="52"/>
      <c r="D423" s="52"/>
      <c r="E423" s="52"/>
      <c r="F423" s="52"/>
      <c r="G423" s="52"/>
      <c r="H423" s="52"/>
    </row>
    <row r="424" spans="1:8" ht="15.75">
      <c r="A424" s="124">
        <v>40050</v>
      </c>
      <c r="B424" s="125">
        <v>19.27</v>
      </c>
      <c r="C424" s="52"/>
      <c r="D424" s="52"/>
      <c r="E424" s="52"/>
      <c r="F424" s="52"/>
      <c r="G424" s="52"/>
      <c r="H424" s="52"/>
    </row>
    <row r="425" spans="1:8" ht="15.75">
      <c r="A425" s="124">
        <v>40051</v>
      </c>
      <c r="B425" s="125">
        <v>19.16</v>
      </c>
      <c r="C425" s="52"/>
      <c r="D425" s="52"/>
      <c r="E425" s="52"/>
      <c r="F425" s="52"/>
      <c r="G425" s="52"/>
      <c r="H425" s="52"/>
    </row>
    <row r="426" spans="1:8" ht="15.75">
      <c r="A426" s="124">
        <v>40052</v>
      </c>
      <c r="B426" s="125">
        <v>19.100000000000001</v>
      </c>
      <c r="C426" s="52"/>
      <c r="D426" s="52"/>
      <c r="E426" s="52"/>
      <c r="F426" s="52"/>
      <c r="G426" s="52"/>
      <c r="H426" s="52"/>
    </row>
    <row r="427" spans="1:8" ht="15.75">
      <c r="A427" s="124">
        <v>40053</v>
      </c>
      <c r="B427" s="125">
        <v>19.28</v>
      </c>
      <c r="C427" s="52"/>
      <c r="D427" s="52"/>
      <c r="E427" s="52"/>
      <c r="F427" s="52"/>
      <c r="G427" s="52"/>
      <c r="H427" s="52"/>
    </row>
    <row r="428" spans="1:8" ht="15.75">
      <c r="A428" s="124">
        <v>40056</v>
      </c>
      <c r="B428" s="125">
        <v>18.940000000000001</v>
      </c>
      <c r="C428" s="52"/>
      <c r="D428" s="52"/>
      <c r="E428" s="52"/>
      <c r="F428" s="52"/>
      <c r="G428" s="52"/>
      <c r="H428" s="52"/>
    </row>
    <row r="429" spans="1:8" ht="15.75">
      <c r="A429" s="124">
        <v>40057</v>
      </c>
      <c r="B429" s="125">
        <v>18.87</v>
      </c>
      <c r="C429" s="52"/>
      <c r="D429" s="52"/>
      <c r="E429" s="52"/>
      <c r="F429" s="52"/>
      <c r="G429" s="52"/>
      <c r="H429" s="52"/>
    </row>
    <row r="430" spans="1:8" ht="15.75">
      <c r="A430" s="124">
        <v>40058</v>
      </c>
      <c r="B430" s="125">
        <v>18.29</v>
      </c>
      <c r="C430" s="52"/>
      <c r="D430" s="52"/>
      <c r="E430" s="52"/>
      <c r="F430" s="52"/>
      <c r="G430" s="52"/>
      <c r="H430" s="52"/>
    </row>
    <row r="431" spans="1:8" ht="15.75">
      <c r="A431" s="124">
        <v>40059</v>
      </c>
      <c r="B431" s="125">
        <v>17.98</v>
      </c>
      <c r="C431" s="52"/>
      <c r="D431" s="52"/>
      <c r="E431" s="52"/>
      <c r="F431" s="52"/>
      <c r="G431" s="52"/>
      <c r="H431" s="52"/>
    </row>
    <row r="432" spans="1:8" ht="15.75">
      <c r="A432" s="124">
        <v>40060</v>
      </c>
      <c r="B432" s="125">
        <v>18.37</v>
      </c>
      <c r="C432" s="52"/>
      <c r="D432" s="52"/>
      <c r="E432" s="52"/>
      <c r="F432" s="52"/>
      <c r="G432" s="52"/>
      <c r="H432" s="52"/>
    </row>
    <row r="433" spans="1:8" ht="15.75">
      <c r="A433" s="124">
        <v>40063</v>
      </c>
      <c r="B433" s="125">
        <v>18.41</v>
      </c>
      <c r="C433" s="52"/>
      <c r="D433" s="52"/>
      <c r="E433" s="52"/>
      <c r="F433" s="52"/>
      <c r="G433" s="52"/>
      <c r="H433" s="52"/>
    </row>
    <row r="434" spans="1:8" ht="15.75">
      <c r="A434" s="124">
        <v>40064</v>
      </c>
      <c r="B434" s="125">
        <v>18.38</v>
      </c>
      <c r="C434" s="52"/>
      <c r="D434" s="52"/>
      <c r="E434" s="52"/>
      <c r="F434" s="52"/>
      <c r="G434" s="52"/>
      <c r="H434" s="52"/>
    </row>
    <row r="435" spans="1:8" ht="15.75">
      <c r="A435" s="124">
        <v>40065</v>
      </c>
      <c r="B435" s="125">
        <v>18.8</v>
      </c>
      <c r="C435" s="52"/>
      <c r="D435" s="52"/>
      <c r="E435" s="52"/>
      <c r="F435" s="52"/>
      <c r="G435" s="52"/>
      <c r="H435" s="52"/>
    </row>
    <row r="436" spans="1:8" ht="15.75">
      <c r="A436" s="124">
        <v>40066</v>
      </c>
      <c r="B436" s="125">
        <v>19.28</v>
      </c>
      <c r="C436" s="52"/>
      <c r="D436" s="52"/>
      <c r="E436" s="52"/>
      <c r="F436" s="52"/>
      <c r="G436" s="52"/>
      <c r="H436" s="52"/>
    </row>
    <row r="437" spans="1:8" ht="15.75">
      <c r="A437" s="124">
        <v>40067</v>
      </c>
      <c r="B437" s="125">
        <v>19.649999999999999</v>
      </c>
      <c r="C437" s="52"/>
      <c r="D437" s="52"/>
      <c r="E437" s="52"/>
      <c r="F437" s="52"/>
      <c r="G437" s="52"/>
      <c r="H437" s="52"/>
    </row>
    <row r="438" spans="1:8" ht="15.75">
      <c r="A438" s="124">
        <v>40070</v>
      </c>
      <c r="B438" s="125">
        <v>19.559999999999999</v>
      </c>
      <c r="C438" s="52"/>
      <c r="D438" s="52"/>
      <c r="E438" s="52"/>
      <c r="F438" s="52"/>
      <c r="G438" s="52"/>
      <c r="H438" s="52"/>
    </row>
    <row r="439" spans="1:8" ht="15.75">
      <c r="A439" s="124">
        <v>40071</v>
      </c>
      <c r="B439" s="125">
        <v>20.36</v>
      </c>
      <c r="C439" s="52"/>
      <c r="D439" s="52"/>
      <c r="E439" s="52"/>
      <c r="F439" s="52"/>
      <c r="G439" s="52"/>
      <c r="H439" s="52"/>
    </row>
    <row r="440" spans="1:8" ht="15.75">
      <c r="A440" s="124">
        <v>40072</v>
      </c>
      <c r="B440" s="125">
        <v>20.79</v>
      </c>
      <c r="C440" s="52"/>
      <c r="D440" s="52"/>
      <c r="E440" s="52"/>
      <c r="F440" s="52"/>
      <c r="G440" s="52"/>
      <c r="H440" s="52"/>
    </row>
    <row r="441" spans="1:8" ht="15.75">
      <c r="A441" s="124">
        <v>40073</v>
      </c>
      <c r="B441" s="125">
        <v>21.47</v>
      </c>
      <c r="C441" s="52"/>
      <c r="D441" s="52"/>
      <c r="E441" s="52"/>
      <c r="F441" s="52"/>
      <c r="G441" s="52"/>
      <c r="H441" s="52"/>
    </row>
    <row r="442" spans="1:8" ht="15.75">
      <c r="A442" s="124">
        <v>40074</v>
      </c>
      <c r="B442" s="125">
        <v>21.31</v>
      </c>
      <c r="C442" s="52"/>
      <c r="D442" s="52"/>
      <c r="E442" s="52"/>
      <c r="F442" s="52"/>
      <c r="G442" s="52"/>
      <c r="H442" s="52"/>
    </row>
    <row r="443" spans="1:8" ht="15.75">
      <c r="A443" s="124">
        <v>40077</v>
      </c>
      <c r="B443" s="125">
        <v>21.55</v>
      </c>
      <c r="C443" s="52"/>
      <c r="D443" s="52"/>
      <c r="E443" s="52"/>
      <c r="F443" s="52"/>
      <c r="G443" s="52"/>
      <c r="H443" s="52"/>
    </row>
    <row r="444" spans="1:8" ht="15.75">
      <c r="A444" s="124">
        <v>40078</v>
      </c>
      <c r="B444" s="125">
        <v>21.59</v>
      </c>
      <c r="C444" s="52"/>
      <c r="D444" s="52"/>
      <c r="E444" s="52"/>
      <c r="F444" s="52"/>
      <c r="G444" s="52"/>
      <c r="H444" s="52"/>
    </row>
    <row r="445" spans="1:8" ht="15.75">
      <c r="A445" s="124">
        <v>40079</v>
      </c>
      <c r="B445" s="125">
        <v>21.97</v>
      </c>
      <c r="C445" s="52"/>
      <c r="D445" s="52"/>
      <c r="E445" s="52"/>
      <c r="F445" s="52"/>
      <c r="G445" s="52"/>
      <c r="H445" s="52"/>
    </row>
    <row r="446" spans="1:8" ht="15.75">
      <c r="A446" s="124">
        <v>40080</v>
      </c>
      <c r="B446" s="125">
        <v>21.03</v>
      </c>
      <c r="C446" s="52"/>
      <c r="D446" s="52"/>
      <c r="E446" s="52"/>
      <c r="F446" s="52"/>
      <c r="G446" s="52"/>
      <c r="H446" s="52"/>
    </row>
    <row r="447" spans="1:8" ht="15.75">
      <c r="A447" s="124">
        <v>40081</v>
      </c>
      <c r="B447" s="125">
        <v>20.67</v>
      </c>
      <c r="C447" s="52"/>
      <c r="D447" s="52"/>
      <c r="E447" s="52"/>
      <c r="F447" s="52"/>
      <c r="G447" s="52"/>
      <c r="H447" s="52"/>
    </row>
    <row r="448" spans="1:8" ht="15.75">
      <c r="A448" s="124">
        <v>40084</v>
      </c>
      <c r="B448" s="125">
        <v>20.73</v>
      </c>
      <c r="C448" s="52"/>
      <c r="D448" s="52"/>
      <c r="E448" s="52"/>
      <c r="F448" s="52"/>
      <c r="G448" s="52"/>
      <c r="H448" s="52"/>
    </row>
    <row r="449" spans="1:8" ht="15.75">
      <c r="A449" s="124">
        <v>40085</v>
      </c>
      <c r="B449" s="125">
        <v>21.3</v>
      </c>
      <c r="C449" s="52"/>
      <c r="D449" s="52"/>
      <c r="E449" s="52"/>
      <c r="F449" s="52"/>
      <c r="G449" s="52"/>
      <c r="H449" s="52"/>
    </row>
    <row r="450" spans="1:8" ht="15.75">
      <c r="A450" s="124">
        <v>40086</v>
      </c>
      <c r="B450" s="125">
        <v>20.71</v>
      </c>
      <c r="C450" s="52"/>
      <c r="D450" s="52"/>
      <c r="E450" s="52"/>
      <c r="F450" s="52"/>
      <c r="G450" s="52"/>
      <c r="H450" s="52"/>
    </row>
    <row r="451" spans="1:8" ht="15.75">
      <c r="A451" s="124">
        <v>40087</v>
      </c>
      <c r="B451" s="125">
        <v>20.22</v>
      </c>
      <c r="C451" s="52"/>
      <c r="D451" s="52"/>
      <c r="E451" s="52"/>
      <c r="F451" s="52"/>
      <c r="G451" s="52"/>
      <c r="H451" s="52"/>
    </row>
    <row r="452" spans="1:8" ht="15.75">
      <c r="A452" s="124">
        <v>40088</v>
      </c>
      <c r="B452" s="125">
        <v>19.39</v>
      </c>
      <c r="C452" s="52"/>
      <c r="D452" s="52"/>
      <c r="E452" s="52"/>
      <c r="F452" s="52"/>
      <c r="G452" s="52"/>
      <c r="H452" s="52"/>
    </row>
    <row r="453" spans="1:8" ht="15.75">
      <c r="A453" s="124">
        <v>40091</v>
      </c>
      <c r="B453" s="125">
        <v>19.75</v>
      </c>
      <c r="C453" s="52"/>
      <c r="D453" s="52"/>
      <c r="E453" s="52"/>
      <c r="F453" s="52"/>
      <c r="G453" s="52"/>
      <c r="H453" s="52"/>
    </row>
    <row r="454" spans="1:8" ht="15.75">
      <c r="A454" s="124">
        <v>40092</v>
      </c>
      <c r="B454" s="125">
        <v>20.010000000000002</v>
      </c>
      <c r="C454" s="52"/>
      <c r="D454" s="52"/>
      <c r="E454" s="52"/>
      <c r="F454" s="52"/>
      <c r="G454" s="52"/>
      <c r="H454" s="52"/>
    </row>
    <row r="455" spans="1:8" ht="15.75">
      <c r="A455" s="124">
        <v>40093</v>
      </c>
      <c r="B455" s="125">
        <v>19.41</v>
      </c>
      <c r="C455" s="52"/>
      <c r="D455" s="52"/>
      <c r="E455" s="52"/>
      <c r="F455" s="52"/>
      <c r="G455" s="52"/>
      <c r="H455" s="52"/>
    </row>
    <row r="456" spans="1:8" ht="15.75">
      <c r="A456" s="124">
        <v>40094</v>
      </c>
      <c r="B456" s="125">
        <v>19.78</v>
      </c>
      <c r="C456" s="52"/>
      <c r="D456" s="52"/>
      <c r="E456" s="52"/>
      <c r="F456" s="52"/>
      <c r="G456" s="52"/>
      <c r="H456" s="52"/>
    </row>
    <row r="457" spans="1:8" ht="15.75">
      <c r="A457" s="124">
        <v>40095</v>
      </c>
      <c r="B457" s="125">
        <v>19.989999999999998</v>
      </c>
      <c r="C457" s="52"/>
      <c r="D457" s="52"/>
      <c r="E457" s="52"/>
      <c r="F457" s="52"/>
      <c r="G457" s="52"/>
      <c r="H457" s="52"/>
    </row>
    <row r="458" spans="1:8" ht="15.75">
      <c r="A458" s="124">
        <v>40098</v>
      </c>
      <c r="B458" s="125">
        <v>20.329999999999998</v>
      </c>
      <c r="C458" s="52"/>
      <c r="D458" s="52"/>
      <c r="E458" s="52"/>
      <c r="F458" s="52"/>
      <c r="G458" s="52"/>
      <c r="H458" s="52"/>
    </row>
    <row r="459" spans="1:8" ht="15.75">
      <c r="A459" s="124">
        <v>40099</v>
      </c>
      <c r="B459" s="125">
        <v>19.829999999999998</v>
      </c>
      <c r="C459" s="52"/>
      <c r="D459" s="52"/>
      <c r="E459" s="52"/>
      <c r="F459" s="52"/>
      <c r="G459" s="52"/>
      <c r="H459" s="52"/>
    </row>
    <row r="460" spans="1:8" ht="15.75">
      <c r="A460" s="124">
        <v>40100</v>
      </c>
      <c r="B460" s="125">
        <v>20.170000000000002</v>
      </c>
      <c r="C460" s="52"/>
      <c r="D460" s="52"/>
      <c r="E460" s="52"/>
      <c r="F460" s="52"/>
      <c r="G460" s="52"/>
      <c r="H460" s="52"/>
    </row>
    <row r="461" spans="1:8" ht="15.75">
      <c r="A461" s="124">
        <v>40101</v>
      </c>
      <c r="B461" s="125">
        <v>20</v>
      </c>
      <c r="C461" s="52"/>
      <c r="D461" s="52"/>
      <c r="E461" s="52"/>
      <c r="F461" s="52"/>
      <c r="G461" s="52"/>
      <c r="H461" s="52"/>
    </row>
    <row r="462" spans="1:8" ht="15.75">
      <c r="A462" s="124">
        <v>40102</v>
      </c>
      <c r="B462" s="125">
        <v>19.559999999999999</v>
      </c>
      <c r="C462" s="52"/>
      <c r="D462" s="52"/>
      <c r="E462" s="52"/>
      <c r="F462" s="52"/>
      <c r="G462" s="52"/>
      <c r="H462" s="52"/>
    </row>
    <row r="463" spans="1:8" ht="15.75">
      <c r="A463" s="124">
        <v>40105</v>
      </c>
      <c r="B463" s="125">
        <v>19.57</v>
      </c>
      <c r="C463" s="52"/>
      <c r="D463" s="52"/>
      <c r="E463" s="52"/>
      <c r="F463" s="52"/>
      <c r="G463" s="52"/>
      <c r="H463" s="52"/>
    </row>
    <row r="464" spans="1:8" ht="15.75">
      <c r="A464" s="124">
        <v>40106</v>
      </c>
      <c r="B464" s="125">
        <v>19.350000000000001</v>
      </c>
      <c r="C464" s="52"/>
      <c r="D464" s="52"/>
      <c r="E464" s="52"/>
      <c r="F464" s="52"/>
      <c r="G464" s="52"/>
      <c r="H464" s="52"/>
    </row>
    <row r="465" spans="1:8" ht="15.75">
      <c r="A465" s="124">
        <v>40107</v>
      </c>
      <c r="B465" s="125">
        <v>19.45</v>
      </c>
      <c r="C465" s="52"/>
      <c r="D465" s="52"/>
      <c r="E465" s="52"/>
      <c r="F465" s="52"/>
      <c r="G465" s="52"/>
      <c r="H465" s="52"/>
    </row>
    <row r="466" spans="1:8" ht="15.75">
      <c r="A466" s="124">
        <v>40108</v>
      </c>
      <c r="B466" s="125">
        <v>18.829999999999998</v>
      </c>
      <c r="C466" s="52"/>
      <c r="D466" s="52"/>
      <c r="E466" s="52"/>
      <c r="F466" s="52"/>
      <c r="G466" s="52"/>
      <c r="H466" s="52"/>
    </row>
    <row r="467" spans="1:8" ht="15.75">
      <c r="A467" s="124">
        <v>40109</v>
      </c>
      <c r="B467" s="125">
        <v>19.22</v>
      </c>
      <c r="C467" s="52"/>
      <c r="D467" s="52"/>
      <c r="E467" s="52"/>
      <c r="F467" s="52"/>
      <c r="G467" s="52"/>
      <c r="H467" s="52"/>
    </row>
    <row r="468" spans="1:8" ht="15.75">
      <c r="A468" s="124">
        <v>40112</v>
      </c>
      <c r="B468" s="125">
        <v>19.61</v>
      </c>
      <c r="C468" s="52"/>
      <c r="D468" s="52"/>
      <c r="E468" s="52"/>
      <c r="F468" s="52"/>
      <c r="G468" s="52"/>
      <c r="H468" s="52"/>
    </row>
    <row r="469" spans="1:8" ht="15.75">
      <c r="A469" s="124">
        <v>40113</v>
      </c>
      <c r="B469" s="125">
        <v>19.43</v>
      </c>
      <c r="C469" s="52"/>
      <c r="D469" s="52"/>
      <c r="E469" s="52"/>
      <c r="F469" s="52"/>
      <c r="G469" s="52"/>
      <c r="H469" s="52"/>
    </row>
    <row r="470" spans="1:8" ht="15.75">
      <c r="A470" s="124">
        <v>40114</v>
      </c>
      <c r="B470" s="125">
        <v>19.39</v>
      </c>
      <c r="C470" s="52"/>
      <c r="D470" s="52"/>
      <c r="E470" s="52"/>
      <c r="F470" s="52"/>
      <c r="G470" s="52"/>
      <c r="H470" s="52"/>
    </row>
    <row r="471" spans="1:8" ht="15.75">
      <c r="A471" s="124">
        <v>40115</v>
      </c>
      <c r="B471" s="125">
        <v>18.8</v>
      </c>
      <c r="C471" s="52"/>
      <c r="D471" s="52"/>
      <c r="E471" s="52"/>
      <c r="F471" s="52"/>
      <c r="G471" s="52"/>
      <c r="H471" s="52"/>
    </row>
    <row r="472" spans="1:8" ht="15.75">
      <c r="A472" s="124">
        <v>40116</v>
      </c>
      <c r="B472" s="125">
        <v>19.63</v>
      </c>
      <c r="C472" s="52"/>
      <c r="D472" s="52"/>
      <c r="E472" s="52"/>
      <c r="F472" s="52"/>
      <c r="G472" s="52"/>
      <c r="H472" s="52"/>
    </row>
    <row r="473" spans="1:8" ht="15.75">
      <c r="A473" s="124">
        <v>40119</v>
      </c>
      <c r="B473" s="125">
        <v>19.7</v>
      </c>
      <c r="C473" s="52"/>
      <c r="D473" s="52"/>
      <c r="E473" s="52"/>
      <c r="F473" s="52"/>
      <c r="G473" s="52"/>
      <c r="H473" s="52"/>
    </row>
    <row r="474" spans="1:8" ht="15.75">
      <c r="A474" s="124">
        <v>40120</v>
      </c>
      <c r="B474" s="125">
        <v>19.190000000000001</v>
      </c>
      <c r="C474" s="52"/>
      <c r="D474" s="52"/>
      <c r="E474" s="52"/>
      <c r="F474" s="52"/>
      <c r="G474" s="52"/>
      <c r="H474" s="52"/>
    </row>
    <row r="475" spans="1:8" ht="15.75">
      <c r="A475" s="124">
        <v>40121</v>
      </c>
      <c r="B475" s="125">
        <v>19.559999999999999</v>
      </c>
      <c r="C475" s="52"/>
      <c r="D475" s="52"/>
      <c r="E475" s="52"/>
      <c r="F475" s="52"/>
      <c r="G475" s="52"/>
      <c r="H475" s="52"/>
    </row>
    <row r="476" spans="1:8" ht="15.75">
      <c r="A476" s="124">
        <v>40122</v>
      </c>
      <c r="B476" s="125">
        <v>19.27</v>
      </c>
      <c r="C476" s="52"/>
      <c r="D476" s="52"/>
      <c r="E476" s="52"/>
      <c r="F476" s="52"/>
      <c r="G476" s="52"/>
      <c r="H476" s="52"/>
    </row>
    <row r="477" spans="1:8" ht="15.75">
      <c r="A477" s="124">
        <v>40123</v>
      </c>
      <c r="B477" s="125">
        <v>19.09</v>
      </c>
      <c r="C477" s="52"/>
      <c r="D477" s="52"/>
      <c r="E477" s="52"/>
      <c r="F477" s="52"/>
      <c r="G477" s="52"/>
      <c r="H477" s="52"/>
    </row>
    <row r="478" spans="1:8" ht="15.75">
      <c r="A478" s="124">
        <v>40126</v>
      </c>
      <c r="B478" s="125">
        <v>19.43</v>
      </c>
      <c r="C478" s="52"/>
      <c r="D478" s="52"/>
      <c r="E478" s="52"/>
      <c r="F478" s="52"/>
      <c r="G478" s="52"/>
      <c r="H478" s="52"/>
    </row>
    <row r="479" spans="1:8" ht="15.75">
      <c r="A479" s="124">
        <v>40127</v>
      </c>
      <c r="B479" s="125">
        <v>19.7</v>
      </c>
      <c r="C479" s="52"/>
      <c r="D479" s="52"/>
      <c r="E479" s="52"/>
      <c r="F479" s="52"/>
      <c r="G479" s="52"/>
      <c r="H479" s="52"/>
    </row>
    <row r="480" spans="1:8" ht="15.75">
      <c r="A480" s="124">
        <v>40128</v>
      </c>
      <c r="B480" s="125">
        <v>20.51</v>
      </c>
      <c r="C480" s="52"/>
      <c r="D480" s="52"/>
      <c r="E480" s="52"/>
      <c r="F480" s="52"/>
      <c r="G480" s="52"/>
      <c r="H480" s="52"/>
    </row>
    <row r="481" spans="1:8" ht="15.75">
      <c r="A481" s="124">
        <v>40129</v>
      </c>
      <c r="B481" s="125">
        <v>20.87</v>
      </c>
      <c r="C481" s="52"/>
      <c r="D481" s="52"/>
      <c r="E481" s="52"/>
      <c r="F481" s="52"/>
      <c r="G481" s="52"/>
      <c r="H481" s="52"/>
    </row>
    <row r="482" spans="1:8" ht="15.75">
      <c r="A482" s="124">
        <v>40130</v>
      </c>
      <c r="B482" s="125">
        <v>21.03</v>
      </c>
      <c r="C482" s="52"/>
      <c r="D482" s="52"/>
      <c r="E482" s="52"/>
      <c r="F482" s="52"/>
      <c r="G482" s="52"/>
      <c r="H482" s="52"/>
    </row>
    <row r="483" spans="1:8" ht="15.75">
      <c r="A483" s="124">
        <v>40133</v>
      </c>
      <c r="B483" s="125">
        <v>21.24</v>
      </c>
      <c r="C483" s="52"/>
      <c r="D483" s="52"/>
      <c r="E483" s="52"/>
      <c r="F483" s="52"/>
      <c r="G483" s="52"/>
      <c r="H483" s="52"/>
    </row>
    <row r="484" spans="1:8" ht="15.75">
      <c r="A484" s="124">
        <v>40134</v>
      </c>
      <c r="B484" s="125">
        <v>21.35</v>
      </c>
      <c r="C484" s="52"/>
      <c r="D484" s="52"/>
      <c r="E484" s="52"/>
      <c r="F484" s="52"/>
      <c r="G484" s="52"/>
      <c r="H484" s="52"/>
    </row>
    <row r="485" spans="1:8" ht="15.75">
      <c r="A485" s="124">
        <v>40135</v>
      </c>
      <c r="B485" s="125">
        <v>21.16</v>
      </c>
      <c r="C485" s="52"/>
      <c r="D485" s="52"/>
      <c r="E485" s="52"/>
      <c r="F485" s="52"/>
      <c r="G485" s="52"/>
      <c r="H485" s="52"/>
    </row>
    <row r="486" spans="1:8" ht="15.75">
      <c r="A486" s="124">
        <v>40136</v>
      </c>
      <c r="B486" s="125">
        <v>21.26</v>
      </c>
      <c r="C486" s="52"/>
      <c r="D486" s="52"/>
      <c r="E486" s="52"/>
      <c r="F486" s="52"/>
      <c r="G486" s="52"/>
      <c r="H486" s="52"/>
    </row>
    <row r="487" spans="1:8" ht="15.75">
      <c r="A487" s="124">
        <v>40137</v>
      </c>
      <c r="B487" s="125">
        <v>21.61</v>
      </c>
      <c r="C487" s="52"/>
      <c r="D487" s="52"/>
      <c r="E487" s="52"/>
      <c r="F487" s="52"/>
      <c r="G487" s="52"/>
      <c r="H487" s="52"/>
    </row>
    <row r="488" spans="1:8" ht="15.75">
      <c r="A488" s="124">
        <v>40140</v>
      </c>
      <c r="B488" s="125">
        <v>21.6</v>
      </c>
      <c r="C488" s="52"/>
      <c r="D488" s="52"/>
      <c r="E488" s="52"/>
      <c r="F488" s="52"/>
      <c r="G488" s="52"/>
      <c r="H488" s="52"/>
    </row>
    <row r="489" spans="1:8" ht="15.75">
      <c r="A489" s="124">
        <v>40141</v>
      </c>
      <c r="B489" s="125">
        <v>20.84</v>
      </c>
      <c r="C489" s="52"/>
      <c r="D489" s="52"/>
      <c r="E489" s="52"/>
      <c r="F489" s="52"/>
      <c r="G489" s="52"/>
      <c r="H489" s="52"/>
    </row>
    <row r="490" spans="1:8" ht="15.75">
      <c r="A490" s="124">
        <v>40142</v>
      </c>
      <c r="B490" s="125">
        <v>20.95</v>
      </c>
      <c r="C490" s="52"/>
      <c r="D490" s="52"/>
      <c r="E490" s="52"/>
      <c r="F490" s="52"/>
      <c r="G490" s="52"/>
      <c r="H490" s="52"/>
    </row>
    <row r="491" spans="1:8" ht="15.75">
      <c r="A491" s="124">
        <v>40143</v>
      </c>
      <c r="B491" s="125">
        <v>20.84</v>
      </c>
      <c r="C491" s="52"/>
      <c r="D491" s="52"/>
      <c r="E491" s="52"/>
      <c r="F491" s="52"/>
      <c r="G491" s="52"/>
      <c r="H491" s="52"/>
    </row>
    <row r="492" spans="1:8" ht="15.75">
      <c r="A492" s="124">
        <v>40144</v>
      </c>
      <c r="B492" s="125">
        <v>20.61</v>
      </c>
      <c r="C492" s="52"/>
      <c r="D492" s="52"/>
      <c r="E492" s="52"/>
      <c r="F492" s="52"/>
      <c r="G492" s="52"/>
      <c r="H492" s="52"/>
    </row>
    <row r="493" spans="1:8" ht="15.75">
      <c r="A493" s="124">
        <v>40147</v>
      </c>
      <c r="B493" s="125">
        <v>20.34</v>
      </c>
      <c r="C493" s="52"/>
      <c r="D493" s="52"/>
      <c r="E493" s="52"/>
      <c r="F493" s="52"/>
      <c r="G493" s="52"/>
      <c r="H493" s="52"/>
    </row>
    <row r="494" spans="1:8" ht="15.75">
      <c r="A494" s="124">
        <v>40148</v>
      </c>
      <c r="B494" s="125">
        <v>21.19</v>
      </c>
      <c r="C494" s="52"/>
      <c r="D494" s="52"/>
      <c r="E494" s="52"/>
      <c r="F494" s="52"/>
      <c r="G494" s="52"/>
      <c r="H494" s="52"/>
    </row>
    <row r="495" spans="1:8" ht="15.75">
      <c r="A495" s="124">
        <v>40149</v>
      </c>
      <c r="B495" s="125">
        <v>21.7</v>
      </c>
      <c r="C495" s="52"/>
      <c r="D495" s="52"/>
      <c r="E495" s="52"/>
      <c r="F495" s="52"/>
      <c r="G495" s="52"/>
      <c r="H495" s="52"/>
    </row>
    <row r="496" spans="1:8" ht="15.75">
      <c r="A496" s="124">
        <v>40150</v>
      </c>
      <c r="B496" s="125">
        <v>21.69</v>
      </c>
      <c r="C496" s="52"/>
      <c r="D496" s="52"/>
      <c r="E496" s="52"/>
      <c r="F496" s="52"/>
      <c r="G496" s="52"/>
      <c r="H496" s="52"/>
    </row>
    <row r="497" spans="1:8" ht="15.75">
      <c r="A497" s="124">
        <v>40151</v>
      </c>
      <c r="B497" s="125">
        <v>22.03</v>
      </c>
      <c r="C497" s="52"/>
      <c r="D497" s="52"/>
      <c r="E497" s="52"/>
      <c r="F497" s="52"/>
      <c r="G497" s="52"/>
      <c r="H497" s="52"/>
    </row>
    <row r="498" spans="1:8" ht="15.75">
      <c r="A498" s="124">
        <v>40154</v>
      </c>
      <c r="B498" s="125">
        <v>21.95</v>
      </c>
      <c r="C498" s="52"/>
      <c r="D498" s="52"/>
      <c r="E498" s="52"/>
      <c r="F498" s="52"/>
      <c r="G498" s="52"/>
      <c r="H498" s="52"/>
    </row>
    <row r="499" spans="1:8" ht="15.75">
      <c r="A499" s="124">
        <v>40155</v>
      </c>
      <c r="B499" s="125">
        <v>21.46</v>
      </c>
      <c r="C499" s="52"/>
      <c r="D499" s="52"/>
      <c r="E499" s="52"/>
      <c r="F499" s="52"/>
      <c r="G499" s="52"/>
      <c r="H499" s="52"/>
    </row>
    <row r="500" spans="1:8" ht="15.75">
      <c r="A500" s="124">
        <v>40156</v>
      </c>
      <c r="B500" s="125">
        <v>21.43</v>
      </c>
      <c r="C500" s="52"/>
      <c r="D500" s="52"/>
      <c r="E500" s="52"/>
      <c r="F500" s="52"/>
      <c r="G500" s="52"/>
      <c r="H500" s="52"/>
    </row>
    <row r="501" spans="1:8" ht="15.75">
      <c r="A501" s="124">
        <v>40157</v>
      </c>
      <c r="B501" s="125">
        <v>21.2</v>
      </c>
      <c r="C501" s="52"/>
      <c r="D501" s="52"/>
      <c r="E501" s="52"/>
      <c r="F501" s="52"/>
      <c r="G501" s="52"/>
      <c r="H501" s="52"/>
    </row>
    <row r="502" spans="1:8" ht="15.75">
      <c r="A502" s="124">
        <v>40158</v>
      </c>
      <c r="B502" s="125">
        <v>21.36</v>
      </c>
      <c r="C502" s="52"/>
      <c r="D502" s="52"/>
      <c r="E502" s="52"/>
      <c r="F502" s="52"/>
      <c r="G502" s="52"/>
      <c r="H502" s="52"/>
    </row>
    <row r="503" spans="1:8" ht="15.75">
      <c r="A503" s="124">
        <v>40161</v>
      </c>
      <c r="B503" s="125">
        <v>21.55</v>
      </c>
      <c r="C503" s="52"/>
      <c r="D503" s="52"/>
      <c r="E503" s="52"/>
      <c r="F503" s="52"/>
      <c r="G503" s="52"/>
      <c r="H503" s="52"/>
    </row>
    <row r="504" spans="1:8" ht="15.75">
      <c r="A504" s="124">
        <v>40162</v>
      </c>
      <c r="B504" s="125">
        <v>22.01</v>
      </c>
      <c r="C504" s="52"/>
      <c r="D504" s="52"/>
      <c r="E504" s="52"/>
      <c r="F504" s="52"/>
      <c r="G504" s="52"/>
      <c r="H504" s="52"/>
    </row>
    <row r="505" spans="1:8" ht="15.75">
      <c r="A505" s="124">
        <v>40163</v>
      </c>
      <c r="B505" s="125">
        <v>22.08</v>
      </c>
      <c r="C505" s="52"/>
      <c r="D505" s="52"/>
      <c r="E505" s="52"/>
      <c r="F505" s="52"/>
      <c r="G505" s="52"/>
      <c r="H505" s="52"/>
    </row>
    <row r="506" spans="1:8" ht="15.75">
      <c r="A506" s="124">
        <v>40164</v>
      </c>
      <c r="B506" s="125">
        <v>22.12</v>
      </c>
      <c r="C506" s="52"/>
      <c r="D506" s="52"/>
      <c r="E506" s="52"/>
      <c r="F506" s="52"/>
      <c r="G506" s="52"/>
      <c r="H506" s="52"/>
    </row>
    <row r="507" spans="1:8" ht="15.75">
      <c r="A507" s="124">
        <v>40165</v>
      </c>
      <c r="B507" s="125">
        <v>21.99</v>
      </c>
      <c r="C507" s="52"/>
      <c r="D507" s="52"/>
      <c r="E507" s="52"/>
      <c r="F507" s="52"/>
      <c r="G507" s="52"/>
      <c r="H507" s="52"/>
    </row>
    <row r="508" spans="1:8" ht="15.75">
      <c r="A508" s="124">
        <v>40168</v>
      </c>
      <c r="B508" s="125">
        <v>22.94</v>
      </c>
      <c r="C508" s="52"/>
      <c r="D508" s="52"/>
      <c r="E508" s="52"/>
      <c r="F508" s="52"/>
      <c r="G508" s="52"/>
      <c r="H508" s="52"/>
    </row>
    <row r="509" spans="1:8" ht="15.75">
      <c r="A509" s="124">
        <v>40169</v>
      </c>
      <c r="B509" s="125">
        <v>23.39</v>
      </c>
      <c r="C509" s="52"/>
      <c r="D509" s="52"/>
      <c r="E509" s="52"/>
      <c r="F509" s="52"/>
      <c r="G509" s="52"/>
      <c r="H509" s="52"/>
    </row>
    <row r="510" spans="1:8" ht="15.75">
      <c r="A510" s="124">
        <v>40170</v>
      </c>
      <c r="B510" s="125">
        <v>23.9</v>
      </c>
      <c r="C510" s="52"/>
      <c r="D510" s="52"/>
      <c r="E510" s="52"/>
      <c r="F510" s="52"/>
      <c r="G510" s="52"/>
      <c r="H510" s="52"/>
    </row>
    <row r="511" spans="1:8" ht="15.75">
      <c r="A511" s="124">
        <v>40175</v>
      </c>
      <c r="B511" s="125">
        <v>24.43</v>
      </c>
      <c r="C511" s="52"/>
      <c r="D511" s="52"/>
      <c r="E511" s="52"/>
      <c r="F511" s="52"/>
      <c r="G511" s="52"/>
      <c r="H511" s="52"/>
    </row>
    <row r="512" spans="1:8" ht="15.75">
      <c r="A512" s="124">
        <v>40176</v>
      </c>
      <c r="B512" s="125">
        <v>24.77</v>
      </c>
      <c r="C512" s="52"/>
      <c r="D512" s="52"/>
      <c r="E512" s="52"/>
      <c r="F512" s="52"/>
      <c r="G512" s="52"/>
      <c r="H512" s="52"/>
    </row>
    <row r="513" spans="1:8" ht="15.75">
      <c r="A513" s="124">
        <v>40177</v>
      </c>
      <c r="B513" s="125">
        <v>24.2</v>
      </c>
      <c r="C513" s="52"/>
      <c r="D513" s="52"/>
      <c r="E513" s="52"/>
      <c r="F513" s="52"/>
      <c r="G513" s="52"/>
      <c r="H513" s="52"/>
    </row>
    <row r="514" spans="1:8" ht="15.75">
      <c r="A514" s="124">
        <v>40182</v>
      </c>
      <c r="B514" s="125">
        <v>23.5</v>
      </c>
      <c r="C514" s="52"/>
      <c r="D514" s="52"/>
      <c r="E514" s="52"/>
      <c r="F514" s="52"/>
      <c r="G514" s="52"/>
      <c r="H514" s="52"/>
    </row>
    <row r="515" spans="1:8" ht="15.75">
      <c r="A515" s="124">
        <v>40183</v>
      </c>
      <c r="B515" s="125">
        <v>22.765000000000001</v>
      </c>
      <c r="C515" s="52"/>
      <c r="D515" s="52"/>
      <c r="E515" s="52"/>
      <c r="F515" s="52"/>
      <c r="G515" s="52"/>
      <c r="H515" s="52"/>
    </row>
    <row r="516" spans="1:8" ht="15.75">
      <c r="A516" s="124">
        <v>40184</v>
      </c>
      <c r="B516" s="125">
        <v>23.04</v>
      </c>
      <c r="C516" s="52"/>
      <c r="D516" s="52"/>
      <c r="E516" s="52"/>
      <c r="F516" s="52"/>
      <c r="G516" s="52"/>
      <c r="H516" s="52"/>
    </row>
    <row r="517" spans="1:8" ht="15.75">
      <c r="A517" s="124">
        <v>40185</v>
      </c>
      <c r="B517" s="125">
        <v>23.2</v>
      </c>
      <c r="C517" s="52"/>
      <c r="D517" s="52"/>
      <c r="E517" s="52"/>
      <c r="F517" s="52"/>
      <c r="G517" s="52"/>
      <c r="H517" s="52"/>
    </row>
    <row r="518" spans="1:8" ht="15.75">
      <c r="A518" s="124">
        <v>40186</v>
      </c>
      <c r="B518" s="125">
        <v>23.71</v>
      </c>
      <c r="C518" s="52"/>
      <c r="D518" s="52"/>
      <c r="E518" s="52"/>
      <c r="F518" s="52"/>
      <c r="G518" s="52"/>
      <c r="H518" s="52"/>
    </row>
    <row r="519" spans="1:8" ht="15.75">
      <c r="A519" s="124">
        <v>40189</v>
      </c>
      <c r="B519" s="125">
        <v>22.92</v>
      </c>
      <c r="C519" s="52"/>
      <c r="D519" s="52"/>
      <c r="E519" s="52"/>
      <c r="F519" s="52"/>
      <c r="G519" s="52"/>
      <c r="H519" s="52"/>
    </row>
    <row r="520" spans="1:8" ht="15.75">
      <c r="A520" s="124">
        <v>40190</v>
      </c>
      <c r="B520" s="125">
        <v>22.65</v>
      </c>
      <c r="C520" s="52"/>
      <c r="D520" s="52"/>
      <c r="E520" s="52"/>
      <c r="F520" s="52"/>
      <c r="G520" s="52"/>
      <c r="H520" s="52"/>
    </row>
    <row r="521" spans="1:8" ht="15.75">
      <c r="A521" s="124">
        <v>40191</v>
      </c>
      <c r="B521" s="125">
        <v>22.58</v>
      </c>
      <c r="C521" s="52"/>
      <c r="D521" s="52"/>
      <c r="E521" s="52"/>
      <c r="F521" s="52"/>
      <c r="G521" s="52"/>
      <c r="H521" s="52"/>
    </row>
    <row r="522" spans="1:8" ht="15.75">
      <c r="A522" s="124">
        <v>40192</v>
      </c>
      <c r="B522" s="125">
        <v>22.91</v>
      </c>
      <c r="C522" s="52"/>
      <c r="D522" s="52"/>
      <c r="E522" s="52"/>
      <c r="F522" s="52"/>
      <c r="G522" s="52"/>
      <c r="H522" s="52"/>
    </row>
    <row r="523" spans="1:8" ht="15.75">
      <c r="A523" s="124">
        <v>40193</v>
      </c>
      <c r="B523" s="125">
        <v>23.12</v>
      </c>
      <c r="C523" s="52"/>
      <c r="D523" s="52"/>
      <c r="E523" s="52"/>
      <c r="F523" s="52"/>
      <c r="G523" s="52"/>
      <c r="H523" s="52"/>
    </row>
    <row r="524" spans="1:8" ht="15.75">
      <c r="A524" s="124">
        <v>40196</v>
      </c>
      <c r="B524" s="125">
        <v>23</v>
      </c>
      <c r="C524" s="52"/>
      <c r="D524" s="52"/>
      <c r="E524" s="52"/>
      <c r="F524" s="52"/>
      <c r="G524" s="52"/>
      <c r="H524" s="52"/>
    </row>
    <row r="525" spans="1:8" ht="15.75">
      <c r="A525" s="124">
        <v>40197</v>
      </c>
      <c r="B525" s="125">
        <v>23.43</v>
      </c>
      <c r="C525" s="52"/>
      <c r="D525" s="52"/>
      <c r="E525" s="52"/>
      <c r="F525" s="52"/>
      <c r="G525" s="52"/>
      <c r="H525" s="52"/>
    </row>
    <row r="526" spans="1:8" ht="15.75">
      <c r="A526" s="124">
        <v>40198</v>
      </c>
      <c r="B526" s="125">
        <v>23.64</v>
      </c>
      <c r="C526" s="52"/>
      <c r="D526" s="52"/>
      <c r="E526" s="52"/>
      <c r="F526" s="52"/>
      <c r="G526" s="52"/>
      <c r="H526" s="52"/>
    </row>
    <row r="527" spans="1:8" ht="15.75">
      <c r="A527" s="124">
        <v>40199</v>
      </c>
      <c r="B527" s="125">
        <v>23.75</v>
      </c>
      <c r="C527" s="52"/>
      <c r="D527" s="52"/>
      <c r="E527" s="52"/>
      <c r="F527" s="52"/>
      <c r="G527" s="52"/>
      <c r="H527" s="52"/>
    </row>
    <row r="528" spans="1:8" ht="15.75">
      <c r="A528" s="124">
        <v>40200</v>
      </c>
      <c r="B528" s="125">
        <v>23.15</v>
      </c>
      <c r="C528" s="52"/>
      <c r="D528" s="52"/>
      <c r="E528" s="52"/>
      <c r="F528" s="52"/>
      <c r="G528" s="52"/>
      <c r="H528" s="52"/>
    </row>
    <row r="529" spans="1:8" ht="15.75">
      <c r="A529" s="124">
        <v>40203</v>
      </c>
      <c r="B529" s="125">
        <v>22.47</v>
      </c>
      <c r="C529" s="52"/>
      <c r="D529" s="52"/>
      <c r="E529" s="52"/>
      <c r="F529" s="52"/>
      <c r="G529" s="52"/>
      <c r="H529" s="52"/>
    </row>
    <row r="530" spans="1:8" ht="15.75">
      <c r="A530" s="124">
        <v>40204</v>
      </c>
      <c r="B530" s="125">
        <v>22.41</v>
      </c>
      <c r="C530" s="52"/>
      <c r="D530" s="52"/>
      <c r="E530" s="52"/>
      <c r="F530" s="52"/>
      <c r="G530" s="52"/>
      <c r="H530" s="52"/>
    </row>
    <row r="531" spans="1:8" ht="15.75">
      <c r="A531" s="124">
        <v>40205</v>
      </c>
      <c r="B531" s="125">
        <v>22.27</v>
      </c>
      <c r="C531" s="52"/>
      <c r="D531" s="52"/>
      <c r="E531" s="52"/>
      <c r="F531" s="52"/>
      <c r="G531" s="52"/>
      <c r="H531" s="52"/>
    </row>
    <row r="532" spans="1:8" ht="15.75">
      <c r="A532" s="124">
        <v>40206</v>
      </c>
      <c r="B532" s="125">
        <v>23.1</v>
      </c>
      <c r="C532" s="52"/>
      <c r="D532" s="52"/>
      <c r="E532" s="52"/>
      <c r="F532" s="52"/>
      <c r="G532" s="52"/>
      <c r="H532" s="52"/>
    </row>
    <row r="533" spans="1:8" ht="15.75">
      <c r="A533" s="124">
        <v>40207</v>
      </c>
      <c r="B533" s="125">
        <v>23.03</v>
      </c>
      <c r="C533" s="52"/>
      <c r="D533" s="52"/>
      <c r="E533" s="52"/>
      <c r="F533" s="52"/>
      <c r="G533" s="52"/>
      <c r="H533" s="52"/>
    </row>
    <row r="534" spans="1:8" ht="15.75">
      <c r="A534" s="124">
        <v>40210</v>
      </c>
      <c r="B534" s="125">
        <v>23.15</v>
      </c>
      <c r="C534" s="52"/>
      <c r="D534" s="52"/>
      <c r="E534" s="52"/>
      <c r="F534" s="52"/>
      <c r="G534" s="52"/>
      <c r="H534" s="52"/>
    </row>
    <row r="535" spans="1:8" ht="15.75">
      <c r="A535" s="124">
        <v>40211</v>
      </c>
      <c r="B535" s="125">
        <v>23.18</v>
      </c>
      <c r="C535" s="52"/>
      <c r="D535" s="52"/>
      <c r="E535" s="52"/>
      <c r="F535" s="52"/>
      <c r="G535" s="52"/>
      <c r="H535" s="52"/>
    </row>
    <row r="536" spans="1:8" ht="15.75">
      <c r="A536" s="124">
        <v>40212</v>
      </c>
      <c r="B536" s="125">
        <v>23.43</v>
      </c>
      <c r="C536" s="52"/>
      <c r="D536" s="52"/>
      <c r="E536" s="52"/>
      <c r="F536" s="52"/>
      <c r="G536" s="52"/>
      <c r="H536" s="52"/>
    </row>
    <row r="537" spans="1:8" ht="15.75">
      <c r="A537" s="124">
        <v>40213</v>
      </c>
      <c r="B537" s="125">
        <v>24.01</v>
      </c>
      <c r="C537" s="52"/>
      <c r="D537" s="52"/>
      <c r="E537" s="52"/>
      <c r="F537" s="52"/>
      <c r="G537" s="52"/>
      <c r="H537" s="52"/>
    </row>
    <row r="538" spans="1:8" ht="15.75">
      <c r="A538" s="124">
        <v>40214</v>
      </c>
      <c r="B538" s="125">
        <v>23.89</v>
      </c>
      <c r="C538" s="52"/>
      <c r="D538" s="52"/>
      <c r="E538" s="52"/>
      <c r="F538" s="52"/>
      <c r="G538" s="52"/>
      <c r="H538" s="52"/>
    </row>
    <row r="539" spans="1:8" ht="15.75">
      <c r="A539" s="124">
        <v>40217</v>
      </c>
      <c r="B539" s="125">
        <v>23.88</v>
      </c>
      <c r="C539" s="52"/>
      <c r="D539" s="52"/>
      <c r="E539" s="52"/>
      <c r="F539" s="52"/>
      <c r="G539" s="52"/>
      <c r="H539" s="52"/>
    </row>
    <row r="540" spans="1:8" ht="15.75">
      <c r="A540" s="124">
        <v>40218</v>
      </c>
      <c r="B540" s="125">
        <v>23.48</v>
      </c>
      <c r="C540" s="52"/>
      <c r="D540" s="52"/>
      <c r="E540" s="52"/>
      <c r="F540" s="52"/>
      <c r="G540" s="52"/>
      <c r="H540" s="52"/>
    </row>
    <row r="541" spans="1:8" ht="15.75">
      <c r="A541" s="124">
        <v>40219</v>
      </c>
      <c r="B541" s="125">
        <v>23.43</v>
      </c>
      <c r="C541" s="52"/>
      <c r="D541" s="52"/>
      <c r="E541" s="52"/>
      <c r="F541" s="52"/>
      <c r="G541" s="52"/>
      <c r="H541" s="52"/>
    </row>
    <row r="542" spans="1:8" ht="15.75">
      <c r="A542" s="124">
        <v>40220</v>
      </c>
      <c r="B542" s="125">
        <v>23.18</v>
      </c>
      <c r="C542" s="52"/>
      <c r="D542" s="52"/>
      <c r="E542" s="52"/>
      <c r="F542" s="52"/>
      <c r="G542" s="52"/>
      <c r="H542" s="52"/>
    </row>
    <row r="543" spans="1:8" ht="15.75">
      <c r="A543" s="124">
        <v>40221</v>
      </c>
      <c r="B543" s="125">
        <v>23.76</v>
      </c>
      <c r="C543" s="52"/>
      <c r="D543" s="52"/>
      <c r="E543" s="52"/>
      <c r="F543" s="52"/>
      <c r="G543" s="52"/>
      <c r="H543" s="52"/>
    </row>
    <row r="544" spans="1:8" ht="15.75">
      <c r="A544" s="124">
        <v>40224</v>
      </c>
      <c r="B544" s="125">
        <v>24.22</v>
      </c>
      <c r="C544" s="52"/>
      <c r="D544" s="52"/>
      <c r="E544" s="52"/>
      <c r="F544" s="52"/>
      <c r="G544" s="52"/>
      <c r="H544" s="52"/>
    </row>
    <row r="545" spans="1:8" ht="15.75">
      <c r="A545" s="124">
        <v>40225</v>
      </c>
      <c r="B545" s="125">
        <v>24.46</v>
      </c>
      <c r="C545" s="52"/>
      <c r="D545" s="52"/>
      <c r="E545" s="52"/>
      <c r="F545" s="52"/>
      <c r="G545" s="52"/>
      <c r="H545" s="52"/>
    </row>
    <row r="546" spans="1:8" ht="15.75">
      <c r="A546" s="124">
        <v>40226</v>
      </c>
      <c r="B546" s="125">
        <v>24.93</v>
      </c>
      <c r="C546" s="52"/>
      <c r="D546" s="52"/>
      <c r="E546" s="52"/>
      <c r="F546" s="52"/>
      <c r="G546" s="52"/>
      <c r="H546" s="52"/>
    </row>
    <row r="547" spans="1:8" ht="15.75">
      <c r="A547" s="124">
        <v>40227</v>
      </c>
      <c r="B547" s="125">
        <v>25.06</v>
      </c>
      <c r="C547" s="52"/>
      <c r="D547" s="52"/>
      <c r="E547" s="52"/>
      <c r="F547" s="52"/>
      <c r="G547" s="52"/>
      <c r="H547" s="52"/>
    </row>
    <row r="548" spans="1:8" ht="15.75">
      <c r="A548" s="124">
        <v>40228</v>
      </c>
      <c r="B548" s="125">
        <v>25.65</v>
      </c>
      <c r="C548" s="52"/>
      <c r="D548" s="52"/>
      <c r="E548" s="52"/>
      <c r="F548" s="52"/>
      <c r="G548" s="52"/>
      <c r="H548" s="52"/>
    </row>
    <row r="549" spans="1:8" ht="15.75">
      <c r="A549" s="124">
        <v>40231</v>
      </c>
      <c r="B549" s="125">
        <v>25.77</v>
      </c>
      <c r="C549" s="52"/>
      <c r="D549" s="52"/>
      <c r="E549" s="52"/>
      <c r="F549" s="52"/>
      <c r="G549" s="52"/>
      <c r="H549" s="52"/>
    </row>
    <row r="550" spans="1:8" ht="15.75">
      <c r="A550" s="124">
        <v>40232</v>
      </c>
      <c r="B550" s="125">
        <v>26.18</v>
      </c>
      <c r="C550" s="52"/>
      <c r="D550" s="52"/>
      <c r="E550" s="52"/>
      <c r="F550" s="52"/>
      <c r="G550" s="52"/>
      <c r="H550" s="52"/>
    </row>
    <row r="551" spans="1:8" ht="15.75">
      <c r="A551" s="124">
        <v>40233</v>
      </c>
      <c r="B551" s="125">
        <v>26.2</v>
      </c>
      <c r="C551" s="52"/>
      <c r="D551" s="52"/>
      <c r="E551" s="52"/>
      <c r="F551" s="52"/>
      <c r="G551" s="52"/>
      <c r="H551" s="52"/>
    </row>
    <row r="552" spans="1:8" ht="15.75">
      <c r="A552" s="124">
        <v>40234</v>
      </c>
      <c r="B552" s="125">
        <v>26.05</v>
      </c>
      <c r="C552" s="52"/>
      <c r="D552" s="52"/>
      <c r="E552" s="52"/>
      <c r="F552" s="52"/>
      <c r="G552" s="52"/>
      <c r="H552" s="52"/>
    </row>
    <row r="553" spans="1:8" ht="15.75">
      <c r="A553" s="124">
        <v>40235</v>
      </c>
      <c r="B553" s="125">
        <v>26.38</v>
      </c>
      <c r="C553" s="52"/>
      <c r="D553" s="52"/>
      <c r="E553" s="52"/>
      <c r="F553" s="52"/>
      <c r="G553" s="52"/>
      <c r="H553" s="52"/>
    </row>
    <row r="554" spans="1:8" ht="15.75">
      <c r="A554" s="124">
        <v>40238</v>
      </c>
      <c r="B554" s="125">
        <v>26.53</v>
      </c>
      <c r="C554" s="52"/>
      <c r="D554" s="52"/>
      <c r="E554" s="52"/>
      <c r="F554" s="52"/>
      <c r="G554" s="52"/>
      <c r="H554" s="52"/>
    </row>
    <row r="555" spans="1:8" ht="15.75">
      <c r="A555" s="124">
        <v>40239</v>
      </c>
      <c r="B555" s="125">
        <v>26.47</v>
      </c>
      <c r="C555" s="52"/>
      <c r="D555" s="52"/>
      <c r="E555" s="52"/>
      <c r="F555" s="52"/>
      <c r="G555" s="52"/>
      <c r="H555" s="52"/>
    </row>
    <row r="556" spans="1:8" ht="15.75">
      <c r="A556" s="124">
        <v>40240</v>
      </c>
      <c r="B556" s="125">
        <v>26.22</v>
      </c>
      <c r="C556" s="52"/>
      <c r="D556" s="52"/>
      <c r="E556" s="52"/>
      <c r="F556" s="52"/>
      <c r="G556" s="52"/>
      <c r="H556" s="52"/>
    </row>
    <row r="557" spans="1:8" ht="15.75">
      <c r="A557" s="124">
        <v>40241</v>
      </c>
      <c r="B557" s="125">
        <v>26.09</v>
      </c>
      <c r="C557" s="52"/>
      <c r="D557" s="52"/>
      <c r="E557" s="52"/>
      <c r="F557" s="52"/>
      <c r="G557" s="52"/>
      <c r="H557" s="52"/>
    </row>
    <row r="558" spans="1:8" ht="15.75">
      <c r="A558" s="124">
        <v>40242</v>
      </c>
      <c r="B558" s="125">
        <v>26.44</v>
      </c>
      <c r="C558" s="52"/>
      <c r="D558" s="52"/>
      <c r="E558" s="52"/>
      <c r="F558" s="52"/>
      <c r="G558" s="52"/>
      <c r="H558" s="52"/>
    </row>
    <row r="559" spans="1:8" ht="15.75">
      <c r="A559" s="124">
        <v>40245</v>
      </c>
      <c r="B559" s="125">
        <v>27.03</v>
      </c>
      <c r="C559" s="52"/>
      <c r="D559" s="52"/>
      <c r="E559" s="52"/>
      <c r="F559" s="52"/>
      <c r="G559" s="52"/>
      <c r="H559" s="52"/>
    </row>
    <row r="560" spans="1:8" ht="15.75">
      <c r="A560" s="124">
        <v>40246</v>
      </c>
      <c r="B560" s="125">
        <v>27.39</v>
      </c>
      <c r="C560" s="52"/>
      <c r="D560" s="52"/>
      <c r="E560" s="52"/>
      <c r="F560" s="52"/>
      <c r="G560" s="52"/>
      <c r="H560" s="52"/>
    </row>
    <row r="561" spans="1:8" ht="15.75">
      <c r="A561" s="124">
        <v>40247</v>
      </c>
      <c r="B561" s="125">
        <v>27.84</v>
      </c>
      <c r="C561" s="52"/>
      <c r="D561" s="52"/>
      <c r="E561" s="52"/>
      <c r="F561" s="52"/>
      <c r="G561" s="52"/>
      <c r="H561" s="52"/>
    </row>
    <row r="562" spans="1:8" ht="15.75">
      <c r="A562" s="124">
        <v>40248</v>
      </c>
      <c r="B562" s="125">
        <v>27.47</v>
      </c>
      <c r="C562" s="52"/>
      <c r="D562" s="52"/>
      <c r="E562" s="52"/>
      <c r="F562" s="52"/>
      <c r="G562" s="52"/>
      <c r="H562" s="52"/>
    </row>
    <row r="563" spans="1:8" ht="15.75">
      <c r="A563" s="124">
        <v>40249</v>
      </c>
      <c r="B563" s="125">
        <v>27.57</v>
      </c>
      <c r="C563" s="52"/>
      <c r="D563" s="52"/>
      <c r="E563" s="52"/>
      <c r="F563" s="52"/>
      <c r="G563" s="52"/>
      <c r="H563" s="52"/>
    </row>
    <row r="564" spans="1:8" ht="15.75">
      <c r="A564" s="124">
        <v>40252</v>
      </c>
      <c r="B564" s="125">
        <v>27.47</v>
      </c>
      <c r="C564" s="52"/>
      <c r="D564" s="52"/>
      <c r="E564" s="52"/>
      <c r="F564" s="52"/>
      <c r="G564" s="52"/>
      <c r="H564" s="52"/>
    </row>
    <row r="565" spans="1:8" ht="15.75">
      <c r="A565" s="124">
        <v>40253</v>
      </c>
      <c r="B565" s="125">
        <v>27.625</v>
      </c>
      <c r="C565" s="52"/>
      <c r="D565" s="52"/>
      <c r="E565" s="52"/>
      <c r="F565" s="52"/>
      <c r="G565" s="52"/>
      <c r="H565" s="52"/>
    </row>
    <row r="566" spans="1:8" ht="15.75">
      <c r="A566" s="124">
        <v>40254</v>
      </c>
      <c r="B566" s="125">
        <v>28.48</v>
      </c>
      <c r="C566" s="52"/>
      <c r="D566" s="52"/>
      <c r="E566" s="52"/>
      <c r="F566" s="52"/>
      <c r="G566" s="52"/>
      <c r="H566" s="52"/>
    </row>
    <row r="567" spans="1:8" ht="15.75">
      <c r="A567" s="124">
        <v>40255</v>
      </c>
      <c r="B567" s="125">
        <v>28.84</v>
      </c>
      <c r="C567" s="52"/>
      <c r="D567" s="52"/>
      <c r="E567" s="52"/>
      <c r="F567" s="52"/>
      <c r="G567" s="52"/>
      <c r="H567" s="52"/>
    </row>
    <row r="568" spans="1:8" ht="15.75">
      <c r="A568" s="124">
        <v>40256</v>
      </c>
      <c r="B568" s="125">
        <v>28.95</v>
      </c>
      <c r="C568" s="52"/>
      <c r="D568" s="52"/>
      <c r="E568" s="52"/>
      <c r="F568" s="52"/>
      <c r="G568" s="52"/>
      <c r="H568" s="52"/>
    </row>
    <row r="569" spans="1:8" ht="15.75">
      <c r="A569" s="124">
        <v>40259</v>
      </c>
      <c r="B569" s="125">
        <v>28.92</v>
      </c>
      <c r="C569" s="52"/>
      <c r="D569" s="52"/>
      <c r="E569" s="52"/>
      <c r="F569" s="52"/>
      <c r="G569" s="52"/>
      <c r="H569" s="52"/>
    </row>
    <row r="570" spans="1:8" ht="15.75">
      <c r="A570" s="124">
        <v>40260</v>
      </c>
      <c r="B570" s="125">
        <v>28.96</v>
      </c>
      <c r="C570" s="52"/>
      <c r="D570" s="52"/>
      <c r="E570" s="52"/>
      <c r="F570" s="52"/>
      <c r="G570" s="52"/>
      <c r="H570" s="52"/>
    </row>
    <row r="571" spans="1:8" ht="15.75">
      <c r="A571" s="124">
        <v>40261</v>
      </c>
      <c r="B571" s="125">
        <v>29.26</v>
      </c>
      <c r="C571" s="52"/>
      <c r="D571" s="52"/>
      <c r="E571" s="52"/>
      <c r="F571" s="52"/>
      <c r="G571" s="52"/>
      <c r="H571" s="52"/>
    </row>
    <row r="572" spans="1:8" ht="15.75">
      <c r="A572" s="124">
        <v>40262</v>
      </c>
      <c r="B572" s="125">
        <v>29.67</v>
      </c>
      <c r="C572" s="52"/>
      <c r="D572" s="52"/>
      <c r="E572" s="52"/>
      <c r="F572" s="52"/>
      <c r="G572" s="52"/>
      <c r="H572" s="52"/>
    </row>
    <row r="573" spans="1:8" ht="15.75">
      <c r="A573" s="124">
        <v>40263</v>
      </c>
      <c r="B573" s="125">
        <v>29.38</v>
      </c>
      <c r="C573" s="52"/>
      <c r="D573" s="52"/>
      <c r="E573" s="52"/>
      <c r="F573" s="52"/>
      <c r="G573" s="52"/>
      <c r="H573" s="52"/>
    </row>
    <row r="574" spans="1:8" ht="15.75">
      <c r="A574" s="124">
        <v>40266</v>
      </c>
      <c r="B574" s="125">
        <v>28.89</v>
      </c>
      <c r="C574" s="52"/>
      <c r="D574" s="52"/>
      <c r="E574" s="52"/>
      <c r="F574" s="52"/>
      <c r="G574" s="52"/>
      <c r="H574" s="52"/>
    </row>
    <row r="575" spans="1:8" ht="15.75">
      <c r="A575" s="124">
        <v>40267</v>
      </c>
      <c r="B575" s="125">
        <v>29.05</v>
      </c>
      <c r="C575" s="52"/>
      <c r="D575" s="52"/>
      <c r="E575" s="52"/>
      <c r="F575" s="52"/>
      <c r="G575" s="52"/>
      <c r="H575" s="52"/>
    </row>
    <row r="576" spans="1:8" ht="15.75">
      <c r="A576" s="124">
        <v>40268</v>
      </c>
      <c r="B576" s="125">
        <v>28.71</v>
      </c>
      <c r="C576" s="52"/>
      <c r="D576" s="52"/>
      <c r="E576" s="52"/>
      <c r="F576" s="52"/>
      <c r="G576" s="52"/>
      <c r="H576" s="52"/>
    </row>
    <row r="577" spans="1:8" ht="15.75">
      <c r="A577" s="124">
        <v>40269</v>
      </c>
      <c r="B577" s="125">
        <v>28.72</v>
      </c>
      <c r="C577" s="52"/>
      <c r="D577" s="52"/>
      <c r="E577" s="52"/>
      <c r="F577" s="52"/>
      <c r="G577" s="52"/>
      <c r="H577" s="52"/>
    </row>
    <row r="578" spans="1:8" ht="15.75">
      <c r="A578" s="124">
        <v>40274</v>
      </c>
      <c r="B578" s="125">
        <v>29.64</v>
      </c>
      <c r="C578" s="52"/>
      <c r="D578" s="52"/>
      <c r="E578" s="52"/>
      <c r="F578" s="52"/>
      <c r="G578" s="52"/>
      <c r="H578" s="52"/>
    </row>
    <row r="579" spans="1:8" ht="15.75">
      <c r="A579" s="124">
        <v>40275</v>
      </c>
      <c r="B579" s="125">
        <v>30.75</v>
      </c>
      <c r="C579" s="52"/>
      <c r="D579" s="52"/>
      <c r="E579" s="52"/>
      <c r="F579" s="52"/>
      <c r="G579" s="52"/>
      <c r="H579" s="52"/>
    </row>
    <row r="580" spans="1:8" ht="15.75">
      <c r="A580" s="124">
        <v>40276</v>
      </c>
      <c r="B580" s="125">
        <v>30.07</v>
      </c>
      <c r="C580" s="52"/>
      <c r="D580" s="52"/>
      <c r="E580" s="52"/>
      <c r="F580" s="52"/>
      <c r="G580" s="52"/>
      <c r="H580" s="52"/>
    </row>
    <row r="581" spans="1:8" ht="15.75">
      <c r="A581" s="124">
        <v>40277</v>
      </c>
      <c r="B581" s="125">
        <v>30.39</v>
      </c>
      <c r="C581" s="52"/>
      <c r="D581" s="52"/>
      <c r="E581" s="52"/>
      <c r="F581" s="52"/>
      <c r="G581" s="52"/>
      <c r="H581" s="52"/>
    </row>
    <row r="582" spans="1:8" ht="15.75">
      <c r="A582" s="124">
        <v>40280</v>
      </c>
      <c r="B582" s="125">
        <v>30.55</v>
      </c>
      <c r="C582" s="52"/>
      <c r="D582" s="52"/>
      <c r="E582" s="52"/>
      <c r="F582" s="52"/>
      <c r="G582" s="52"/>
      <c r="H582" s="52"/>
    </row>
    <row r="583" spans="1:8" ht="15.75">
      <c r="A583" s="124">
        <v>40281</v>
      </c>
      <c r="B583" s="125">
        <v>30.57</v>
      </c>
      <c r="C583" s="52"/>
      <c r="D583" s="52"/>
      <c r="E583" s="52"/>
      <c r="F583" s="52"/>
      <c r="G583" s="52"/>
      <c r="H583" s="52"/>
    </row>
    <row r="584" spans="1:8" ht="15.75">
      <c r="A584" s="124">
        <v>40282</v>
      </c>
      <c r="B584" s="125">
        <v>31.47</v>
      </c>
      <c r="C584" s="52"/>
      <c r="D584" s="52"/>
      <c r="E584" s="52"/>
      <c r="F584" s="52"/>
      <c r="G584" s="52"/>
      <c r="H584" s="52"/>
    </row>
    <row r="585" spans="1:8" ht="15.75">
      <c r="A585" s="124">
        <v>40283</v>
      </c>
      <c r="B585" s="125">
        <v>31.5</v>
      </c>
      <c r="C585" s="52"/>
      <c r="D585" s="52"/>
      <c r="E585" s="52"/>
      <c r="F585" s="52"/>
      <c r="G585" s="52"/>
      <c r="H585" s="52"/>
    </row>
    <row r="586" spans="1:8" ht="15.75">
      <c r="A586" s="124">
        <v>40284</v>
      </c>
      <c r="B586" s="125">
        <v>30.8</v>
      </c>
      <c r="C586" s="52"/>
      <c r="D586" s="52"/>
      <c r="E586" s="52"/>
      <c r="F586" s="52"/>
      <c r="G586" s="52"/>
      <c r="H586" s="52"/>
    </row>
    <row r="587" spans="1:8" ht="15.75">
      <c r="A587" s="124">
        <v>40287</v>
      </c>
      <c r="B587" s="125">
        <v>30.57</v>
      </c>
      <c r="C587" s="52"/>
      <c r="D587" s="52"/>
      <c r="E587" s="52"/>
      <c r="F587" s="52"/>
      <c r="G587" s="52"/>
      <c r="H587" s="52"/>
    </row>
    <row r="588" spans="1:8" ht="15.75">
      <c r="A588" s="124">
        <v>40288</v>
      </c>
      <c r="B588" s="125">
        <v>30.23</v>
      </c>
      <c r="C588" s="52"/>
      <c r="D588" s="52"/>
      <c r="E588" s="52"/>
      <c r="F588" s="52"/>
      <c r="G588" s="52"/>
      <c r="H588" s="52"/>
    </row>
    <row r="589" spans="1:8" ht="15.75">
      <c r="A589" s="124">
        <v>40289</v>
      </c>
      <c r="B589" s="125">
        <v>30.99</v>
      </c>
      <c r="C589" s="52"/>
      <c r="D589" s="52"/>
      <c r="E589" s="52"/>
      <c r="F589" s="52"/>
      <c r="G589" s="52"/>
      <c r="H589" s="52"/>
    </row>
    <row r="590" spans="1:8" ht="15.75">
      <c r="A590" s="124">
        <v>40290</v>
      </c>
      <c r="B590" s="125">
        <v>31.78</v>
      </c>
      <c r="C590" s="52"/>
      <c r="D590" s="52"/>
      <c r="E590" s="52"/>
      <c r="F590" s="52"/>
      <c r="G590" s="52"/>
      <c r="H590" s="52"/>
    </row>
    <row r="591" spans="1:8" ht="15.75">
      <c r="A591" s="124">
        <v>40291</v>
      </c>
      <c r="B591" s="125">
        <v>32.619999999999997</v>
      </c>
      <c r="C591" s="52"/>
      <c r="D591" s="52"/>
      <c r="E591" s="52"/>
      <c r="F591" s="52"/>
      <c r="G591" s="52"/>
      <c r="H591" s="52"/>
    </row>
    <row r="592" spans="1:8" ht="15.75">
      <c r="A592" s="124">
        <v>40294</v>
      </c>
      <c r="B592" s="125">
        <v>34</v>
      </c>
      <c r="C592" s="52"/>
      <c r="D592" s="52"/>
      <c r="E592" s="52"/>
      <c r="F592" s="52"/>
      <c r="G592" s="52"/>
      <c r="H592" s="52"/>
    </row>
    <row r="593" spans="1:8" ht="15.75">
      <c r="A593" s="124">
        <v>40295</v>
      </c>
      <c r="B593" s="125">
        <v>33.64</v>
      </c>
      <c r="C593" s="52"/>
      <c r="D593" s="52"/>
      <c r="E593" s="52"/>
      <c r="F593" s="52"/>
      <c r="G593" s="52"/>
      <c r="H593" s="52"/>
    </row>
    <row r="594" spans="1:8" ht="15.75">
      <c r="A594" s="124">
        <v>40296</v>
      </c>
      <c r="B594" s="125">
        <v>33.32</v>
      </c>
      <c r="C594" s="52"/>
      <c r="D594" s="52"/>
      <c r="E594" s="52"/>
      <c r="F594" s="52"/>
      <c r="G594" s="52"/>
      <c r="H594" s="52"/>
    </row>
    <row r="595" spans="1:8" ht="15.75">
      <c r="A595" s="124">
        <v>40297</v>
      </c>
      <c r="B595" s="125">
        <v>33.67</v>
      </c>
      <c r="C595" s="52"/>
      <c r="D595" s="52"/>
      <c r="E595" s="52"/>
      <c r="F595" s="52"/>
      <c r="G595" s="52"/>
      <c r="H595" s="52"/>
    </row>
    <row r="596" spans="1:8" ht="15.75">
      <c r="A596" s="124">
        <v>40298</v>
      </c>
      <c r="B596" s="125">
        <v>34.99</v>
      </c>
      <c r="C596" s="52"/>
      <c r="D596" s="52"/>
      <c r="E596" s="52"/>
      <c r="F596" s="52"/>
      <c r="G596" s="52"/>
      <c r="H596" s="52"/>
    </row>
    <row r="597" spans="1:8" ht="15.75">
      <c r="A597" s="124">
        <v>40301</v>
      </c>
      <c r="B597" s="125">
        <v>35.1</v>
      </c>
      <c r="C597" s="52"/>
      <c r="D597" s="52"/>
      <c r="E597" s="52"/>
      <c r="F597" s="52"/>
      <c r="G597" s="52"/>
      <c r="H597" s="52"/>
    </row>
    <row r="598" spans="1:8" ht="15.75">
      <c r="A598" s="124">
        <v>40302</v>
      </c>
      <c r="B598" s="125">
        <v>35.47</v>
      </c>
      <c r="C598" s="52"/>
      <c r="D598" s="52"/>
      <c r="E598" s="52"/>
      <c r="F598" s="52"/>
      <c r="G598" s="52"/>
      <c r="H598" s="52"/>
    </row>
    <row r="599" spans="1:8" ht="15.75">
      <c r="A599" s="124">
        <v>40303</v>
      </c>
      <c r="B599" s="125">
        <v>35.770000000000003</v>
      </c>
      <c r="C599" s="52"/>
      <c r="D599" s="52"/>
      <c r="E599" s="52"/>
      <c r="F599" s="52"/>
      <c r="G599" s="52"/>
      <c r="H599" s="52"/>
    </row>
    <row r="600" spans="1:8" ht="15.75">
      <c r="A600" s="124">
        <v>40304</v>
      </c>
      <c r="B600" s="125">
        <v>35.94</v>
      </c>
      <c r="C600" s="52"/>
      <c r="D600" s="52"/>
      <c r="E600" s="52"/>
      <c r="F600" s="52"/>
      <c r="G600" s="52"/>
      <c r="H600" s="52"/>
    </row>
    <row r="601" spans="1:8" ht="15.75">
      <c r="A601" s="124">
        <v>40305</v>
      </c>
      <c r="B601" s="125">
        <v>34.42</v>
      </c>
      <c r="C601" s="52"/>
      <c r="D601" s="52"/>
      <c r="E601" s="52"/>
      <c r="F601" s="52"/>
      <c r="G601" s="52"/>
      <c r="H601" s="52"/>
    </row>
    <row r="602" spans="1:8" ht="15.75">
      <c r="A602" s="124">
        <v>40308</v>
      </c>
      <c r="B602" s="125">
        <v>35.020000000000003</v>
      </c>
      <c r="C602" s="52"/>
      <c r="D602" s="52"/>
      <c r="E602" s="52"/>
      <c r="F602" s="52"/>
      <c r="G602" s="52"/>
      <c r="H602" s="52"/>
    </row>
    <row r="603" spans="1:8" ht="15.75">
      <c r="A603" s="124">
        <v>40309</v>
      </c>
      <c r="B603" s="125">
        <v>36.1</v>
      </c>
      <c r="C603" s="52"/>
      <c r="D603" s="52"/>
      <c r="E603" s="52"/>
      <c r="F603" s="52"/>
      <c r="G603" s="52"/>
      <c r="H603" s="52"/>
    </row>
    <row r="604" spans="1:8" ht="15.75">
      <c r="A604" s="124">
        <v>40310</v>
      </c>
      <c r="B604" s="125">
        <v>37.22</v>
      </c>
      <c r="C604" s="52"/>
      <c r="D604" s="52"/>
      <c r="E604" s="52"/>
      <c r="F604" s="52"/>
      <c r="G604" s="52"/>
      <c r="H604" s="52"/>
    </row>
    <row r="605" spans="1:8" ht="15.75">
      <c r="A605" s="124">
        <v>40311</v>
      </c>
      <c r="B605" s="125">
        <v>37.799999999999997</v>
      </c>
      <c r="C605" s="52"/>
      <c r="D605" s="52"/>
      <c r="E605" s="52"/>
      <c r="F605" s="52"/>
      <c r="G605" s="52"/>
      <c r="H605" s="52"/>
    </row>
    <row r="606" spans="1:8" ht="15.75">
      <c r="A606" s="124">
        <v>40312</v>
      </c>
      <c r="B606" s="125">
        <v>36.78</v>
      </c>
      <c r="C606" s="52"/>
      <c r="D606" s="52"/>
      <c r="E606" s="52"/>
      <c r="F606" s="52"/>
      <c r="G606" s="52"/>
      <c r="H606" s="52"/>
    </row>
    <row r="607" spans="1:8" ht="15.75">
      <c r="A607" s="124">
        <v>40315</v>
      </c>
      <c r="B607" s="125">
        <v>37.5</v>
      </c>
      <c r="C607" s="52"/>
      <c r="D607" s="52"/>
      <c r="E607" s="52"/>
      <c r="F607" s="52"/>
      <c r="G607" s="52"/>
      <c r="H607" s="52"/>
    </row>
    <row r="608" spans="1:8" ht="15.75">
      <c r="A608" s="124">
        <v>40316</v>
      </c>
      <c r="B608" s="125">
        <v>37.15</v>
      </c>
      <c r="C608" s="52"/>
      <c r="D608" s="52"/>
      <c r="E608" s="52"/>
      <c r="F608" s="52"/>
      <c r="G608" s="52"/>
      <c r="H608" s="52"/>
    </row>
    <row r="609" spans="1:8" ht="15.75">
      <c r="A609" s="124">
        <v>40317</v>
      </c>
      <c r="B609" s="125">
        <v>36.340000000000003</v>
      </c>
      <c r="C609" s="52"/>
      <c r="D609" s="52"/>
      <c r="E609" s="52"/>
      <c r="F609" s="52"/>
      <c r="G609" s="52"/>
      <c r="H609" s="52"/>
    </row>
    <row r="610" spans="1:8" ht="15.75">
      <c r="A610" s="124">
        <v>40318</v>
      </c>
      <c r="B610" s="125">
        <v>36.299999999999997</v>
      </c>
      <c r="C610" s="52"/>
      <c r="D610" s="52"/>
      <c r="E610" s="52"/>
      <c r="F610" s="52"/>
      <c r="G610" s="52"/>
      <c r="H610" s="52"/>
    </row>
    <row r="611" spans="1:8" ht="15.75">
      <c r="A611" s="124">
        <v>40319</v>
      </c>
      <c r="B611" s="125">
        <v>33.08</v>
      </c>
      <c r="C611" s="52"/>
      <c r="D611" s="52"/>
      <c r="E611" s="52"/>
      <c r="F611" s="52"/>
      <c r="G611" s="52"/>
      <c r="H611" s="52"/>
    </row>
    <row r="612" spans="1:8" ht="15.75">
      <c r="A612" s="124">
        <v>40322</v>
      </c>
      <c r="B612" s="125">
        <v>35.119999999999997</v>
      </c>
      <c r="C612" s="52"/>
      <c r="D612" s="52"/>
      <c r="E612" s="52"/>
      <c r="F612" s="52"/>
      <c r="G612" s="52"/>
      <c r="H612" s="52"/>
    </row>
    <row r="613" spans="1:8" ht="15.75">
      <c r="A613" s="124">
        <v>40323</v>
      </c>
      <c r="B613" s="125">
        <v>33.200000000000003</v>
      </c>
      <c r="C613" s="52"/>
      <c r="D613" s="52"/>
      <c r="E613" s="52"/>
      <c r="F613" s="52"/>
      <c r="G613" s="52"/>
      <c r="H613" s="52"/>
    </row>
    <row r="614" spans="1:8" ht="15.75">
      <c r="A614" s="124">
        <v>40324</v>
      </c>
      <c r="B614" s="125">
        <v>35.354999999999997</v>
      </c>
      <c r="C614" s="52"/>
      <c r="D614" s="52"/>
      <c r="E614" s="52"/>
      <c r="F614" s="52"/>
      <c r="G614" s="52"/>
      <c r="H614" s="52"/>
    </row>
    <row r="615" spans="1:8" ht="15.75">
      <c r="A615" s="124">
        <v>40325</v>
      </c>
      <c r="B615" s="125">
        <v>35.71</v>
      </c>
      <c r="C615" s="52"/>
      <c r="D615" s="52"/>
      <c r="E615" s="52"/>
      <c r="F615" s="52"/>
      <c r="G615" s="52"/>
      <c r="H615" s="52"/>
    </row>
    <row r="616" spans="1:8" ht="15.75">
      <c r="A616" s="124">
        <v>40326</v>
      </c>
      <c r="B616" s="125">
        <v>36.9</v>
      </c>
      <c r="C616" s="52"/>
      <c r="D616" s="52"/>
      <c r="E616" s="52"/>
      <c r="F616" s="52"/>
      <c r="G616" s="52"/>
      <c r="H616" s="52"/>
    </row>
    <row r="617" spans="1:8" ht="15.75">
      <c r="A617" s="124">
        <v>40329</v>
      </c>
      <c r="B617" s="125">
        <v>36.380000000000003</v>
      </c>
      <c r="C617" s="52"/>
      <c r="D617" s="52"/>
      <c r="E617" s="52"/>
      <c r="F617" s="52"/>
      <c r="G617" s="52"/>
      <c r="H617" s="52"/>
    </row>
    <row r="618" spans="1:8" ht="15.75">
      <c r="A618" s="124">
        <v>40330</v>
      </c>
      <c r="B618" s="125">
        <v>36.119999999999997</v>
      </c>
      <c r="C618" s="52"/>
      <c r="D618" s="52"/>
      <c r="E618" s="52"/>
      <c r="F618" s="52"/>
      <c r="G618" s="52"/>
      <c r="H618" s="52"/>
    </row>
    <row r="619" spans="1:8" ht="15.75">
      <c r="A619" s="124">
        <v>40331</v>
      </c>
      <c r="B619" s="125">
        <v>35.92</v>
      </c>
      <c r="C619" s="52"/>
      <c r="D619" s="52"/>
      <c r="E619" s="52"/>
      <c r="F619" s="52"/>
      <c r="G619" s="52"/>
      <c r="H619" s="52"/>
    </row>
    <row r="620" spans="1:8" ht="15.75">
      <c r="A620" s="124">
        <v>40332</v>
      </c>
      <c r="B620" s="125">
        <v>35.94</v>
      </c>
      <c r="C620" s="52"/>
      <c r="D620" s="52"/>
      <c r="E620" s="52"/>
      <c r="F620" s="52"/>
      <c r="G620" s="52"/>
      <c r="H620" s="52"/>
    </row>
    <row r="621" spans="1:8" ht="15.75">
      <c r="A621" s="124">
        <v>40333</v>
      </c>
      <c r="B621" s="125">
        <v>35.86</v>
      </c>
      <c r="C621" s="52"/>
      <c r="D621" s="52"/>
      <c r="E621" s="52"/>
      <c r="F621" s="52"/>
      <c r="G621" s="52"/>
      <c r="H621" s="52"/>
    </row>
    <row r="622" spans="1:8" ht="15.75">
      <c r="A622" s="124">
        <v>40336</v>
      </c>
      <c r="B622" s="125">
        <v>34.299999999999997</v>
      </c>
      <c r="C622" s="52"/>
      <c r="D622" s="52"/>
      <c r="E622" s="52"/>
      <c r="F622" s="52"/>
      <c r="G622" s="52"/>
      <c r="H622" s="52"/>
    </row>
    <row r="623" spans="1:8" ht="15.75">
      <c r="A623" s="124">
        <v>40337</v>
      </c>
      <c r="B623" s="125">
        <v>34.265000000000001</v>
      </c>
      <c r="C623" s="52"/>
      <c r="D623" s="52"/>
      <c r="E623" s="52"/>
      <c r="F623" s="52"/>
      <c r="G623" s="52"/>
      <c r="H623" s="52"/>
    </row>
    <row r="624" spans="1:8" ht="15.75">
      <c r="A624" s="124">
        <v>40338</v>
      </c>
      <c r="B624" s="125">
        <v>35.07</v>
      </c>
      <c r="C624" s="52"/>
      <c r="D624" s="52"/>
      <c r="E624" s="52"/>
      <c r="F624" s="52"/>
      <c r="G624" s="52"/>
      <c r="H624" s="52"/>
    </row>
    <row r="625" spans="1:8" ht="15.75">
      <c r="A625" s="124">
        <v>40339</v>
      </c>
      <c r="B625" s="125">
        <v>34.89</v>
      </c>
      <c r="C625" s="52"/>
      <c r="D625" s="52"/>
      <c r="E625" s="52"/>
      <c r="F625" s="52"/>
      <c r="G625" s="52"/>
      <c r="H625" s="52"/>
    </row>
    <row r="626" spans="1:8" ht="15.75">
      <c r="A626" s="124">
        <v>40340</v>
      </c>
      <c r="B626" s="125">
        <v>36.229999999999997</v>
      </c>
      <c r="C626" s="52"/>
      <c r="D626" s="52"/>
      <c r="E626" s="52"/>
      <c r="F626" s="52"/>
      <c r="G626" s="52"/>
      <c r="H626" s="52"/>
    </row>
    <row r="627" spans="1:8" ht="15.75">
      <c r="A627" s="124">
        <v>40343</v>
      </c>
      <c r="B627" s="125">
        <v>36.58</v>
      </c>
      <c r="C627" s="52"/>
      <c r="D627" s="52"/>
      <c r="E627" s="52"/>
      <c r="F627" s="52"/>
      <c r="G627" s="52"/>
      <c r="H627" s="52"/>
    </row>
    <row r="628" spans="1:8" ht="15.75">
      <c r="A628" s="124">
        <v>40344</v>
      </c>
      <c r="B628" s="125">
        <v>36.549999999999997</v>
      </c>
      <c r="C628" s="52"/>
      <c r="D628" s="52"/>
      <c r="E628" s="52"/>
      <c r="F628" s="52"/>
      <c r="G628" s="52"/>
      <c r="H628" s="52"/>
    </row>
    <row r="629" spans="1:8" ht="15.75">
      <c r="A629" s="124">
        <v>40345</v>
      </c>
      <c r="B629" s="125">
        <v>37.11</v>
      </c>
      <c r="C629" s="52"/>
      <c r="D629" s="52"/>
      <c r="E629" s="52"/>
      <c r="F629" s="52"/>
      <c r="G629" s="52"/>
      <c r="H629" s="52"/>
    </row>
    <row r="630" spans="1:8" ht="15.75">
      <c r="A630" s="124">
        <v>40346</v>
      </c>
      <c r="B630" s="125">
        <v>36.86</v>
      </c>
      <c r="C630" s="52"/>
      <c r="D630" s="52"/>
      <c r="E630" s="52"/>
      <c r="F630" s="52"/>
      <c r="G630" s="52"/>
      <c r="H630" s="52"/>
    </row>
    <row r="631" spans="1:8" ht="15.75">
      <c r="A631" s="124">
        <v>40347</v>
      </c>
      <c r="B631" s="125">
        <v>37.01</v>
      </c>
      <c r="C631" s="52"/>
      <c r="D631" s="52"/>
      <c r="E631" s="52"/>
      <c r="F631" s="52"/>
      <c r="G631" s="52"/>
      <c r="H631" s="52"/>
    </row>
    <row r="632" spans="1:8" ht="15.75">
      <c r="A632" s="124">
        <v>40350</v>
      </c>
      <c r="B632" s="125">
        <v>37.229999999999997</v>
      </c>
      <c r="C632" s="52"/>
      <c r="D632" s="52"/>
      <c r="E632" s="52"/>
      <c r="F632" s="52"/>
      <c r="G632" s="52"/>
      <c r="H632" s="52"/>
    </row>
    <row r="633" spans="1:8" ht="15.75">
      <c r="A633" s="124">
        <v>40351</v>
      </c>
      <c r="B633" s="125">
        <v>36.64</v>
      </c>
      <c r="C633" s="52"/>
      <c r="D633" s="52"/>
      <c r="E633" s="52"/>
      <c r="F633" s="52"/>
      <c r="G633" s="52"/>
      <c r="H633" s="52"/>
    </row>
    <row r="634" spans="1:8" ht="15.75">
      <c r="A634" s="124">
        <v>40352</v>
      </c>
      <c r="B634" s="125">
        <v>35.53</v>
      </c>
      <c r="C634" s="52"/>
      <c r="D634" s="52"/>
      <c r="E634" s="52"/>
      <c r="F634" s="52"/>
      <c r="G634" s="52"/>
      <c r="H634" s="52"/>
    </row>
    <row r="635" spans="1:8" ht="15.75">
      <c r="A635" s="124">
        <v>40353</v>
      </c>
      <c r="B635" s="125">
        <v>35.11</v>
      </c>
      <c r="C635" s="52"/>
      <c r="D635" s="52"/>
      <c r="E635" s="52"/>
      <c r="F635" s="52"/>
      <c r="G635" s="52"/>
      <c r="H635" s="52"/>
    </row>
    <row r="636" spans="1:8" ht="15.75">
      <c r="A636" s="124">
        <v>40354</v>
      </c>
      <c r="B636" s="125">
        <v>35.200000000000003</v>
      </c>
      <c r="C636" s="52"/>
      <c r="D636" s="52"/>
      <c r="E636" s="52"/>
      <c r="F636" s="52"/>
      <c r="G636" s="52"/>
      <c r="H636" s="52"/>
    </row>
    <row r="637" spans="1:8" ht="15.75">
      <c r="A637" s="124">
        <v>40357</v>
      </c>
      <c r="B637" s="125">
        <v>35.950000000000003</v>
      </c>
      <c r="C637" s="52"/>
      <c r="D637" s="52"/>
      <c r="E637" s="52"/>
      <c r="F637" s="52"/>
      <c r="G637" s="52"/>
      <c r="H637" s="52"/>
    </row>
    <row r="638" spans="1:8" ht="15.75">
      <c r="A638" s="124">
        <v>40358</v>
      </c>
      <c r="B638" s="125">
        <v>35.200000000000003</v>
      </c>
      <c r="C638" s="52"/>
      <c r="D638" s="52"/>
      <c r="E638" s="52"/>
      <c r="F638" s="52"/>
      <c r="G638" s="52"/>
      <c r="H638" s="52"/>
    </row>
    <row r="639" spans="1:8" ht="15.75">
      <c r="A639" s="124">
        <v>40359</v>
      </c>
      <c r="B639" s="125">
        <v>34.24</v>
      </c>
      <c r="C639" s="52"/>
      <c r="D639" s="52"/>
      <c r="E639" s="52"/>
      <c r="F639" s="52"/>
      <c r="G639" s="52"/>
      <c r="H639" s="52"/>
    </row>
    <row r="640" spans="1:8" ht="15.75">
      <c r="A640" s="124">
        <v>40360</v>
      </c>
      <c r="B640" s="125">
        <v>33.44</v>
      </c>
      <c r="C640" s="52"/>
      <c r="D640" s="52"/>
      <c r="E640" s="52"/>
      <c r="F640" s="52"/>
      <c r="G640" s="52"/>
      <c r="H640" s="52"/>
    </row>
    <row r="641" spans="1:8" ht="15.75">
      <c r="A641" s="124">
        <v>40361</v>
      </c>
      <c r="B641" s="125">
        <v>32.18</v>
      </c>
      <c r="C641" s="52"/>
      <c r="D641" s="52"/>
      <c r="E641" s="52"/>
      <c r="F641" s="52"/>
      <c r="G641" s="52"/>
      <c r="H641" s="52"/>
    </row>
    <row r="642" spans="1:8" ht="15.75">
      <c r="A642" s="124">
        <v>40364</v>
      </c>
      <c r="B642" s="125">
        <v>32.119999999999997</v>
      </c>
      <c r="C642" s="52"/>
      <c r="D642" s="52"/>
      <c r="E642" s="52"/>
      <c r="F642" s="52"/>
      <c r="G642" s="52"/>
      <c r="H642" s="52"/>
    </row>
    <row r="643" spans="1:8" ht="15.75">
      <c r="A643" s="124">
        <v>40365</v>
      </c>
      <c r="B643" s="125">
        <v>32.380000000000003</v>
      </c>
      <c r="C643" s="52"/>
      <c r="D643" s="52"/>
      <c r="E643" s="52"/>
      <c r="F643" s="52"/>
      <c r="G643" s="52"/>
      <c r="H643" s="52"/>
    </row>
    <row r="644" spans="1:8" ht="15.75">
      <c r="A644" s="124">
        <v>40366</v>
      </c>
      <c r="B644" s="125">
        <v>32.04</v>
      </c>
      <c r="C644" s="52"/>
      <c r="D644" s="52"/>
      <c r="E644" s="52"/>
      <c r="F644" s="52"/>
      <c r="G644" s="52"/>
      <c r="H644" s="52"/>
    </row>
    <row r="645" spans="1:8" ht="15.75">
      <c r="A645" s="124">
        <v>40367</v>
      </c>
      <c r="B645" s="125">
        <v>33.909999999999997</v>
      </c>
      <c r="C645" s="52"/>
      <c r="D645" s="52"/>
      <c r="E645" s="52"/>
      <c r="F645" s="52"/>
      <c r="G645" s="52"/>
      <c r="H645" s="52"/>
    </row>
    <row r="646" spans="1:8" ht="15.75">
      <c r="A646" s="124">
        <v>40368</v>
      </c>
      <c r="B646" s="125">
        <v>34.15</v>
      </c>
      <c r="C646" s="52"/>
      <c r="D646" s="52"/>
      <c r="E646" s="52"/>
      <c r="F646" s="52"/>
      <c r="G646" s="52"/>
      <c r="H646" s="52"/>
    </row>
    <row r="647" spans="1:8" ht="15.75">
      <c r="A647" s="124">
        <v>40371</v>
      </c>
      <c r="B647" s="125">
        <v>34.82</v>
      </c>
      <c r="C647" s="52"/>
      <c r="D647" s="52"/>
      <c r="E647" s="52"/>
      <c r="F647" s="52"/>
      <c r="G647" s="52"/>
      <c r="H647" s="52"/>
    </row>
    <row r="648" spans="1:8" ht="15.75">
      <c r="A648" s="124">
        <v>40372</v>
      </c>
      <c r="B648" s="125">
        <v>35.31</v>
      </c>
      <c r="C648" s="52"/>
      <c r="D648" s="52"/>
      <c r="E648" s="52"/>
      <c r="F648" s="52"/>
      <c r="G648" s="52"/>
      <c r="H648" s="52"/>
    </row>
    <row r="649" spans="1:8" ht="15.75">
      <c r="A649" s="124">
        <v>40373</v>
      </c>
      <c r="B649" s="125">
        <v>34.42</v>
      </c>
      <c r="C649" s="52"/>
      <c r="D649" s="52"/>
      <c r="E649" s="52"/>
      <c r="F649" s="52"/>
      <c r="G649" s="52"/>
      <c r="H649" s="52"/>
    </row>
    <row r="650" spans="1:8" ht="15.75">
      <c r="A650" s="124">
        <v>40374</v>
      </c>
      <c r="B650" s="125">
        <v>34.24</v>
      </c>
      <c r="C650" s="52"/>
      <c r="D650" s="52"/>
      <c r="E650" s="52"/>
      <c r="F650" s="52"/>
      <c r="G650" s="52"/>
      <c r="H650" s="52"/>
    </row>
    <row r="651" spans="1:8" ht="15.75">
      <c r="A651" s="124">
        <v>40375</v>
      </c>
      <c r="B651" s="125">
        <v>33.49</v>
      </c>
      <c r="C651" s="52"/>
      <c r="D651" s="52"/>
      <c r="E651" s="52"/>
      <c r="F651" s="52"/>
      <c r="G651" s="52"/>
      <c r="H651" s="52"/>
    </row>
    <row r="652" spans="1:8" ht="15.75">
      <c r="A652" s="124">
        <v>40378</v>
      </c>
      <c r="B652" s="125">
        <v>32.784999999999997</v>
      </c>
      <c r="C652" s="52"/>
      <c r="D652" s="52"/>
      <c r="E652" s="52"/>
      <c r="F652" s="52"/>
      <c r="G652" s="52"/>
      <c r="H652" s="52"/>
    </row>
    <row r="653" spans="1:8" ht="15.75">
      <c r="A653" s="124">
        <v>40379</v>
      </c>
      <c r="B653" s="125">
        <v>33.274999999999999</v>
      </c>
      <c r="C653" s="52"/>
      <c r="D653" s="52"/>
      <c r="E653" s="52"/>
      <c r="F653" s="52"/>
      <c r="G653" s="52"/>
      <c r="H653" s="52"/>
    </row>
    <row r="654" spans="1:8" ht="15.75">
      <c r="A654" s="124">
        <v>40380</v>
      </c>
      <c r="B654" s="125">
        <v>34.04</v>
      </c>
      <c r="C654" s="52"/>
      <c r="D654" s="52"/>
      <c r="E654" s="52"/>
      <c r="F654" s="52"/>
      <c r="G654" s="52"/>
      <c r="H654" s="52"/>
    </row>
    <row r="655" spans="1:8" ht="15.75">
      <c r="A655" s="124">
        <v>40381</v>
      </c>
      <c r="B655" s="125">
        <v>33.68</v>
      </c>
      <c r="C655" s="52"/>
      <c r="D655" s="52"/>
      <c r="E655" s="52"/>
      <c r="F655" s="52"/>
      <c r="G655" s="52"/>
      <c r="H655" s="52"/>
    </row>
    <row r="656" spans="1:8" ht="15.75">
      <c r="A656" s="124">
        <v>40382</v>
      </c>
      <c r="B656" s="125">
        <v>34.975000000000001</v>
      </c>
      <c r="C656" s="52"/>
      <c r="D656" s="52"/>
      <c r="E656" s="52"/>
      <c r="F656" s="52"/>
      <c r="G656" s="52"/>
      <c r="H656" s="52"/>
    </row>
    <row r="657" spans="1:8" ht="15.75">
      <c r="A657" s="124">
        <v>40385</v>
      </c>
      <c r="B657" s="125">
        <v>34.36</v>
      </c>
      <c r="C657" s="52"/>
      <c r="D657" s="52"/>
      <c r="E657" s="52"/>
      <c r="F657" s="52"/>
      <c r="G657" s="52"/>
      <c r="H657" s="52"/>
    </row>
    <row r="658" spans="1:8" ht="15.75">
      <c r="A658" s="124">
        <v>40386</v>
      </c>
      <c r="B658" s="125">
        <v>35.83</v>
      </c>
      <c r="C658" s="52"/>
      <c r="D658" s="52"/>
      <c r="E658" s="52"/>
      <c r="F658" s="52"/>
      <c r="G658" s="52"/>
      <c r="H658" s="52"/>
    </row>
    <row r="659" spans="1:8" ht="15.75">
      <c r="A659" s="124">
        <v>40387</v>
      </c>
      <c r="B659" s="125">
        <v>35.11</v>
      </c>
      <c r="C659" s="52"/>
      <c r="D659" s="52"/>
      <c r="E659" s="52"/>
      <c r="F659" s="52"/>
      <c r="G659" s="52"/>
      <c r="H659" s="52"/>
    </row>
    <row r="660" spans="1:8" ht="15.75">
      <c r="A660" s="124">
        <v>40388</v>
      </c>
      <c r="B660" s="125">
        <v>35.4</v>
      </c>
      <c r="C660" s="52"/>
      <c r="D660" s="52"/>
      <c r="E660" s="52"/>
      <c r="F660" s="52"/>
      <c r="G660" s="52"/>
      <c r="H660" s="52"/>
    </row>
    <row r="661" spans="1:8" ht="15.75">
      <c r="A661" s="124">
        <v>40389</v>
      </c>
      <c r="B661" s="125">
        <v>34.82</v>
      </c>
      <c r="C661" s="52"/>
      <c r="D661" s="52"/>
      <c r="E661" s="52"/>
      <c r="F661" s="52"/>
      <c r="G661" s="52"/>
      <c r="H661" s="52"/>
    </row>
    <row r="662" spans="1:8" ht="15.75">
      <c r="A662" s="124">
        <v>40392</v>
      </c>
      <c r="B662" s="125">
        <v>35.25</v>
      </c>
      <c r="C662" s="52"/>
      <c r="D662" s="52"/>
      <c r="E662" s="52"/>
      <c r="F662" s="52"/>
      <c r="G662" s="52"/>
      <c r="H662" s="52"/>
    </row>
    <row r="663" spans="1:8" ht="15.75">
      <c r="A663" s="124">
        <v>40393</v>
      </c>
      <c r="B663" s="125">
        <v>34.979999999999997</v>
      </c>
      <c r="C663" s="52"/>
      <c r="D663" s="52"/>
      <c r="E663" s="52"/>
      <c r="F663" s="52"/>
      <c r="G663" s="52"/>
      <c r="H663" s="52"/>
    </row>
    <row r="664" spans="1:8" ht="15.75">
      <c r="A664" s="124">
        <v>40394</v>
      </c>
      <c r="B664" s="125">
        <v>35.17</v>
      </c>
      <c r="C664" s="52"/>
      <c r="D664" s="52"/>
      <c r="E664" s="52"/>
      <c r="F664" s="52"/>
      <c r="G664" s="52"/>
      <c r="H664" s="52"/>
    </row>
    <row r="665" spans="1:8" ht="15.75">
      <c r="A665" s="124">
        <v>40395</v>
      </c>
      <c r="B665" s="125">
        <v>35</v>
      </c>
      <c r="C665" s="52"/>
      <c r="D665" s="52"/>
      <c r="E665" s="52"/>
      <c r="F665" s="52"/>
      <c r="G665" s="52"/>
      <c r="H665" s="52"/>
    </row>
    <row r="666" spans="1:8" ht="15.75">
      <c r="A666" s="124">
        <v>40396</v>
      </c>
      <c r="B666" s="125">
        <v>34.21</v>
      </c>
      <c r="C666" s="52"/>
      <c r="D666" s="52"/>
      <c r="E666" s="52"/>
      <c r="F666" s="52"/>
      <c r="G666" s="52"/>
      <c r="H666" s="52"/>
    </row>
    <row r="667" spans="1:8" ht="15.75">
      <c r="A667" s="124">
        <v>40399</v>
      </c>
      <c r="B667" s="125">
        <v>34.69</v>
      </c>
      <c r="C667" s="52"/>
      <c r="D667" s="52"/>
      <c r="E667" s="52"/>
      <c r="F667" s="52"/>
      <c r="G667" s="52"/>
      <c r="H667" s="52"/>
    </row>
    <row r="668" spans="1:8" ht="15.75">
      <c r="A668" s="124">
        <v>40400</v>
      </c>
      <c r="B668" s="125">
        <v>35.15</v>
      </c>
      <c r="C668" s="52"/>
      <c r="D668" s="52"/>
      <c r="E668" s="52"/>
      <c r="F668" s="52"/>
      <c r="G668" s="52"/>
      <c r="H668" s="52"/>
    </row>
    <row r="669" spans="1:8" ht="15.75">
      <c r="A669" s="124">
        <v>40401</v>
      </c>
      <c r="B669" s="125">
        <v>35.1</v>
      </c>
      <c r="C669" s="52"/>
      <c r="D669" s="52"/>
      <c r="E669" s="52"/>
      <c r="F669" s="52"/>
      <c r="G669" s="52"/>
      <c r="H669" s="52"/>
    </row>
    <row r="670" spans="1:8" ht="15.75">
      <c r="A670" s="124">
        <v>40402</v>
      </c>
      <c r="B670" s="125">
        <v>34.799999999999997</v>
      </c>
      <c r="C670" s="52"/>
      <c r="D670" s="52"/>
      <c r="E670" s="52"/>
      <c r="F670" s="52"/>
      <c r="G670" s="52"/>
      <c r="H670" s="52"/>
    </row>
    <row r="671" spans="1:8" ht="15.75">
      <c r="A671" s="124">
        <v>40403</v>
      </c>
      <c r="B671" s="125">
        <v>34.619999999999997</v>
      </c>
      <c r="C671" s="52"/>
      <c r="D671" s="52"/>
      <c r="E671" s="52"/>
      <c r="F671" s="52"/>
      <c r="G671" s="52"/>
      <c r="H671" s="52"/>
    </row>
    <row r="672" spans="1:8" ht="15.75">
      <c r="A672" s="124">
        <v>40406</v>
      </c>
      <c r="B672" s="125">
        <v>34.729999999999997</v>
      </c>
      <c r="C672" s="52"/>
      <c r="D672" s="52"/>
      <c r="E672" s="52"/>
      <c r="F672" s="52"/>
      <c r="G672" s="52"/>
      <c r="H672" s="52"/>
    </row>
    <row r="673" spans="1:8" ht="15.75">
      <c r="A673" s="124">
        <v>40407</v>
      </c>
      <c r="B673" s="125">
        <v>34.61</v>
      </c>
      <c r="C673" s="52"/>
      <c r="D673" s="52"/>
      <c r="E673" s="52"/>
      <c r="F673" s="52"/>
      <c r="G673" s="52"/>
      <c r="H673" s="52"/>
    </row>
    <row r="674" spans="1:8" ht="15.75">
      <c r="A674" s="124">
        <v>40408</v>
      </c>
      <c r="B674" s="125">
        <v>35.18</v>
      </c>
      <c r="C674" s="52"/>
      <c r="D674" s="52"/>
      <c r="E674" s="52"/>
      <c r="F674" s="52"/>
      <c r="G674" s="52"/>
      <c r="H674" s="52"/>
    </row>
    <row r="675" spans="1:8" ht="15.75">
      <c r="A675" s="124">
        <v>40409</v>
      </c>
      <c r="B675" s="125">
        <v>34.71</v>
      </c>
      <c r="C675" s="52"/>
      <c r="D675" s="52"/>
      <c r="E675" s="52"/>
      <c r="F675" s="52"/>
      <c r="G675" s="52"/>
      <c r="H675" s="52"/>
    </row>
    <row r="676" spans="1:8" ht="15.75">
      <c r="A676" s="124">
        <v>40410</v>
      </c>
      <c r="B676" s="125">
        <v>34.700000000000003</v>
      </c>
      <c r="C676" s="52"/>
      <c r="D676" s="52"/>
      <c r="E676" s="52"/>
      <c r="F676" s="52"/>
      <c r="G676" s="52"/>
      <c r="H676" s="52"/>
    </row>
    <row r="677" spans="1:8" ht="15.75">
      <c r="A677" s="124">
        <v>40413</v>
      </c>
      <c r="B677" s="125">
        <v>35.04</v>
      </c>
      <c r="C677" s="52"/>
      <c r="D677" s="52"/>
      <c r="E677" s="52"/>
      <c r="F677" s="52"/>
      <c r="G677" s="52"/>
      <c r="H677" s="52"/>
    </row>
    <row r="678" spans="1:8" ht="15.75">
      <c r="A678" s="124">
        <v>40414</v>
      </c>
      <c r="B678" s="125">
        <v>34.69</v>
      </c>
      <c r="C678" s="52"/>
      <c r="D678" s="52"/>
      <c r="E678" s="52"/>
      <c r="F678" s="52"/>
      <c r="G678" s="52"/>
      <c r="H678" s="52"/>
    </row>
    <row r="679" spans="1:8" ht="15.75">
      <c r="A679" s="124">
        <v>40415</v>
      </c>
      <c r="B679" s="125">
        <v>34.770000000000003</v>
      </c>
      <c r="C679" s="52"/>
      <c r="D679" s="52"/>
      <c r="E679" s="52"/>
      <c r="F679" s="52"/>
      <c r="G679" s="52"/>
      <c r="H679" s="52"/>
    </row>
    <row r="680" spans="1:8" ht="15.75">
      <c r="A680" s="124">
        <v>40416</v>
      </c>
      <c r="B680" s="125">
        <v>35.44</v>
      </c>
      <c r="C680" s="52"/>
      <c r="D680" s="52"/>
      <c r="E680" s="52"/>
      <c r="F680" s="52"/>
      <c r="G680" s="52"/>
      <c r="H680" s="52"/>
    </row>
    <row r="681" spans="1:8" ht="15.75">
      <c r="A681" s="124">
        <v>40417</v>
      </c>
      <c r="B681" s="125">
        <v>35.119999999999997</v>
      </c>
      <c r="C681" s="52"/>
      <c r="D681" s="52"/>
      <c r="E681" s="52"/>
      <c r="F681" s="52"/>
      <c r="G681" s="52"/>
      <c r="H681" s="52"/>
    </row>
    <row r="682" spans="1:8" ht="15.75">
      <c r="A682" s="124">
        <v>40420</v>
      </c>
      <c r="B682" s="125">
        <v>35.770000000000003</v>
      </c>
      <c r="C682" s="52"/>
      <c r="D682" s="52"/>
      <c r="E682" s="52"/>
      <c r="F682" s="52"/>
      <c r="G682" s="52"/>
      <c r="H682" s="52"/>
    </row>
    <row r="683" spans="1:8" ht="15.75">
      <c r="A683" s="124">
        <v>40421</v>
      </c>
      <c r="B683" s="125">
        <v>35.200000000000003</v>
      </c>
      <c r="C683" s="52"/>
      <c r="D683" s="52"/>
      <c r="E683" s="52"/>
      <c r="F683" s="52"/>
      <c r="G683" s="52"/>
      <c r="H683" s="52"/>
    </row>
    <row r="684" spans="1:8" ht="15.75">
      <c r="A684" s="124">
        <v>40422</v>
      </c>
      <c r="B684" s="125">
        <v>35.96</v>
      </c>
      <c r="C684" s="52"/>
      <c r="D684" s="52"/>
      <c r="E684" s="52"/>
      <c r="F684" s="52"/>
      <c r="G684" s="52"/>
      <c r="H684" s="52"/>
    </row>
    <row r="685" spans="1:8" ht="15.75">
      <c r="A685" s="124">
        <v>40423</v>
      </c>
      <c r="B685" s="125">
        <v>37.020000000000003</v>
      </c>
      <c r="C685" s="52"/>
      <c r="D685" s="52"/>
      <c r="E685" s="52"/>
      <c r="F685" s="52"/>
      <c r="G685" s="52"/>
      <c r="H685" s="52"/>
    </row>
    <row r="686" spans="1:8" ht="15.75">
      <c r="A686" s="124">
        <v>40424</v>
      </c>
      <c r="B686" s="125">
        <v>37.4</v>
      </c>
      <c r="C686" s="52"/>
      <c r="D686" s="52"/>
      <c r="E686" s="52"/>
      <c r="F686" s="52"/>
      <c r="G686" s="52"/>
      <c r="H686" s="52"/>
    </row>
    <row r="687" spans="1:8" ht="15.75">
      <c r="A687" s="124">
        <v>40427</v>
      </c>
      <c r="B687" s="125">
        <v>37.604999999999997</v>
      </c>
      <c r="C687" s="52"/>
      <c r="D687" s="52"/>
      <c r="E687" s="52"/>
      <c r="F687" s="52"/>
      <c r="G687" s="52"/>
      <c r="H687" s="52"/>
    </row>
    <row r="688" spans="1:8" ht="15.75">
      <c r="A688" s="124">
        <v>40428</v>
      </c>
      <c r="B688" s="125">
        <v>37.67</v>
      </c>
      <c r="C688" s="52"/>
      <c r="D688" s="52"/>
      <c r="E688" s="52"/>
      <c r="F688" s="52"/>
      <c r="G688" s="52"/>
      <c r="H688" s="52"/>
    </row>
    <row r="689" spans="1:8" ht="15.75">
      <c r="A689" s="124">
        <v>40429</v>
      </c>
      <c r="B689" s="125">
        <v>37.78</v>
      </c>
      <c r="C689" s="52"/>
      <c r="D689" s="52"/>
      <c r="E689" s="52"/>
      <c r="F689" s="52"/>
      <c r="G689" s="52"/>
      <c r="H689" s="52"/>
    </row>
    <row r="690" spans="1:8" ht="15.75">
      <c r="A690" s="124">
        <v>40430</v>
      </c>
      <c r="B690" s="125">
        <v>37.47</v>
      </c>
      <c r="C690" s="52"/>
      <c r="D690" s="52"/>
      <c r="E690" s="52"/>
      <c r="F690" s="52"/>
      <c r="G690" s="52"/>
      <c r="H690" s="52"/>
    </row>
    <row r="691" spans="1:8" ht="15.75">
      <c r="A691" s="124">
        <v>40431</v>
      </c>
      <c r="B691" s="125">
        <v>37.119999999999997</v>
      </c>
      <c r="C691" s="52"/>
      <c r="D691" s="52"/>
      <c r="E691" s="52"/>
      <c r="F691" s="52"/>
      <c r="G691" s="52"/>
      <c r="H691" s="52"/>
    </row>
    <row r="692" spans="1:8" ht="15.75">
      <c r="A692" s="124">
        <v>40434</v>
      </c>
      <c r="B692" s="125">
        <v>37.270000000000003</v>
      </c>
      <c r="C692" s="52"/>
      <c r="D692" s="52"/>
      <c r="E692" s="52"/>
      <c r="F692" s="52"/>
      <c r="G692" s="52"/>
      <c r="H692" s="52"/>
    </row>
    <row r="693" spans="1:8" ht="15.75">
      <c r="A693" s="124">
        <v>40435</v>
      </c>
      <c r="B693" s="125">
        <v>36.520000000000003</v>
      </c>
      <c r="C693" s="52"/>
      <c r="D693" s="52"/>
      <c r="E693" s="52"/>
      <c r="F693" s="52"/>
      <c r="G693" s="52"/>
      <c r="H693" s="52"/>
    </row>
    <row r="694" spans="1:8" ht="15.75">
      <c r="A694" s="124">
        <v>40436</v>
      </c>
      <c r="B694" s="125">
        <v>36.68</v>
      </c>
      <c r="C694" s="52"/>
      <c r="D694" s="52"/>
      <c r="E694" s="52"/>
      <c r="F694" s="52"/>
      <c r="G694" s="52"/>
      <c r="H694" s="52"/>
    </row>
    <row r="695" spans="1:8" ht="15.75">
      <c r="A695" s="124">
        <v>40437</v>
      </c>
      <c r="B695" s="125">
        <v>36.83</v>
      </c>
      <c r="C695" s="52"/>
      <c r="D695" s="52"/>
      <c r="E695" s="52"/>
      <c r="F695" s="52"/>
      <c r="G695" s="52"/>
      <c r="H695" s="52"/>
    </row>
    <row r="696" spans="1:8" ht="15.75">
      <c r="A696" s="124">
        <v>40438</v>
      </c>
      <c r="B696" s="125">
        <v>37.200000000000003</v>
      </c>
      <c r="C696" s="52"/>
      <c r="D696" s="52"/>
      <c r="E696" s="52"/>
      <c r="F696" s="52"/>
      <c r="G696" s="52"/>
      <c r="H696" s="52"/>
    </row>
    <row r="697" spans="1:8" ht="15.75">
      <c r="A697" s="124">
        <v>40441</v>
      </c>
      <c r="B697" s="125">
        <v>37.39</v>
      </c>
      <c r="C697" s="52"/>
      <c r="D697" s="52"/>
      <c r="E697" s="52"/>
      <c r="F697" s="52"/>
      <c r="G697" s="52"/>
      <c r="H697" s="52"/>
    </row>
    <row r="698" spans="1:8" ht="15.75">
      <c r="A698" s="124">
        <v>40442</v>
      </c>
      <c r="B698" s="125">
        <v>37.729999999999997</v>
      </c>
      <c r="C698" s="52"/>
      <c r="D698" s="52"/>
      <c r="E698" s="52"/>
      <c r="F698" s="52"/>
      <c r="G698" s="52"/>
      <c r="H698" s="52"/>
    </row>
    <row r="699" spans="1:8" ht="15.75">
      <c r="A699" s="124">
        <v>40443</v>
      </c>
      <c r="B699" s="125">
        <v>36.4</v>
      </c>
      <c r="C699" s="52"/>
      <c r="D699" s="52"/>
      <c r="E699" s="52"/>
      <c r="F699" s="52"/>
      <c r="G699" s="52"/>
      <c r="H699" s="52"/>
    </row>
    <row r="700" spans="1:8" ht="15.75">
      <c r="A700" s="124">
        <v>40444</v>
      </c>
      <c r="B700" s="125">
        <v>36.03</v>
      </c>
      <c r="C700" s="52"/>
      <c r="D700" s="52"/>
      <c r="E700" s="52"/>
      <c r="F700" s="52"/>
      <c r="G700" s="52"/>
      <c r="H700" s="52"/>
    </row>
    <row r="701" spans="1:8" ht="15.75">
      <c r="A701" s="124">
        <v>40445</v>
      </c>
      <c r="B701" s="125">
        <v>36.200000000000003</v>
      </c>
      <c r="C701" s="52"/>
      <c r="D701" s="52"/>
      <c r="E701" s="52"/>
      <c r="F701" s="52"/>
      <c r="G701" s="52"/>
      <c r="H701" s="52"/>
    </row>
    <row r="702" spans="1:8" ht="15.75">
      <c r="A702" s="124">
        <v>40448</v>
      </c>
      <c r="B702" s="125">
        <v>35.880000000000003</v>
      </c>
      <c r="C702" s="52"/>
      <c r="D702" s="52"/>
      <c r="E702" s="52"/>
      <c r="F702" s="52"/>
      <c r="G702" s="52"/>
      <c r="H702" s="52"/>
    </row>
    <row r="703" spans="1:8" ht="15.75">
      <c r="A703" s="124">
        <v>40449</v>
      </c>
      <c r="B703" s="125">
        <v>34.78</v>
      </c>
      <c r="C703" s="52"/>
      <c r="D703" s="52"/>
      <c r="E703" s="52"/>
      <c r="F703" s="52"/>
      <c r="G703" s="52"/>
      <c r="H703" s="52"/>
    </row>
    <row r="704" spans="1:8" ht="15.75">
      <c r="A704" s="124">
        <v>40450</v>
      </c>
      <c r="B704" s="125">
        <v>34.76</v>
      </c>
      <c r="C704" s="52"/>
      <c r="D704" s="52"/>
      <c r="E704" s="52"/>
      <c r="F704" s="52"/>
      <c r="G704" s="52"/>
      <c r="H704" s="52"/>
    </row>
    <row r="705" spans="1:8" ht="15.75">
      <c r="A705" s="124">
        <v>40451</v>
      </c>
      <c r="B705" s="125">
        <v>34.700000000000003</v>
      </c>
      <c r="C705" s="52"/>
      <c r="D705" s="52"/>
      <c r="E705" s="52"/>
      <c r="F705" s="52"/>
      <c r="G705" s="52"/>
      <c r="H705" s="52"/>
    </row>
    <row r="706" spans="1:8" ht="15.75">
      <c r="A706" s="124">
        <v>40452</v>
      </c>
      <c r="B706" s="125">
        <v>34.57</v>
      </c>
      <c r="C706" s="52"/>
      <c r="D706" s="52"/>
      <c r="E706" s="52"/>
      <c r="F706" s="52"/>
      <c r="G706" s="52"/>
      <c r="H706" s="52"/>
    </row>
    <row r="707" spans="1:8" ht="15.75">
      <c r="A707" s="124">
        <v>40455</v>
      </c>
      <c r="B707" s="125">
        <v>34.76</v>
      </c>
      <c r="C707" s="52"/>
      <c r="D707" s="52"/>
      <c r="E707" s="52"/>
      <c r="F707" s="52"/>
      <c r="G707" s="52"/>
      <c r="H707" s="52"/>
    </row>
    <row r="708" spans="1:8" ht="15.75">
      <c r="A708" s="124">
        <v>40456</v>
      </c>
      <c r="B708" s="125">
        <v>34.71</v>
      </c>
      <c r="C708" s="52"/>
      <c r="D708" s="52"/>
      <c r="E708" s="52"/>
      <c r="F708" s="52"/>
      <c r="G708" s="52"/>
      <c r="H708" s="52"/>
    </row>
    <row r="709" spans="1:8" ht="15.75">
      <c r="A709" s="124">
        <v>40457</v>
      </c>
      <c r="B709" s="125">
        <v>34.880000000000003</v>
      </c>
      <c r="C709" s="52"/>
      <c r="D709" s="52"/>
      <c r="E709" s="52"/>
      <c r="F709" s="52"/>
      <c r="G709" s="52"/>
      <c r="H709" s="52"/>
    </row>
    <row r="710" spans="1:8" ht="15.75">
      <c r="A710" s="124">
        <v>40458</v>
      </c>
      <c r="B710" s="125">
        <v>34.58</v>
      </c>
      <c r="C710" s="52"/>
      <c r="D710" s="52"/>
      <c r="E710" s="52"/>
      <c r="F710" s="52"/>
      <c r="G710" s="52"/>
      <c r="H710" s="52"/>
    </row>
    <row r="711" spans="1:8" ht="15.75">
      <c r="A711" s="124">
        <v>40459</v>
      </c>
      <c r="B711" s="125">
        <v>34.57</v>
      </c>
      <c r="C711" s="52"/>
      <c r="D711" s="52"/>
      <c r="E711" s="52"/>
      <c r="F711" s="52"/>
      <c r="G711" s="52"/>
      <c r="H711" s="52"/>
    </row>
    <row r="712" spans="1:8" ht="15.75">
      <c r="A712" s="124">
        <v>40462</v>
      </c>
      <c r="B712" s="125">
        <v>34.549999999999997</v>
      </c>
      <c r="C712" s="52"/>
      <c r="D712" s="52"/>
      <c r="E712" s="52"/>
      <c r="F712" s="52"/>
      <c r="G712" s="52"/>
      <c r="H712" s="52"/>
    </row>
    <row r="713" spans="1:8" ht="15.75">
      <c r="A713" s="124">
        <v>40463</v>
      </c>
      <c r="B713" s="125">
        <v>34.840000000000003</v>
      </c>
      <c r="C713" s="52"/>
      <c r="D713" s="52"/>
      <c r="E713" s="52"/>
      <c r="F713" s="52"/>
      <c r="G713" s="52"/>
      <c r="H713" s="52"/>
    </row>
    <row r="714" spans="1:8" ht="15.75">
      <c r="A714" s="124">
        <v>40464</v>
      </c>
      <c r="B714" s="125">
        <v>35.479999999999997</v>
      </c>
      <c r="C714" s="52"/>
      <c r="D714" s="52"/>
      <c r="E714" s="52"/>
      <c r="F714" s="52"/>
      <c r="G714" s="52"/>
      <c r="H714" s="52"/>
    </row>
    <row r="715" spans="1:8" ht="15.75">
      <c r="A715" s="124">
        <v>40465</v>
      </c>
      <c r="B715" s="125">
        <v>35.08</v>
      </c>
      <c r="C715" s="52"/>
      <c r="D715" s="52"/>
      <c r="E715" s="52"/>
      <c r="F715" s="52"/>
      <c r="G715" s="52"/>
      <c r="H715" s="52"/>
    </row>
    <row r="716" spans="1:8" ht="15.75">
      <c r="A716" s="124">
        <v>40466</v>
      </c>
      <c r="B716" s="125">
        <v>35.4</v>
      </c>
      <c r="C716" s="52"/>
      <c r="D716" s="52"/>
      <c r="E716" s="52"/>
      <c r="F716" s="52"/>
      <c r="G716" s="52"/>
      <c r="H716" s="52"/>
    </row>
    <row r="717" spans="1:8" ht="15.75">
      <c r="A717" s="124">
        <v>40469</v>
      </c>
      <c r="B717" s="125">
        <v>35.765000000000001</v>
      </c>
      <c r="C717" s="52"/>
      <c r="D717" s="52"/>
      <c r="E717" s="52"/>
      <c r="F717" s="52"/>
      <c r="G717" s="52"/>
      <c r="H717" s="52"/>
    </row>
    <row r="718" spans="1:8" ht="15.75">
      <c r="A718" s="124">
        <v>40470</v>
      </c>
      <c r="B718" s="125">
        <v>36.164999999999999</v>
      </c>
      <c r="C718" s="52"/>
      <c r="D718" s="52"/>
      <c r="E718" s="52"/>
      <c r="F718" s="52"/>
      <c r="G718" s="52"/>
      <c r="H718" s="52"/>
    </row>
    <row r="719" spans="1:8" ht="15.75">
      <c r="A719" s="124">
        <v>40471</v>
      </c>
      <c r="B719" s="125">
        <v>36.494999999999997</v>
      </c>
      <c r="C719" s="52"/>
      <c r="D719" s="52"/>
      <c r="E719" s="52"/>
      <c r="F719" s="52"/>
      <c r="G719" s="52"/>
      <c r="H719" s="52"/>
    </row>
    <row r="720" spans="1:8" ht="15.75">
      <c r="A720" s="124">
        <v>40472</v>
      </c>
      <c r="B720" s="125">
        <v>36.664999999999999</v>
      </c>
      <c r="C720" s="52"/>
      <c r="D720" s="52"/>
      <c r="E720" s="52"/>
      <c r="F720" s="52"/>
      <c r="G720" s="52"/>
      <c r="H720" s="52"/>
    </row>
    <row r="721" spans="1:8" ht="15.75">
      <c r="A721" s="124">
        <v>40473</v>
      </c>
      <c r="B721" s="125">
        <v>36.409999999999997</v>
      </c>
      <c r="C721" s="52"/>
      <c r="D721" s="52"/>
      <c r="E721" s="52"/>
      <c r="F721" s="52"/>
      <c r="G721" s="52"/>
      <c r="H721" s="52"/>
    </row>
    <row r="722" spans="1:8" ht="15.75">
      <c r="A722" s="124">
        <v>40476</v>
      </c>
      <c r="B722" s="125">
        <v>36.29</v>
      </c>
      <c r="C722" s="52"/>
      <c r="D722" s="52"/>
      <c r="E722" s="52"/>
      <c r="F722" s="52"/>
      <c r="G722" s="52"/>
      <c r="H722" s="52"/>
    </row>
    <row r="723" spans="1:8" ht="15.75">
      <c r="A723" s="124">
        <v>40477</v>
      </c>
      <c r="B723" s="125">
        <v>35.81</v>
      </c>
      <c r="C723" s="52"/>
      <c r="D723" s="52"/>
      <c r="E723" s="52"/>
      <c r="F723" s="52"/>
      <c r="G723" s="52"/>
      <c r="H723" s="52"/>
    </row>
    <row r="724" spans="1:8" ht="15.75">
      <c r="A724" s="124">
        <v>40478</v>
      </c>
      <c r="B724" s="125">
        <v>35.695</v>
      </c>
      <c r="C724" s="52"/>
      <c r="D724" s="52"/>
      <c r="E724" s="52"/>
      <c r="F724" s="52"/>
      <c r="G724" s="52"/>
      <c r="H724" s="52"/>
    </row>
    <row r="725" spans="1:8" ht="15.75">
      <c r="A725" s="124">
        <v>40479</v>
      </c>
      <c r="B725" s="125">
        <v>35.700000000000003</v>
      </c>
      <c r="C725" s="52"/>
      <c r="D725" s="52"/>
      <c r="E725" s="52"/>
      <c r="F725" s="52"/>
      <c r="G725" s="52"/>
      <c r="H725" s="52"/>
    </row>
    <row r="726" spans="1:8" ht="15.75">
      <c r="A726" s="124">
        <v>40480</v>
      </c>
      <c r="B726" s="125">
        <v>34.94</v>
      </c>
      <c r="C726" s="52"/>
      <c r="D726" s="52"/>
      <c r="E726" s="52"/>
      <c r="F726" s="52"/>
      <c r="G726" s="52"/>
      <c r="H726" s="52"/>
    </row>
    <row r="727" spans="1:8" ht="15.75">
      <c r="A727" s="124">
        <v>40483</v>
      </c>
      <c r="B727" s="125">
        <v>35.229999999999997</v>
      </c>
      <c r="C727" s="52"/>
      <c r="D727" s="52"/>
      <c r="E727" s="52"/>
      <c r="F727" s="52"/>
      <c r="G727" s="52"/>
      <c r="H727" s="52"/>
    </row>
    <row r="728" spans="1:8" ht="15.75">
      <c r="A728" s="124">
        <v>40484</v>
      </c>
      <c r="B728" s="125">
        <v>34.56</v>
      </c>
      <c r="C728" s="52"/>
      <c r="D728" s="52"/>
      <c r="E728" s="52"/>
      <c r="F728" s="52"/>
      <c r="G728" s="52"/>
      <c r="H728" s="52"/>
    </row>
    <row r="729" spans="1:8" ht="15.75">
      <c r="A729" s="124">
        <v>40485</v>
      </c>
      <c r="B729" s="125">
        <v>34.659999999999997</v>
      </c>
      <c r="C729" s="52"/>
      <c r="D729" s="52"/>
      <c r="E729" s="52"/>
      <c r="F729" s="52"/>
      <c r="G729" s="52"/>
      <c r="H729" s="52"/>
    </row>
    <row r="730" spans="1:8" ht="15.75">
      <c r="A730" s="124">
        <v>40486</v>
      </c>
      <c r="B730" s="125">
        <v>34.18</v>
      </c>
      <c r="C730" s="52"/>
      <c r="D730" s="52"/>
      <c r="E730" s="52"/>
      <c r="F730" s="52"/>
      <c r="G730" s="52"/>
      <c r="H730" s="52"/>
    </row>
    <row r="731" spans="1:8" ht="15.75">
      <c r="A731" s="124">
        <v>40487</v>
      </c>
      <c r="B731" s="125">
        <v>35.28</v>
      </c>
      <c r="C731" s="52"/>
      <c r="D731" s="52"/>
      <c r="E731" s="52"/>
      <c r="F731" s="52"/>
      <c r="G731" s="52"/>
      <c r="H731" s="52"/>
    </row>
    <row r="732" spans="1:8" ht="15.75">
      <c r="A732" s="124">
        <v>40490</v>
      </c>
      <c r="B732" s="125">
        <v>36.04</v>
      </c>
      <c r="C732" s="52"/>
      <c r="D732" s="52"/>
      <c r="E732" s="52"/>
      <c r="F732" s="52"/>
      <c r="G732" s="52"/>
      <c r="H732" s="52"/>
    </row>
    <row r="733" spans="1:8" ht="15.75">
      <c r="A733" s="124">
        <v>40491</v>
      </c>
      <c r="B733" s="125">
        <v>35.5</v>
      </c>
      <c r="C733" s="52"/>
      <c r="D733" s="52"/>
      <c r="E733" s="52"/>
      <c r="F733" s="52"/>
      <c r="G733" s="52"/>
      <c r="H733" s="52"/>
    </row>
    <row r="734" spans="1:8" ht="15.75">
      <c r="A734" s="124">
        <v>40492</v>
      </c>
      <c r="B734" s="125">
        <v>35.82</v>
      </c>
      <c r="C734" s="52"/>
      <c r="D734" s="52"/>
      <c r="E734" s="52"/>
      <c r="F734" s="52"/>
      <c r="G734" s="52"/>
      <c r="H734" s="52"/>
    </row>
    <row r="735" spans="1:8" ht="15.75">
      <c r="A735" s="124">
        <v>40493</v>
      </c>
      <c r="B735" s="125">
        <v>35.880000000000003</v>
      </c>
      <c r="C735" s="52"/>
      <c r="D735" s="52"/>
      <c r="E735" s="52"/>
      <c r="F735" s="52"/>
      <c r="G735" s="52"/>
      <c r="H735" s="52"/>
    </row>
    <row r="736" spans="1:8" ht="15.75">
      <c r="A736" s="124">
        <v>40494</v>
      </c>
      <c r="B736" s="125">
        <v>35.72</v>
      </c>
      <c r="C736" s="52"/>
      <c r="D736" s="52"/>
      <c r="E736" s="52"/>
      <c r="F736" s="52"/>
      <c r="G736" s="52"/>
      <c r="H736" s="52"/>
    </row>
    <row r="737" spans="1:8" ht="15.75">
      <c r="A737" s="124">
        <v>40497</v>
      </c>
      <c r="B737" s="125">
        <v>35.909999999999997</v>
      </c>
      <c r="C737" s="52"/>
      <c r="D737" s="52"/>
      <c r="E737" s="52"/>
      <c r="F737" s="52"/>
      <c r="G737" s="52"/>
      <c r="H737" s="52"/>
    </row>
    <row r="738" spans="1:8" ht="15.75">
      <c r="A738" s="124">
        <v>40498</v>
      </c>
      <c r="B738" s="125">
        <v>35.36</v>
      </c>
      <c r="C738" s="52"/>
      <c r="D738" s="52"/>
      <c r="E738" s="52"/>
      <c r="F738" s="52"/>
      <c r="G738" s="52"/>
      <c r="H738" s="52"/>
    </row>
    <row r="739" spans="1:8" ht="15.75">
      <c r="A739" s="124">
        <v>40499</v>
      </c>
      <c r="B739" s="125">
        <v>35.340000000000003</v>
      </c>
      <c r="C739" s="52"/>
      <c r="D739" s="52"/>
      <c r="E739" s="52"/>
      <c r="F739" s="52"/>
      <c r="G739" s="52"/>
      <c r="H739" s="52"/>
    </row>
    <row r="740" spans="1:8" ht="15.75">
      <c r="A740" s="124">
        <v>40500</v>
      </c>
      <c r="B740" s="125">
        <v>35.75</v>
      </c>
      <c r="C740" s="52"/>
      <c r="D740" s="52"/>
      <c r="E740" s="52"/>
      <c r="F740" s="52"/>
      <c r="G740" s="52"/>
      <c r="H740" s="52"/>
    </row>
    <row r="741" spans="1:8" ht="15.75">
      <c r="A741" s="124">
        <v>40501</v>
      </c>
      <c r="B741" s="125">
        <v>35.799999999999997</v>
      </c>
      <c r="C741" s="52"/>
      <c r="D741" s="52"/>
      <c r="E741" s="52"/>
      <c r="F741" s="52"/>
      <c r="G741" s="52"/>
      <c r="H741" s="52"/>
    </row>
    <row r="742" spans="1:8" ht="15.75">
      <c r="A742" s="124">
        <v>40504</v>
      </c>
      <c r="B742" s="125">
        <v>36.57</v>
      </c>
      <c r="C742" s="52"/>
      <c r="D742" s="52"/>
      <c r="E742" s="52"/>
      <c r="F742" s="52"/>
      <c r="G742" s="52"/>
      <c r="H742" s="52"/>
    </row>
    <row r="743" spans="1:8" ht="15.75">
      <c r="A743" s="124">
        <v>40505</v>
      </c>
      <c r="B743" s="125">
        <v>36.9</v>
      </c>
      <c r="C743" s="52"/>
      <c r="D743" s="52"/>
      <c r="E743" s="52"/>
      <c r="F743" s="52"/>
      <c r="G743" s="52"/>
      <c r="H743" s="52"/>
    </row>
    <row r="744" spans="1:8" ht="15.75">
      <c r="A744" s="124">
        <v>40506</v>
      </c>
      <c r="B744" s="125">
        <v>37.14</v>
      </c>
      <c r="C744" s="52"/>
      <c r="D744" s="52"/>
      <c r="E744" s="52"/>
      <c r="F744" s="52"/>
      <c r="G744" s="52"/>
      <c r="H744" s="52"/>
    </row>
    <row r="745" spans="1:8" ht="15.75">
      <c r="A745" s="124">
        <v>40507</v>
      </c>
      <c r="B745" s="125">
        <v>38.055</v>
      </c>
      <c r="C745" s="52"/>
      <c r="D745" s="52"/>
      <c r="E745" s="52"/>
      <c r="F745" s="52"/>
      <c r="G745" s="52"/>
      <c r="H745" s="52"/>
    </row>
    <row r="746" spans="1:8" ht="15.75">
      <c r="A746" s="124">
        <v>40508</v>
      </c>
      <c r="B746" s="125">
        <v>37.619999999999997</v>
      </c>
      <c r="C746" s="52"/>
      <c r="D746" s="52"/>
      <c r="E746" s="52"/>
      <c r="F746" s="52"/>
      <c r="G746" s="52"/>
      <c r="H746" s="52"/>
    </row>
    <row r="747" spans="1:8" ht="15.75">
      <c r="A747" s="124">
        <v>40511</v>
      </c>
      <c r="B747" s="125">
        <v>37.68</v>
      </c>
      <c r="C747" s="52"/>
      <c r="D747" s="52"/>
      <c r="E747" s="52"/>
      <c r="F747" s="52"/>
      <c r="G747" s="52"/>
      <c r="H747" s="52"/>
    </row>
    <row r="748" spans="1:8" ht="15.75">
      <c r="A748" s="124">
        <v>40512</v>
      </c>
      <c r="B748" s="125">
        <v>37.82</v>
      </c>
      <c r="C748" s="52"/>
      <c r="D748" s="52"/>
      <c r="E748" s="52"/>
      <c r="F748" s="52"/>
      <c r="G748" s="52"/>
      <c r="H748" s="52"/>
    </row>
    <row r="749" spans="1:8" ht="15.75">
      <c r="A749" s="124">
        <v>40513</v>
      </c>
      <c r="B749" s="125">
        <v>38.119999999999997</v>
      </c>
      <c r="C749" s="52"/>
      <c r="D749" s="52"/>
      <c r="E749" s="52"/>
      <c r="F749" s="52"/>
      <c r="G749" s="52"/>
      <c r="H749" s="52"/>
    </row>
    <row r="750" spans="1:8" ht="15.75">
      <c r="A750" s="124">
        <v>40514</v>
      </c>
      <c r="B750" s="125">
        <v>38.54</v>
      </c>
      <c r="C750" s="52"/>
      <c r="D750" s="52"/>
      <c r="E750" s="52"/>
      <c r="F750" s="52"/>
      <c r="G750" s="52"/>
      <c r="H750" s="52"/>
    </row>
    <row r="751" spans="1:8" ht="15.75">
      <c r="A751" s="124">
        <v>40515</v>
      </c>
      <c r="B751" s="125">
        <v>38.22</v>
      </c>
      <c r="C751" s="52"/>
      <c r="D751" s="52"/>
      <c r="E751" s="52"/>
      <c r="F751" s="52"/>
      <c r="G751" s="52"/>
      <c r="H751" s="52"/>
    </row>
    <row r="752" spans="1:8" ht="15.75">
      <c r="A752" s="124">
        <v>40518</v>
      </c>
      <c r="B752" s="125">
        <v>38.68</v>
      </c>
      <c r="C752" s="52"/>
      <c r="D752" s="52"/>
      <c r="E752" s="52"/>
      <c r="F752" s="52"/>
      <c r="G752" s="52"/>
      <c r="H752" s="52"/>
    </row>
    <row r="753" spans="1:8" ht="15.75">
      <c r="A753" s="124">
        <v>40519</v>
      </c>
      <c r="B753" s="125">
        <v>38.83</v>
      </c>
      <c r="C753" s="52"/>
      <c r="D753" s="52"/>
      <c r="E753" s="52"/>
      <c r="F753" s="52"/>
      <c r="G753" s="52"/>
      <c r="H753" s="52"/>
    </row>
    <row r="754" spans="1:8" ht="15.75">
      <c r="A754" s="124">
        <v>40520</v>
      </c>
      <c r="B754" s="125">
        <v>38.74</v>
      </c>
      <c r="C754" s="52"/>
      <c r="D754" s="52"/>
      <c r="E754" s="52"/>
      <c r="F754" s="52"/>
      <c r="G754" s="52"/>
      <c r="H754" s="52"/>
    </row>
    <row r="755" spans="1:8" ht="15.75">
      <c r="A755" s="124">
        <v>40521</v>
      </c>
      <c r="B755" s="125">
        <v>38.950000000000003</v>
      </c>
      <c r="C755" s="52"/>
      <c r="D755" s="52"/>
      <c r="E755" s="52"/>
      <c r="F755" s="52"/>
      <c r="G755" s="52"/>
      <c r="H755" s="52"/>
    </row>
    <row r="756" spans="1:8" ht="15.75">
      <c r="A756" s="124">
        <v>40522</v>
      </c>
      <c r="B756" s="125">
        <v>38.61</v>
      </c>
      <c r="C756" s="52"/>
      <c r="D756" s="52"/>
      <c r="E756" s="52"/>
      <c r="F756" s="52"/>
      <c r="G756" s="52"/>
      <c r="H756" s="52"/>
    </row>
    <row r="757" spans="1:8" ht="15.75">
      <c r="A757" s="124">
        <v>40525</v>
      </c>
      <c r="B757" s="125">
        <v>38.44</v>
      </c>
      <c r="C757" s="52"/>
      <c r="D757" s="52"/>
      <c r="E757" s="52"/>
      <c r="F757" s="52"/>
      <c r="G757" s="52"/>
      <c r="H757" s="52"/>
    </row>
    <row r="758" spans="1:8" ht="15.75">
      <c r="A758" s="124">
        <v>40526</v>
      </c>
      <c r="B758" s="125">
        <v>38.17</v>
      </c>
      <c r="C758" s="52"/>
      <c r="D758" s="52"/>
      <c r="E758" s="52"/>
      <c r="F758" s="52"/>
      <c r="G758" s="52"/>
      <c r="H758" s="52"/>
    </row>
    <row r="759" spans="1:8" ht="15.75">
      <c r="A759" s="124">
        <v>40527</v>
      </c>
      <c r="B759" s="125">
        <v>37.18</v>
      </c>
      <c r="C759" s="52"/>
      <c r="D759" s="52"/>
      <c r="E759" s="52"/>
      <c r="F759" s="52"/>
      <c r="G759" s="52"/>
      <c r="H759" s="52"/>
    </row>
    <row r="760" spans="1:8" ht="15.75">
      <c r="A760" s="124">
        <v>40528</v>
      </c>
      <c r="B760" s="125">
        <v>37.29</v>
      </c>
      <c r="C760" s="52"/>
      <c r="D760" s="52"/>
      <c r="E760" s="52"/>
      <c r="F760" s="52"/>
      <c r="G760" s="52"/>
      <c r="H760" s="52"/>
    </row>
    <row r="761" spans="1:8" ht="15.75">
      <c r="A761" s="124">
        <v>40529</v>
      </c>
      <c r="B761" s="125">
        <v>37.17</v>
      </c>
      <c r="C761" s="52"/>
      <c r="D761" s="52"/>
      <c r="E761" s="52"/>
      <c r="F761" s="52"/>
      <c r="G761" s="52"/>
      <c r="H761" s="52"/>
    </row>
    <row r="762" spans="1:8" ht="15.75">
      <c r="A762" s="124">
        <v>40532</v>
      </c>
      <c r="B762" s="125">
        <v>38.1</v>
      </c>
      <c r="C762" s="52"/>
      <c r="D762" s="52"/>
      <c r="E762" s="52"/>
      <c r="F762" s="52"/>
      <c r="G762" s="52"/>
      <c r="H762" s="52"/>
    </row>
    <row r="763" spans="1:8" ht="15.75">
      <c r="A763" s="124">
        <v>40533</v>
      </c>
      <c r="B763" s="125">
        <v>38.19</v>
      </c>
      <c r="C763" s="52"/>
      <c r="D763" s="52"/>
      <c r="E763" s="52"/>
      <c r="F763" s="52"/>
      <c r="G763" s="52"/>
      <c r="H763" s="52"/>
    </row>
    <row r="764" spans="1:8" ht="15.75">
      <c r="A764" s="124">
        <v>40534</v>
      </c>
      <c r="B764" s="125">
        <v>39.020000000000003</v>
      </c>
      <c r="C764" s="52"/>
      <c r="D764" s="52"/>
      <c r="E764" s="52"/>
      <c r="F764" s="52"/>
      <c r="G764" s="52"/>
      <c r="H764" s="52"/>
    </row>
    <row r="765" spans="1:8" ht="15.75">
      <c r="A765" s="124">
        <v>40535</v>
      </c>
      <c r="B765" s="125">
        <v>38.92</v>
      </c>
      <c r="C765" s="52"/>
      <c r="D765" s="52"/>
      <c r="E765" s="52"/>
      <c r="F765" s="52"/>
      <c r="G765" s="52"/>
      <c r="H765" s="52"/>
    </row>
    <row r="766" spans="1:8" ht="15.75">
      <c r="A766" s="124">
        <v>40539</v>
      </c>
      <c r="B766" s="125">
        <v>38.630000000000003</v>
      </c>
      <c r="C766" s="52"/>
      <c r="D766" s="52"/>
      <c r="E766" s="52"/>
      <c r="F766" s="52"/>
      <c r="G766" s="52"/>
      <c r="H766" s="52"/>
    </row>
    <row r="767" spans="1:8" ht="15.75">
      <c r="A767" s="124">
        <v>40540</v>
      </c>
      <c r="B767" s="125">
        <v>39.405000000000001</v>
      </c>
      <c r="C767" s="52"/>
      <c r="D767" s="52"/>
      <c r="E767" s="52"/>
      <c r="F767" s="52"/>
      <c r="G767" s="52"/>
      <c r="H767" s="52"/>
    </row>
    <row r="768" spans="1:8" ht="15.75">
      <c r="A768" s="124">
        <v>40541</v>
      </c>
      <c r="B768" s="125">
        <v>39.29</v>
      </c>
      <c r="C768" s="52"/>
      <c r="D768" s="52"/>
      <c r="E768" s="52"/>
      <c r="F768" s="52"/>
      <c r="G768" s="52"/>
      <c r="H768" s="52"/>
    </row>
    <row r="769" spans="1:8" ht="15.75">
      <c r="A769" s="124">
        <v>40542</v>
      </c>
      <c r="B769" s="125">
        <v>39.19</v>
      </c>
      <c r="C769" s="52"/>
      <c r="D769" s="52"/>
      <c r="E769" s="52"/>
      <c r="F769" s="52"/>
      <c r="G769" s="52"/>
      <c r="H769" s="52"/>
    </row>
    <row r="770" spans="1:8" ht="15.75">
      <c r="A770" s="124">
        <v>40546</v>
      </c>
      <c r="B770" s="125">
        <v>38.880000000000003</v>
      </c>
      <c r="C770" s="52"/>
      <c r="D770" s="52"/>
      <c r="E770" s="52"/>
      <c r="F770" s="52"/>
      <c r="G770" s="52"/>
      <c r="H770" s="52"/>
    </row>
    <row r="771" spans="1:8" ht="15.75">
      <c r="A771" s="124">
        <v>40547</v>
      </c>
      <c r="B771" s="125">
        <v>38.9</v>
      </c>
      <c r="C771" s="52"/>
      <c r="D771" s="52"/>
      <c r="E771" s="52"/>
      <c r="F771" s="52"/>
      <c r="G771" s="52"/>
      <c r="H771" s="52"/>
    </row>
    <row r="772" spans="1:8" ht="15.75">
      <c r="A772" s="124">
        <v>40548</v>
      </c>
      <c r="B772" s="125">
        <v>38.47</v>
      </c>
      <c r="C772" s="52"/>
      <c r="D772" s="52"/>
      <c r="E772" s="52"/>
      <c r="F772" s="52"/>
      <c r="G772" s="52"/>
      <c r="H772" s="52"/>
    </row>
    <row r="773" spans="1:8" ht="15.75">
      <c r="A773" s="124">
        <v>40549</v>
      </c>
      <c r="B773" s="125">
        <v>38.630000000000003</v>
      </c>
      <c r="C773" s="52"/>
      <c r="D773" s="52"/>
      <c r="E773" s="52"/>
      <c r="F773" s="52"/>
      <c r="G773" s="52"/>
      <c r="H773" s="52"/>
    </row>
    <row r="774" spans="1:8" ht="15.75">
      <c r="A774" s="124">
        <v>40550</v>
      </c>
      <c r="B774" s="125">
        <v>38.61</v>
      </c>
      <c r="C774" s="52"/>
      <c r="D774" s="52"/>
      <c r="E774" s="52"/>
      <c r="F774" s="52"/>
      <c r="G774" s="52"/>
      <c r="H774" s="52"/>
    </row>
    <row r="775" spans="1:8" ht="15.75">
      <c r="A775" s="124">
        <v>40553</v>
      </c>
      <c r="B775" s="125">
        <v>38.42</v>
      </c>
      <c r="C775" s="52"/>
      <c r="D775" s="52"/>
      <c r="E775" s="52"/>
      <c r="F775" s="52"/>
      <c r="G775" s="52"/>
      <c r="H775" s="52"/>
    </row>
    <row r="776" spans="1:8" ht="15.75">
      <c r="A776" s="124">
        <v>40554</v>
      </c>
      <c r="B776" s="125">
        <v>38.56</v>
      </c>
      <c r="C776" s="52"/>
      <c r="D776" s="52"/>
      <c r="E776" s="52"/>
      <c r="F776" s="52"/>
      <c r="G776" s="52"/>
      <c r="H776" s="52"/>
    </row>
    <row r="777" spans="1:8" ht="15.75">
      <c r="A777" s="124">
        <v>40555</v>
      </c>
      <c r="B777" s="125">
        <v>38.14</v>
      </c>
      <c r="C777" s="52"/>
      <c r="D777" s="52"/>
      <c r="E777" s="52"/>
      <c r="F777" s="52"/>
      <c r="G777" s="52"/>
      <c r="H777" s="52"/>
    </row>
    <row r="778" spans="1:8" ht="15.75">
      <c r="A778" s="124">
        <v>40556</v>
      </c>
      <c r="B778" s="125">
        <v>37.450000000000003</v>
      </c>
      <c r="C778" s="52"/>
      <c r="D778" s="52"/>
      <c r="E778" s="52"/>
      <c r="F778" s="52"/>
      <c r="G778" s="52"/>
      <c r="H778" s="52"/>
    </row>
    <row r="779" spans="1:8" ht="15.75">
      <c r="A779" s="124">
        <v>40557</v>
      </c>
      <c r="B779" s="125">
        <v>37.51</v>
      </c>
      <c r="C779" s="52"/>
      <c r="D779" s="52"/>
      <c r="E779" s="52"/>
      <c r="F779" s="52"/>
      <c r="G779" s="52"/>
      <c r="H779" s="52"/>
    </row>
    <row r="780" spans="1:8" ht="15.75">
      <c r="A780" s="124">
        <v>40560</v>
      </c>
      <c r="B780" s="125">
        <v>37.979999999999997</v>
      </c>
      <c r="C780" s="52"/>
      <c r="D780" s="52"/>
      <c r="E780" s="52"/>
      <c r="F780" s="52"/>
      <c r="G780" s="52"/>
      <c r="H780" s="52"/>
    </row>
    <row r="781" spans="1:8" ht="15.75">
      <c r="A781" s="124">
        <v>40561</v>
      </c>
      <c r="B781" s="125">
        <v>37.74</v>
      </c>
      <c r="C781" s="52"/>
      <c r="D781" s="52"/>
      <c r="E781" s="52"/>
      <c r="F781" s="52"/>
      <c r="G781" s="52"/>
      <c r="H781" s="52"/>
    </row>
    <row r="782" spans="1:8" ht="15.75">
      <c r="A782" s="124">
        <v>40562</v>
      </c>
      <c r="B782" s="125">
        <v>37.74</v>
      </c>
      <c r="C782" s="52"/>
      <c r="D782" s="52"/>
      <c r="E782" s="52"/>
      <c r="F782" s="52"/>
      <c r="G782" s="52"/>
      <c r="H782" s="52"/>
    </row>
    <row r="783" spans="1:8" ht="15.75">
      <c r="A783" s="124">
        <v>40563</v>
      </c>
      <c r="B783" s="125">
        <v>37.51</v>
      </c>
      <c r="C783" s="52"/>
      <c r="D783" s="52"/>
      <c r="E783" s="52"/>
      <c r="F783" s="52"/>
      <c r="G783" s="52"/>
      <c r="H783" s="52"/>
    </row>
    <row r="784" spans="1:8" ht="15.75">
      <c r="A784" s="124">
        <v>40564</v>
      </c>
      <c r="B784" s="125">
        <v>37.590000000000003</v>
      </c>
      <c r="C784" s="52"/>
      <c r="D784" s="52"/>
      <c r="E784" s="52"/>
      <c r="F784" s="52"/>
      <c r="G784" s="52"/>
      <c r="H784" s="52"/>
    </row>
    <row r="785" spans="1:8" ht="15.75">
      <c r="A785" s="124">
        <v>40567</v>
      </c>
      <c r="B785" s="125">
        <v>37.65</v>
      </c>
      <c r="C785" s="52"/>
      <c r="D785" s="52"/>
      <c r="E785" s="52"/>
      <c r="F785" s="52"/>
      <c r="G785" s="52"/>
      <c r="H785" s="52"/>
    </row>
    <row r="786" spans="1:8" ht="15.75">
      <c r="A786" s="124">
        <v>40568</v>
      </c>
      <c r="B786" s="125">
        <v>37.549999999999997</v>
      </c>
      <c r="C786" s="52"/>
      <c r="D786" s="52"/>
      <c r="E786" s="52"/>
      <c r="F786" s="52"/>
      <c r="G786" s="52"/>
      <c r="H786" s="52"/>
    </row>
    <row r="787" spans="1:8" ht="15.75">
      <c r="A787" s="124">
        <v>40569</v>
      </c>
      <c r="B787" s="125">
        <v>38.14</v>
      </c>
      <c r="C787" s="52"/>
      <c r="D787" s="52"/>
      <c r="E787" s="52"/>
      <c r="F787" s="52"/>
      <c r="G787" s="52"/>
      <c r="H787" s="52"/>
    </row>
    <row r="788" spans="1:8" ht="15.75">
      <c r="A788" s="124">
        <v>40570</v>
      </c>
      <c r="B788" s="125">
        <v>38.51</v>
      </c>
      <c r="C788" s="52"/>
      <c r="D788" s="52"/>
      <c r="E788" s="52"/>
      <c r="F788" s="52"/>
      <c r="G788" s="52"/>
      <c r="H788" s="52"/>
    </row>
    <row r="789" spans="1:8" ht="15.75">
      <c r="A789" s="124">
        <v>40571</v>
      </c>
      <c r="B789" s="125">
        <v>38.96</v>
      </c>
      <c r="C789" s="52"/>
      <c r="D789" s="52"/>
      <c r="E789" s="52"/>
      <c r="F789" s="52"/>
      <c r="G789" s="52"/>
      <c r="H789" s="52"/>
    </row>
    <row r="790" spans="1:8" ht="15.75">
      <c r="A790" s="124">
        <v>40574</v>
      </c>
      <c r="B790" s="125">
        <v>38.81</v>
      </c>
      <c r="C790" s="52"/>
      <c r="D790" s="52"/>
      <c r="E790" s="52"/>
      <c r="F790" s="52"/>
      <c r="G790" s="52"/>
      <c r="H790" s="52"/>
    </row>
    <row r="791" spans="1:8" ht="15.75">
      <c r="A791" s="124">
        <v>40575</v>
      </c>
      <c r="B791" s="125">
        <v>38.9</v>
      </c>
      <c r="C791" s="52"/>
      <c r="D791" s="52"/>
      <c r="E791" s="52"/>
      <c r="F791" s="52"/>
      <c r="G791" s="52"/>
      <c r="H791" s="52"/>
    </row>
    <row r="792" spans="1:8" ht="15.75">
      <c r="A792" s="124">
        <v>40576</v>
      </c>
      <c r="B792" s="125">
        <v>39.229999999999997</v>
      </c>
      <c r="C792" s="52"/>
      <c r="D792" s="52"/>
      <c r="E792" s="52"/>
      <c r="F792" s="52"/>
      <c r="G792" s="52"/>
      <c r="H792" s="52"/>
    </row>
    <row r="793" spans="1:8" ht="15.75">
      <c r="A793" s="124">
        <v>40577</v>
      </c>
      <c r="B793" s="125">
        <v>39.44</v>
      </c>
      <c r="C793" s="52"/>
      <c r="D793" s="52"/>
      <c r="E793" s="52"/>
      <c r="F793" s="52"/>
      <c r="G793" s="52"/>
      <c r="H793" s="52"/>
    </row>
    <row r="794" spans="1:8" ht="15.75">
      <c r="A794" s="124">
        <v>40578</v>
      </c>
      <c r="B794" s="125">
        <v>39.36</v>
      </c>
      <c r="C794" s="52"/>
      <c r="D794" s="52"/>
      <c r="E794" s="52"/>
      <c r="F794" s="52"/>
      <c r="G794" s="52"/>
      <c r="H794" s="52"/>
    </row>
    <row r="795" spans="1:8" ht="15.75">
      <c r="A795" s="124">
        <v>40581</v>
      </c>
      <c r="B795" s="125">
        <v>39.11</v>
      </c>
      <c r="C795" s="52"/>
      <c r="D795" s="52"/>
      <c r="E795" s="52"/>
      <c r="F795" s="52"/>
      <c r="G795" s="52"/>
      <c r="H795" s="52"/>
    </row>
    <row r="796" spans="1:8" ht="15.75">
      <c r="A796" s="124">
        <v>40582</v>
      </c>
      <c r="B796" s="125">
        <v>39.06</v>
      </c>
      <c r="C796" s="52"/>
      <c r="D796" s="52"/>
      <c r="E796" s="52"/>
      <c r="F796" s="52"/>
      <c r="G796" s="52"/>
      <c r="H796" s="52"/>
    </row>
    <row r="797" spans="1:8" ht="15.75">
      <c r="A797" s="124">
        <v>40583</v>
      </c>
      <c r="B797" s="125">
        <v>38.75</v>
      </c>
      <c r="C797" s="52"/>
      <c r="D797" s="52"/>
      <c r="E797" s="52"/>
      <c r="F797" s="52"/>
      <c r="G797" s="52"/>
      <c r="H797" s="52"/>
    </row>
    <row r="798" spans="1:8" ht="15.75">
      <c r="A798" s="124">
        <v>40584</v>
      </c>
      <c r="B798" s="125">
        <v>39.270000000000003</v>
      </c>
      <c r="C798" s="52"/>
      <c r="D798" s="52"/>
      <c r="E798" s="52"/>
      <c r="F798" s="52"/>
      <c r="G798" s="52"/>
      <c r="H798" s="52"/>
    </row>
    <row r="799" spans="1:8" ht="15.75">
      <c r="A799" s="124">
        <v>40585</v>
      </c>
      <c r="B799" s="125">
        <v>39.53</v>
      </c>
      <c r="C799" s="52"/>
      <c r="D799" s="52"/>
      <c r="E799" s="52"/>
      <c r="F799" s="52"/>
      <c r="G799" s="52"/>
      <c r="H799" s="52"/>
    </row>
    <row r="800" spans="1:8" ht="15.75">
      <c r="A800" s="124">
        <v>40588</v>
      </c>
      <c r="B800" s="125">
        <v>40.229999999999997</v>
      </c>
      <c r="C800" s="52"/>
      <c r="D800" s="52"/>
      <c r="E800" s="52"/>
      <c r="F800" s="52"/>
      <c r="G800" s="52"/>
      <c r="H800" s="52"/>
    </row>
    <row r="801" spans="1:8" ht="15.75">
      <c r="A801" s="124">
        <v>40589</v>
      </c>
      <c r="B801" s="125">
        <v>39.835000000000001</v>
      </c>
      <c r="C801" s="52"/>
      <c r="D801" s="52"/>
      <c r="E801" s="52"/>
      <c r="F801" s="52"/>
      <c r="G801" s="52"/>
      <c r="H801" s="52"/>
    </row>
    <row r="802" spans="1:8" ht="15.75">
      <c r="A802" s="124">
        <v>40590</v>
      </c>
      <c r="B802" s="125">
        <v>40.24</v>
      </c>
      <c r="C802" s="52"/>
      <c r="D802" s="52"/>
      <c r="E802" s="52"/>
      <c r="F802" s="52"/>
      <c r="G802" s="52"/>
      <c r="H802" s="52"/>
    </row>
    <row r="803" spans="1:8" ht="15.75">
      <c r="A803" s="124">
        <v>40591</v>
      </c>
      <c r="B803" s="125">
        <v>39.14</v>
      </c>
      <c r="C803" s="52"/>
      <c r="D803" s="52"/>
      <c r="E803" s="52"/>
      <c r="F803" s="52"/>
      <c r="G803" s="52"/>
      <c r="H803" s="52"/>
    </row>
    <row r="804" spans="1:8" ht="15.75">
      <c r="A804" s="124">
        <v>40592</v>
      </c>
      <c r="B804" s="125">
        <v>39.024999999999999</v>
      </c>
      <c r="C804" s="52"/>
      <c r="D804" s="52"/>
      <c r="E804" s="52"/>
      <c r="F804" s="52"/>
      <c r="G804" s="52"/>
      <c r="H804" s="52"/>
    </row>
    <row r="805" spans="1:8" ht="15.75">
      <c r="A805" s="124">
        <v>40595</v>
      </c>
      <c r="B805" s="125">
        <v>39.21</v>
      </c>
      <c r="C805" s="52"/>
      <c r="D805" s="52"/>
      <c r="E805" s="52"/>
      <c r="F805" s="52"/>
      <c r="G805" s="52"/>
      <c r="H805" s="52"/>
    </row>
    <row r="806" spans="1:8" ht="15.75">
      <c r="A806" s="124">
        <v>40596</v>
      </c>
      <c r="B806" s="125">
        <v>39.25</v>
      </c>
      <c r="C806" s="52"/>
      <c r="D806" s="52"/>
      <c r="E806" s="52"/>
      <c r="F806" s="52"/>
      <c r="G806" s="52"/>
      <c r="H806" s="52"/>
    </row>
    <row r="807" spans="1:8" ht="15.75">
      <c r="A807" s="124">
        <v>40597</v>
      </c>
      <c r="B807" s="125">
        <v>39.28</v>
      </c>
      <c r="C807" s="52"/>
      <c r="D807" s="52"/>
      <c r="E807" s="52"/>
      <c r="F807" s="52"/>
      <c r="G807" s="52"/>
      <c r="H807" s="52"/>
    </row>
    <row r="808" spans="1:8" ht="15.75">
      <c r="A808" s="124">
        <v>40598</v>
      </c>
      <c r="B808" s="125">
        <v>38.21</v>
      </c>
      <c r="C808" s="52"/>
      <c r="D808" s="52"/>
      <c r="E808" s="52"/>
      <c r="F808" s="52"/>
      <c r="G808" s="52"/>
      <c r="H808" s="52"/>
    </row>
    <row r="809" spans="1:8" ht="15.75">
      <c r="A809" s="124">
        <v>40599</v>
      </c>
      <c r="B809" s="125">
        <v>38.19</v>
      </c>
      <c r="C809" s="52"/>
      <c r="D809" s="52"/>
      <c r="E809" s="52"/>
      <c r="F809" s="52"/>
      <c r="G809" s="52"/>
      <c r="H809" s="52"/>
    </row>
    <row r="810" spans="1:8" ht="15.75">
      <c r="A810" s="124">
        <v>40602</v>
      </c>
      <c r="B810" s="125">
        <v>38.42</v>
      </c>
      <c r="C810" s="52"/>
      <c r="D810" s="52"/>
      <c r="E810" s="52"/>
      <c r="F810" s="52"/>
      <c r="G810" s="52"/>
      <c r="H810" s="52"/>
    </row>
    <row r="811" spans="1:8" ht="15.75">
      <c r="A811" s="124">
        <v>40603</v>
      </c>
      <c r="B811" s="125">
        <v>39.090000000000003</v>
      </c>
      <c r="C811" s="52"/>
      <c r="D811" s="52"/>
      <c r="E811" s="52"/>
      <c r="F811" s="52"/>
      <c r="G811" s="52"/>
      <c r="H811" s="52"/>
    </row>
    <row r="812" spans="1:8" ht="15.75">
      <c r="A812" s="124">
        <v>40604</v>
      </c>
      <c r="B812" s="125">
        <v>38.270000000000003</v>
      </c>
      <c r="C812" s="52"/>
      <c r="D812" s="52"/>
      <c r="E812" s="52"/>
      <c r="F812" s="52"/>
      <c r="G812" s="52"/>
      <c r="H812" s="52"/>
    </row>
    <row r="813" spans="1:8" ht="15.75">
      <c r="A813" s="124">
        <v>40605</v>
      </c>
      <c r="B813" s="125">
        <v>38.31</v>
      </c>
      <c r="C813" s="52"/>
      <c r="D813" s="52"/>
      <c r="E813" s="52"/>
      <c r="F813" s="52"/>
      <c r="G813" s="52"/>
      <c r="H813" s="52"/>
    </row>
    <row r="814" spans="1:8" ht="15.75">
      <c r="A814" s="124">
        <v>40606</v>
      </c>
      <c r="B814" s="125">
        <v>38.369999999999997</v>
      </c>
      <c r="C814" s="52"/>
      <c r="D814" s="52"/>
      <c r="E814" s="52"/>
      <c r="F814" s="52"/>
      <c r="G814" s="52"/>
      <c r="H814" s="52"/>
    </row>
    <row r="815" spans="1:8" ht="15.75">
      <c r="A815" s="124">
        <v>40609</v>
      </c>
      <c r="B815" s="125">
        <v>37.9</v>
      </c>
      <c r="C815" s="52"/>
      <c r="D815" s="52"/>
      <c r="E815" s="52"/>
      <c r="F815" s="52"/>
      <c r="G815" s="52"/>
      <c r="H815" s="52"/>
    </row>
    <row r="816" spans="1:8" ht="15.75">
      <c r="A816" s="124">
        <v>40610</v>
      </c>
      <c r="B816" s="125">
        <v>37.729999999999997</v>
      </c>
      <c r="C816" s="52"/>
      <c r="D816" s="52"/>
      <c r="E816" s="52"/>
      <c r="F816" s="52"/>
      <c r="G816" s="52"/>
      <c r="H816" s="52"/>
    </row>
    <row r="817" spans="1:8" ht="15.75">
      <c r="A817" s="124">
        <v>40611</v>
      </c>
      <c r="B817" s="125">
        <v>38.225000000000001</v>
      </c>
      <c r="C817" s="52"/>
      <c r="D817" s="52"/>
      <c r="E817" s="52"/>
      <c r="F817" s="52"/>
      <c r="G817" s="52"/>
      <c r="H817" s="52"/>
    </row>
    <row r="818" spans="1:8" ht="15.75">
      <c r="A818" s="124">
        <v>40612</v>
      </c>
      <c r="B818" s="125">
        <v>38.479999999999997</v>
      </c>
      <c r="C818" s="52"/>
      <c r="D818" s="52"/>
      <c r="E818" s="52"/>
      <c r="F818" s="52"/>
      <c r="G818" s="52"/>
      <c r="H818" s="52"/>
    </row>
    <row r="819" spans="1:8" ht="15.75">
      <c r="A819" s="124">
        <v>40613</v>
      </c>
      <c r="B819" s="125">
        <v>38.630000000000003</v>
      </c>
      <c r="C819" s="52"/>
      <c r="D819" s="52"/>
      <c r="E819" s="52"/>
      <c r="F819" s="52"/>
      <c r="G819" s="52"/>
      <c r="H819" s="52"/>
    </row>
    <row r="820" spans="1:8" ht="15.75">
      <c r="A820" s="124">
        <v>40616</v>
      </c>
      <c r="B820" s="125">
        <v>38.46</v>
      </c>
      <c r="C820" s="52"/>
      <c r="D820" s="52"/>
      <c r="E820" s="52"/>
      <c r="F820" s="52"/>
      <c r="G820" s="52"/>
      <c r="H820" s="52"/>
    </row>
    <row r="821" spans="1:8" ht="15.75">
      <c r="A821" s="124">
        <v>40617</v>
      </c>
      <c r="B821" s="125">
        <v>37.76</v>
      </c>
      <c r="C821" s="52"/>
      <c r="D821" s="52"/>
      <c r="E821" s="52"/>
      <c r="F821" s="52"/>
      <c r="G821" s="52"/>
      <c r="H821" s="52"/>
    </row>
    <row r="822" spans="1:8" ht="15.75">
      <c r="A822" s="124">
        <v>40618</v>
      </c>
      <c r="B822" s="125">
        <v>38.520000000000003</v>
      </c>
      <c r="C822" s="52"/>
      <c r="D822" s="52"/>
      <c r="E822" s="52"/>
      <c r="F822" s="52"/>
      <c r="G822" s="52"/>
      <c r="H822" s="52"/>
    </row>
    <row r="823" spans="1:8" ht="15.75">
      <c r="A823" s="124">
        <v>40619</v>
      </c>
      <c r="B823" s="125">
        <v>38.61</v>
      </c>
      <c r="C823" s="52"/>
      <c r="D823" s="52"/>
      <c r="E823" s="52"/>
      <c r="F823" s="52"/>
      <c r="G823" s="52"/>
      <c r="H823" s="52"/>
    </row>
    <row r="824" spans="1:8" ht="15.75">
      <c r="A824" s="124">
        <v>40620</v>
      </c>
      <c r="B824" s="125">
        <v>38.42</v>
      </c>
      <c r="C824" s="52"/>
      <c r="D824" s="52"/>
      <c r="E824" s="52"/>
      <c r="F824" s="52"/>
      <c r="G824" s="52"/>
      <c r="H824" s="52"/>
    </row>
    <row r="825" spans="1:8" ht="15.75">
      <c r="A825" s="124">
        <v>40623</v>
      </c>
      <c r="B825" s="125">
        <v>38.549999999999997</v>
      </c>
      <c r="C825" s="52"/>
      <c r="D825" s="52"/>
      <c r="E825" s="52"/>
      <c r="F825" s="52"/>
      <c r="G825" s="52"/>
      <c r="H825" s="52"/>
    </row>
    <row r="826" spans="1:8" ht="15.75">
      <c r="A826" s="124">
        <v>40624</v>
      </c>
      <c r="B826" s="125">
        <v>38.880000000000003</v>
      </c>
      <c r="C826" s="52"/>
      <c r="D826" s="52"/>
      <c r="E826" s="52"/>
      <c r="F826" s="52"/>
      <c r="G826" s="52"/>
      <c r="H826" s="52"/>
    </row>
    <row r="827" spans="1:8" ht="15.75">
      <c r="A827" s="124">
        <v>40625</v>
      </c>
      <c r="B827" s="125">
        <v>37.89</v>
      </c>
      <c r="C827" s="52"/>
      <c r="D827" s="52"/>
      <c r="E827" s="52"/>
      <c r="F827" s="52"/>
      <c r="G827" s="52"/>
      <c r="H827" s="52"/>
    </row>
    <row r="828" spans="1:8" ht="15.75">
      <c r="A828" s="124">
        <v>40626</v>
      </c>
      <c r="B828" s="125">
        <v>37.85</v>
      </c>
      <c r="C828" s="52"/>
      <c r="D828" s="52"/>
      <c r="E828" s="52"/>
      <c r="F828" s="52"/>
      <c r="G828" s="52"/>
      <c r="H828" s="52"/>
    </row>
    <row r="829" spans="1:8" ht="15.75">
      <c r="A829" s="124">
        <v>40627</v>
      </c>
      <c r="B829" s="125">
        <v>38.14</v>
      </c>
      <c r="C829" s="52"/>
      <c r="D829" s="52"/>
      <c r="E829" s="52"/>
      <c r="F829" s="52"/>
      <c r="G829" s="52"/>
      <c r="H829" s="52"/>
    </row>
    <row r="830" spans="1:8" ht="15.75">
      <c r="A830" s="124">
        <v>40630</v>
      </c>
      <c r="B830" s="125">
        <v>38.479999999999997</v>
      </c>
      <c r="C830" s="52"/>
      <c r="D830" s="52"/>
      <c r="E830" s="52"/>
      <c r="F830" s="52"/>
      <c r="G830" s="52"/>
      <c r="H830" s="52"/>
    </row>
    <row r="831" spans="1:8" ht="15.75">
      <c r="A831" s="124">
        <v>40631</v>
      </c>
      <c r="B831" s="125">
        <v>38.06</v>
      </c>
      <c r="C831" s="52"/>
      <c r="D831" s="52"/>
      <c r="E831" s="52"/>
      <c r="F831" s="52"/>
      <c r="G831" s="52"/>
      <c r="H831" s="52"/>
    </row>
    <row r="832" spans="1:8" ht="15.75">
      <c r="A832" s="124">
        <v>40632</v>
      </c>
      <c r="B832" s="125">
        <v>38.75</v>
      </c>
      <c r="C832" s="52"/>
      <c r="D832" s="52"/>
      <c r="E832" s="52"/>
      <c r="F832" s="52"/>
      <c r="G832" s="52"/>
      <c r="H832" s="52"/>
    </row>
    <row r="833" spans="1:8" ht="15.75">
      <c r="A833" s="124">
        <v>40633</v>
      </c>
      <c r="B833" s="125">
        <v>39.03</v>
      </c>
      <c r="C833" s="52"/>
      <c r="D833" s="52"/>
      <c r="E833" s="52"/>
      <c r="F833" s="52"/>
      <c r="G833" s="52"/>
      <c r="H833" s="52"/>
    </row>
    <row r="834" spans="1:8" ht="15.75">
      <c r="A834" s="124">
        <v>40634</v>
      </c>
      <c r="B834" s="125">
        <v>39.89</v>
      </c>
      <c r="C834" s="52"/>
      <c r="D834" s="52"/>
      <c r="E834" s="52"/>
      <c r="F834" s="52"/>
      <c r="G834" s="52"/>
      <c r="H834" s="52"/>
    </row>
    <row r="835" spans="1:8" ht="15.75">
      <c r="A835" s="124">
        <v>40637</v>
      </c>
      <c r="B835" s="125">
        <v>39.51</v>
      </c>
      <c r="C835" s="52"/>
      <c r="D835" s="52"/>
      <c r="E835" s="52"/>
      <c r="F835" s="52"/>
      <c r="G835" s="52"/>
      <c r="H835" s="52"/>
    </row>
    <row r="836" spans="1:8" ht="15.75">
      <c r="A836" s="124">
        <v>40638</v>
      </c>
      <c r="B836" s="125">
        <v>39.36</v>
      </c>
      <c r="C836" s="52"/>
      <c r="D836" s="52"/>
      <c r="E836" s="52"/>
      <c r="F836" s="52"/>
      <c r="G836" s="52"/>
      <c r="H836" s="52"/>
    </row>
    <row r="837" spans="1:8" ht="15.75">
      <c r="A837" s="124">
        <v>40639</v>
      </c>
      <c r="B837" s="125">
        <v>39.200000000000003</v>
      </c>
      <c r="C837" s="52"/>
      <c r="D837" s="52"/>
      <c r="E837" s="52"/>
      <c r="F837" s="52"/>
      <c r="G837" s="52"/>
      <c r="H837" s="52"/>
    </row>
    <row r="838" spans="1:8" ht="15.75">
      <c r="A838" s="124">
        <v>40640</v>
      </c>
      <c r="B838" s="125">
        <v>38.81</v>
      </c>
      <c r="C838" s="52"/>
      <c r="D838" s="52"/>
      <c r="E838" s="52"/>
      <c r="F838" s="52"/>
      <c r="G838" s="52"/>
      <c r="H838" s="52"/>
    </row>
    <row r="839" spans="1:8" ht="15.75">
      <c r="A839" s="124">
        <v>40641</v>
      </c>
      <c r="B839" s="125">
        <v>38.49</v>
      </c>
      <c r="C839" s="52"/>
      <c r="D839" s="52"/>
      <c r="E839" s="52"/>
      <c r="F839" s="52"/>
      <c r="G839" s="52"/>
      <c r="H839" s="52"/>
    </row>
    <row r="840" spans="1:8" ht="15.75">
      <c r="A840" s="124">
        <v>40644</v>
      </c>
      <c r="B840" s="125">
        <v>38.340000000000003</v>
      </c>
      <c r="C840" s="52"/>
      <c r="D840" s="52"/>
      <c r="E840" s="52"/>
      <c r="F840" s="52"/>
      <c r="G840" s="52"/>
      <c r="H840" s="52"/>
    </row>
    <row r="841" spans="1:8" ht="15.75">
      <c r="A841" s="124">
        <v>40645</v>
      </c>
      <c r="B841" s="125">
        <v>38.11</v>
      </c>
      <c r="C841" s="52"/>
      <c r="D841" s="52"/>
      <c r="E841" s="52"/>
      <c r="F841" s="52"/>
      <c r="G841" s="52"/>
      <c r="H841" s="52"/>
    </row>
    <row r="842" spans="1:8" ht="15.75">
      <c r="A842" s="124">
        <v>40646</v>
      </c>
      <c r="B842" s="125">
        <v>38.17</v>
      </c>
      <c r="C842" s="52"/>
      <c r="D842" s="52"/>
      <c r="E842" s="52"/>
      <c r="F842" s="52"/>
      <c r="G842" s="52"/>
      <c r="H842" s="52"/>
    </row>
    <row r="843" spans="1:8" ht="15.75">
      <c r="A843" s="124">
        <v>40647</v>
      </c>
      <c r="B843" s="125">
        <v>38.51</v>
      </c>
      <c r="C843" s="52"/>
      <c r="D843" s="52"/>
      <c r="E843" s="52"/>
      <c r="F843" s="52"/>
      <c r="G843" s="52"/>
      <c r="H843" s="52"/>
    </row>
    <row r="844" spans="1:8" ht="15.75">
      <c r="A844" s="124">
        <v>40648</v>
      </c>
      <c r="B844" s="125">
        <v>38.89</v>
      </c>
      <c r="C844" s="52"/>
      <c r="D844" s="52"/>
      <c r="E844" s="52"/>
      <c r="F844" s="52"/>
      <c r="G844" s="52"/>
      <c r="H844" s="52"/>
    </row>
    <row r="845" spans="1:8" ht="15.75">
      <c r="A845" s="124">
        <v>40651</v>
      </c>
      <c r="B845" s="125">
        <v>38.909999999999997</v>
      </c>
      <c r="C845" s="52"/>
      <c r="D845" s="52"/>
      <c r="E845" s="52"/>
      <c r="F845" s="52"/>
      <c r="G845" s="52"/>
      <c r="H845" s="52"/>
    </row>
    <row r="846" spans="1:8" ht="15.75">
      <c r="A846" s="124">
        <v>40652</v>
      </c>
      <c r="B846" s="125">
        <v>39.07</v>
      </c>
      <c r="C846" s="52"/>
      <c r="D846" s="52"/>
      <c r="E846" s="52"/>
      <c r="F846" s="52"/>
      <c r="G846" s="52"/>
      <c r="H846" s="52"/>
    </row>
    <row r="847" spans="1:8" ht="15.75">
      <c r="A847" s="124">
        <v>40653</v>
      </c>
      <c r="B847" s="125">
        <v>38.619999999999997</v>
      </c>
      <c r="C847" s="52"/>
      <c r="D847" s="52"/>
      <c r="E847" s="52"/>
      <c r="F847" s="52"/>
      <c r="G847" s="52"/>
      <c r="H847" s="52"/>
    </row>
    <row r="848" spans="1:8" ht="15.75">
      <c r="A848" s="124">
        <v>40654</v>
      </c>
      <c r="B848" s="125">
        <v>39</v>
      </c>
      <c r="C848" s="52"/>
      <c r="D848" s="52"/>
      <c r="E848" s="52"/>
      <c r="F848" s="52"/>
      <c r="G848" s="52"/>
      <c r="H848" s="52"/>
    </row>
    <row r="849" spans="1:8" ht="15.75">
      <c r="A849" s="124">
        <v>40659</v>
      </c>
      <c r="B849" s="125">
        <v>39.72</v>
      </c>
      <c r="C849" s="52"/>
      <c r="D849" s="52"/>
      <c r="E849" s="52"/>
      <c r="F849" s="52"/>
      <c r="G849" s="52"/>
      <c r="H849" s="52"/>
    </row>
    <row r="850" spans="1:8" ht="15.75">
      <c r="A850" s="124">
        <v>40660</v>
      </c>
      <c r="B850" s="125">
        <v>39.979999999999997</v>
      </c>
      <c r="C850" s="52"/>
      <c r="D850" s="52"/>
      <c r="E850" s="52"/>
      <c r="F850" s="52"/>
      <c r="G850" s="52"/>
      <c r="H850" s="52"/>
    </row>
    <row r="851" spans="1:8" ht="15.75">
      <c r="A851" s="124">
        <v>40661</v>
      </c>
      <c r="B851" s="125">
        <v>39.51</v>
      </c>
      <c r="C851" s="52"/>
      <c r="D851" s="52"/>
      <c r="E851" s="52"/>
      <c r="F851" s="52"/>
      <c r="G851" s="52"/>
      <c r="H851" s="52"/>
    </row>
    <row r="852" spans="1:8" ht="15.75">
      <c r="A852" s="124">
        <v>40662</v>
      </c>
      <c r="B852" s="125">
        <v>39.14</v>
      </c>
      <c r="C852" s="52"/>
      <c r="D852" s="52"/>
      <c r="E852" s="52"/>
      <c r="F852" s="52"/>
      <c r="G852" s="52"/>
      <c r="H852" s="52"/>
    </row>
    <row r="853" spans="1:8" ht="15.75">
      <c r="A853" s="124">
        <v>40665</v>
      </c>
      <c r="B853" s="125">
        <v>40.08</v>
      </c>
      <c r="C853" s="52"/>
      <c r="D853" s="52"/>
      <c r="E853" s="52"/>
      <c r="F853" s="52"/>
      <c r="G853" s="52"/>
      <c r="H853" s="52"/>
    </row>
    <row r="854" spans="1:8" ht="15.75">
      <c r="A854" s="124">
        <v>40666</v>
      </c>
      <c r="B854" s="125">
        <v>40.14</v>
      </c>
      <c r="C854" s="52"/>
      <c r="D854" s="52"/>
      <c r="E854" s="52"/>
      <c r="F854" s="52"/>
      <c r="G854" s="52"/>
      <c r="H854" s="52"/>
    </row>
    <row r="855" spans="1:8" ht="15.75">
      <c r="A855" s="124">
        <v>40667</v>
      </c>
      <c r="B855" s="125">
        <v>39.6</v>
      </c>
      <c r="C855" s="52"/>
      <c r="D855" s="52"/>
      <c r="E855" s="52"/>
      <c r="F855" s="52"/>
      <c r="G855" s="52"/>
      <c r="H855" s="52"/>
    </row>
    <row r="856" spans="1:8" ht="15.75">
      <c r="A856" s="124">
        <v>40668</v>
      </c>
      <c r="B856" s="125">
        <v>39.76</v>
      </c>
      <c r="C856" s="52"/>
      <c r="D856" s="52"/>
      <c r="E856" s="52"/>
      <c r="F856" s="52"/>
      <c r="G856" s="52"/>
      <c r="H856" s="52"/>
    </row>
    <row r="857" spans="1:8" ht="15.75">
      <c r="A857" s="124">
        <v>40669</v>
      </c>
      <c r="B857" s="125">
        <v>40.44</v>
      </c>
      <c r="C857" s="52"/>
      <c r="D857" s="52"/>
      <c r="E857" s="52"/>
      <c r="F857" s="52"/>
      <c r="G857" s="52"/>
      <c r="H857" s="52"/>
    </row>
    <row r="858" spans="1:8" ht="15.75">
      <c r="A858" s="124">
        <v>40672</v>
      </c>
      <c r="B858" s="125">
        <v>40.630000000000003</v>
      </c>
      <c r="C858" s="52"/>
      <c r="D858" s="52"/>
      <c r="E858" s="52"/>
      <c r="F858" s="52"/>
      <c r="G858" s="52"/>
      <c r="H858" s="52"/>
    </row>
    <row r="859" spans="1:8" ht="15.75">
      <c r="A859" s="124">
        <v>40673</v>
      </c>
      <c r="B859" s="125">
        <v>41.3</v>
      </c>
      <c r="C859" s="52"/>
      <c r="D859" s="52"/>
      <c r="E859" s="52"/>
      <c r="F859" s="52"/>
      <c r="G859" s="52"/>
      <c r="H859" s="52"/>
    </row>
    <row r="860" spans="1:8" ht="15.75">
      <c r="A860" s="124">
        <v>40674</v>
      </c>
      <c r="B860" s="125">
        <v>41.5</v>
      </c>
      <c r="C860" s="52"/>
      <c r="D860" s="52"/>
      <c r="E860" s="52"/>
      <c r="F860" s="52"/>
      <c r="G860" s="52"/>
      <c r="H860" s="52"/>
    </row>
    <row r="861" spans="1:8" ht="15.75">
      <c r="A861" s="124">
        <v>40675</v>
      </c>
      <c r="B861" s="125">
        <v>41.34</v>
      </c>
      <c r="C861" s="52"/>
      <c r="D861" s="52"/>
      <c r="E861" s="52"/>
      <c r="F861" s="52"/>
      <c r="G861" s="52"/>
      <c r="H861" s="52"/>
    </row>
    <row r="862" spans="1:8" ht="15.75">
      <c r="A862" s="124">
        <v>40676</v>
      </c>
      <c r="B862" s="125">
        <v>41.4</v>
      </c>
      <c r="C862" s="52"/>
      <c r="D862" s="52"/>
      <c r="E862" s="52"/>
      <c r="F862" s="52"/>
      <c r="G862" s="52"/>
      <c r="H862" s="52"/>
    </row>
    <row r="863" spans="1:8" ht="15.75">
      <c r="A863" s="124">
        <v>40679</v>
      </c>
      <c r="B863" s="125">
        <v>41.73</v>
      </c>
      <c r="C863" s="52"/>
      <c r="D863" s="52"/>
      <c r="E863" s="52"/>
      <c r="F863" s="52"/>
      <c r="G863" s="52"/>
      <c r="H863" s="52"/>
    </row>
    <row r="864" spans="1:8" ht="15.75">
      <c r="A864" s="124">
        <v>40680</v>
      </c>
      <c r="B864" s="125">
        <v>41.61</v>
      </c>
      <c r="C864" s="52"/>
      <c r="D864" s="52"/>
      <c r="E864" s="52"/>
      <c r="F864" s="52"/>
      <c r="G864" s="52"/>
      <c r="H864" s="52"/>
    </row>
    <row r="865" spans="1:8" ht="15.75">
      <c r="A865" s="124">
        <v>40681</v>
      </c>
      <c r="B865" s="125">
        <v>41.56</v>
      </c>
      <c r="C865" s="52"/>
      <c r="D865" s="52"/>
      <c r="E865" s="52"/>
      <c r="F865" s="52"/>
      <c r="G865" s="52"/>
      <c r="H865" s="52"/>
    </row>
    <row r="866" spans="1:8" ht="15.75">
      <c r="A866" s="124">
        <v>40682</v>
      </c>
      <c r="B866" s="125">
        <v>41.63</v>
      </c>
      <c r="C866" s="52"/>
      <c r="D866" s="52"/>
      <c r="E866" s="52"/>
      <c r="F866" s="52"/>
      <c r="G866" s="52"/>
      <c r="H866" s="52"/>
    </row>
    <row r="867" spans="1:8" ht="15.75">
      <c r="A867" s="124">
        <v>40683</v>
      </c>
      <c r="B867" s="125">
        <v>41.95</v>
      </c>
      <c r="C867" s="52"/>
      <c r="D867" s="52"/>
      <c r="E867" s="52"/>
      <c r="F867" s="52"/>
      <c r="G867" s="52"/>
      <c r="H867" s="52"/>
    </row>
    <row r="868" spans="1:8" ht="15.75">
      <c r="A868" s="124">
        <v>40686</v>
      </c>
      <c r="B868" s="125">
        <v>42.145000000000003</v>
      </c>
      <c r="C868" s="52"/>
      <c r="D868" s="52"/>
      <c r="E868" s="52"/>
      <c r="F868" s="52"/>
      <c r="G868" s="52"/>
      <c r="H868" s="52"/>
    </row>
    <row r="869" spans="1:8" ht="15.75">
      <c r="A869" s="124">
        <v>40687</v>
      </c>
      <c r="B869" s="125">
        <v>41.524999999999999</v>
      </c>
      <c r="C869" s="52"/>
      <c r="D869" s="52"/>
      <c r="E869" s="52"/>
      <c r="F869" s="52"/>
      <c r="G869" s="52"/>
      <c r="H869" s="52"/>
    </row>
    <row r="870" spans="1:8" ht="15.75">
      <c r="A870" s="124">
        <v>40688</v>
      </c>
      <c r="B870" s="125">
        <v>42.064999999999998</v>
      </c>
      <c r="C870" s="52"/>
      <c r="D870" s="52"/>
      <c r="E870" s="52"/>
      <c r="F870" s="52"/>
      <c r="G870" s="52"/>
      <c r="H870" s="52"/>
    </row>
    <row r="871" spans="1:8" ht="15.75">
      <c r="A871" s="124">
        <v>40689</v>
      </c>
      <c r="B871" s="125">
        <v>41.695</v>
      </c>
      <c r="C871" s="52"/>
      <c r="D871" s="52"/>
      <c r="E871" s="52"/>
      <c r="F871" s="52"/>
      <c r="G871" s="52"/>
      <c r="H871" s="52"/>
    </row>
    <row r="872" spans="1:8" ht="15.75">
      <c r="A872" s="124">
        <v>40690</v>
      </c>
      <c r="B872" s="125">
        <v>42.145000000000003</v>
      </c>
      <c r="C872" s="52"/>
      <c r="D872" s="52"/>
      <c r="E872" s="52"/>
      <c r="F872" s="52"/>
      <c r="G872" s="52"/>
      <c r="H872" s="52"/>
    </row>
    <row r="873" spans="1:8" ht="15.75">
      <c r="A873" s="124">
        <v>40693</v>
      </c>
      <c r="B873" s="125">
        <v>41.994999999999997</v>
      </c>
      <c r="C873" s="52"/>
      <c r="D873" s="52"/>
      <c r="E873" s="52"/>
      <c r="F873" s="52"/>
      <c r="G873" s="52"/>
      <c r="H873" s="52"/>
    </row>
    <row r="874" spans="1:8" ht="15.75">
      <c r="A874" s="124">
        <v>40694</v>
      </c>
      <c r="B874" s="125">
        <v>42.4</v>
      </c>
      <c r="C874" s="52"/>
      <c r="D874" s="52"/>
      <c r="E874" s="52"/>
      <c r="F874" s="52"/>
      <c r="G874" s="52"/>
      <c r="H874" s="52"/>
    </row>
    <row r="875" spans="1:8" ht="15.75">
      <c r="A875" s="124">
        <v>40695</v>
      </c>
      <c r="B875" s="125">
        <v>42.484999999999999</v>
      </c>
      <c r="C875" s="52"/>
      <c r="D875" s="52"/>
      <c r="E875" s="52"/>
      <c r="F875" s="52"/>
      <c r="G875" s="52"/>
      <c r="H875" s="52"/>
    </row>
    <row r="876" spans="1:8" ht="15.75">
      <c r="A876" s="124">
        <v>40696</v>
      </c>
      <c r="B876" s="125">
        <v>41.08</v>
      </c>
      <c r="C876" s="52"/>
      <c r="D876" s="52"/>
      <c r="E876" s="52"/>
      <c r="F876" s="52"/>
      <c r="G876" s="52"/>
      <c r="H876" s="52"/>
    </row>
    <row r="877" spans="1:8" ht="15.75">
      <c r="A877" s="124">
        <v>40697</v>
      </c>
      <c r="B877" s="125">
        <v>40.76</v>
      </c>
      <c r="C877" s="52"/>
      <c r="D877" s="52"/>
      <c r="E877" s="52"/>
      <c r="F877" s="52"/>
      <c r="G877" s="52"/>
      <c r="H877" s="52"/>
    </row>
    <row r="878" spans="1:8" ht="15.75">
      <c r="A878" s="124">
        <v>40700</v>
      </c>
      <c r="B878" s="125">
        <v>40.93</v>
      </c>
      <c r="C878" s="52"/>
      <c r="D878" s="52"/>
      <c r="E878" s="52"/>
      <c r="F878" s="52"/>
      <c r="G878" s="52"/>
      <c r="H878" s="52"/>
    </row>
    <row r="879" spans="1:8" ht="15.75">
      <c r="A879" s="124">
        <v>40701</v>
      </c>
      <c r="B879" s="125">
        <v>40.645000000000003</v>
      </c>
      <c r="C879" s="52"/>
      <c r="D879" s="52"/>
      <c r="E879" s="52"/>
      <c r="F879" s="52"/>
      <c r="G879" s="52"/>
      <c r="H879" s="52"/>
    </row>
    <row r="880" spans="1:8" ht="15.75">
      <c r="A880" s="124">
        <v>40702</v>
      </c>
      <c r="B880" s="125">
        <v>41.255000000000003</v>
      </c>
      <c r="C880" s="52"/>
      <c r="D880" s="52"/>
      <c r="E880" s="52"/>
      <c r="F880" s="52"/>
      <c r="G880" s="52"/>
      <c r="H880" s="52"/>
    </row>
    <row r="881" spans="1:8" ht="15.75">
      <c r="A881" s="124">
        <v>40703</v>
      </c>
      <c r="B881" s="125">
        <v>41.454999999999998</v>
      </c>
      <c r="C881" s="52"/>
      <c r="D881" s="52"/>
      <c r="E881" s="52"/>
      <c r="F881" s="52"/>
      <c r="G881" s="52"/>
      <c r="H881" s="52"/>
    </row>
    <row r="882" spans="1:8" ht="15.75">
      <c r="A882" s="124">
        <v>40704</v>
      </c>
      <c r="B882" s="125">
        <v>41.67</v>
      </c>
      <c r="C882" s="52"/>
      <c r="D882" s="52"/>
      <c r="E882" s="52"/>
      <c r="F882" s="52"/>
      <c r="G882" s="52"/>
      <c r="H882" s="52"/>
    </row>
    <row r="883" spans="1:8" ht="15.75">
      <c r="A883" s="124">
        <v>40707</v>
      </c>
      <c r="B883" s="125">
        <v>41.06</v>
      </c>
      <c r="C883" s="52"/>
      <c r="D883" s="52"/>
      <c r="E883" s="52"/>
      <c r="F883" s="52"/>
      <c r="G883" s="52"/>
      <c r="H883" s="52"/>
    </row>
    <row r="884" spans="1:8" ht="15.75">
      <c r="A884" s="124">
        <v>40708</v>
      </c>
      <c r="B884" s="125">
        <v>40.79</v>
      </c>
      <c r="C884" s="52"/>
      <c r="D884" s="52"/>
      <c r="E884" s="52"/>
      <c r="F884" s="52"/>
      <c r="G884" s="52"/>
      <c r="H884" s="52"/>
    </row>
    <row r="885" spans="1:8" ht="15.75">
      <c r="A885" s="124">
        <v>40709</v>
      </c>
      <c r="B885" s="125">
        <v>41.35</v>
      </c>
      <c r="C885" s="52"/>
      <c r="D885" s="52"/>
      <c r="E885" s="52"/>
      <c r="F885" s="52"/>
      <c r="G885" s="52"/>
      <c r="H885" s="52"/>
    </row>
    <row r="886" spans="1:8" ht="15.75">
      <c r="A886" s="124">
        <v>40710</v>
      </c>
      <c r="B886" s="125">
        <v>41.695</v>
      </c>
      <c r="C886" s="52"/>
      <c r="D886" s="52"/>
      <c r="E886" s="52"/>
      <c r="F886" s="52"/>
      <c r="G886" s="52"/>
      <c r="H886" s="52"/>
    </row>
    <row r="887" spans="1:8" ht="15.75">
      <c r="A887" s="124">
        <v>40711</v>
      </c>
      <c r="B887" s="125">
        <v>41.454999999999998</v>
      </c>
      <c r="C887" s="52"/>
      <c r="D887" s="52"/>
      <c r="E887" s="52"/>
      <c r="F887" s="52"/>
      <c r="G887" s="52"/>
      <c r="H887" s="52"/>
    </row>
    <row r="888" spans="1:8" ht="15.75">
      <c r="A888" s="124">
        <v>40714</v>
      </c>
      <c r="B888" s="125">
        <v>41.204999999999998</v>
      </c>
      <c r="C888" s="52"/>
      <c r="D888" s="52"/>
      <c r="E888" s="52"/>
      <c r="F888" s="52"/>
      <c r="G888" s="52"/>
      <c r="H888" s="52"/>
    </row>
    <row r="889" spans="1:8" ht="15.75">
      <c r="A889" s="124">
        <v>40715</v>
      </c>
      <c r="B889" s="125">
        <v>41.344999999999999</v>
      </c>
      <c r="C889" s="52"/>
      <c r="D889" s="52"/>
      <c r="E889" s="52"/>
      <c r="F889" s="52"/>
      <c r="G889" s="52"/>
      <c r="H889" s="52"/>
    </row>
    <row r="890" spans="1:8" ht="15.75">
      <c r="A890" s="124">
        <v>40716</v>
      </c>
      <c r="B890" s="125">
        <v>41.76</v>
      </c>
      <c r="C890" s="52"/>
      <c r="D890" s="52"/>
      <c r="E890" s="52"/>
      <c r="F890" s="52"/>
      <c r="G890" s="52"/>
      <c r="H890" s="52"/>
    </row>
    <row r="891" spans="1:8" ht="15.75">
      <c r="A891" s="124">
        <v>40717</v>
      </c>
      <c r="B891" s="125">
        <v>41.15</v>
      </c>
      <c r="C891" s="52"/>
      <c r="D891" s="52"/>
      <c r="E891" s="52"/>
      <c r="F891" s="52"/>
      <c r="G891" s="52"/>
      <c r="H891" s="52"/>
    </row>
    <row r="892" spans="1:8" ht="15.75">
      <c r="A892" s="124">
        <v>40718</v>
      </c>
      <c r="B892" s="125">
        <v>41.04</v>
      </c>
      <c r="C892" s="52"/>
      <c r="D892" s="52"/>
      <c r="E892" s="52"/>
      <c r="F892" s="52"/>
      <c r="G892" s="52"/>
      <c r="H892" s="52"/>
    </row>
    <row r="893" spans="1:8" ht="15.75">
      <c r="A893" s="124">
        <v>40721</v>
      </c>
      <c r="B893" s="125">
        <v>41.01</v>
      </c>
      <c r="C893" s="52"/>
      <c r="D893" s="52"/>
      <c r="E893" s="52"/>
      <c r="F893" s="52"/>
      <c r="G893" s="52"/>
      <c r="H893" s="52"/>
    </row>
    <row r="894" spans="1:8" ht="15.75">
      <c r="A894" s="124">
        <v>40722</v>
      </c>
      <c r="B894" s="125">
        <v>41.185000000000002</v>
      </c>
      <c r="C894" s="52"/>
      <c r="D894" s="52"/>
      <c r="E894" s="52"/>
      <c r="F894" s="52"/>
      <c r="G894" s="52"/>
      <c r="H894" s="52"/>
    </row>
    <row r="895" spans="1:8" ht="15.75">
      <c r="A895" s="124">
        <v>40723</v>
      </c>
      <c r="B895" s="125">
        <v>41.475000000000001</v>
      </c>
      <c r="C895" s="52"/>
      <c r="D895" s="52"/>
      <c r="E895" s="52"/>
      <c r="F895" s="52"/>
      <c r="G895" s="52"/>
      <c r="H895" s="52"/>
    </row>
    <row r="896" spans="1:8" ht="15.75">
      <c r="A896" s="124">
        <v>40724</v>
      </c>
      <c r="B896" s="125">
        <v>41.52</v>
      </c>
      <c r="C896" s="52"/>
      <c r="D896" s="52"/>
      <c r="E896" s="52"/>
      <c r="F896" s="52"/>
      <c r="G896" s="52"/>
      <c r="H896" s="52"/>
    </row>
    <row r="897" spans="1:8" ht="15.75">
      <c r="A897" s="124">
        <v>40725</v>
      </c>
      <c r="B897" s="125">
        <v>40.82</v>
      </c>
      <c r="C897" s="52"/>
      <c r="D897" s="52"/>
      <c r="E897" s="52"/>
      <c r="F897" s="52"/>
      <c r="G897" s="52"/>
      <c r="H897" s="52"/>
    </row>
    <row r="898" spans="1:8" ht="15.75">
      <c r="A898" s="124">
        <v>40728</v>
      </c>
      <c r="B898" s="125">
        <v>41.814999999999998</v>
      </c>
      <c r="C898" s="52"/>
      <c r="D898" s="52"/>
      <c r="E898" s="52"/>
      <c r="F898" s="52"/>
      <c r="G898" s="52"/>
      <c r="H898" s="52"/>
    </row>
    <row r="899" spans="1:8" ht="15.75">
      <c r="A899" s="124">
        <v>40729</v>
      </c>
      <c r="B899" s="125">
        <v>41.405000000000001</v>
      </c>
      <c r="C899" s="52"/>
      <c r="D899" s="52"/>
      <c r="E899" s="52"/>
      <c r="F899" s="52"/>
      <c r="G899" s="52"/>
      <c r="H899" s="52"/>
    </row>
    <row r="900" spans="1:8" ht="15.75">
      <c r="A900" s="124">
        <v>40730</v>
      </c>
      <c r="B900" s="125">
        <v>42.17</v>
      </c>
      <c r="C900" s="52"/>
      <c r="D900" s="52"/>
      <c r="E900" s="52"/>
      <c r="F900" s="52"/>
      <c r="G900" s="52"/>
      <c r="H900" s="52"/>
    </row>
    <row r="901" spans="1:8" ht="15.75">
      <c r="A901" s="124">
        <v>40731</v>
      </c>
      <c r="B901" s="125">
        <v>43</v>
      </c>
      <c r="C901" s="52"/>
      <c r="D901" s="52"/>
      <c r="E901" s="52"/>
      <c r="F901" s="52"/>
      <c r="G901" s="52"/>
      <c r="H901" s="52"/>
    </row>
    <row r="902" spans="1:8" ht="15.75">
      <c r="A902" s="124">
        <v>40732</v>
      </c>
      <c r="B902" s="125">
        <v>43.45</v>
      </c>
      <c r="C902" s="52"/>
      <c r="D902" s="52"/>
      <c r="E902" s="52"/>
      <c r="F902" s="52"/>
      <c r="G902" s="52"/>
      <c r="H902" s="52"/>
    </row>
    <row r="903" spans="1:8" ht="15.75">
      <c r="A903" s="124">
        <v>40735</v>
      </c>
      <c r="B903" s="125">
        <v>43.77</v>
      </c>
      <c r="C903" s="52"/>
      <c r="D903" s="52"/>
      <c r="E903" s="52"/>
      <c r="F903" s="52"/>
      <c r="G903" s="52"/>
      <c r="H903" s="52"/>
    </row>
    <row r="904" spans="1:8" ht="15.75">
      <c r="A904" s="124">
        <v>40736</v>
      </c>
      <c r="B904" s="125">
        <v>44.01</v>
      </c>
      <c r="C904" s="52"/>
      <c r="D904" s="52"/>
      <c r="E904" s="52"/>
      <c r="F904" s="52"/>
      <c r="G904" s="52"/>
      <c r="H904" s="52"/>
    </row>
    <row r="905" spans="1:8" ht="15.75">
      <c r="A905" s="124">
        <v>40737</v>
      </c>
      <c r="B905" s="125">
        <v>44.064999999999998</v>
      </c>
      <c r="C905" s="52"/>
      <c r="D905" s="52"/>
      <c r="E905" s="52"/>
      <c r="F905" s="52"/>
      <c r="G905" s="52"/>
      <c r="H905" s="52"/>
    </row>
    <row r="906" spans="1:8" ht="15.75">
      <c r="A906" s="124">
        <v>40738</v>
      </c>
      <c r="B906" s="125">
        <v>42.564999999999998</v>
      </c>
      <c r="C906" s="52"/>
      <c r="D906" s="52"/>
      <c r="E906" s="52"/>
      <c r="F906" s="52"/>
      <c r="G906" s="52"/>
      <c r="H906" s="52"/>
    </row>
    <row r="907" spans="1:8" ht="15.75">
      <c r="A907" s="124">
        <v>40739</v>
      </c>
      <c r="B907" s="125">
        <v>43.024999999999999</v>
      </c>
      <c r="C907" s="52"/>
      <c r="D907" s="52"/>
      <c r="E907" s="52"/>
      <c r="F907" s="52"/>
      <c r="G907" s="52"/>
      <c r="H907" s="52"/>
    </row>
    <row r="908" spans="1:8" ht="15.75">
      <c r="A908" s="124">
        <v>40742</v>
      </c>
      <c r="B908" s="125">
        <v>43.47</v>
      </c>
      <c r="C908" s="52"/>
      <c r="D908" s="52"/>
      <c r="E908" s="52"/>
      <c r="F908" s="52"/>
      <c r="G908" s="52"/>
      <c r="H908" s="52"/>
    </row>
    <row r="909" spans="1:8" ht="15.75">
      <c r="A909" s="124">
        <v>40743</v>
      </c>
      <c r="B909" s="125">
        <v>43.26</v>
      </c>
      <c r="C909" s="52"/>
      <c r="D909" s="52"/>
      <c r="E909" s="52"/>
      <c r="F909" s="52"/>
      <c r="G909" s="52"/>
      <c r="H909" s="52"/>
    </row>
    <row r="910" spans="1:8" ht="15.75">
      <c r="A910" s="124">
        <v>40744</v>
      </c>
      <c r="B910" s="125">
        <v>43.46</v>
      </c>
      <c r="C910" s="52"/>
      <c r="D910" s="52"/>
      <c r="E910" s="52"/>
      <c r="F910" s="52"/>
      <c r="G910" s="52"/>
      <c r="H910" s="52"/>
    </row>
    <row r="911" spans="1:8" ht="15.75">
      <c r="A911" s="124">
        <v>40745</v>
      </c>
      <c r="B911" s="125">
        <v>43.914999999999999</v>
      </c>
      <c r="C911" s="52"/>
      <c r="D911" s="52"/>
      <c r="E911" s="52"/>
      <c r="F911" s="52"/>
      <c r="G911" s="52"/>
      <c r="H911" s="52"/>
    </row>
    <row r="912" spans="1:8" ht="15.75">
      <c r="A912" s="124">
        <v>40746</v>
      </c>
      <c r="B912" s="125">
        <v>43.95</v>
      </c>
      <c r="C912" s="52"/>
      <c r="D912" s="52"/>
      <c r="E912" s="52"/>
      <c r="F912" s="52"/>
      <c r="G912" s="52"/>
      <c r="H912" s="52"/>
    </row>
    <row r="913" spans="1:8" ht="15.75">
      <c r="A913" s="124">
        <v>40749</v>
      </c>
      <c r="B913" s="125">
        <v>43.884999999999998</v>
      </c>
      <c r="C913" s="52"/>
      <c r="D913" s="52"/>
      <c r="E913" s="52"/>
      <c r="F913" s="52"/>
      <c r="G913" s="52"/>
      <c r="H913" s="52"/>
    </row>
    <row r="914" spans="1:8" ht="15.75">
      <c r="A914" s="124">
        <v>40750</v>
      </c>
      <c r="B914" s="125">
        <v>43.204999999999998</v>
      </c>
      <c r="C914" s="52"/>
      <c r="D914" s="52"/>
      <c r="E914" s="52"/>
      <c r="F914" s="52"/>
      <c r="G914" s="52"/>
      <c r="H914" s="52"/>
    </row>
    <row r="915" spans="1:8" ht="15.75">
      <c r="A915" s="124">
        <v>40751</v>
      </c>
      <c r="B915" s="125">
        <v>43.255000000000003</v>
      </c>
      <c r="C915" s="52"/>
      <c r="D915" s="52"/>
      <c r="E915" s="52"/>
      <c r="F915" s="52"/>
      <c r="G915" s="52"/>
      <c r="H915" s="52"/>
    </row>
    <row r="916" spans="1:8" ht="15.75">
      <c r="A916" s="124">
        <v>40752</v>
      </c>
      <c r="B916" s="125">
        <v>43.055</v>
      </c>
      <c r="C916" s="52"/>
      <c r="D916" s="52"/>
      <c r="E916" s="52"/>
      <c r="F916" s="52"/>
      <c r="G916" s="52"/>
      <c r="H916" s="52"/>
    </row>
    <row r="917" spans="1:8" ht="15.75">
      <c r="A917" s="124">
        <v>40753</v>
      </c>
      <c r="B917" s="125">
        <v>42.755000000000003</v>
      </c>
      <c r="C917" s="52"/>
      <c r="D917" s="52"/>
      <c r="E917" s="52"/>
      <c r="F917" s="52"/>
      <c r="G917" s="52"/>
      <c r="H917" s="52"/>
    </row>
    <row r="918" spans="1:8" ht="15.75">
      <c r="A918" s="124">
        <v>40756</v>
      </c>
      <c r="B918" s="125">
        <v>42.865000000000002</v>
      </c>
      <c r="C918" s="52"/>
      <c r="D918" s="52"/>
      <c r="E918" s="52"/>
      <c r="F918" s="52"/>
      <c r="G918" s="52"/>
      <c r="H918" s="52"/>
    </row>
    <row r="919" spans="1:8" ht="15.75">
      <c r="A919" s="124">
        <v>40757</v>
      </c>
      <c r="B919" s="125">
        <v>42.66</v>
      </c>
      <c r="C919" s="52"/>
      <c r="D919" s="52"/>
      <c r="E919" s="52"/>
      <c r="F919" s="52"/>
      <c r="G919" s="52"/>
      <c r="H919" s="52"/>
    </row>
    <row r="920" spans="1:8" ht="15.75">
      <c r="A920" s="124">
        <v>40758</v>
      </c>
      <c r="B920" s="125">
        <v>41.835000000000001</v>
      </c>
      <c r="C920" s="52"/>
      <c r="D920" s="52"/>
      <c r="E920" s="52"/>
      <c r="F920" s="52"/>
      <c r="G920" s="52"/>
      <c r="H920" s="52"/>
    </row>
    <row r="921" spans="1:8" ht="15.75">
      <c r="A921" s="124">
        <v>40759</v>
      </c>
      <c r="B921" s="125">
        <v>41.055</v>
      </c>
      <c r="C921" s="52"/>
      <c r="D921" s="52"/>
      <c r="E921" s="52"/>
      <c r="F921" s="52"/>
      <c r="G921" s="52"/>
      <c r="H921" s="52"/>
    </row>
    <row r="922" spans="1:8" ht="15.75">
      <c r="A922" s="124">
        <v>40760</v>
      </c>
      <c r="B922" s="125">
        <v>39.99</v>
      </c>
      <c r="C922" s="52"/>
      <c r="D922" s="52"/>
      <c r="E922" s="52"/>
      <c r="F922" s="52"/>
      <c r="G922" s="52"/>
      <c r="H922" s="52"/>
    </row>
    <row r="923" spans="1:8" ht="15.75">
      <c r="A923" s="124">
        <v>40763</v>
      </c>
      <c r="B923" s="125">
        <v>37.68</v>
      </c>
      <c r="C923" s="52"/>
      <c r="D923" s="52"/>
      <c r="E923" s="52"/>
      <c r="F923" s="52"/>
      <c r="G923" s="52"/>
      <c r="H923" s="52"/>
    </row>
    <row r="924" spans="1:8" ht="15.75">
      <c r="A924" s="124">
        <v>40764</v>
      </c>
      <c r="B924" s="125">
        <v>37.274999999999999</v>
      </c>
      <c r="C924" s="52"/>
      <c r="D924" s="52"/>
      <c r="E924" s="52"/>
      <c r="F924" s="52"/>
      <c r="G924" s="52"/>
      <c r="H924" s="52"/>
    </row>
    <row r="925" spans="1:8" ht="15.75">
      <c r="A925" s="124">
        <v>40765</v>
      </c>
      <c r="B925" s="125">
        <v>39.520000000000003</v>
      </c>
      <c r="C925" s="52"/>
      <c r="D925" s="52"/>
      <c r="E925" s="52"/>
      <c r="F925" s="52"/>
      <c r="G925" s="52"/>
      <c r="H925" s="52"/>
    </row>
    <row r="926" spans="1:8" ht="15.75">
      <c r="A926" s="124">
        <v>40766</v>
      </c>
      <c r="B926" s="125">
        <v>40.325000000000003</v>
      </c>
      <c r="C926" s="52"/>
      <c r="D926" s="52"/>
      <c r="E926" s="52"/>
      <c r="F926" s="52"/>
      <c r="G926" s="52"/>
      <c r="H926" s="52"/>
    </row>
    <row r="927" spans="1:8" ht="15.75">
      <c r="A927" s="124">
        <v>40767</v>
      </c>
      <c r="B927" s="125">
        <v>41.02</v>
      </c>
      <c r="C927" s="52"/>
      <c r="D927" s="52"/>
      <c r="E927" s="52"/>
      <c r="F927" s="52"/>
      <c r="G927" s="52"/>
      <c r="H927" s="52"/>
    </row>
    <row r="928" spans="1:8" ht="15.75">
      <c r="A928" s="124">
        <v>40770</v>
      </c>
      <c r="B928" s="125">
        <v>41.634999999999998</v>
      </c>
      <c r="C928" s="52"/>
      <c r="D928" s="52"/>
      <c r="E928" s="52"/>
      <c r="F928" s="52"/>
      <c r="G928" s="52"/>
      <c r="H928" s="52"/>
    </row>
    <row r="929" spans="1:8" ht="15.75">
      <c r="A929" s="124">
        <v>40771</v>
      </c>
      <c r="B929" s="125">
        <v>41.805</v>
      </c>
      <c r="C929" s="52"/>
      <c r="D929" s="52"/>
      <c r="E929" s="52"/>
      <c r="F929" s="52"/>
      <c r="G929" s="52"/>
      <c r="H929" s="52"/>
    </row>
    <row r="930" spans="1:8" ht="15.75">
      <c r="A930" s="124">
        <v>40772</v>
      </c>
      <c r="B930" s="125">
        <v>41.96</v>
      </c>
      <c r="C930" s="52"/>
      <c r="D930" s="52"/>
      <c r="E930" s="52"/>
      <c r="F930" s="52"/>
      <c r="G930" s="52"/>
      <c r="H930" s="52"/>
    </row>
    <row r="931" spans="1:8" ht="15.75">
      <c r="A931" s="124">
        <v>40773</v>
      </c>
      <c r="B931" s="125">
        <v>39.479999999999997</v>
      </c>
      <c r="C931" s="52"/>
      <c r="D931" s="52"/>
      <c r="E931" s="52"/>
      <c r="F931" s="52"/>
      <c r="G931" s="52"/>
      <c r="H931" s="52"/>
    </row>
    <row r="932" spans="1:8" ht="15.75">
      <c r="A932" s="124">
        <v>40774</v>
      </c>
      <c r="B932" s="125">
        <v>39.484999999999999</v>
      </c>
      <c r="C932" s="52"/>
      <c r="D932" s="52"/>
      <c r="E932" s="52"/>
      <c r="F932" s="52"/>
      <c r="G932" s="52"/>
      <c r="H932" s="52"/>
    </row>
    <row r="933" spans="1:8" ht="15.75">
      <c r="A933" s="124">
        <v>40777</v>
      </c>
      <c r="B933" s="125">
        <v>38.93</v>
      </c>
      <c r="C933" s="52"/>
      <c r="D933" s="52"/>
      <c r="E933" s="52"/>
      <c r="F933" s="52"/>
      <c r="G933" s="52"/>
      <c r="H933" s="52"/>
    </row>
    <row r="934" spans="1:8" ht="15.75">
      <c r="A934" s="124">
        <v>40778</v>
      </c>
      <c r="B934" s="125">
        <v>39.24</v>
      </c>
      <c r="C934" s="52"/>
      <c r="D934" s="52"/>
      <c r="E934" s="52"/>
      <c r="F934" s="52"/>
      <c r="G934" s="52"/>
      <c r="H934" s="52"/>
    </row>
    <row r="935" spans="1:8" ht="15.75">
      <c r="A935" s="124">
        <v>40779</v>
      </c>
      <c r="B935" s="125">
        <v>39.784999999999997</v>
      </c>
      <c r="C935" s="52"/>
      <c r="D935" s="52"/>
      <c r="E935" s="52"/>
      <c r="F935" s="52"/>
      <c r="G935" s="52"/>
      <c r="H935" s="52"/>
    </row>
    <row r="936" spans="1:8" ht="15.75">
      <c r="A936" s="124">
        <v>40780</v>
      </c>
      <c r="B936" s="125">
        <v>40.590000000000003</v>
      </c>
      <c r="C936" s="52"/>
      <c r="D936" s="52"/>
      <c r="E936" s="52"/>
      <c r="F936" s="52"/>
      <c r="G936" s="52"/>
      <c r="H936" s="52"/>
    </row>
    <row r="937" spans="1:8" ht="15.75">
      <c r="A937" s="124">
        <v>40781</v>
      </c>
      <c r="B937" s="125">
        <v>39.76</v>
      </c>
      <c r="C937" s="52"/>
      <c r="D937" s="52"/>
      <c r="E937" s="52"/>
      <c r="F937" s="52"/>
      <c r="G937" s="52"/>
      <c r="H937" s="52"/>
    </row>
    <row r="938" spans="1:8" ht="15.75">
      <c r="A938" s="124">
        <v>40784</v>
      </c>
      <c r="B938" s="125">
        <v>39.924999999999997</v>
      </c>
      <c r="C938" s="52"/>
      <c r="D938" s="52"/>
      <c r="E938" s="52"/>
      <c r="F938" s="52"/>
      <c r="G938" s="52"/>
      <c r="H938" s="52"/>
    </row>
    <row r="939" spans="1:8" ht="15.75">
      <c r="A939" s="124">
        <v>40785</v>
      </c>
      <c r="B939" s="125">
        <v>40.99</v>
      </c>
      <c r="C939" s="52"/>
      <c r="D939" s="52"/>
      <c r="E939" s="52"/>
      <c r="F939" s="52"/>
      <c r="G939" s="52"/>
      <c r="H939" s="52"/>
    </row>
    <row r="940" spans="1:8" ht="15.75">
      <c r="A940" s="124">
        <v>40786</v>
      </c>
      <c r="B940" s="125">
        <v>42.08</v>
      </c>
      <c r="C940" s="52"/>
      <c r="D940" s="52"/>
      <c r="E940" s="52"/>
      <c r="F940" s="52"/>
      <c r="G940" s="52"/>
      <c r="H940" s="52"/>
    </row>
    <row r="941" spans="1:8" ht="15.75">
      <c r="A941" s="124">
        <v>40787</v>
      </c>
      <c r="B941" s="125">
        <v>42.145000000000003</v>
      </c>
      <c r="C941" s="52"/>
      <c r="D941" s="52"/>
      <c r="E941" s="52"/>
      <c r="F941" s="52"/>
      <c r="G941" s="52"/>
      <c r="H941" s="52"/>
    </row>
    <row r="942" spans="1:8" ht="15.75">
      <c r="A942" s="124">
        <v>40788</v>
      </c>
      <c r="B942" s="125">
        <v>42.05</v>
      </c>
      <c r="C942" s="52"/>
      <c r="D942" s="52"/>
      <c r="E942" s="52"/>
      <c r="F942" s="52"/>
      <c r="G942" s="52"/>
      <c r="H942" s="52"/>
    </row>
    <row r="943" spans="1:8" ht="15.75">
      <c r="A943" s="124">
        <v>40791</v>
      </c>
      <c r="B943" s="125">
        <v>41.78</v>
      </c>
      <c r="C943" s="52"/>
      <c r="D943" s="52"/>
      <c r="E943" s="52"/>
      <c r="F943" s="52"/>
      <c r="G943" s="52"/>
      <c r="H943" s="52"/>
    </row>
    <row r="944" spans="1:8" ht="15.75">
      <c r="A944" s="124">
        <v>40792</v>
      </c>
      <c r="B944" s="125">
        <v>41.37</v>
      </c>
      <c r="C944" s="52"/>
      <c r="D944" s="52"/>
      <c r="E944" s="52"/>
      <c r="F944" s="52"/>
      <c r="G944" s="52"/>
      <c r="H944" s="52"/>
    </row>
    <row r="945" spans="1:8" ht="15.75">
      <c r="A945" s="124">
        <v>40793</v>
      </c>
      <c r="B945" s="125">
        <v>41.86</v>
      </c>
      <c r="C945" s="52"/>
      <c r="D945" s="52"/>
      <c r="E945" s="52"/>
      <c r="F945" s="52"/>
      <c r="G945" s="52"/>
      <c r="H945" s="52"/>
    </row>
    <row r="946" spans="1:8" ht="15.75">
      <c r="A946" s="124">
        <v>40794</v>
      </c>
      <c r="B946" s="125">
        <v>43.21</v>
      </c>
      <c r="C946" s="52"/>
      <c r="D946" s="52"/>
      <c r="E946" s="52"/>
      <c r="F946" s="52"/>
      <c r="G946" s="52"/>
      <c r="H946" s="52"/>
    </row>
    <row r="947" spans="1:8" ht="15.75">
      <c r="A947" s="124">
        <v>40795</v>
      </c>
      <c r="B947" s="125">
        <v>43.98</v>
      </c>
      <c r="C947" s="52"/>
      <c r="D947" s="52"/>
      <c r="E947" s="52"/>
      <c r="F947" s="52"/>
      <c r="G947" s="52"/>
      <c r="H947" s="52"/>
    </row>
    <row r="948" spans="1:8" ht="15.75">
      <c r="A948" s="124">
        <v>40798</v>
      </c>
      <c r="B948" s="125">
        <v>42.97</v>
      </c>
      <c r="C948" s="52"/>
      <c r="D948" s="52"/>
      <c r="E948" s="52"/>
      <c r="F948" s="52"/>
      <c r="G948" s="52"/>
      <c r="H948" s="52"/>
    </row>
    <row r="949" spans="1:8" ht="15.75">
      <c r="A949" s="124">
        <v>40799</v>
      </c>
      <c r="B949" s="125">
        <v>43.155000000000001</v>
      </c>
      <c r="C949" s="52"/>
      <c r="D949" s="52"/>
      <c r="E949" s="52"/>
      <c r="F949" s="52"/>
      <c r="G949" s="52"/>
      <c r="H949" s="52"/>
    </row>
    <row r="950" spans="1:8" ht="15.75">
      <c r="A950" s="124">
        <v>40800</v>
      </c>
      <c r="B950" s="125">
        <v>42.134999999999998</v>
      </c>
      <c r="C950" s="52"/>
      <c r="D950" s="52"/>
      <c r="E950" s="52"/>
      <c r="F950" s="52"/>
      <c r="G950" s="52"/>
      <c r="H950" s="52"/>
    </row>
    <row r="951" spans="1:8" ht="15.75">
      <c r="A951" s="124">
        <v>40801</v>
      </c>
      <c r="B951" s="125">
        <v>42.465000000000003</v>
      </c>
      <c r="C951" s="52"/>
      <c r="D951" s="52"/>
      <c r="E951" s="52"/>
      <c r="F951" s="52"/>
      <c r="G951" s="52"/>
      <c r="H951" s="52"/>
    </row>
    <row r="952" spans="1:8" ht="15.75">
      <c r="A952" s="124">
        <v>40802</v>
      </c>
      <c r="B952" s="125">
        <v>41.935000000000002</v>
      </c>
      <c r="C952" s="52"/>
      <c r="D952" s="52"/>
      <c r="E952" s="52"/>
      <c r="F952" s="52"/>
      <c r="G952" s="52"/>
      <c r="H952" s="52"/>
    </row>
    <row r="953" spans="1:8" ht="15.75">
      <c r="A953" s="124">
        <v>40805</v>
      </c>
      <c r="B953" s="125">
        <v>41.93</v>
      </c>
      <c r="C953" s="52"/>
      <c r="D953" s="52"/>
      <c r="E953" s="52"/>
      <c r="F953" s="52"/>
      <c r="G953" s="52"/>
      <c r="H953" s="52"/>
    </row>
    <row r="954" spans="1:8" ht="15.75">
      <c r="A954" s="124">
        <v>40806</v>
      </c>
      <c r="B954" s="125">
        <v>40.89</v>
      </c>
      <c r="C954" s="52"/>
      <c r="D954" s="52"/>
      <c r="E954" s="52"/>
      <c r="F954" s="52"/>
      <c r="G954" s="52"/>
      <c r="H954" s="52"/>
    </row>
    <row r="955" spans="1:8" ht="15.75">
      <c r="A955" s="124">
        <v>40807</v>
      </c>
      <c r="B955" s="125">
        <v>38.729999999999997</v>
      </c>
      <c r="C955" s="52"/>
      <c r="D955" s="52"/>
      <c r="E955" s="52"/>
      <c r="F955" s="52"/>
      <c r="G955" s="52"/>
      <c r="H955" s="52"/>
    </row>
    <row r="956" spans="1:8" ht="15.75">
      <c r="A956" s="124">
        <v>40808</v>
      </c>
      <c r="B956" s="125">
        <v>37.909999999999997</v>
      </c>
      <c r="C956" s="52"/>
      <c r="D956" s="52"/>
      <c r="E956" s="52"/>
      <c r="F956" s="52"/>
      <c r="G956" s="52"/>
      <c r="H956" s="52"/>
    </row>
    <row r="957" spans="1:8" ht="15.75">
      <c r="A957" s="124">
        <v>40809</v>
      </c>
      <c r="B957" s="125">
        <v>38.865000000000002</v>
      </c>
      <c r="C957" s="52"/>
      <c r="D957" s="52"/>
      <c r="E957" s="52"/>
      <c r="F957" s="52"/>
      <c r="G957" s="52"/>
      <c r="H957" s="52"/>
    </row>
    <row r="958" spans="1:8" ht="15.75">
      <c r="A958" s="124">
        <v>40812</v>
      </c>
      <c r="B958" s="125">
        <v>39.325000000000003</v>
      </c>
      <c r="C958" s="52"/>
      <c r="D958" s="52"/>
      <c r="E958" s="52"/>
      <c r="F958" s="52"/>
      <c r="G958" s="52"/>
      <c r="H958" s="52"/>
    </row>
    <row r="959" spans="1:8" ht="15.75">
      <c r="A959" s="124">
        <v>40813</v>
      </c>
      <c r="B959" s="125">
        <v>38.984999999999999</v>
      </c>
      <c r="C959" s="52"/>
      <c r="D959" s="52"/>
      <c r="E959" s="52"/>
      <c r="F959" s="52"/>
      <c r="G959" s="52"/>
      <c r="H959" s="52"/>
    </row>
    <row r="960" spans="1:8" ht="15.75">
      <c r="A960" s="124">
        <v>40814</v>
      </c>
      <c r="B960" s="125">
        <v>39.064999999999998</v>
      </c>
      <c r="C960" s="52"/>
      <c r="D960" s="52"/>
      <c r="E960" s="52"/>
      <c r="F960" s="52"/>
      <c r="G960" s="52"/>
      <c r="H960" s="52"/>
    </row>
    <row r="961" spans="1:8" ht="15.75">
      <c r="A961" s="124">
        <v>40815</v>
      </c>
      <c r="B961" s="125">
        <v>38.854999999999997</v>
      </c>
      <c r="C961" s="52"/>
      <c r="D961" s="52"/>
      <c r="E961" s="52"/>
      <c r="F961" s="52"/>
      <c r="G961" s="52"/>
      <c r="H961" s="52"/>
    </row>
    <row r="962" spans="1:8" ht="15.75">
      <c r="A962" s="124">
        <v>40816</v>
      </c>
      <c r="B962" s="125">
        <v>39.19</v>
      </c>
      <c r="C962" s="52"/>
      <c r="D962" s="52"/>
      <c r="E962" s="52"/>
      <c r="F962" s="52"/>
      <c r="G962" s="52"/>
      <c r="H962" s="52"/>
    </row>
    <row r="963" spans="1:8" ht="15.75">
      <c r="A963" s="124">
        <v>40819</v>
      </c>
      <c r="B963" s="125">
        <v>38.515000000000001</v>
      </c>
      <c r="C963" s="52"/>
      <c r="D963" s="52"/>
      <c r="E963" s="52"/>
      <c r="F963" s="52"/>
      <c r="G963" s="52"/>
      <c r="H963" s="52"/>
    </row>
    <row r="964" spans="1:8" ht="15.75">
      <c r="A964" s="124">
        <v>40820</v>
      </c>
      <c r="B964" s="125">
        <v>36.805</v>
      </c>
      <c r="C964" s="52"/>
      <c r="D964" s="52"/>
      <c r="E964" s="52"/>
      <c r="F964" s="52"/>
      <c r="G964" s="52"/>
      <c r="H964" s="52"/>
    </row>
    <row r="965" spans="1:8" ht="15.75">
      <c r="A965" s="124">
        <v>40821</v>
      </c>
      <c r="B965" s="125">
        <v>36.395000000000003</v>
      </c>
      <c r="C965" s="52"/>
      <c r="D965" s="52"/>
      <c r="E965" s="52"/>
      <c r="F965" s="52"/>
      <c r="G965" s="52"/>
      <c r="H965" s="52"/>
    </row>
    <row r="966" spans="1:8" ht="15.75">
      <c r="A966" s="124">
        <v>40822</v>
      </c>
      <c r="B966" s="125">
        <v>38.994999999999997</v>
      </c>
      <c r="C966" s="52"/>
      <c r="D966" s="52"/>
      <c r="E966" s="52"/>
      <c r="F966" s="52"/>
      <c r="G966" s="52"/>
      <c r="H966" s="52"/>
    </row>
    <row r="967" spans="1:8" ht="15.75">
      <c r="A967" s="124">
        <v>40823</v>
      </c>
      <c r="B967" s="125">
        <v>39.344999999999999</v>
      </c>
      <c r="C967" s="52"/>
      <c r="D967" s="52"/>
      <c r="E967" s="52"/>
      <c r="F967" s="52"/>
      <c r="G967" s="52"/>
      <c r="H967" s="52"/>
    </row>
    <row r="968" spans="1:8" ht="15.75">
      <c r="A968" s="124">
        <v>40826</v>
      </c>
      <c r="B968" s="125">
        <v>39.21</v>
      </c>
      <c r="C968" s="52"/>
      <c r="D968" s="52"/>
      <c r="E968" s="52"/>
      <c r="F968" s="52"/>
      <c r="G968" s="52"/>
      <c r="H968" s="52"/>
    </row>
    <row r="969" spans="1:8" ht="15.75">
      <c r="A969" s="124">
        <v>40827</v>
      </c>
      <c r="B969" s="125">
        <v>38.814999999999998</v>
      </c>
      <c r="C969" s="52"/>
      <c r="D969" s="52"/>
      <c r="E969" s="52"/>
      <c r="F969" s="52"/>
      <c r="G969" s="52"/>
      <c r="H969" s="52"/>
    </row>
    <row r="970" spans="1:8" ht="15.75">
      <c r="A970" s="124">
        <v>40828</v>
      </c>
      <c r="B970" s="125">
        <v>38.454999999999998</v>
      </c>
      <c r="C970" s="52"/>
      <c r="D970" s="52"/>
      <c r="E970" s="52"/>
      <c r="F970" s="52"/>
      <c r="G970" s="52"/>
      <c r="H970" s="52"/>
    </row>
    <row r="971" spans="1:8" ht="15.75">
      <c r="A971" s="124">
        <v>40829</v>
      </c>
      <c r="B971" s="125">
        <v>38.25</v>
      </c>
      <c r="C971" s="52"/>
      <c r="D971" s="52"/>
      <c r="E971" s="52"/>
      <c r="F971" s="52"/>
      <c r="G971" s="52"/>
      <c r="H971" s="52"/>
    </row>
    <row r="972" spans="1:8" ht="15.75">
      <c r="A972" s="124">
        <v>40830</v>
      </c>
      <c r="B972" s="125">
        <v>38.479999999999997</v>
      </c>
      <c r="C972" s="52"/>
      <c r="D972" s="52"/>
      <c r="E972" s="52"/>
      <c r="F972" s="52"/>
      <c r="G972" s="52"/>
      <c r="H972" s="52"/>
    </row>
    <row r="973" spans="1:8" ht="15.75">
      <c r="A973" s="124">
        <v>40833</v>
      </c>
      <c r="B973" s="125">
        <v>38.380000000000003</v>
      </c>
      <c r="C973" s="52"/>
      <c r="D973" s="52"/>
      <c r="E973" s="52"/>
      <c r="F973" s="52"/>
      <c r="G973" s="52"/>
      <c r="H973" s="52"/>
    </row>
    <row r="974" spans="1:8" ht="15.75">
      <c r="A974" s="124">
        <v>40834</v>
      </c>
      <c r="B974" s="125">
        <v>38.36</v>
      </c>
      <c r="C974" s="52"/>
      <c r="D974" s="52"/>
      <c r="E974" s="52"/>
      <c r="F974" s="52"/>
      <c r="G974" s="52"/>
      <c r="H974" s="52"/>
    </row>
    <row r="975" spans="1:8" ht="15.75">
      <c r="A975" s="124">
        <v>40835</v>
      </c>
      <c r="B975" s="125">
        <v>39.784999999999997</v>
      </c>
      <c r="C975" s="52"/>
      <c r="D975" s="52"/>
      <c r="E975" s="52"/>
      <c r="F975" s="52"/>
      <c r="G975" s="52"/>
      <c r="H975" s="52"/>
    </row>
    <row r="976" spans="1:8" ht="15.75">
      <c r="A976" s="124">
        <v>40836</v>
      </c>
      <c r="B976" s="125">
        <v>39.024999999999999</v>
      </c>
      <c r="C976" s="52"/>
      <c r="D976" s="52"/>
      <c r="E976" s="52"/>
      <c r="F976" s="52"/>
      <c r="G976" s="52"/>
      <c r="H976" s="52"/>
    </row>
    <row r="977" spans="1:8" ht="15.75">
      <c r="A977" s="124">
        <v>40837</v>
      </c>
      <c r="B977" s="125">
        <v>39.200000000000003</v>
      </c>
      <c r="C977" s="52"/>
      <c r="D977" s="52"/>
      <c r="E977" s="52"/>
      <c r="F977" s="52"/>
      <c r="G977" s="52"/>
      <c r="H977" s="52"/>
    </row>
    <row r="978" spans="1:8" ht="15.75">
      <c r="A978" s="124">
        <v>40840</v>
      </c>
      <c r="B978" s="125">
        <v>41</v>
      </c>
      <c r="C978" s="52"/>
      <c r="D978" s="52"/>
      <c r="E978" s="52"/>
      <c r="F978" s="52"/>
      <c r="G978" s="52"/>
      <c r="H978" s="52"/>
    </row>
    <row r="979" spans="1:8" ht="15.75">
      <c r="A979" s="124">
        <v>40841</v>
      </c>
      <c r="B979" s="125">
        <v>40.729999999999997</v>
      </c>
      <c r="C979" s="52"/>
      <c r="D979" s="52"/>
      <c r="E979" s="52"/>
      <c r="F979" s="52"/>
      <c r="G979" s="52"/>
      <c r="H979" s="52"/>
    </row>
    <row r="980" spans="1:8" ht="15.75">
      <c r="A980" s="124">
        <v>40842</v>
      </c>
      <c r="B980" s="125">
        <v>40.115000000000002</v>
      </c>
      <c r="C980" s="52"/>
      <c r="D980" s="52"/>
      <c r="E980" s="52"/>
      <c r="F980" s="52"/>
      <c r="G980" s="52"/>
      <c r="H980" s="52"/>
    </row>
    <row r="981" spans="1:8" ht="15.75">
      <c r="A981" s="124">
        <v>40843</v>
      </c>
      <c r="B981" s="125">
        <v>41.13</v>
      </c>
      <c r="C981" s="52"/>
      <c r="D981" s="52"/>
      <c r="E981" s="52"/>
      <c r="F981" s="52"/>
      <c r="G981" s="52"/>
      <c r="H981" s="52"/>
    </row>
    <row r="982" spans="1:8" ht="15.75">
      <c r="A982" s="124">
        <v>40844</v>
      </c>
      <c r="B982" s="125">
        <v>41.854999999999997</v>
      </c>
      <c r="C982" s="52"/>
      <c r="D982" s="52"/>
      <c r="E982" s="52"/>
      <c r="F982" s="52"/>
      <c r="G982" s="52"/>
      <c r="H982" s="52"/>
    </row>
    <row r="983" spans="1:8" ht="15.75">
      <c r="A983" s="124">
        <v>40847</v>
      </c>
      <c r="B983" s="125">
        <v>41.055</v>
      </c>
      <c r="C983" s="52"/>
      <c r="D983" s="52"/>
      <c r="E983" s="52"/>
      <c r="F983" s="52"/>
      <c r="G983" s="52"/>
      <c r="H983" s="52"/>
    </row>
    <row r="984" spans="1:8" ht="15.75">
      <c r="A984" s="124">
        <v>40848</v>
      </c>
      <c r="B984" s="125">
        <v>42.2</v>
      </c>
      <c r="C984" s="52"/>
      <c r="D984" s="52"/>
      <c r="E984" s="52"/>
      <c r="F984" s="52"/>
      <c r="G984" s="52"/>
      <c r="H984" s="52"/>
    </row>
    <row r="985" spans="1:8" ht="15.75">
      <c r="A985" s="124">
        <v>40849</v>
      </c>
      <c r="B985" s="125">
        <v>40.49</v>
      </c>
      <c r="C985" s="52"/>
      <c r="D985" s="52"/>
      <c r="E985" s="52"/>
      <c r="F985" s="52"/>
      <c r="G985" s="52"/>
      <c r="H985" s="52"/>
    </row>
    <row r="986" spans="1:8" ht="15.75">
      <c r="A986" s="124">
        <v>40850</v>
      </c>
      <c r="B986" s="125">
        <v>41.765000000000001</v>
      </c>
      <c r="C986" s="52"/>
      <c r="D986" s="52"/>
      <c r="E986" s="52"/>
      <c r="F986" s="52"/>
      <c r="G986" s="52"/>
      <c r="H986" s="52"/>
    </row>
    <row r="987" spans="1:8" ht="15.75">
      <c r="A987" s="124">
        <v>40851</v>
      </c>
      <c r="B987" s="125">
        <v>42.244999999999997</v>
      </c>
      <c r="C987" s="52"/>
      <c r="D987" s="52"/>
      <c r="E987" s="52"/>
      <c r="F987" s="52"/>
      <c r="G987" s="52"/>
      <c r="H987" s="52"/>
    </row>
    <row r="988" spans="1:8" ht="15.75">
      <c r="A988" s="124">
        <v>40854</v>
      </c>
      <c r="B988" s="125">
        <v>42.145000000000003</v>
      </c>
      <c r="C988" s="52"/>
      <c r="D988" s="52"/>
      <c r="E988" s="52"/>
      <c r="F988" s="52"/>
      <c r="G988" s="52"/>
      <c r="H988" s="52"/>
    </row>
    <row r="989" spans="1:8" ht="15.75">
      <c r="A989" s="124">
        <v>40855</v>
      </c>
      <c r="B989" s="125">
        <v>42.09</v>
      </c>
      <c r="C989" s="52"/>
      <c r="D989" s="52"/>
      <c r="E989" s="52"/>
      <c r="F989" s="52"/>
      <c r="G989" s="52"/>
      <c r="H989" s="52"/>
    </row>
    <row r="990" spans="1:8" ht="15.75">
      <c r="A990" s="124">
        <v>40856</v>
      </c>
      <c r="B990" s="125">
        <v>42.35</v>
      </c>
      <c r="C990" s="52"/>
      <c r="D990" s="52"/>
      <c r="E990" s="52"/>
      <c r="F990" s="52"/>
      <c r="G990" s="52"/>
      <c r="H990" s="52"/>
    </row>
    <row r="991" spans="1:8" ht="15.75">
      <c r="A991" s="124">
        <v>40857</v>
      </c>
      <c r="B991" s="125">
        <v>41.68</v>
      </c>
      <c r="C991" s="52"/>
      <c r="D991" s="52"/>
      <c r="E991" s="52"/>
      <c r="F991" s="52"/>
      <c r="G991" s="52"/>
      <c r="H991" s="52"/>
    </row>
    <row r="992" spans="1:8" ht="15.75">
      <c r="A992" s="124">
        <v>40858</v>
      </c>
      <c r="B992" s="125">
        <v>42.11</v>
      </c>
      <c r="C992" s="52"/>
      <c r="D992" s="52"/>
      <c r="E992" s="52"/>
      <c r="F992" s="52"/>
      <c r="G992" s="52"/>
      <c r="H992" s="52"/>
    </row>
    <row r="993" spans="1:8" ht="15.75">
      <c r="A993" s="124">
        <v>40861</v>
      </c>
      <c r="B993" s="125">
        <v>42.45</v>
      </c>
      <c r="C993" s="52"/>
      <c r="D993" s="52"/>
      <c r="E993" s="52"/>
      <c r="F993" s="52"/>
      <c r="G993" s="52"/>
      <c r="H993" s="52"/>
    </row>
    <row r="994" spans="1:8" ht="15.75">
      <c r="A994" s="124">
        <v>40862</v>
      </c>
      <c r="B994" s="125">
        <v>42.085000000000001</v>
      </c>
      <c r="C994" s="52"/>
      <c r="D994" s="52"/>
      <c r="E994" s="52"/>
      <c r="F994" s="52"/>
      <c r="G994" s="52"/>
      <c r="H994" s="52"/>
    </row>
    <row r="995" spans="1:8" ht="15.75">
      <c r="A995" s="124">
        <v>40863</v>
      </c>
      <c r="B995" s="125">
        <v>43.305</v>
      </c>
      <c r="C995" s="52"/>
      <c r="D995" s="52"/>
      <c r="E995" s="52"/>
      <c r="F995" s="52"/>
      <c r="G995" s="52"/>
      <c r="H995" s="52"/>
    </row>
    <row r="996" spans="1:8" ht="15.75">
      <c r="A996" s="124">
        <v>40864</v>
      </c>
      <c r="B996" s="125">
        <v>40.905000000000001</v>
      </c>
      <c r="C996" s="52"/>
      <c r="D996" s="52"/>
      <c r="E996" s="52"/>
      <c r="F996" s="52"/>
      <c r="G996" s="52"/>
      <c r="H996" s="52"/>
    </row>
    <row r="997" spans="1:8" ht="15.75">
      <c r="A997" s="124">
        <v>40865</v>
      </c>
      <c r="B997" s="125">
        <v>39.905000000000001</v>
      </c>
      <c r="C997" s="52"/>
      <c r="D997" s="52"/>
      <c r="E997" s="52"/>
      <c r="F997" s="52"/>
      <c r="G997" s="52"/>
      <c r="H997" s="52"/>
    </row>
    <row r="998" spans="1:8" ht="15.75">
      <c r="A998" s="124">
        <v>40868</v>
      </c>
      <c r="B998" s="125">
        <v>39.31</v>
      </c>
      <c r="C998" s="52"/>
      <c r="D998" s="52"/>
      <c r="E998" s="52"/>
      <c r="F998" s="52"/>
      <c r="G998" s="52"/>
      <c r="H998" s="52"/>
    </row>
    <row r="999" spans="1:8" ht="15.75">
      <c r="A999" s="124">
        <v>40869</v>
      </c>
      <c r="B999" s="125">
        <v>39.72</v>
      </c>
      <c r="C999" s="52"/>
      <c r="D999" s="52"/>
      <c r="E999" s="52"/>
      <c r="F999" s="52"/>
      <c r="G999" s="52"/>
      <c r="H999" s="52"/>
    </row>
    <row r="1000" spans="1:8" ht="15.75">
      <c r="A1000" s="124">
        <v>40870</v>
      </c>
      <c r="B1000" s="125">
        <v>39.945</v>
      </c>
      <c r="C1000" s="52"/>
      <c r="D1000" s="52"/>
      <c r="E1000" s="52"/>
      <c r="F1000" s="52"/>
      <c r="G1000" s="52"/>
      <c r="H1000" s="52"/>
    </row>
    <row r="1001" spans="1:8" ht="15.75">
      <c r="A1001" s="124">
        <v>40871</v>
      </c>
      <c r="B1001" s="125">
        <v>39.07</v>
      </c>
      <c r="C1001" s="52"/>
      <c r="D1001" s="52"/>
      <c r="E1001" s="52"/>
      <c r="F1001" s="52"/>
      <c r="G1001" s="52"/>
      <c r="H1001" s="52"/>
    </row>
    <row r="1002" spans="1:8" ht="15.75">
      <c r="A1002" s="124">
        <v>40872</v>
      </c>
      <c r="B1002" s="125">
        <v>39.265000000000001</v>
      </c>
      <c r="C1002" s="52"/>
      <c r="D1002" s="52"/>
      <c r="E1002" s="52"/>
      <c r="F1002" s="52"/>
      <c r="G1002" s="52"/>
      <c r="H1002" s="52"/>
    </row>
    <row r="1003" spans="1:8" ht="15.75">
      <c r="A1003" s="124">
        <v>40875</v>
      </c>
      <c r="B1003" s="125">
        <v>39.725000000000001</v>
      </c>
      <c r="C1003" s="52"/>
      <c r="D1003" s="52"/>
      <c r="E1003" s="52"/>
      <c r="F1003" s="52"/>
      <c r="G1003" s="52"/>
      <c r="H1003" s="52"/>
    </row>
    <row r="1004" spans="1:8" ht="15.75">
      <c r="A1004" s="124">
        <v>40876</v>
      </c>
      <c r="B1004" s="125">
        <v>39.56</v>
      </c>
      <c r="C1004" s="52"/>
      <c r="D1004" s="52"/>
      <c r="E1004" s="52"/>
      <c r="F1004" s="52"/>
      <c r="G1004" s="52"/>
      <c r="H1004" s="52"/>
    </row>
    <row r="1005" spans="1:8" ht="15.75">
      <c r="A1005" s="124">
        <v>40877</v>
      </c>
      <c r="B1005" s="125">
        <v>40.97</v>
      </c>
      <c r="C1005" s="52"/>
      <c r="D1005" s="52"/>
      <c r="E1005" s="52"/>
      <c r="F1005" s="52"/>
      <c r="G1005" s="52"/>
      <c r="H1005" s="52"/>
    </row>
    <row r="1006" spans="1:8" ht="15.75">
      <c r="A1006" s="124">
        <v>40878</v>
      </c>
      <c r="B1006" s="125">
        <v>40.83</v>
      </c>
      <c r="C1006" s="52"/>
      <c r="D1006" s="52"/>
      <c r="E1006" s="52"/>
      <c r="F1006" s="52"/>
      <c r="G1006" s="52"/>
      <c r="H1006" s="52"/>
    </row>
    <row r="1007" spans="1:8" ht="15.75">
      <c r="A1007" s="124">
        <v>40879</v>
      </c>
      <c r="B1007" s="125">
        <v>40.020000000000003</v>
      </c>
      <c r="C1007" s="52"/>
      <c r="D1007" s="52"/>
      <c r="E1007" s="52"/>
      <c r="F1007" s="52"/>
      <c r="G1007" s="52"/>
      <c r="H1007" s="52"/>
    </row>
    <row r="1008" spans="1:8" ht="15.75">
      <c r="A1008" s="124">
        <v>40882</v>
      </c>
      <c r="B1008" s="125">
        <v>39.984000000000002</v>
      </c>
      <c r="C1008" s="52"/>
      <c r="D1008" s="52"/>
      <c r="E1008" s="52"/>
      <c r="F1008" s="52"/>
      <c r="G1008" s="52"/>
      <c r="H1008" s="52"/>
    </row>
    <row r="1009" spans="1:8" ht="15.75">
      <c r="A1009" s="124">
        <v>40883</v>
      </c>
      <c r="B1009" s="125">
        <v>39.674999999999997</v>
      </c>
      <c r="C1009" s="52"/>
      <c r="D1009" s="52"/>
      <c r="E1009" s="52"/>
      <c r="F1009" s="52"/>
      <c r="G1009" s="52"/>
      <c r="H1009" s="52"/>
    </row>
    <row r="1010" spans="1:8" ht="15.75">
      <c r="A1010" s="124">
        <v>40884</v>
      </c>
      <c r="B1010" s="125">
        <v>39.630000000000003</v>
      </c>
      <c r="C1010" s="52"/>
      <c r="D1010" s="52"/>
      <c r="E1010" s="52"/>
      <c r="F1010" s="52"/>
      <c r="G1010" s="52"/>
      <c r="H1010" s="52"/>
    </row>
    <row r="1011" spans="1:8" ht="15.75">
      <c r="A1011" s="124">
        <v>40885</v>
      </c>
      <c r="B1011" s="125">
        <v>39.991999999999997</v>
      </c>
      <c r="C1011" s="52"/>
      <c r="D1011" s="52"/>
      <c r="E1011" s="52"/>
      <c r="F1011" s="52"/>
      <c r="G1011" s="52"/>
      <c r="H1011" s="52"/>
    </row>
    <row r="1012" spans="1:8" ht="15.75">
      <c r="A1012" s="124">
        <v>40886</v>
      </c>
      <c r="B1012" s="125">
        <v>40.158000000000001</v>
      </c>
      <c r="C1012" s="52"/>
      <c r="D1012" s="52"/>
      <c r="E1012" s="52"/>
      <c r="F1012" s="52"/>
      <c r="G1012" s="52"/>
      <c r="H1012" s="52"/>
    </row>
    <row r="1013" spans="1:8" ht="15.75">
      <c r="A1013" s="124">
        <v>40889</v>
      </c>
      <c r="B1013" s="125">
        <v>40.572000000000003</v>
      </c>
      <c r="C1013" s="52"/>
      <c r="D1013" s="52"/>
      <c r="E1013" s="52"/>
      <c r="F1013" s="52"/>
      <c r="G1013" s="52"/>
      <c r="H1013" s="52"/>
    </row>
    <row r="1014" spans="1:8" ht="15.75">
      <c r="A1014" s="124">
        <v>40890</v>
      </c>
      <c r="B1014" s="125">
        <v>40.460999999999999</v>
      </c>
      <c r="C1014" s="52"/>
      <c r="D1014" s="52"/>
      <c r="E1014" s="52"/>
      <c r="F1014" s="52"/>
      <c r="G1014" s="52"/>
      <c r="H1014" s="52"/>
    </row>
    <row r="1015" spans="1:8" ht="15.75">
      <c r="A1015" s="124">
        <v>40891</v>
      </c>
      <c r="B1015" s="125">
        <v>42.054000000000002</v>
      </c>
      <c r="C1015" s="52"/>
      <c r="D1015" s="52"/>
      <c r="E1015" s="52"/>
      <c r="F1015" s="52"/>
      <c r="G1015" s="52"/>
      <c r="H1015" s="52"/>
    </row>
    <row r="1016" spans="1:8" ht="15.75">
      <c r="A1016" s="124">
        <v>40892</v>
      </c>
      <c r="B1016" s="125">
        <v>41.837000000000003</v>
      </c>
      <c r="C1016" s="52"/>
      <c r="D1016" s="52"/>
      <c r="E1016" s="52"/>
      <c r="F1016" s="52"/>
      <c r="G1016" s="52"/>
      <c r="H1016" s="52"/>
    </row>
    <row r="1017" spans="1:8" ht="15.75">
      <c r="A1017" s="124">
        <v>40893</v>
      </c>
      <c r="B1017" s="125">
        <v>42.64</v>
      </c>
      <c r="C1017" s="52"/>
      <c r="D1017" s="52"/>
      <c r="E1017" s="52"/>
      <c r="F1017" s="52"/>
      <c r="G1017" s="52"/>
      <c r="H1017" s="52"/>
    </row>
    <row r="1018" spans="1:8" ht="15.75">
      <c r="A1018" s="124">
        <v>40896</v>
      </c>
      <c r="B1018" s="125">
        <v>42.59</v>
      </c>
      <c r="C1018" s="52"/>
      <c r="D1018" s="52"/>
      <c r="E1018" s="52"/>
      <c r="F1018" s="52"/>
      <c r="G1018" s="52"/>
      <c r="H1018" s="52"/>
    </row>
    <row r="1019" spans="1:8" ht="15.75">
      <c r="A1019" s="124">
        <v>40897</v>
      </c>
      <c r="B1019" s="125">
        <v>43.146000000000001</v>
      </c>
      <c r="C1019" s="52"/>
      <c r="D1019" s="52"/>
      <c r="E1019" s="52"/>
      <c r="F1019" s="52"/>
      <c r="G1019" s="52"/>
      <c r="H1019" s="52"/>
    </row>
    <row r="1020" spans="1:8" ht="15.75">
      <c r="A1020" s="124">
        <v>40898</v>
      </c>
      <c r="B1020" s="125">
        <v>42.816000000000003</v>
      </c>
      <c r="C1020" s="52"/>
      <c r="D1020" s="52"/>
      <c r="E1020" s="52"/>
      <c r="F1020" s="52"/>
      <c r="G1020" s="52"/>
      <c r="H1020" s="52"/>
    </row>
    <row r="1021" spans="1:8" ht="15.75">
      <c r="A1021" s="124">
        <v>40899</v>
      </c>
      <c r="B1021" s="125">
        <v>43.798000000000002</v>
      </c>
      <c r="C1021" s="52"/>
      <c r="D1021" s="52"/>
      <c r="E1021" s="52"/>
      <c r="F1021" s="52"/>
      <c r="G1021" s="52"/>
      <c r="H1021" s="52"/>
    </row>
    <row r="1022" spans="1:8" ht="15.75">
      <c r="A1022" s="124">
        <v>40900</v>
      </c>
      <c r="B1022" s="125">
        <v>43.793999999999997</v>
      </c>
      <c r="C1022" s="52"/>
      <c r="D1022" s="52"/>
      <c r="E1022" s="52"/>
      <c r="F1022" s="52"/>
      <c r="G1022" s="52"/>
      <c r="H1022" s="52"/>
    </row>
    <row r="1023" spans="1:8" ht="15.75">
      <c r="A1023" s="124">
        <v>40904</v>
      </c>
      <c r="B1023" s="125">
        <v>44.215000000000003</v>
      </c>
      <c r="C1023" s="52"/>
      <c r="D1023" s="52"/>
      <c r="E1023" s="52"/>
      <c r="F1023" s="52"/>
      <c r="G1023" s="52"/>
      <c r="H1023" s="52"/>
    </row>
    <row r="1024" spans="1:8" ht="15.75">
      <c r="A1024" s="124">
        <v>40905</v>
      </c>
      <c r="B1024" s="125">
        <v>43.895000000000003</v>
      </c>
      <c r="C1024" s="52"/>
      <c r="D1024" s="52"/>
      <c r="E1024" s="52"/>
      <c r="F1024" s="52"/>
      <c r="G1024" s="52"/>
      <c r="H1024" s="52"/>
    </row>
    <row r="1025" spans="1:8" ht="15.75">
      <c r="A1025" s="124">
        <v>40906</v>
      </c>
      <c r="B1025" s="125">
        <v>43.768000000000001</v>
      </c>
      <c r="C1025" s="52"/>
      <c r="D1025" s="52"/>
      <c r="E1025" s="52"/>
      <c r="F1025" s="52"/>
      <c r="G1025" s="52"/>
      <c r="H1025" s="52"/>
    </row>
    <row r="1026" spans="1:8" ht="15.75">
      <c r="A1026" s="124">
        <v>40907</v>
      </c>
      <c r="B1026" s="125">
        <v>43.908000000000001</v>
      </c>
      <c r="C1026" s="52"/>
      <c r="D1026" s="52"/>
      <c r="E1026" s="52"/>
      <c r="F1026" s="52"/>
      <c r="G1026" s="52"/>
      <c r="H1026" s="52"/>
    </row>
    <row r="1027" spans="1:8" ht="15.75">
      <c r="A1027" s="124">
        <v>40910</v>
      </c>
      <c r="B1027" s="125">
        <v>43.841999999999999</v>
      </c>
      <c r="C1027" s="52"/>
      <c r="D1027" s="52"/>
      <c r="E1027" s="52"/>
      <c r="F1027" s="52"/>
      <c r="G1027" s="52"/>
      <c r="H1027" s="52"/>
    </row>
    <row r="1028" spans="1:8" ht="15.75">
      <c r="A1028" s="124">
        <v>40911</v>
      </c>
      <c r="B1028" s="125">
        <v>43.845999999999997</v>
      </c>
      <c r="C1028" s="52"/>
      <c r="D1028" s="52"/>
      <c r="E1028" s="52"/>
      <c r="F1028" s="52"/>
      <c r="G1028" s="52"/>
      <c r="H1028" s="52"/>
    </row>
    <row r="1029" spans="1:8" ht="15.75">
      <c r="A1029" s="124">
        <v>40912</v>
      </c>
      <c r="B1029" s="125">
        <v>43.088999999999999</v>
      </c>
      <c r="C1029" s="52"/>
      <c r="D1029" s="52"/>
      <c r="E1029" s="52"/>
      <c r="F1029" s="52"/>
      <c r="G1029" s="52"/>
      <c r="H1029" s="52"/>
    </row>
    <row r="1030" spans="1:8" ht="15.75">
      <c r="A1030" s="124">
        <v>40913</v>
      </c>
      <c r="B1030" s="125">
        <v>43.338000000000001</v>
      </c>
      <c r="C1030" s="52"/>
      <c r="D1030" s="52"/>
      <c r="E1030" s="52"/>
      <c r="F1030" s="52"/>
      <c r="G1030" s="52"/>
      <c r="H1030" s="52"/>
    </row>
    <row r="1031" spans="1:8" ht="15.75">
      <c r="A1031" s="124">
        <v>40914</v>
      </c>
      <c r="B1031" s="125">
        <v>43.686</v>
      </c>
      <c r="C1031" s="52"/>
      <c r="D1031" s="52"/>
      <c r="E1031" s="52"/>
      <c r="F1031" s="52"/>
      <c r="G1031" s="52"/>
      <c r="H1031" s="52"/>
    </row>
    <row r="1032" spans="1:8" ht="15.75">
      <c r="A1032" s="124">
        <v>40917</v>
      </c>
      <c r="B1032" s="125">
        <v>43.043999999999997</v>
      </c>
      <c r="C1032" s="52"/>
      <c r="D1032" s="52"/>
      <c r="E1032" s="52"/>
      <c r="F1032" s="52"/>
      <c r="G1032" s="52"/>
      <c r="H1032" s="52"/>
    </row>
    <row r="1033" spans="1:8" ht="15.75">
      <c r="A1033" s="124">
        <v>40918</v>
      </c>
      <c r="B1033" s="125">
        <v>43.006999999999998</v>
      </c>
      <c r="C1033" s="52"/>
      <c r="D1033" s="52"/>
      <c r="E1033" s="52"/>
      <c r="F1033" s="52"/>
      <c r="G1033" s="52"/>
      <c r="H1033" s="52"/>
    </row>
    <row r="1034" spans="1:8" ht="15.75">
      <c r="A1034" s="124">
        <v>40919</v>
      </c>
      <c r="B1034" s="125">
        <v>43.145000000000003</v>
      </c>
      <c r="C1034" s="52"/>
      <c r="D1034" s="52"/>
      <c r="E1034" s="52"/>
      <c r="F1034" s="52"/>
      <c r="G1034" s="52"/>
      <c r="H1034" s="52"/>
    </row>
    <row r="1035" spans="1:8" ht="15.75">
      <c r="A1035" s="124">
        <v>40920</v>
      </c>
      <c r="B1035" s="125">
        <v>42.222000000000001</v>
      </c>
      <c r="C1035" s="52"/>
      <c r="D1035" s="52"/>
      <c r="E1035" s="52"/>
      <c r="F1035" s="52"/>
      <c r="G1035" s="52"/>
      <c r="H1035" s="52"/>
    </row>
    <row r="1036" spans="1:8" ht="15.75">
      <c r="A1036" s="124">
        <v>40921</v>
      </c>
      <c r="B1036" s="125">
        <v>43.28</v>
      </c>
      <c r="C1036" s="52"/>
      <c r="D1036" s="52"/>
      <c r="E1036" s="52"/>
      <c r="F1036" s="52"/>
      <c r="G1036" s="52"/>
      <c r="H1036" s="52"/>
    </row>
    <row r="1037" spans="1:8" ht="15.75">
      <c r="A1037" s="124">
        <v>40924</v>
      </c>
      <c r="B1037" s="125">
        <v>43.073999999999998</v>
      </c>
      <c r="C1037" s="52"/>
      <c r="D1037" s="52"/>
      <c r="E1037" s="52"/>
      <c r="F1037" s="52"/>
      <c r="G1037" s="52"/>
      <c r="H1037" s="52"/>
    </row>
    <row r="1038" spans="1:8" ht="15.75">
      <c r="A1038" s="124">
        <v>40925</v>
      </c>
      <c r="B1038" s="125">
        <v>43.69</v>
      </c>
      <c r="C1038" s="52"/>
      <c r="D1038" s="52"/>
      <c r="E1038" s="52"/>
      <c r="F1038" s="52"/>
      <c r="G1038" s="52"/>
      <c r="H1038" s="52"/>
    </row>
    <row r="1039" spans="1:8" ht="15.75">
      <c r="A1039" s="124">
        <v>40926</v>
      </c>
      <c r="B1039" s="125">
        <v>43.268000000000001</v>
      </c>
      <c r="C1039" s="52"/>
      <c r="D1039" s="52"/>
      <c r="E1039" s="52"/>
      <c r="F1039" s="52"/>
      <c r="G1039" s="52"/>
      <c r="H1039" s="52"/>
    </row>
    <row r="1040" spans="1:8" ht="15.75">
      <c r="A1040" s="124">
        <v>40927</v>
      </c>
      <c r="B1040" s="125">
        <v>42.893000000000001</v>
      </c>
      <c r="C1040" s="52"/>
      <c r="D1040" s="52"/>
      <c r="E1040" s="52"/>
      <c r="F1040" s="52"/>
      <c r="G1040" s="52"/>
      <c r="H1040" s="52"/>
    </row>
    <row r="1041" spans="1:8" ht="15.75">
      <c r="A1041" s="124">
        <v>40928</v>
      </c>
      <c r="B1041" s="125">
        <v>42.406999999999996</v>
      </c>
      <c r="C1041" s="52"/>
      <c r="D1041" s="52"/>
      <c r="E1041" s="52"/>
      <c r="F1041" s="52"/>
      <c r="G1041" s="52"/>
      <c r="H1041" s="52"/>
    </row>
    <row r="1042" spans="1:8" ht="15.75">
      <c r="A1042" s="124">
        <v>40931</v>
      </c>
      <c r="B1042" s="125">
        <v>43.104999999999997</v>
      </c>
      <c r="C1042" s="52"/>
      <c r="D1042" s="52"/>
      <c r="E1042" s="52"/>
      <c r="F1042" s="52"/>
      <c r="G1042" s="52"/>
      <c r="H1042" s="52"/>
    </row>
    <row r="1043" spans="1:8" ht="15.75">
      <c r="A1043" s="124">
        <v>40932</v>
      </c>
      <c r="B1043" s="125">
        <v>43.103999999999999</v>
      </c>
      <c r="C1043" s="52"/>
      <c r="D1043" s="52"/>
      <c r="E1043" s="52"/>
      <c r="F1043" s="52"/>
      <c r="G1043" s="52"/>
      <c r="H1043" s="52"/>
    </row>
    <row r="1044" spans="1:8" ht="15.75">
      <c r="A1044" s="124">
        <v>40933</v>
      </c>
      <c r="B1044" s="125">
        <v>43.015000000000001</v>
      </c>
      <c r="C1044" s="52"/>
      <c r="D1044" s="52"/>
      <c r="E1044" s="52"/>
      <c r="F1044" s="52"/>
      <c r="G1044" s="52"/>
      <c r="H1044" s="52"/>
    </row>
    <row r="1045" spans="1:8" ht="15.75">
      <c r="A1045" s="124">
        <v>40934</v>
      </c>
      <c r="B1045" s="125">
        <v>44.302</v>
      </c>
      <c r="C1045" s="52"/>
      <c r="D1045" s="52"/>
      <c r="E1045" s="52"/>
      <c r="F1045" s="52"/>
      <c r="G1045" s="52"/>
      <c r="H1045" s="52"/>
    </row>
    <row r="1046" spans="1:8" ht="15.75">
      <c r="A1046" s="124">
        <v>40935</v>
      </c>
      <c r="B1046" s="125">
        <v>44.68</v>
      </c>
      <c r="C1046" s="52"/>
      <c r="D1046" s="52"/>
      <c r="E1046" s="52"/>
      <c r="F1046" s="52"/>
      <c r="G1046" s="52"/>
      <c r="H1046" s="52"/>
    </row>
    <row r="1047" spans="1:8" ht="15.75">
      <c r="A1047" s="124">
        <v>40938</v>
      </c>
      <c r="B1047" s="125">
        <v>44.866999999999997</v>
      </c>
      <c r="C1047" s="52"/>
      <c r="D1047" s="52"/>
      <c r="E1047" s="52"/>
      <c r="F1047" s="52"/>
      <c r="G1047" s="52"/>
      <c r="H1047" s="52"/>
    </row>
    <row r="1048" spans="1:8" ht="15.75">
      <c r="A1048" s="124">
        <v>40939</v>
      </c>
      <c r="B1048" s="125">
        <v>45.046999999999997</v>
      </c>
      <c r="C1048" s="52"/>
      <c r="D1048" s="52"/>
      <c r="E1048" s="52"/>
      <c r="F1048" s="52"/>
      <c r="G1048" s="52"/>
      <c r="H1048" s="52"/>
    </row>
    <row r="1049" spans="1:8" ht="15.75">
      <c r="A1049" s="124">
        <v>40940</v>
      </c>
      <c r="B1049" s="125">
        <v>44.981999999999999</v>
      </c>
      <c r="C1049" s="52"/>
      <c r="D1049" s="52"/>
      <c r="E1049" s="52"/>
      <c r="F1049" s="52"/>
      <c r="G1049" s="52"/>
      <c r="H1049" s="52"/>
    </row>
    <row r="1050" spans="1:8" ht="15.75">
      <c r="A1050" s="124">
        <v>40941</v>
      </c>
      <c r="B1050" s="125">
        <v>45.183</v>
      </c>
      <c r="C1050" s="52"/>
      <c r="D1050" s="52"/>
      <c r="E1050" s="52"/>
      <c r="F1050" s="52"/>
      <c r="G1050" s="52"/>
      <c r="H1050" s="52"/>
    </row>
    <row r="1051" spans="1:8" ht="15.75">
      <c r="A1051" s="124">
        <v>40942</v>
      </c>
      <c r="B1051" s="125">
        <v>45.473999999999997</v>
      </c>
      <c r="C1051" s="52"/>
      <c r="D1051" s="52"/>
      <c r="E1051" s="52"/>
      <c r="F1051" s="52"/>
      <c r="G1051" s="52"/>
      <c r="H1051" s="52"/>
    </row>
    <row r="1052" spans="1:8" ht="15.75">
      <c r="A1052" s="124">
        <v>40945</v>
      </c>
      <c r="B1052" s="125">
        <v>45.716999999999999</v>
      </c>
      <c r="C1052" s="52"/>
      <c r="D1052" s="52"/>
      <c r="E1052" s="52"/>
      <c r="F1052" s="52"/>
      <c r="G1052" s="52"/>
      <c r="H1052" s="52"/>
    </row>
    <row r="1053" spans="1:8" ht="15.75">
      <c r="A1053" s="124">
        <v>40946</v>
      </c>
      <c r="B1053" s="125">
        <v>44.793999999999997</v>
      </c>
      <c r="C1053" s="52"/>
      <c r="D1053" s="52"/>
      <c r="E1053" s="52"/>
      <c r="F1053" s="52"/>
      <c r="G1053" s="52"/>
      <c r="H1053" s="52"/>
    </row>
    <row r="1054" spans="1:8" ht="15.75">
      <c r="A1054" s="124">
        <v>40947</v>
      </c>
      <c r="B1054" s="125">
        <v>44.536999999999999</v>
      </c>
      <c r="C1054" s="52"/>
      <c r="D1054" s="52"/>
      <c r="E1054" s="52"/>
      <c r="F1054" s="52"/>
      <c r="G1054" s="52"/>
      <c r="H1054" s="52"/>
    </row>
    <row r="1055" spans="1:8" ht="15.75">
      <c r="A1055" s="124">
        <v>40948</v>
      </c>
      <c r="B1055" s="125">
        <v>44.326999999999998</v>
      </c>
      <c r="C1055" s="52"/>
      <c r="D1055" s="52"/>
      <c r="E1055" s="52"/>
      <c r="F1055" s="52"/>
      <c r="G1055" s="52"/>
      <c r="H1055" s="52"/>
    </row>
    <row r="1056" spans="1:8" ht="15.75">
      <c r="A1056" s="124">
        <v>40949</v>
      </c>
      <c r="B1056" s="125">
        <v>43.847999999999999</v>
      </c>
      <c r="C1056" s="52"/>
      <c r="D1056" s="52"/>
      <c r="E1056" s="52"/>
      <c r="F1056" s="52"/>
      <c r="G1056" s="52"/>
      <c r="H1056" s="52"/>
    </row>
    <row r="1057" spans="1:8" ht="15.75">
      <c r="A1057" s="124">
        <v>40952</v>
      </c>
      <c r="B1057" s="125">
        <v>44.05</v>
      </c>
      <c r="C1057" s="52"/>
      <c r="D1057" s="52"/>
      <c r="E1057" s="52"/>
      <c r="F1057" s="52"/>
      <c r="G1057" s="52"/>
      <c r="H1057" s="52"/>
    </row>
    <row r="1058" spans="1:8" ht="15.75">
      <c r="A1058" s="124">
        <v>40953</v>
      </c>
      <c r="B1058" s="125">
        <v>43.814</v>
      </c>
      <c r="C1058" s="52"/>
      <c r="D1058" s="52"/>
      <c r="E1058" s="52"/>
      <c r="F1058" s="52"/>
      <c r="G1058" s="52"/>
      <c r="H1058" s="52"/>
    </row>
    <row r="1059" spans="1:8" ht="15.75">
      <c r="A1059" s="124">
        <v>40954</v>
      </c>
      <c r="B1059" s="125">
        <v>43.874000000000002</v>
      </c>
      <c r="C1059" s="52"/>
      <c r="D1059" s="52"/>
      <c r="E1059" s="52"/>
      <c r="F1059" s="52"/>
      <c r="G1059" s="52"/>
      <c r="H1059" s="52"/>
    </row>
    <row r="1060" spans="1:8" ht="15.75">
      <c r="A1060" s="124">
        <v>40955</v>
      </c>
      <c r="B1060" s="125">
        <v>43.831000000000003</v>
      </c>
      <c r="C1060" s="52"/>
      <c r="D1060" s="52"/>
      <c r="E1060" s="52"/>
      <c r="F1060" s="52"/>
      <c r="G1060" s="52"/>
      <c r="H1060" s="52"/>
    </row>
    <row r="1061" spans="1:8" ht="15.75">
      <c r="A1061" s="124">
        <v>40956</v>
      </c>
      <c r="B1061" s="125">
        <v>43.96</v>
      </c>
      <c r="C1061" s="52"/>
      <c r="D1061" s="52"/>
      <c r="E1061" s="52"/>
      <c r="F1061" s="52"/>
      <c r="G1061" s="52"/>
      <c r="H1061" s="52"/>
    </row>
    <row r="1062" spans="1:8" ht="15.75">
      <c r="A1062" s="124">
        <v>40959</v>
      </c>
      <c r="B1062" s="125">
        <v>43.9</v>
      </c>
      <c r="C1062" s="52"/>
      <c r="D1062" s="52"/>
      <c r="E1062" s="52"/>
      <c r="F1062" s="52"/>
      <c r="G1062" s="52"/>
      <c r="H1062" s="52"/>
    </row>
    <row r="1063" spans="1:8" ht="15.75">
      <c r="A1063" s="124">
        <v>40960</v>
      </c>
      <c r="B1063" s="125">
        <v>43.511000000000003</v>
      </c>
      <c r="C1063" s="52"/>
      <c r="D1063" s="52"/>
      <c r="E1063" s="52"/>
      <c r="F1063" s="52"/>
      <c r="G1063" s="52"/>
      <c r="H1063" s="52"/>
    </row>
    <row r="1064" spans="1:8" ht="15.75">
      <c r="A1064" s="124">
        <v>40961</v>
      </c>
      <c r="B1064" s="125">
        <v>42.984000000000002</v>
      </c>
      <c r="C1064" s="52"/>
      <c r="D1064" s="52"/>
      <c r="E1064" s="52"/>
      <c r="F1064" s="52"/>
      <c r="G1064" s="52"/>
      <c r="H1064" s="52"/>
    </row>
    <row r="1065" spans="1:8" ht="15.75">
      <c r="A1065" s="124">
        <v>40962</v>
      </c>
      <c r="B1065" s="125">
        <v>42.847000000000001</v>
      </c>
      <c r="C1065" s="52"/>
      <c r="D1065" s="52"/>
      <c r="E1065" s="52"/>
      <c r="F1065" s="52"/>
      <c r="G1065" s="52"/>
      <c r="H1065" s="52"/>
    </row>
    <row r="1066" spans="1:8" ht="15.75">
      <c r="A1066" s="124">
        <v>40963</v>
      </c>
      <c r="B1066" s="125">
        <v>42.874000000000002</v>
      </c>
      <c r="C1066" s="52"/>
      <c r="D1066" s="52"/>
      <c r="E1066" s="52"/>
      <c r="F1066" s="52"/>
      <c r="G1066" s="52"/>
      <c r="H1066" s="52"/>
    </row>
    <row r="1067" spans="1:8" ht="15.75">
      <c r="A1067" s="124">
        <v>40966</v>
      </c>
      <c r="B1067" s="125">
        <v>42.798000000000002</v>
      </c>
      <c r="C1067" s="52"/>
      <c r="D1067" s="52"/>
      <c r="E1067" s="52"/>
      <c r="F1067" s="52"/>
      <c r="G1067" s="52"/>
      <c r="H1067" s="52"/>
    </row>
    <row r="1068" spans="1:8" ht="15.75">
      <c r="A1068" s="124">
        <v>40967</v>
      </c>
      <c r="B1068" s="125">
        <v>42.561</v>
      </c>
      <c r="C1068" s="52"/>
      <c r="D1068" s="52"/>
      <c r="E1068" s="52"/>
      <c r="F1068" s="52"/>
      <c r="G1068" s="52"/>
      <c r="H1068" s="52"/>
    </row>
    <row r="1069" spans="1:8" ht="15.75">
      <c r="A1069" s="124">
        <v>40968</v>
      </c>
      <c r="B1069" s="125">
        <v>42.225999999999999</v>
      </c>
      <c r="C1069" s="52"/>
      <c r="D1069" s="52"/>
      <c r="E1069" s="52"/>
      <c r="F1069" s="52"/>
      <c r="G1069" s="52"/>
      <c r="H1069" s="52"/>
    </row>
    <row r="1070" spans="1:8" ht="15.75">
      <c r="A1070" s="124">
        <v>40969</v>
      </c>
      <c r="B1070" s="125">
        <v>42.274000000000001</v>
      </c>
      <c r="C1070" s="52"/>
      <c r="D1070" s="52"/>
      <c r="E1070" s="52"/>
      <c r="F1070" s="52"/>
      <c r="G1070" s="52"/>
      <c r="H1070" s="52"/>
    </row>
    <row r="1071" spans="1:8" ht="15.75">
      <c r="A1071" s="124">
        <v>40970</v>
      </c>
      <c r="B1071" s="125">
        <v>42.831000000000003</v>
      </c>
      <c r="C1071" s="52"/>
      <c r="D1071" s="52"/>
      <c r="E1071" s="52"/>
      <c r="F1071" s="52"/>
      <c r="G1071" s="52"/>
      <c r="H1071" s="52"/>
    </row>
    <row r="1072" spans="1:8" ht="15.75">
      <c r="A1072" s="124">
        <v>40973</v>
      </c>
      <c r="B1072" s="125">
        <v>43.948999999999998</v>
      </c>
      <c r="C1072" s="52"/>
      <c r="D1072" s="52"/>
      <c r="E1072" s="52"/>
      <c r="F1072" s="52"/>
      <c r="G1072" s="52"/>
      <c r="H1072" s="52"/>
    </row>
    <row r="1073" spans="1:8" ht="15.75">
      <c r="A1073" s="124">
        <v>40974</v>
      </c>
      <c r="B1073" s="125">
        <v>44.015999999999998</v>
      </c>
      <c r="C1073" s="52"/>
      <c r="D1073" s="52"/>
      <c r="E1073" s="52"/>
      <c r="F1073" s="52"/>
      <c r="G1073" s="52"/>
      <c r="H1073" s="52"/>
    </row>
    <row r="1074" spans="1:8" ht="15.75">
      <c r="A1074" s="124">
        <v>40975</v>
      </c>
      <c r="B1074" s="125">
        <v>44.201000000000001</v>
      </c>
      <c r="C1074" s="52"/>
      <c r="D1074" s="52"/>
      <c r="E1074" s="52"/>
      <c r="F1074" s="52"/>
      <c r="G1074" s="52"/>
      <c r="H1074" s="52"/>
    </row>
    <row r="1075" spans="1:8" ht="15.75">
      <c r="A1075" s="124">
        <v>40976</v>
      </c>
      <c r="B1075" s="125">
        <v>43.825000000000003</v>
      </c>
      <c r="C1075" s="52"/>
      <c r="D1075" s="52"/>
      <c r="E1075" s="52"/>
      <c r="F1075" s="52"/>
      <c r="G1075" s="52"/>
      <c r="H1075" s="52"/>
    </row>
    <row r="1076" spans="1:8" ht="15.75">
      <c r="A1076" s="124">
        <v>40977</v>
      </c>
      <c r="B1076" s="125">
        <v>44.325000000000003</v>
      </c>
      <c r="C1076" s="52"/>
      <c r="D1076" s="52"/>
      <c r="E1076" s="52"/>
      <c r="F1076" s="52"/>
      <c r="G1076" s="52"/>
      <c r="H1076" s="52"/>
    </row>
    <row r="1077" spans="1:8" ht="15.75">
      <c r="A1077" s="124">
        <v>40980</v>
      </c>
      <c r="B1077" s="125">
        <v>44.841999999999999</v>
      </c>
      <c r="C1077" s="52"/>
      <c r="D1077" s="52"/>
      <c r="E1077" s="52"/>
      <c r="F1077" s="52"/>
      <c r="G1077" s="52"/>
      <c r="H1077" s="52"/>
    </row>
    <row r="1078" spans="1:8" ht="15.75">
      <c r="A1078" s="124">
        <v>40981</v>
      </c>
      <c r="B1078" s="125">
        <v>45.594999999999999</v>
      </c>
      <c r="C1078" s="52"/>
      <c r="D1078" s="52"/>
      <c r="E1078" s="52"/>
      <c r="F1078" s="52"/>
      <c r="G1078" s="52"/>
      <c r="H1078" s="52"/>
    </row>
    <row r="1079" spans="1:8" ht="15.75">
      <c r="A1079" s="124">
        <v>40982</v>
      </c>
      <c r="B1079" s="125">
        <v>46.265999999999998</v>
      </c>
      <c r="C1079" s="52"/>
      <c r="D1079" s="52"/>
      <c r="E1079" s="52"/>
      <c r="F1079" s="52"/>
      <c r="G1079" s="52"/>
      <c r="H1079" s="52"/>
    </row>
    <row r="1080" spans="1:8" ht="15.75">
      <c r="A1080" s="124">
        <v>40983</v>
      </c>
      <c r="B1080" s="125">
        <v>45.823</v>
      </c>
      <c r="C1080" s="52"/>
      <c r="D1080" s="52"/>
      <c r="E1080" s="52"/>
      <c r="F1080" s="52"/>
      <c r="G1080" s="52"/>
      <c r="H1080" s="52"/>
    </row>
    <row r="1081" spans="1:8" ht="15.75">
      <c r="A1081" s="124">
        <v>40984</v>
      </c>
      <c r="B1081" s="125">
        <v>45.286999999999999</v>
      </c>
      <c r="C1081" s="52"/>
      <c r="D1081" s="52"/>
      <c r="E1081" s="52"/>
      <c r="F1081" s="52"/>
      <c r="G1081" s="52"/>
      <c r="H1081" s="52"/>
    </row>
    <row r="1082" spans="1:8" ht="15.75">
      <c r="A1082" s="124">
        <v>40987</v>
      </c>
      <c r="B1082" s="125">
        <v>46.055999999999997</v>
      </c>
      <c r="C1082" s="52"/>
      <c r="D1082" s="52"/>
      <c r="E1082" s="52"/>
      <c r="F1082" s="52"/>
      <c r="G1082" s="52"/>
      <c r="H1082" s="52"/>
    </row>
    <row r="1083" spans="1:8" ht="15.75">
      <c r="A1083" s="124">
        <v>40988</v>
      </c>
      <c r="B1083" s="125">
        <v>45.847999999999999</v>
      </c>
      <c r="C1083" s="52"/>
      <c r="D1083" s="52"/>
      <c r="E1083" s="52"/>
      <c r="F1083" s="52"/>
      <c r="G1083" s="52"/>
      <c r="H1083" s="52"/>
    </row>
    <row r="1084" spans="1:8" ht="15.75">
      <c r="A1084" s="124">
        <v>40989</v>
      </c>
      <c r="B1084" s="125">
        <v>45.478999999999999</v>
      </c>
      <c r="C1084" s="52"/>
      <c r="D1084" s="52"/>
      <c r="E1084" s="52"/>
      <c r="F1084" s="52"/>
      <c r="G1084" s="52"/>
      <c r="H1084" s="52"/>
    </row>
    <row r="1085" spans="1:8" ht="15.75">
      <c r="A1085" s="124">
        <v>40990</v>
      </c>
      <c r="B1085" s="125">
        <v>44.874000000000002</v>
      </c>
      <c r="C1085" s="52"/>
      <c r="D1085" s="52"/>
      <c r="E1085" s="52"/>
      <c r="F1085" s="52"/>
      <c r="G1085" s="52"/>
      <c r="H1085" s="52"/>
    </row>
    <row r="1086" spans="1:8" ht="15.75">
      <c r="A1086" s="124">
        <v>40991</v>
      </c>
      <c r="B1086" s="125">
        <v>45.103000000000002</v>
      </c>
      <c r="C1086" s="52"/>
      <c r="D1086" s="52"/>
      <c r="E1086" s="52"/>
      <c r="F1086" s="52"/>
      <c r="G1086" s="52"/>
      <c r="H1086" s="52"/>
    </row>
    <row r="1087" spans="1:8" ht="15.75">
      <c r="A1087" s="124">
        <v>40994</v>
      </c>
      <c r="B1087" s="125">
        <v>45.348999999999997</v>
      </c>
      <c r="C1087" s="52"/>
      <c r="D1087" s="52"/>
      <c r="E1087" s="52"/>
      <c r="F1087" s="52"/>
      <c r="G1087" s="52"/>
      <c r="H1087" s="52"/>
    </row>
    <row r="1088" spans="1:8" ht="15.75">
      <c r="A1088" s="124">
        <v>40995</v>
      </c>
      <c r="B1088" s="125">
        <v>45.462000000000003</v>
      </c>
      <c r="C1088" s="52"/>
      <c r="D1088" s="52"/>
      <c r="E1088" s="52"/>
      <c r="F1088" s="52"/>
      <c r="G1088" s="52"/>
      <c r="H1088" s="52"/>
    </row>
    <row r="1089" spans="1:8" ht="15.75">
      <c r="A1089" s="124">
        <v>40996</v>
      </c>
      <c r="B1089" s="125">
        <v>45.427999999999997</v>
      </c>
      <c r="C1089" s="52"/>
      <c r="D1089" s="52"/>
      <c r="E1089" s="52"/>
      <c r="F1089" s="52"/>
      <c r="G1089" s="52"/>
      <c r="H1089" s="52"/>
    </row>
    <row r="1090" spans="1:8" ht="15.75">
      <c r="A1090" s="124">
        <v>40997</v>
      </c>
      <c r="B1090" s="125">
        <v>45.576000000000001</v>
      </c>
      <c r="C1090" s="52"/>
      <c r="D1090" s="52"/>
      <c r="E1090" s="52"/>
      <c r="F1090" s="52"/>
      <c r="G1090" s="52"/>
      <c r="H1090" s="52"/>
    </row>
    <row r="1091" spans="1:8" ht="15.75">
      <c r="A1091" s="124">
        <v>40998</v>
      </c>
      <c r="B1091" s="125">
        <v>45.726999999999997</v>
      </c>
      <c r="C1091" s="52"/>
      <c r="D1091" s="52"/>
      <c r="E1091" s="52"/>
      <c r="F1091" s="52"/>
      <c r="G1091" s="52"/>
      <c r="H1091" s="52"/>
    </row>
    <row r="1092" spans="1:8" ht="15.75">
      <c r="A1092" s="124">
        <v>41001</v>
      </c>
      <c r="B1092" s="125">
        <v>46.473999999999997</v>
      </c>
      <c r="C1092" s="52"/>
      <c r="D1092" s="52"/>
      <c r="E1092" s="52"/>
      <c r="F1092" s="52"/>
      <c r="G1092" s="52"/>
      <c r="H1092" s="52"/>
    </row>
    <row r="1093" spans="1:8" ht="15.75">
      <c r="A1093" s="124">
        <v>41002</v>
      </c>
      <c r="B1093" s="125">
        <v>46.747</v>
      </c>
      <c r="C1093" s="52"/>
      <c r="D1093" s="52"/>
      <c r="E1093" s="52"/>
      <c r="F1093" s="52"/>
      <c r="G1093" s="52"/>
      <c r="H1093" s="52"/>
    </row>
    <row r="1094" spans="1:8" ht="15.75">
      <c r="A1094" s="124">
        <v>41003</v>
      </c>
      <c r="B1094" s="125">
        <v>46.856999999999999</v>
      </c>
      <c r="C1094" s="52"/>
      <c r="D1094" s="52"/>
      <c r="E1094" s="52"/>
      <c r="F1094" s="52"/>
      <c r="G1094" s="52"/>
      <c r="H1094" s="52"/>
    </row>
    <row r="1095" spans="1:8" ht="15.75">
      <c r="A1095" s="124">
        <v>41004</v>
      </c>
      <c r="B1095" s="125">
        <v>46.695</v>
      </c>
      <c r="C1095" s="52"/>
      <c r="D1095" s="52"/>
      <c r="E1095" s="52"/>
      <c r="F1095" s="52"/>
      <c r="G1095" s="52"/>
      <c r="H1095" s="52"/>
    </row>
    <row r="1096" spans="1:8" ht="15.75">
      <c r="A1096" s="124">
        <v>41009</v>
      </c>
      <c r="B1096" s="125">
        <v>44.954000000000001</v>
      </c>
      <c r="C1096" s="52"/>
      <c r="D1096" s="52"/>
      <c r="E1096" s="52"/>
      <c r="F1096" s="52"/>
      <c r="G1096" s="52"/>
      <c r="H1096" s="52"/>
    </row>
    <row r="1097" spans="1:8" ht="15.75">
      <c r="A1097" s="124">
        <v>41010</v>
      </c>
      <c r="B1097" s="125">
        <v>45.122</v>
      </c>
      <c r="C1097" s="52"/>
      <c r="D1097" s="52"/>
      <c r="E1097" s="52"/>
      <c r="F1097" s="52"/>
      <c r="G1097" s="52"/>
      <c r="H1097" s="52"/>
    </row>
    <row r="1098" spans="1:8" ht="15.75">
      <c r="A1098" s="124">
        <v>41011</v>
      </c>
      <c r="B1098" s="125">
        <v>45.134</v>
      </c>
      <c r="C1098" s="52"/>
      <c r="D1098" s="52"/>
      <c r="E1098" s="52"/>
      <c r="F1098" s="52"/>
      <c r="G1098" s="52"/>
      <c r="H1098" s="52"/>
    </row>
    <row r="1099" spans="1:8" ht="15.75">
      <c r="A1099" s="124">
        <v>41012</v>
      </c>
      <c r="B1099" s="125">
        <v>46.512</v>
      </c>
      <c r="C1099" s="52"/>
      <c r="D1099" s="52"/>
      <c r="E1099" s="52"/>
      <c r="F1099" s="52"/>
      <c r="G1099" s="52"/>
      <c r="H1099" s="52"/>
    </row>
    <row r="1100" spans="1:8" ht="15.75">
      <c r="A1100" s="124">
        <v>41015</v>
      </c>
      <c r="B1100" s="125">
        <v>47.06</v>
      </c>
      <c r="C1100" s="52"/>
      <c r="D1100" s="52"/>
      <c r="E1100" s="52"/>
      <c r="F1100" s="52"/>
      <c r="G1100" s="52"/>
      <c r="H1100" s="52"/>
    </row>
    <row r="1101" spans="1:8" ht="15.75">
      <c r="A1101" s="124">
        <v>41016</v>
      </c>
      <c r="B1101" s="125">
        <v>47.103000000000002</v>
      </c>
      <c r="C1101" s="52"/>
      <c r="D1101" s="52"/>
      <c r="E1101" s="52"/>
      <c r="F1101" s="52"/>
      <c r="G1101" s="52"/>
      <c r="H1101" s="52"/>
    </row>
    <row r="1102" spans="1:8" ht="15.75">
      <c r="A1102" s="124">
        <v>41017</v>
      </c>
      <c r="B1102" s="125">
        <v>46.762999999999998</v>
      </c>
      <c r="C1102" s="52"/>
      <c r="D1102" s="52"/>
      <c r="E1102" s="52"/>
      <c r="F1102" s="52"/>
      <c r="G1102" s="52"/>
      <c r="H1102" s="52"/>
    </row>
    <row r="1103" spans="1:8" ht="15.75">
      <c r="A1103" s="124">
        <v>41018</v>
      </c>
      <c r="B1103" s="125">
        <v>46.582000000000001</v>
      </c>
      <c r="C1103" s="52"/>
      <c r="D1103" s="52"/>
      <c r="E1103" s="52"/>
      <c r="F1103" s="52"/>
      <c r="G1103" s="52"/>
      <c r="H1103" s="52"/>
    </row>
    <row r="1104" spans="1:8" ht="15.75">
      <c r="A1104" s="124">
        <v>41019</v>
      </c>
      <c r="B1104" s="125">
        <v>46.616</v>
      </c>
      <c r="C1104" s="52"/>
      <c r="D1104" s="52"/>
      <c r="E1104" s="52"/>
      <c r="F1104" s="52"/>
      <c r="G1104" s="52"/>
      <c r="H1104" s="52"/>
    </row>
    <row r="1105" spans="1:8" ht="15.75">
      <c r="A1105" s="124">
        <v>41022</v>
      </c>
      <c r="B1105" s="125">
        <v>46.91</v>
      </c>
      <c r="C1105" s="52"/>
      <c r="D1105" s="52"/>
      <c r="E1105" s="52"/>
      <c r="F1105" s="52"/>
      <c r="G1105" s="52"/>
      <c r="H1105" s="52"/>
    </row>
    <row r="1106" spans="1:8" ht="15.75">
      <c r="A1106" s="124">
        <v>41023</v>
      </c>
      <c r="B1106" s="125">
        <v>46.972000000000001</v>
      </c>
      <c r="C1106" s="52"/>
      <c r="D1106" s="52"/>
      <c r="E1106" s="52"/>
      <c r="F1106" s="52"/>
      <c r="G1106" s="52"/>
      <c r="H1106" s="52"/>
    </row>
    <row r="1107" spans="1:8" ht="15.75">
      <c r="A1107" s="124">
        <v>41024</v>
      </c>
      <c r="B1107" s="125">
        <v>46.985999999999997</v>
      </c>
      <c r="C1107" s="52"/>
      <c r="D1107" s="52"/>
      <c r="E1107" s="52"/>
      <c r="F1107" s="52"/>
      <c r="G1107" s="52"/>
      <c r="H1107" s="52"/>
    </row>
    <row r="1108" spans="1:8" ht="15.75">
      <c r="A1108" s="124">
        <v>41025</v>
      </c>
      <c r="B1108" s="125">
        <v>45.970999999999997</v>
      </c>
      <c r="C1108" s="52"/>
      <c r="D1108" s="52"/>
      <c r="E1108" s="52"/>
      <c r="F1108" s="52"/>
      <c r="G1108" s="52"/>
      <c r="H1108" s="52"/>
    </row>
    <row r="1109" spans="1:8" ht="15.75">
      <c r="A1109" s="124">
        <v>41026</v>
      </c>
      <c r="B1109" s="125">
        <v>46.603999999999999</v>
      </c>
      <c r="C1109" s="52"/>
      <c r="D1109" s="52"/>
      <c r="E1109" s="52"/>
      <c r="F1109" s="52"/>
      <c r="G1109" s="52"/>
      <c r="H1109" s="52"/>
    </row>
    <row r="1110" spans="1:8" ht="15.75">
      <c r="A1110" s="124">
        <v>41029</v>
      </c>
      <c r="B1110" s="125">
        <v>45.84</v>
      </c>
      <c r="C1110" s="52"/>
      <c r="D1110" s="52"/>
      <c r="E1110" s="52"/>
      <c r="F1110" s="52"/>
      <c r="G1110" s="52"/>
      <c r="H1110" s="52"/>
    </row>
    <row r="1111" spans="1:8" ht="15.75">
      <c r="A1111" s="124">
        <v>41031</v>
      </c>
      <c r="B1111" s="125">
        <v>47.35</v>
      </c>
      <c r="C1111" s="52"/>
      <c r="D1111" s="52"/>
      <c r="E1111" s="52"/>
      <c r="F1111" s="52"/>
      <c r="G1111" s="52"/>
      <c r="H1111" s="52"/>
    </row>
    <row r="1112" spans="1:8" ht="15.75">
      <c r="A1112" s="124">
        <v>41032</v>
      </c>
      <c r="B1112" s="125">
        <v>47.404000000000003</v>
      </c>
      <c r="C1112" s="52"/>
      <c r="D1112" s="52"/>
      <c r="E1112" s="52"/>
      <c r="F1112" s="52"/>
      <c r="G1112" s="52"/>
      <c r="H1112" s="52"/>
    </row>
    <row r="1113" spans="1:8" ht="15.75">
      <c r="A1113" s="124">
        <v>41033</v>
      </c>
      <c r="B1113" s="125">
        <v>47.53</v>
      </c>
      <c r="C1113" s="52"/>
      <c r="D1113" s="52"/>
      <c r="E1113" s="52"/>
      <c r="F1113" s="52"/>
      <c r="G1113" s="52"/>
      <c r="H1113" s="52"/>
    </row>
    <row r="1114" spans="1:8" ht="15.75">
      <c r="A1114" s="124">
        <v>41036</v>
      </c>
      <c r="B1114" s="125">
        <v>48.011000000000003</v>
      </c>
      <c r="C1114" s="52"/>
      <c r="D1114" s="52"/>
      <c r="E1114" s="52"/>
      <c r="F1114" s="52"/>
      <c r="G1114" s="52"/>
      <c r="H1114" s="52"/>
    </row>
    <row r="1115" spans="1:8" ht="15.75">
      <c r="A1115" s="124">
        <v>41037</v>
      </c>
      <c r="B1115" s="125">
        <v>48.671999999999997</v>
      </c>
      <c r="C1115" s="52"/>
      <c r="D1115" s="52"/>
      <c r="E1115" s="52"/>
      <c r="F1115" s="52"/>
      <c r="G1115" s="52"/>
      <c r="H1115" s="52"/>
    </row>
    <row r="1116" spans="1:8" ht="15.75">
      <c r="A1116" s="124">
        <v>41038</v>
      </c>
      <c r="B1116" s="125">
        <v>48.825000000000003</v>
      </c>
      <c r="C1116" s="52"/>
      <c r="D1116" s="52"/>
      <c r="E1116" s="52"/>
      <c r="F1116" s="52"/>
      <c r="G1116" s="52"/>
      <c r="H1116" s="52"/>
    </row>
    <row r="1117" spans="1:8" ht="15.75">
      <c r="A1117" s="124">
        <v>41039</v>
      </c>
      <c r="B1117" s="125">
        <v>48.674999999999997</v>
      </c>
      <c r="C1117" s="52"/>
      <c r="D1117" s="52"/>
      <c r="E1117" s="52"/>
      <c r="F1117" s="52"/>
      <c r="G1117" s="52"/>
      <c r="H1117" s="52"/>
    </row>
    <row r="1118" spans="1:8" ht="15.75">
      <c r="A1118" s="124">
        <v>41040</v>
      </c>
      <c r="B1118" s="125">
        <v>48.284999999999997</v>
      </c>
      <c r="C1118" s="52"/>
      <c r="D1118" s="52"/>
      <c r="E1118" s="52"/>
      <c r="F1118" s="52"/>
      <c r="G1118" s="52"/>
      <c r="H1118" s="52"/>
    </row>
    <row r="1119" spans="1:8" ht="15.75">
      <c r="A1119" s="124">
        <v>41043</v>
      </c>
      <c r="B1119" s="125">
        <v>49.037999999999997</v>
      </c>
      <c r="C1119" s="52"/>
      <c r="D1119" s="52"/>
      <c r="E1119" s="52"/>
      <c r="F1119" s="52"/>
      <c r="G1119" s="52"/>
      <c r="H1119" s="52"/>
    </row>
    <row r="1120" spans="1:8" ht="15.75">
      <c r="A1120" s="124">
        <v>41044</v>
      </c>
      <c r="B1120" s="125">
        <v>48.771999999999998</v>
      </c>
      <c r="C1120" s="52"/>
      <c r="D1120" s="52"/>
      <c r="E1120" s="52"/>
      <c r="F1120" s="52"/>
      <c r="G1120" s="52"/>
      <c r="H1120" s="52"/>
    </row>
    <row r="1121" spans="1:8" ht="15.75">
      <c r="A1121" s="124">
        <v>41045</v>
      </c>
      <c r="B1121" s="125">
        <v>48.21</v>
      </c>
      <c r="C1121" s="52"/>
      <c r="D1121" s="52"/>
      <c r="E1121" s="52"/>
      <c r="F1121" s="52"/>
      <c r="G1121" s="52"/>
      <c r="H1121" s="52"/>
    </row>
    <row r="1122" spans="1:8" ht="15.75">
      <c r="A1122" s="124">
        <v>41046</v>
      </c>
      <c r="B1122" s="125">
        <v>48.273000000000003</v>
      </c>
      <c r="C1122" s="52"/>
      <c r="D1122" s="52"/>
      <c r="E1122" s="52"/>
      <c r="F1122" s="52"/>
      <c r="G1122" s="52"/>
      <c r="H1122" s="52"/>
    </row>
    <row r="1123" spans="1:8" ht="15.75">
      <c r="A1123" s="124">
        <v>41047</v>
      </c>
      <c r="B1123" s="125">
        <v>47.503</v>
      </c>
      <c r="C1123" s="52"/>
      <c r="D1123" s="52"/>
      <c r="E1123" s="52"/>
      <c r="F1123" s="52"/>
      <c r="G1123" s="52"/>
      <c r="H1123" s="52"/>
    </row>
    <row r="1124" spans="1:8" ht="15.75">
      <c r="A1124" s="124">
        <v>41050</v>
      </c>
      <c r="B1124" s="125">
        <v>47.970999999999997</v>
      </c>
      <c r="C1124" s="52"/>
      <c r="D1124" s="52"/>
      <c r="E1124" s="52"/>
      <c r="F1124" s="52"/>
      <c r="G1124" s="52"/>
      <c r="H1124" s="52"/>
    </row>
    <row r="1125" spans="1:8" ht="15.75">
      <c r="A1125" s="124">
        <v>41051</v>
      </c>
      <c r="B1125" s="125">
        <v>48.514000000000003</v>
      </c>
      <c r="C1125" s="52"/>
      <c r="D1125" s="52"/>
      <c r="E1125" s="52"/>
      <c r="F1125" s="52"/>
      <c r="G1125" s="52"/>
      <c r="H1125" s="52"/>
    </row>
    <row r="1126" spans="1:8" ht="15.75">
      <c r="A1126" s="124">
        <v>41052</v>
      </c>
      <c r="B1126" s="125">
        <v>48.3</v>
      </c>
      <c r="C1126" s="52"/>
      <c r="D1126" s="52"/>
      <c r="E1126" s="52"/>
      <c r="F1126" s="52"/>
      <c r="G1126" s="52"/>
      <c r="H1126" s="52"/>
    </row>
    <row r="1127" spans="1:8" ht="15.75">
      <c r="A1127" s="124">
        <v>41053</v>
      </c>
      <c r="B1127" s="125">
        <v>49.098999999999997</v>
      </c>
      <c r="C1127" s="52"/>
      <c r="D1127" s="52"/>
      <c r="E1127" s="52"/>
      <c r="F1127" s="52"/>
      <c r="G1127" s="52"/>
      <c r="H1127" s="52"/>
    </row>
    <row r="1128" spans="1:8" ht="15.75">
      <c r="A1128" s="124">
        <v>41054</v>
      </c>
      <c r="B1128" s="125">
        <v>49.468000000000004</v>
      </c>
      <c r="C1128" s="52"/>
      <c r="D1128" s="52"/>
      <c r="E1128" s="52"/>
      <c r="F1128" s="52"/>
      <c r="G1128" s="52"/>
      <c r="H1128" s="52"/>
    </row>
    <row r="1129" spans="1:8" ht="15.75">
      <c r="A1129" s="124">
        <v>41057</v>
      </c>
      <c r="B1129" s="125">
        <v>48.734999999999999</v>
      </c>
      <c r="C1129" s="52"/>
      <c r="D1129" s="52"/>
      <c r="E1129" s="52"/>
      <c r="F1129" s="52"/>
      <c r="G1129" s="52"/>
      <c r="H1129" s="52"/>
    </row>
    <row r="1130" spans="1:8" ht="15.75">
      <c r="A1130" s="124">
        <v>41058</v>
      </c>
      <c r="B1130" s="125">
        <v>49.384999999999998</v>
      </c>
      <c r="C1130" s="52"/>
      <c r="D1130" s="52"/>
      <c r="E1130" s="52"/>
      <c r="F1130" s="52"/>
      <c r="G1130" s="52"/>
      <c r="H1130" s="52"/>
    </row>
    <row r="1131" spans="1:8" ht="15.75">
      <c r="A1131" s="124">
        <v>41059</v>
      </c>
      <c r="B1131" s="125">
        <v>48.886000000000003</v>
      </c>
      <c r="C1131" s="52"/>
      <c r="D1131" s="52"/>
      <c r="E1131" s="52"/>
      <c r="F1131" s="52"/>
      <c r="G1131" s="52"/>
      <c r="H1131" s="52"/>
    </row>
    <row r="1132" spans="1:8" ht="15.75">
      <c r="A1132" s="124">
        <v>41060</v>
      </c>
      <c r="B1132" s="125">
        <v>48.750999999999998</v>
      </c>
      <c r="C1132" s="52"/>
      <c r="D1132" s="52"/>
      <c r="E1132" s="52"/>
      <c r="F1132" s="52"/>
      <c r="G1132" s="52"/>
      <c r="H1132" s="52"/>
    </row>
    <row r="1133" spans="1:8" ht="15.75">
      <c r="A1133" s="124">
        <v>41061</v>
      </c>
      <c r="B1133" s="125">
        <v>47.878</v>
      </c>
      <c r="C1133" s="52"/>
      <c r="D1133" s="52"/>
      <c r="E1133" s="52"/>
      <c r="F1133" s="52"/>
      <c r="G1133" s="52"/>
      <c r="H1133" s="52"/>
    </row>
    <row r="1134" spans="1:8" ht="15.75">
      <c r="A1134" s="124">
        <v>41064</v>
      </c>
      <c r="B1134" s="125">
        <v>46.764000000000003</v>
      </c>
      <c r="C1134" s="52"/>
      <c r="D1134" s="52"/>
      <c r="E1134" s="52"/>
      <c r="F1134" s="52"/>
      <c r="G1134" s="52"/>
      <c r="H1134" s="52"/>
    </row>
    <row r="1135" spans="1:8" ht="15.75">
      <c r="A1135" s="124">
        <v>41065</v>
      </c>
      <c r="B1135" s="125">
        <v>48.411000000000001</v>
      </c>
      <c r="C1135" s="52"/>
      <c r="D1135" s="52"/>
      <c r="E1135" s="52"/>
      <c r="F1135" s="52"/>
      <c r="G1135" s="52"/>
      <c r="H1135" s="52"/>
    </row>
    <row r="1136" spans="1:8" ht="15.75">
      <c r="A1136" s="124">
        <v>41066</v>
      </c>
      <c r="B1136" s="125">
        <v>48.497</v>
      </c>
      <c r="C1136" s="52"/>
      <c r="D1136" s="52"/>
      <c r="E1136" s="52"/>
      <c r="F1136" s="52"/>
      <c r="G1136" s="52"/>
      <c r="H1136" s="52"/>
    </row>
    <row r="1137" spans="1:8" ht="15.75">
      <c r="A1137" s="124">
        <v>41067</v>
      </c>
      <c r="B1137" s="125">
        <v>48.372999999999998</v>
      </c>
      <c r="C1137" s="52"/>
      <c r="D1137" s="52"/>
      <c r="E1137" s="52"/>
      <c r="F1137" s="52"/>
      <c r="G1137" s="52"/>
      <c r="H1137" s="52"/>
    </row>
    <row r="1138" spans="1:8" ht="15.75">
      <c r="A1138" s="124">
        <v>41068</v>
      </c>
      <c r="B1138" s="125">
        <v>49.124000000000002</v>
      </c>
      <c r="C1138" s="52"/>
      <c r="D1138" s="52"/>
      <c r="E1138" s="52"/>
      <c r="F1138" s="52"/>
      <c r="G1138" s="52"/>
      <c r="H1138" s="52"/>
    </row>
    <row r="1139" spans="1:8" ht="15.75">
      <c r="A1139" s="124">
        <v>41071</v>
      </c>
      <c r="B1139" s="125">
        <v>49.156999999999996</v>
      </c>
      <c r="C1139" s="52"/>
      <c r="D1139" s="52"/>
      <c r="E1139" s="52"/>
      <c r="F1139" s="52"/>
      <c r="G1139" s="52"/>
      <c r="H1139" s="52"/>
    </row>
    <row r="1140" spans="1:8" ht="15.75">
      <c r="A1140" s="124">
        <v>41072</v>
      </c>
      <c r="B1140" s="125">
        <v>48.210999999999999</v>
      </c>
      <c r="C1140" s="52"/>
      <c r="D1140" s="52"/>
      <c r="E1140" s="52"/>
      <c r="F1140" s="52"/>
      <c r="G1140" s="52"/>
      <c r="H1140" s="52"/>
    </row>
    <row r="1141" spans="1:8" ht="15.75">
      <c r="A1141" s="124">
        <v>41073</v>
      </c>
      <c r="B1141" s="125">
        <v>48.121000000000002</v>
      </c>
      <c r="C1141" s="52"/>
      <c r="D1141" s="52"/>
      <c r="E1141" s="52"/>
      <c r="F1141" s="52"/>
      <c r="G1141" s="52"/>
      <c r="H1141" s="52"/>
    </row>
    <row r="1142" spans="1:8" ht="15.75">
      <c r="A1142" s="124">
        <v>41074</v>
      </c>
      <c r="B1142" s="125">
        <v>48.587000000000003</v>
      </c>
      <c r="C1142" s="52"/>
      <c r="D1142" s="52"/>
      <c r="E1142" s="52"/>
      <c r="F1142" s="52"/>
      <c r="G1142" s="52"/>
      <c r="H1142" s="52"/>
    </row>
    <row r="1143" spans="1:8" ht="15.75">
      <c r="A1143" s="124">
        <v>41075</v>
      </c>
      <c r="B1143" s="125">
        <v>48.473999999999997</v>
      </c>
      <c r="C1143" s="52"/>
      <c r="D1143" s="52"/>
      <c r="E1143" s="52"/>
      <c r="F1143" s="52"/>
      <c r="G1143" s="52"/>
      <c r="H1143" s="52"/>
    </row>
    <row r="1144" spans="1:8" ht="15.75">
      <c r="A1144" s="124">
        <v>41078</v>
      </c>
      <c r="B1144" s="125">
        <v>49.045999999999999</v>
      </c>
      <c r="C1144" s="52"/>
      <c r="D1144" s="52"/>
      <c r="E1144" s="52"/>
      <c r="F1144" s="52"/>
      <c r="G1144" s="52"/>
      <c r="H1144" s="52"/>
    </row>
    <row r="1145" spans="1:8" ht="15.75">
      <c r="A1145" s="124">
        <v>41079</v>
      </c>
      <c r="B1145" s="125">
        <v>48.645000000000003</v>
      </c>
      <c r="C1145" s="52"/>
      <c r="D1145" s="52"/>
      <c r="E1145" s="52"/>
      <c r="F1145" s="52"/>
      <c r="G1145" s="52"/>
      <c r="H1145" s="52"/>
    </row>
    <row r="1146" spans="1:8" ht="15.75">
      <c r="A1146" s="124">
        <v>41080</v>
      </c>
      <c r="B1146" s="125">
        <v>47.789000000000001</v>
      </c>
      <c r="C1146" s="52"/>
      <c r="D1146" s="52"/>
      <c r="E1146" s="52"/>
      <c r="F1146" s="52"/>
      <c r="G1146" s="52"/>
      <c r="H1146" s="52"/>
    </row>
    <row r="1147" spans="1:8" ht="15.75">
      <c r="A1147" s="124">
        <v>41081</v>
      </c>
      <c r="B1147" s="125">
        <v>47.284999999999997</v>
      </c>
      <c r="C1147" s="52"/>
      <c r="D1147" s="52"/>
      <c r="E1147" s="52"/>
      <c r="F1147" s="52"/>
      <c r="G1147" s="52"/>
      <c r="H1147" s="52"/>
    </row>
    <row r="1148" spans="1:8" ht="15.75">
      <c r="A1148" s="124">
        <v>41082</v>
      </c>
      <c r="B1148" s="125">
        <v>46.991999999999997</v>
      </c>
      <c r="C1148" s="52"/>
      <c r="D1148" s="52"/>
      <c r="E1148" s="52"/>
      <c r="F1148" s="52"/>
      <c r="G1148" s="52"/>
      <c r="H1148" s="52"/>
    </row>
    <row r="1149" spans="1:8" ht="15.75">
      <c r="A1149" s="124">
        <v>41085</v>
      </c>
      <c r="B1149" s="125">
        <v>47.176000000000002</v>
      </c>
      <c r="C1149" s="52"/>
      <c r="D1149" s="52"/>
      <c r="E1149" s="52"/>
      <c r="F1149" s="52"/>
      <c r="G1149" s="52"/>
      <c r="H1149" s="52"/>
    </row>
    <row r="1150" spans="1:8" ht="15.75">
      <c r="A1150" s="124">
        <v>41086</v>
      </c>
      <c r="B1150" s="125">
        <v>47.917999999999999</v>
      </c>
      <c r="C1150" s="52"/>
      <c r="D1150" s="52"/>
      <c r="E1150" s="52"/>
      <c r="F1150" s="52"/>
      <c r="G1150" s="52"/>
      <c r="H1150" s="52"/>
    </row>
    <row r="1151" spans="1:8" ht="15.75">
      <c r="A1151" s="124">
        <v>41087</v>
      </c>
      <c r="B1151" s="125">
        <v>47.277999999999999</v>
      </c>
      <c r="C1151" s="52"/>
      <c r="D1151" s="52"/>
      <c r="E1151" s="52"/>
      <c r="F1151" s="52"/>
      <c r="G1151" s="52"/>
      <c r="H1151" s="52"/>
    </row>
    <row r="1152" spans="1:8" ht="15.75">
      <c r="A1152" s="124">
        <v>41088</v>
      </c>
      <c r="B1152" s="125">
        <v>47.801000000000002</v>
      </c>
      <c r="C1152" s="52"/>
      <c r="D1152" s="52"/>
      <c r="E1152" s="52"/>
      <c r="F1152" s="52"/>
      <c r="G1152" s="52"/>
      <c r="H1152" s="52"/>
    </row>
    <row r="1153" spans="1:8" ht="15.75">
      <c r="A1153" s="124">
        <v>41089</v>
      </c>
      <c r="B1153" s="125">
        <v>48.271000000000001</v>
      </c>
      <c r="C1153" s="52"/>
      <c r="D1153" s="52"/>
      <c r="E1153" s="52"/>
      <c r="F1153" s="52"/>
      <c r="G1153" s="52"/>
      <c r="H1153" s="52"/>
    </row>
    <row r="1154" spans="1:8" ht="15.75">
      <c r="A1154" s="124">
        <v>41092</v>
      </c>
      <c r="B1154" s="125">
        <v>49.512999999999998</v>
      </c>
      <c r="C1154" s="52"/>
      <c r="D1154" s="52"/>
      <c r="E1154" s="52"/>
      <c r="F1154" s="52"/>
      <c r="G1154" s="52"/>
      <c r="H1154" s="52"/>
    </row>
    <row r="1155" spans="1:8" ht="15.75">
      <c r="A1155" s="124">
        <v>41093</v>
      </c>
      <c r="B1155" s="125">
        <v>50.058</v>
      </c>
      <c r="C1155" s="52"/>
      <c r="D1155" s="52"/>
      <c r="E1155" s="52"/>
      <c r="F1155" s="52"/>
      <c r="G1155" s="52"/>
      <c r="H1155" s="52"/>
    </row>
    <row r="1156" spans="1:8" ht="15.75">
      <c r="A1156" s="124">
        <v>41094</v>
      </c>
      <c r="B1156" s="125">
        <v>50.206000000000003</v>
      </c>
      <c r="C1156" s="52"/>
      <c r="D1156" s="52"/>
      <c r="E1156" s="52"/>
      <c r="F1156" s="52"/>
      <c r="G1156" s="52"/>
      <c r="H1156" s="52"/>
    </row>
    <row r="1157" spans="1:8" ht="15.75">
      <c r="A1157" s="124">
        <v>41095</v>
      </c>
      <c r="B1157" s="125">
        <v>50.936</v>
      </c>
      <c r="C1157" s="52"/>
      <c r="D1157" s="52"/>
      <c r="E1157" s="52"/>
      <c r="F1157" s="52"/>
      <c r="G1157" s="52"/>
      <c r="H1157" s="52"/>
    </row>
    <row r="1158" spans="1:8" ht="15.75">
      <c r="A1158" s="124">
        <v>41096</v>
      </c>
      <c r="B1158" s="125">
        <v>50.883000000000003</v>
      </c>
      <c r="C1158" s="52"/>
      <c r="D1158" s="52"/>
      <c r="E1158" s="52"/>
      <c r="F1158" s="52"/>
      <c r="G1158" s="52"/>
      <c r="H1158" s="52"/>
    </row>
    <row r="1159" spans="1:8" ht="15.75">
      <c r="A1159" s="124">
        <v>41099</v>
      </c>
      <c r="B1159" s="125">
        <v>51.115000000000002</v>
      </c>
      <c r="C1159" s="52"/>
      <c r="D1159" s="52"/>
      <c r="E1159" s="52"/>
      <c r="F1159" s="52"/>
      <c r="G1159" s="52"/>
      <c r="H1159" s="52"/>
    </row>
    <row r="1160" spans="1:8" ht="15.75">
      <c r="A1160" s="124">
        <v>41100</v>
      </c>
      <c r="B1160" s="125">
        <v>50.948</v>
      </c>
      <c r="C1160" s="52"/>
      <c r="D1160" s="52"/>
      <c r="E1160" s="52"/>
      <c r="F1160" s="52"/>
      <c r="G1160" s="52"/>
      <c r="H1160" s="52"/>
    </row>
    <row r="1161" spans="1:8" ht="15.75">
      <c r="A1161" s="124">
        <v>41101</v>
      </c>
      <c r="B1161" s="125">
        <v>51.075000000000003</v>
      </c>
      <c r="C1161" s="52"/>
      <c r="D1161" s="52"/>
      <c r="E1161" s="52"/>
      <c r="F1161" s="52"/>
      <c r="G1161" s="52"/>
      <c r="H1161" s="52"/>
    </row>
    <row r="1162" spans="1:8" ht="15.75">
      <c r="A1162" s="124">
        <v>41102</v>
      </c>
      <c r="B1162" s="125">
        <v>52.018000000000001</v>
      </c>
      <c r="C1162" s="52"/>
      <c r="D1162" s="52"/>
      <c r="E1162" s="52"/>
      <c r="F1162" s="52"/>
      <c r="G1162" s="52"/>
      <c r="H1162" s="52"/>
    </row>
    <row r="1163" spans="1:8" ht="15.75">
      <c r="A1163" s="124">
        <v>41103</v>
      </c>
      <c r="B1163" s="125">
        <v>52.531999999999996</v>
      </c>
      <c r="C1163" s="52"/>
      <c r="D1163" s="52"/>
      <c r="E1163" s="52"/>
      <c r="F1163" s="52"/>
      <c r="G1163" s="52"/>
      <c r="H1163" s="52"/>
    </row>
    <row r="1164" spans="1:8" ht="15.75">
      <c r="A1164" s="124">
        <v>41106</v>
      </c>
      <c r="B1164" s="125">
        <v>52.603000000000002</v>
      </c>
      <c r="C1164" s="52"/>
      <c r="D1164" s="52"/>
      <c r="E1164" s="52"/>
      <c r="F1164" s="52"/>
      <c r="G1164" s="52"/>
      <c r="H1164" s="52"/>
    </row>
    <row r="1165" spans="1:8" ht="15.75">
      <c r="A1165" s="124">
        <v>41107</v>
      </c>
      <c r="B1165" s="125">
        <v>53.234999999999999</v>
      </c>
      <c r="C1165" s="52"/>
      <c r="D1165" s="52"/>
      <c r="E1165" s="52"/>
      <c r="F1165" s="52"/>
      <c r="G1165" s="52"/>
      <c r="H1165" s="52"/>
    </row>
    <row r="1166" spans="1:8" ht="15.75">
      <c r="A1166" s="124">
        <v>41108</v>
      </c>
      <c r="B1166" s="125">
        <v>52.581000000000003</v>
      </c>
      <c r="C1166" s="52"/>
      <c r="D1166" s="52"/>
      <c r="E1166" s="52"/>
      <c r="F1166" s="52"/>
      <c r="G1166" s="52"/>
      <c r="H1166" s="52"/>
    </row>
    <row r="1167" spans="1:8" ht="15.75">
      <c r="A1167" s="124">
        <v>41109</v>
      </c>
      <c r="B1167" s="125">
        <v>51.832000000000001</v>
      </c>
      <c r="C1167" s="52"/>
      <c r="D1167" s="52"/>
      <c r="E1167" s="52"/>
      <c r="F1167" s="52"/>
      <c r="G1167" s="52"/>
      <c r="H1167" s="52"/>
    </row>
    <row r="1168" spans="1:8" ht="15.75">
      <c r="A1168" s="124">
        <v>41110</v>
      </c>
      <c r="B1168" s="125">
        <v>52.555999999999997</v>
      </c>
      <c r="C1168" s="52"/>
      <c r="D1168" s="52"/>
      <c r="E1168" s="52"/>
      <c r="F1168" s="52"/>
      <c r="G1168" s="52"/>
      <c r="H1168" s="52"/>
    </row>
    <row r="1169" spans="1:8" ht="15.75">
      <c r="A1169" s="124">
        <v>41113</v>
      </c>
      <c r="B1169" s="125">
        <v>52.274000000000001</v>
      </c>
      <c r="C1169" s="52"/>
      <c r="D1169" s="52"/>
      <c r="E1169" s="52"/>
      <c r="F1169" s="52"/>
      <c r="G1169" s="52"/>
      <c r="H1169" s="52"/>
    </row>
    <row r="1170" spans="1:8" ht="15.75">
      <c r="A1170" s="124">
        <v>41114</v>
      </c>
      <c r="B1170" s="125">
        <v>52.179000000000002</v>
      </c>
      <c r="C1170" s="52"/>
      <c r="D1170" s="52"/>
      <c r="E1170" s="52"/>
      <c r="F1170" s="52"/>
      <c r="G1170" s="52"/>
      <c r="H1170" s="52"/>
    </row>
    <row r="1171" spans="1:8" ht="15.75">
      <c r="A1171" s="124">
        <v>41115</v>
      </c>
      <c r="B1171" s="125">
        <v>52.198</v>
      </c>
      <c r="C1171" s="52"/>
      <c r="D1171" s="52"/>
      <c r="E1171" s="52"/>
      <c r="F1171" s="52"/>
      <c r="G1171" s="52"/>
      <c r="H1171" s="52"/>
    </row>
    <row r="1172" spans="1:8" ht="15.75">
      <c r="A1172" s="124">
        <v>41116</v>
      </c>
      <c r="B1172" s="125">
        <v>50.345999999999997</v>
      </c>
      <c r="C1172" s="52"/>
      <c r="D1172" s="52"/>
      <c r="E1172" s="52"/>
      <c r="F1172" s="52"/>
      <c r="G1172" s="52"/>
      <c r="H1172" s="52"/>
    </row>
    <row r="1173" spans="1:8" ht="15.75">
      <c r="A1173" s="124">
        <v>41117</v>
      </c>
      <c r="B1173" s="125">
        <v>50.93</v>
      </c>
      <c r="C1173" s="52"/>
      <c r="D1173" s="52"/>
      <c r="E1173" s="52"/>
      <c r="F1173" s="52"/>
      <c r="G1173" s="52"/>
      <c r="H1173" s="52"/>
    </row>
    <row r="1174" spans="1:8" ht="15.75">
      <c r="A1174" s="124">
        <v>41120</v>
      </c>
      <c r="B1174" s="125">
        <v>51.411000000000001</v>
      </c>
      <c r="C1174" s="52"/>
      <c r="D1174" s="52"/>
      <c r="E1174" s="52"/>
      <c r="F1174" s="52"/>
      <c r="G1174" s="52"/>
      <c r="H1174" s="52"/>
    </row>
    <row r="1175" spans="1:8" ht="15.75">
      <c r="A1175" s="124">
        <v>41121</v>
      </c>
      <c r="B1175" s="125">
        <v>51.343000000000004</v>
      </c>
      <c r="C1175" s="52"/>
      <c r="D1175" s="52"/>
      <c r="E1175" s="52"/>
      <c r="F1175" s="52"/>
      <c r="G1175" s="52"/>
      <c r="H1175" s="52"/>
    </row>
    <row r="1176" spans="1:8" ht="15.75">
      <c r="A1176" s="124">
        <v>41122</v>
      </c>
      <c r="B1176" s="125">
        <v>50.875999999999998</v>
      </c>
      <c r="C1176" s="52"/>
      <c r="D1176" s="52"/>
      <c r="E1176" s="52"/>
      <c r="F1176" s="52"/>
      <c r="G1176" s="52"/>
      <c r="H1176" s="52"/>
    </row>
    <row r="1177" spans="1:8" ht="15.75">
      <c r="A1177" s="124">
        <v>41123</v>
      </c>
      <c r="B1177" s="125">
        <v>50.536999999999999</v>
      </c>
      <c r="C1177" s="52"/>
      <c r="D1177" s="52"/>
      <c r="E1177" s="52"/>
      <c r="F1177" s="52"/>
      <c r="G1177" s="52"/>
      <c r="H1177" s="52"/>
    </row>
    <row r="1178" spans="1:8" ht="15.75">
      <c r="A1178" s="124">
        <v>41124</v>
      </c>
      <c r="B1178" s="125">
        <v>50.515000000000001</v>
      </c>
      <c r="C1178" s="52"/>
      <c r="D1178" s="52"/>
      <c r="E1178" s="52"/>
      <c r="F1178" s="52"/>
      <c r="G1178" s="52"/>
      <c r="H1178" s="52"/>
    </row>
    <row r="1179" spans="1:8" ht="15.75">
      <c r="A1179" s="124">
        <v>41127</v>
      </c>
      <c r="B1179" s="125">
        <v>50.152999999999999</v>
      </c>
      <c r="C1179" s="52"/>
      <c r="D1179" s="52"/>
      <c r="E1179" s="52"/>
      <c r="F1179" s="52"/>
      <c r="G1179" s="52"/>
      <c r="H1179" s="52"/>
    </row>
    <row r="1180" spans="1:8" ht="15.75">
      <c r="A1180" s="124">
        <v>41128</v>
      </c>
      <c r="B1180" s="125">
        <v>49.466000000000001</v>
      </c>
      <c r="C1180" s="52"/>
      <c r="D1180" s="52"/>
      <c r="E1180" s="52"/>
      <c r="F1180" s="52"/>
      <c r="G1180" s="52"/>
      <c r="H1180" s="52"/>
    </row>
    <row r="1181" spans="1:8" ht="15.75">
      <c r="A1181" s="124">
        <v>41129</v>
      </c>
      <c r="B1181" s="125">
        <v>48.881</v>
      </c>
      <c r="C1181" s="52"/>
      <c r="D1181" s="52"/>
      <c r="E1181" s="52"/>
      <c r="F1181" s="52"/>
      <c r="G1181" s="52"/>
      <c r="H1181" s="52"/>
    </row>
    <row r="1182" spans="1:8" ht="15.75">
      <c r="A1182" s="124">
        <v>41130</v>
      </c>
      <c r="B1182" s="125">
        <v>48.847000000000001</v>
      </c>
      <c r="C1182" s="52"/>
      <c r="D1182" s="52"/>
      <c r="E1182" s="52"/>
      <c r="F1182" s="52"/>
      <c r="G1182" s="52"/>
      <c r="H1182" s="52"/>
    </row>
    <row r="1183" spans="1:8" ht="15.75">
      <c r="A1183" s="124">
        <v>41131</v>
      </c>
      <c r="B1183" s="125">
        <v>48.994999999999997</v>
      </c>
      <c r="C1183" s="52"/>
      <c r="D1183" s="52"/>
      <c r="E1183" s="52"/>
      <c r="F1183" s="52"/>
      <c r="G1183" s="52"/>
      <c r="H1183" s="52"/>
    </row>
    <row r="1184" spans="1:8" ht="15.75">
      <c r="A1184" s="124">
        <v>41134</v>
      </c>
      <c r="B1184" s="125">
        <v>48.246000000000002</v>
      </c>
      <c r="C1184" s="52"/>
      <c r="D1184" s="52"/>
      <c r="E1184" s="52"/>
      <c r="F1184" s="52"/>
      <c r="G1184" s="52"/>
      <c r="H1184" s="52"/>
    </row>
    <row r="1185" spans="1:8" ht="15.75">
      <c r="A1185" s="124">
        <v>41135</v>
      </c>
      <c r="B1185" s="125">
        <v>48.081000000000003</v>
      </c>
      <c r="C1185" s="52"/>
      <c r="D1185" s="52"/>
      <c r="E1185" s="52"/>
      <c r="F1185" s="52"/>
      <c r="G1185" s="52"/>
      <c r="H1185" s="52"/>
    </row>
    <row r="1186" spans="1:8" ht="15.75">
      <c r="A1186" s="124">
        <v>41136</v>
      </c>
      <c r="B1186" s="125">
        <v>48.223999999999997</v>
      </c>
      <c r="C1186" s="52"/>
      <c r="D1186" s="52"/>
      <c r="E1186" s="52"/>
      <c r="F1186" s="52"/>
      <c r="G1186" s="52"/>
      <c r="H1186" s="52"/>
    </row>
    <row r="1187" spans="1:8" ht="15.75">
      <c r="A1187" s="124">
        <v>41137</v>
      </c>
      <c r="B1187" s="125">
        <v>47.734999999999999</v>
      </c>
      <c r="C1187" s="52"/>
      <c r="D1187" s="52"/>
      <c r="E1187" s="52"/>
      <c r="F1187" s="52"/>
      <c r="G1187" s="52"/>
      <c r="H1187" s="52"/>
    </row>
    <row r="1188" spans="1:8" ht="15.75">
      <c r="A1188" s="124">
        <v>41138</v>
      </c>
      <c r="B1188" s="125">
        <v>48.603000000000002</v>
      </c>
      <c r="C1188" s="52"/>
      <c r="D1188" s="52"/>
      <c r="E1188" s="52"/>
      <c r="F1188" s="52"/>
      <c r="G1188" s="52"/>
      <c r="H1188" s="52"/>
    </row>
    <row r="1189" spans="1:8" ht="15.75">
      <c r="A1189" s="124">
        <v>41141</v>
      </c>
      <c r="B1189" s="125">
        <v>48.283000000000001</v>
      </c>
      <c r="C1189" s="52"/>
      <c r="D1189" s="52"/>
      <c r="E1189" s="52"/>
      <c r="F1189" s="52"/>
      <c r="G1189" s="52"/>
      <c r="H1189" s="52"/>
    </row>
    <row r="1190" spans="1:8" ht="15.75">
      <c r="A1190" s="124">
        <v>41142</v>
      </c>
      <c r="B1190" s="125">
        <v>48.143000000000001</v>
      </c>
      <c r="C1190" s="52"/>
      <c r="D1190" s="52"/>
      <c r="E1190" s="52"/>
      <c r="F1190" s="52"/>
      <c r="G1190" s="52"/>
      <c r="H1190" s="52"/>
    </row>
    <row r="1191" spans="1:8" ht="15.75">
      <c r="A1191" s="124">
        <v>41143</v>
      </c>
      <c r="B1191" s="125">
        <v>48.262</v>
      </c>
      <c r="C1191" s="52"/>
      <c r="D1191" s="52"/>
      <c r="E1191" s="52"/>
      <c r="F1191" s="52"/>
      <c r="G1191" s="52"/>
      <c r="H1191" s="52"/>
    </row>
    <row r="1192" spans="1:8" ht="15.75">
      <c r="A1192" s="124">
        <v>41144</v>
      </c>
      <c r="B1192" s="125">
        <v>48.584000000000003</v>
      </c>
      <c r="C1192" s="52"/>
      <c r="D1192" s="52"/>
      <c r="E1192" s="52"/>
      <c r="F1192" s="52"/>
      <c r="G1192" s="52"/>
      <c r="H1192" s="52"/>
    </row>
    <row r="1193" spans="1:8" ht="15.75">
      <c r="A1193" s="124">
        <v>41145</v>
      </c>
      <c r="B1193" s="125">
        <v>48.337000000000003</v>
      </c>
      <c r="C1193" s="52"/>
      <c r="D1193" s="52"/>
      <c r="E1193" s="52"/>
      <c r="F1193" s="52"/>
      <c r="G1193" s="52"/>
      <c r="H1193" s="52"/>
    </row>
    <row r="1194" spans="1:8" ht="15.75">
      <c r="A1194" s="124">
        <v>41148</v>
      </c>
      <c r="B1194" s="125">
        <v>48.503</v>
      </c>
      <c r="C1194" s="52"/>
      <c r="D1194" s="52"/>
      <c r="E1194" s="52"/>
      <c r="F1194" s="52"/>
      <c r="G1194" s="52"/>
      <c r="H1194" s="52"/>
    </row>
    <row r="1195" spans="1:8" ht="15.75">
      <c r="A1195" s="124">
        <v>41149</v>
      </c>
      <c r="B1195" s="125">
        <v>48.472000000000001</v>
      </c>
      <c r="C1195" s="52"/>
      <c r="D1195" s="52"/>
      <c r="E1195" s="52"/>
      <c r="F1195" s="52"/>
      <c r="G1195" s="52"/>
      <c r="H1195" s="52"/>
    </row>
    <row r="1196" spans="1:8" ht="15.75">
      <c r="A1196" s="124">
        <v>41150</v>
      </c>
      <c r="B1196" s="125">
        <v>48.523000000000003</v>
      </c>
      <c r="C1196" s="52"/>
      <c r="D1196" s="52"/>
      <c r="E1196" s="52"/>
      <c r="F1196" s="52"/>
      <c r="G1196" s="52"/>
      <c r="H1196" s="52"/>
    </row>
    <row r="1197" spans="1:8" ht="15.75">
      <c r="A1197" s="124">
        <v>41151</v>
      </c>
      <c r="B1197" s="125">
        <v>48.329000000000001</v>
      </c>
      <c r="C1197" s="52"/>
      <c r="D1197" s="52"/>
      <c r="E1197" s="52"/>
      <c r="F1197" s="52"/>
      <c r="G1197" s="52"/>
      <c r="H1197" s="52"/>
    </row>
    <row r="1198" spans="1:8" ht="15.75">
      <c r="A1198" s="124">
        <v>41152</v>
      </c>
      <c r="B1198" s="125">
        <v>47.768999999999998</v>
      </c>
      <c r="C1198" s="52"/>
      <c r="D1198" s="52"/>
      <c r="E1198" s="52"/>
      <c r="F1198" s="52"/>
      <c r="G1198" s="52"/>
      <c r="H1198" s="52"/>
    </row>
    <row r="1199" spans="1:8" ht="15.75">
      <c r="A1199" s="124">
        <v>41155</v>
      </c>
      <c r="B1199" s="125">
        <v>47.834000000000003</v>
      </c>
      <c r="C1199" s="52"/>
      <c r="D1199" s="52"/>
      <c r="E1199" s="52"/>
      <c r="F1199" s="52"/>
      <c r="G1199" s="52"/>
      <c r="H1199" s="52"/>
    </row>
    <row r="1200" spans="1:8" ht="15.75">
      <c r="A1200" s="124">
        <v>41156</v>
      </c>
      <c r="B1200" s="125">
        <v>47.692</v>
      </c>
      <c r="C1200" s="52"/>
      <c r="D1200" s="52"/>
      <c r="E1200" s="52"/>
      <c r="F1200" s="52"/>
      <c r="G1200" s="52"/>
      <c r="H1200" s="52"/>
    </row>
    <row r="1201" spans="1:8" ht="15.75">
      <c r="A1201" s="124">
        <v>41157</v>
      </c>
      <c r="B1201" s="125">
        <v>47.764000000000003</v>
      </c>
      <c r="C1201" s="52"/>
      <c r="D1201" s="52"/>
      <c r="E1201" s="52"/>
      <c r="F1201" s="52"/>
      <c r="G1201" s="52"/>
      <c r="H1201" s="52"/>
    </row>
    <row r="1202" spans="1:8" ht="15.75">
      <c r="A1202" s="124">
        <v>41158</v>
      </c>
      <c r="B1202" s="125">
        <v>47.917000000000002</v>
      </c>
      <c r="C1202" s="52"/>
      <c r="D1202" s="52"/>
      <c r="E1202" s="52"/>
      <c r="F1202" s="52"/>
      <c r="G1202" s="52"/>
      <c r="H1202" s="52"/>
    </row>
    <row r="1203" spans="1:8" ht="15.75">
      <c r="A1203" s="124">
        <v>41159</v>
      </c>
      <c r="B1203" s="125">
        <v>47.401000000000003</v>
      </c>
      <c r="C1203" s="52"/>
      <c r="D1203" s="52"/>
      <c r="E1203" s="52"/>
      <c r="F1203" s="52"/>
      <c r="G1203" s="52"/>
      <c r="H1203" s="52"/>
    </row>
    <row r="1204" spans="1:8" ht="15.75">
      <c r="A1204" s="124">
        <v>41162</v>
      </c>
      <c r="B1204" s="125">
        <v>46.465000000000003</v>
      </c>
      <c r="C1204" s="52"/>
      <c r="D1204" s="52"/>
      <c r="E1204" s="52"/>
      <c r="F1204" s="52"/>
      <c r="G1204" s="52"/>
      <c r="H1204" s="52"/>
    </row>
    <row r="1205" spans="1:8" ht="15.75">
      <c r="A1205" s="124">
        <v>41163</v>
      </c>
      <c r="B1205" s="125">
        <v>45.951000000000001</v>
      </c>
      <c r="C1205" s="52"/>
      <c r="D1205" s="52"/>
      <c r="E1205" s="52"/>
      <c r="F1205" s="52"/>
      <c r="G1205" s="52"/>
      <c r="H1205" s="52"/>
    </row>
    <row r="1206" spans="1:8" ht="15.75">
      <c r="A1206" s="124">
        <v>41164</v>
      </c>
      <c r="B1206" s="125">
        <v>45.616</v>
      </c>
      <c r="C1206" s="52"/>
      <c r="D1206" s="52"/>
      <c r="E1206" s="52"/>
      <c r="F1206" s="52"/>
      <c r="G1206" s="52"/>
      <c r="H1206" s="52"/>
    </row>
    <row r="1207" spans="1:8" ht="15.75">
      <c r="A1207" s="124">
        <v>41165</v>
      </c>
      <c r="B1207" s="125">
        <v>46.066000000000003</v>
      </c>
      <c r="C1207" s="52"/>
      <c r="D1207" s="52"/>
      <c r="E1207" s="52"/>
      <c r="F1207" s="52"/>
      <c r="G1207" s="52"/>
      <c r="H1207" s="52"/>
    </row>
    <row r="1208" spans="1:8" ht="15.75">
      <c r="A1208" s="124">
        <v>41166</v>
      </c>
      <c r="B1208" s="125">
        <v>46.414000000000001</v>
      </c>
      <c r="C1208" s="52"/>
      <c r="D1208" s="52"/>
      <c r="E1208" s="52"/>
      <c r="F1208" s="52"/>
      <c r="G1208" s="52"/>
      <c r="H1208" s="52"/>
    </row>
    <row r="1209" spans="1:8" ht="15.75">
      <c r="A1209" s="124">
        <v>41169</v>
      </c>
      <c r="B1209" s="125">
        <v>45.692999999999998</v>
      </c>
      <c r="C1209" s="52"/>
      <c r="D1209" s="52"/>
      <c r="E1209" s="52"/>
      <c r="F1209" s="52"/>
      <c r="G1209" s="52"/>
      <c r="H1209" s="52"/>
    </row>
    <row r="1210" spans="1:8" ht="15.75">
      <c r="A1210" s="124">
        <v>41170</v>
      </c>
      <c r="B1210" s="125">
        <v>45.637</v>
      </c>
      <c r="C1210" s="52"/>
      <c r="D1210" s="52"/>
      <c r="E1210" s="52"/>
      <c r="F1210" s="52"/>
      <c r="G1210" s="52"/>
      <c r="H1210" s="52"/>
    </row>
    <row r="1211" spans="1:8" ht="15.75">
      <c r="A1211" s="124">
        <v>41171</v>
      </c>
      <c r="B1211" s="125">
        <v>45.250999999999998</v>
      </c>
      <c r="C1211" s="52"/>
      <c r="D1211" s="52"/>
      <c r="E1211" s="52"/>
      <c r="F1211" s="52"/>
      <c r="G1211" s="52"/>
      <c r="H1211" s="52"/>
    </row>
    <row r="1212" spans="1:8" ht="15.75">
      <c r="A1212" s="124">
        <v>41172</v>
      </c>
      <c r="B1212" s="125">
        <v>44.600999999999999</v>
      </c>
      <c r="C1212" s="52"/>
      <c r="D1212" s="52"/>
      <c r="E1212" s="52"/>
      <c r="F1212" s="52"/>
      <c r="G1212" s="52"/>
      <c r="H1212" s="52"/>
    </row>
    <row r="1213" spans="1:8" ht="15.75">
      <c r="A1213" s="124">
        <v>41173</v>
      </c>
      <c r="B1213" s="125">
        <v>44.095999999999997</v>
      </c>
      <c r="C1213" s="52"/>
      <c r="D1213" s="52"/>
      <c r="E1213" s="52"/>
      <c r="F1213" s="52"/>
      <c r="G1213" s="52"/>
      <c r="H1213" s="52"/>
    </row>
    <row r="1214" spans="1:8" ht="15.75">
      <c r="A1214" s="124">
        <v>41176</v>
      </c>
      <c r="B1214" s="125">
        <v>44.58</v>
      </c>
      <c r="C1214" s="52"/>
      <c r="D1214" s="52"/>
      <c r="E1214" s="52"/>
      <c r="F1214" s="52"/>
      <c r="G1214" s="52"/>
      <c r="H1214" s="52"/>
    </row>
    <row r="1215" spans="1:8" ht="15.75">
      <c r="A1215" s="124">
        <v>41177</v>
      </c>
      <c r="B1215" s="125">
        <v>44.35</v>
      </c>
      <c r="C1215" s="52"/>
      <c r="D1215" s="52"/>
      <c r="E1215" s="52"/>
      <c r="F1215" s="52"/>
      <c r="G1215" s="52"/>
      <c r="H1215" s="52"/>
    </row>
    <row r="1216" spans="1:8" ht="15.75">
      <c r="A1216" s="124">
        <v>41178</v>
      </c>
      <c r="B1216" s="125">
        <v>44.485999999999997</v>
      </c>
      <c r="C1216" s="52"/>
      <c r="D1216" s="52"/>
      <c r="E1216" s="52"/>
      <c r="F1216" s="52"/>
      <c r="G1216" s="52"/>
      <c r="H1216" s="52"/>
    </row>
    <row r="1217" spans="1:8" ht="15.75">
      <c r="A1217" s="124">
        <v>41179</v>
      </c>
      <c r="B1217" s="125">
        <v>44.421999999999997</v>
      </c>
      <c r="C1217" s="52"/>
      <c r="D1217" s="52"/>
      <c r="E1217" s="52"/>
      <c r="F1217" s="52"/>
      <c r="G1217" s="52"/>
      <c r="H1217" s="52"/>
    </row>
    <row r="1218" spans="1:8" ht="15.75">
      <c r="A1218" s="124">
        <v>41180</v>
      </c>
      <c r="B1218" s="125">
        <v>44.600999999999999</v>
      </c>
      <c r="C1218" s="52"/>
      <c r="D1218" s="52"/>
      <c r="E1218" s="52"/>
      <c r="F1218" s="52"/>
      <c r="G1218" s="52"/>
      <c r="H1218" s="52"/>
    </row>
    <row r="1219" spans="1:8" ht="15.75">
      <c r="A1219" s="124">
        <v>41183</v>
      </c>
      <c r="B1219" s="125">
        <v>44.371000000000002</v>
      </c>
      <c r="C1219" s="52"/>
      <c r="D1219" s="52"/>
      <c r="E1219" s="52"/>
      <c r="F1219" s="52"/>
      <c r="G1219" s="52"/>
      <c r="H1219" s="52"/>
    </row>
    <row r="1220" spans="1:8" ht="15.75">
      <c r="A1220" s="124">
        <v>41184</v>
      </c>
      <c r="B1220" s="125">
        <v>44.112000000000002</v>
      </c>
      <c r="C1220" s="52"/>
      <c r="D1220" s="52"/>
      <c r="E1220" s="52"/>
      <c r="F1220" s="52"/>
      <c r="G1220" s="52"/>
      <c r="H1220" s="52"/>
    </row>
    <row r="1221" spans="1:8" ht="15.75">
      <c r="A1221" s="124">
        <v>41185</v>
      </c>
      <c r="B1221" s="125">
        <v>44.3</v>
      </c>
      <c r="C1221" s="52"/>
      <c r="D1221" s="52"/>
      <c r="E1221" s="52"/>
      <c r="F1221" s="52"/>
      <c r="G1221" s="52"/>
      <c r="H1221" s="52"/>
    </row>
    <row r="1222" spans="1:8" ht="15.75">
      <c r="A1222" s="124">
        <v>41186</v>
      </c>
      <c r="B1222" s="125">
        <v>43.325000000000003</v>
      </c>
      <c r="C1222" s="52"/>
      <c r="D1222" s="52"/>
      <c r="E1222" s="52"/>
      <c r="F1222" s="52"/>
      <c r="G1222" s="52"/>
      <c r="H1222" s="52"/>
    </row>
    <row r="1223" spans="1:8" ht="15.75">
      <c r="A1223" s="124">
        <v>41187</v>
      </c>
      <c r="B1223" s="125">
        <v>43.512</v>
      </c>
      <c r="C1223" s="52"/>
      <c r="D1223" s="52"/>
      <c r="E1223" s="52"/>
      <c r="F1223" s="52"/>
      <c r="G1223" s="52"/>
      <c r="H1223" s="52"/>
    </row>
    <row r="1224" spans="1:8" ht="15.75">
      <c r="A1224" s="124">
        <v>41190</v>
      </c>
      <c r="B1224" s="125">
        <v>43.216000000000001</v>
      </c>
      <c r="C1224" s="52"/>
      <c r="D1224" s="52"/>
      <c r="E1224" s="52"/>
      <c r="F1224" s="52"/>
      <c r="G1224" s="52"/>
      <c r="H1224" s="52"/>
    </row>
    <row r="1225" spans="1:8" ht="15.75">
      <c r="A1225" s="124">
        <v>41191</v>
      </c>
      <c r="B1225" s="125">
        <v>43.414000000000001</v>
      </c>
      <c r="C1225" s="52"/>
      <c r="D1225" s="52"/>
      <c r="E1225" s="52"/>
      <c r="F1225" s="52"/>
      <c r="G1225" s="52"/>
      <c r="H1225" s="52"/>
    </row>
    <row r="1226" spans="1:8" ht="15.75">
      <c r="A1226" s="124">
        <v>41192</v>
      </c>
      <c r="B1226" s="125">
        <v>43.023000000000003</v>
      </c>
      <c r="C1226" s="52"/>
      <c r="D1226" s="52"/>
      <c r="E1226" s="52"/>
      <c r="F1226" s="52"/>
      <c r="G1226" s="52"/>
      <c r="H1226" s="52"/>
    </row>
    <row r="1227" spans="1:8" ht="15.75">
      <c r="A1227" s="124">
        <v>41193</v>
      </c>
      <c r="B1227" s="125">
        <v>43.494</v>
      </c>
      <c r="C1227" s="52"/>
      <c r="D1227" s="52"/>
      <c r="E1227" s="52"/>
      <c r="F1227" s="52"/>
      <c r="G1227" s="52"/>
      <c r="H1227" s="52"/>
    </row>
    <row r="1228" spans="1:8" ht="15.75">
      <c r="A1228" s="124">
        <v>41194</v>
      </c>
      <c r="B1228" s="125">
        <v>43.103999999999999</v>
      </c>
      <c r="C1228" s="52"/>
      <c r="D1228" s="52"/>
      <c r="E1228" s="52"/>
      <c r="F1228" s="52"/>
      <c r="G1228" s="52"/>
      <c r="H1228" s="52"/>
    </row>
    <row r="1229" spans="1:8" ht="15.75">
      <c r="A1229" s="124">
        <v>41197</v>
      </c>
      <c r="B1229" s="125">
        <v>43.127000000000002</v>
      </c>
      <c r="C1229" s="52"/>
      <c r="D1229" s="52"/>
      <c r="E1229" s="52"/>
      <c r="F1229" s="52"/>
      <c r="G1229" s="52"/>
      <c r="H1229" s="52"/>
    </row>
    <row r="1230" spans="1:8" ht="15.75">
      <c r="A1230" s="124">
        <v>41198</v>
      </c>
      <c r="B1230" s="125">
        <v>42.975000000000001</v>
      </c>
      <c r="C1230" s="52"/>
      <c r="D1230" s="52"/>
      <c r="E1230" s="52"/>
      <c r="F1230" s="52"/>
      <c r="G1230" s="52"/>
      <c r="H1230" s="52"/>
    </row>
    <row r="1231" spans="1:8" ht="15.75">
      <c r="A1231" s="124">
        <v>41199</v>
      </c>
      <c r="B1231" s="125">
        <v>42.619</v>
      </c>
      <c r="C1231" s="52"/>
      <c r="D1231" s="52"/>
      <c r="E1231" s="52"/>
      <c r="F1231" s="52"/>
      <c r="G1231" s="52"/>
      <c r="H1231" s="52"/>
    </row>
    <row r="1232" spans="1:8" ht="15.75">
      <c r="A1232" s="124">
        <v>41200</v>
      </c>
      <c r="B1232" s="125">
        <v>43.575000000000003</v>
      </c>
      <c r="C1232" s="52"/>
      <c r="D1232" s="52"/>
      <c r="E1232" s="52"/>
      <c r="F1232" s="52"/>
      <c r="G1232" s="52"/>
      <c r="H1232" s="52"/>
    </row>
    <row r="1233" spans="1:8" ht="15.75">
      <c r="A1233" s="124">
        <v>41201</v>
      </c>
      <c r="B1233" s="125">
        <v>43.732999999999997</v>
      </c>
      <c r="C1233" s="52"/>
      <c r="D1233" s="52"/>
      <c r="E1233" s="52"/>
      <c r="F1233" s="52"/>
      <c r="G1233" s="52"/>
      <c r="H1233" s="52"/>
    </row>
    <row r="1234" spans="1:8" ht="15.75">
      <c r="A1234" s="124">
        <v>41204</v>
      </c>
      <c r="B1234" s="125">
        <v>42.765000000000001</v>
      </c>
      <c r="C1234" s="52"/>
      <c r="D1234" s="52"/>
      <c r="E1234" s="52"/>
      <c r="F1234" s="52"/>
      <c r="G1234" s="52"/>
      <c r="H1234" s="52"/>
    </row>
    <row r="1235" spans="1:8" ht="15.75">
      <c r="A1235" s="124">
        <v>41205</v>
      </c>
      <c r="B1235" s="125">
        <v>43.216999999999999</v>
      </c>
      <c r="C1235" s="52"/>
      <c r="D1235" s="52"/>
      <c r="E1235" s="52"/>
      <c r="F1235" s="52"/>
      <c r="G1235" s="52"/>
      <c r="H1235" s="52"/>
    </row>
    <row r="1236" spans="1:8" ht="15.75">
      <c r="A1236" s="124">
        <v>41206</v>
      </c>
      <c r="B1236" s="125">
        <v>43.222000000000001</v>
      </c>
      <c r="C1236" s="52"/>
      <c r="D1236" s="52"/>
      <c r="E1236" s="52"/>
      <c r="F1236" s="52"/>
      <c r="G1236" s="52"/>
      <c r="H1236" s="52"/>
    </row>
    <row r="1237" spans="1:8" ht="15.75">
      <c r="A1237" s="124">
        <v>41207</v>
      </c>
      <c r="B1237" s="125">
        <v>43.527000000000001</v>
      </c>
      <c r="C1237" s="52"/>
      <c r="D1237" s="52"/>
      <c r="E1237" s="52"/>
      <c r="F1237" s="52"/>
      <c r="G1237" s="52"/>
      <c r="H1237" s="52"/>
    </row>
    <row r="1238" spans="1:8" ht="15.75">
      <c r="A1238" s="124">
        <v>41208</v>
      </c>
      <c r="B1238" s="125">
        <v>43.194000000000003</v>
      </c>
      <c r="C1238" s="52"/>
      <c r="D1238" s="52"/>
      <c r="E1238" s="52"/>
      <c r="F1238" s="52"/>
      <c r="G1238" s="52"/>
      <c r="H1238" s="52"/>
    </row>
    <row r="1239" spans="1:8" ht="15.75">
      <c r="A1239" s="124">
        <v>41211</v>
      </c>
      <c r="B1239" s="125">
        <v>43.271999999999998</v>
      </c>
      <c r="C1239" s="52"/>
      <c r="D1239" s="52"/>
      <c r="E1239" s="52"/>
      <c r="F1239" s="52"/>
      <c r="G1239" s="52"/>
      <c r="H1239" s="52"/>
    </row>
    <row r="1240" spans="1:8" ht="15.75">
      <c r="A1240" s="124">
        <v>41212</v>
      </c>
      <c r="B1240" s="125">
        <v>43.198</v>
      </c>
      <c r="C1240" s="52"/>
      <c r="D1240" s="52"/>
      <c r="E1240" s="52"/>
      <c r="F1240" s="52"/>
      <c r="G1240" s="52"/>
      <c r="H1240" s="52"/>
    </row>
    <row r="1241" spans="1:8" ht="15.75">
      <c r="A1241" s="124">
        <v>41213</v>
      </c>
      <c r="B1241" s="125">
        <v>43.871000000000002</v>
      </c>
      <c r="C1241" s="52"/>
      <c r="D1241" s="52"/>
      <c r="E1241" s="52"/>
      <c r="F1241" s="52"/>
      <c r="G1241" s="52"/>
      <c r="H1241" s="52"/>
    </row>
    <row r="1242" spans="1:8" ht="15.75">
      <c r="A1242" s="124">
        <v>41214</v>
      </c>
      <c r="B1242" s="125">
        <v>44.484999999999999</v>
      </c>
      <c r="C1242" s="52"/>
      <c r="D1242" s="52"/>
      <c r="E1242" s="52"/>
      <c r="F1242" s="52"/>
      <c r="G1242" s="52"/>
      <c r="H1242" s="52"/>
    </row>
    <row r="1243" spans="1:8" ht="15.75">
      <c r="A1243" s="124">
        <v>41215</v>
      </c>
      <c r="B1243" s="125">
        <v>45.747999999999998</v>
      </c>
      <c r="C1243" s="52"/>
      <c r="D1243" s="52"/>
      <c r="E1243" s="52"/>
      <c r="F1243" s="52"/>
      <c r="G1243" s="52"/>
      <c r="H1243" s="52"/>
    </row>
    <row r="1244" spans="1:8" ht="15.75">
      <c r="A1244" s="124">
        <v>41218</v>
      </c>
      <c r="B1244" s="125">
        <v>45.51</v>
      </c>
      <c r="C1244" s="52"/>
      <c r="D1244" s="52"/>
      <c r="E1244" s="52"/>
      <c r="F1244" s="52"/>
      <c r="G1244" s="52"/>
      <c r="H1244" s="52"/>
    </row>
    <row r="1245" spans="1:8" ht="15.75">
      <c r="A1245" s="124">
        <v>41219</v>
      </c>
      <c r="B1245" s="125">
        <v>45.401000000000003</v>
      </c>
      <c r="C1245" s="52"/>
      <c r="D1245" s="52"/>
      <c r="E1245" s="52"/>
      <c r="F1245" s="52"/>
      <c r="G1245" s="52"/>
      <c r="H1245" s="52"/>
    </row>
    <row r="1246" spans="1:8" ht="15.75">
      <c r="A1246" s="124">
        <v>41220</v>
      </c>
      <c r="B1246" s="125">
        <v>45.317999999999998</v>
      </c>
      <c r="C1246" s="52"/>
      <c r="D1246" s="52"/>
      <c r="E1246" s="52"/>
      <c r="F1246" s="52"/>
      <c r="G1246" s="52"/>
      <c r="H1246" s="52"/>
    </row>
    <row r="1247" spans="1:8" ht="15.75">
      <c r="A1247" s="124">
        <v>41221</v>
      </c>
      <c r="B1247" s="125">
        <v>44.939</v>
      </c>
      <c r="C1247" s="52"/>
      <c r="D1247" s="52"/>
      <c r="E1247" s="52"/>
      <c r="F1247" s="52"/>
      <c r="G1247" s="52"/>
      <c r="H1247" s="52"/>
    </row>
    <row r="1248" spans="1:8" ht="15.75">
      <c r="A1248" s="124">
        <v>41222</v>
      </c>
      <c r="B1248" s="125">
        <v>44.62</v>
      </c>
      <c r="C1248" s="52"/>
      <c r="D1248" s="52"/>
      <c r="E1248" s="52"/>
      <c r="F1248" s="52"/>
      <c r="G1248" s="52"/>
      <c r="H1248" s="52"/>
    </row>
    <row r="1249" spans="1:8" ht="15.75">
      <c r="A1249" s="124">
        <v>41225</v>
      </c>
      <c r="B1249" s="125">
        <v>44.19</v>
      </c>
      <c r="C1249" s="52"/>
      <c r="D1249" s="52"/>
      <c r="E1249" s="52"/>
      <c r="F1249" s="52"/>
      <c r="G1249" s="52"/>
      <c r="H1249" s="52"/>
    </row>
    <row r="1250" spans="1:8" ht="15.75">
      <c r="A1250" s="124">
        <v>41226</v>
      </c>
      <c r="B1250" s="125">
        <v>43.987000000000002</v>
      </c>
      <c r="C1250" s="52"/>
      <c r="D1250" s="52"/>
      <c r="E1250" s="52"/>
      <c r="F1250" s="52"/>
      <c r="G1250" s="52"/>
      <c r="H1250" s="52"/>
    </row>
    <row r="1251" spans="1:8" ht="15.75">
      <c r="A1251" s="124">
        <v>41227</v>
      </c>
      <c r="B1251" s="125">
        <v>43.002000000000002</v>
      </c>
      <c r="C1251" s="52"/>
      <c r="D1251" s="52"/>
      <c r="E1251" s="52"/>
      <c r="F1251" s="52"/>
      <c r="G1251" s="52"/>
      <c r="H1251" s="52"/>
    </row>
    <row r="1252" spans="1:8" ht="15.75">
      <c r="A1252" s="124">
        <v>41228</v>
      </c>
      <c r="B1252" s="125">
        <v>42.23</v>
      </c>
      <c r="C1252" s="52"/>
      <c r="D1252" s="52"/>
      <c r="E1252" s="52"/>
      <c r="F1252" s="52"/>
      <c r="G1252" s="52"/>
      <c r="H1252" s="52"/>
    </row>
    <row r="1253" spans="1:8" ht="15.75">
      <c r="A1253" s="124">
        <v>41229</v>
      </c>
      <c r="B1253" s="125">
        <v>42.603000000000002</v>
      </c>
      <c r="C1253" s="52"/>
      <c r="D1253" s="52"/>
      <c r="E1253" s="52"/>
      <c r="F1253" s="52"/>
      <c r="G1253" s="52"/>
      <c r="H1253" s="52"/>
    </row>
    <row r="1254" spans="1:8" ht="15.75">
      <c r="A1254" s="124">
        <v>41232</v>
      </c>
      <c r="B1254" s="125">
        <v>42.465000000000003</v>
      </c>
      <c r="C1254" s="52"/>
      <c r="D1254" s="52"/>
      <c r="E1254" s="52"/>
      <c r="F1254" s="52"/>
      <c r="G1254" s="52"/>
      <c r="H1254" s="52"/>
    </row>
    <row r="1255" spans="1:8" ht="15.75">
      <c r="A1255" s="124">
        <v>41233</v>
      </c>
      <c r="B1255" s="125">
        <v>42.243000000000002</v>
      </c>
      <c r="C1255" s="52"/>
      <c r="D1255" s="52"/>
      <c r="E1255" s="52"/>
      <c r="F1255" s="52"/>
      <c r="G1255" s="52"/>
      <c r="H1255" s="52"/>
    </row>
    <row r="1256" spans="1:8" ht="15.75">
      <c r="A1256" s="124">
        <v>41234</v>
      </c>
      <c r="B1256" s="125">
        <v>41.984000000000002</v>
      </c>
      <c r="C1256" s="52"/>
      <c r="D1256" s="52"/>
      <c r="E1256" s="52"/>
      <c r="F1256" s="52"/>
      <c r="G1256" s="52"/>
      <c r="H1256" s="52"/>
    </row>
    <row r="1257" spans="1:8" ht="15.75">
      <c r="A1257" s="124">
        <v>41235</v>
      </c>
      <c r="B1257" s="125">
        <v>41.936</v>
      </c>
      <c r="C1257" s="52"/>
      <c r="D1257" s="52"/>
      <c r="E1257" s="52"/>
      <c r="F1257" s="52"/>
      <c r="G1257" s="52"/>
      <c r="H1257" s="52"/>
    </row>
    <row r="1258" spans="1:8" ht="15.75">
      <c r="A1258" s="124">
        <v>41236</v>
      </c>
      <c r="B1258" s="125">
        <v>42.168999999999997</v>
      </c>
      <c r="C1258" s="52"/>
      <c r="D1258" s="52"/>
      <c r="E1258" s="52"/>
      <c r="F1258" s="52"/>
      <c r="G1258" s="52"/>
      <c r="H1258" s="52"/>
    </row>
    <row r="1259" spans="1:8" ht="15.75">
      <c r="A1259" s="124">
        <v>41239</v>
      </c>
      <c r="B1259" s="125">
        <v>41.764000000000003</v>
      </c>
      <c r="C1259" s="52"/>
      <c r="D1259" s="52"/>
      <c r="E1259" s="52"/>
      <c r="F1259" s="52"/>
      <c r="G1259" s="52"/>
      <c r="H1259" s="52"/>
    </row>
    <row r="1260" spans="1:8" ht="15.75">
      <c r="A1260" s="124">
        <v>41240</v>
      </c>
      <c r="B1260" s="125">
        <v>42.768999999999998</v>
      </c>
      <c r="C1260" s="52"/>
      <c r="D1260" s="52"/>
      <c r="E1260" s="52"/>
      <c r="F1260" s="52"/>
      <c r="G1260" s="52"/>
      <c r="H1260" s="52"/>
    </row>
    <row r="1261" spans="1:8" ht="15.75">
      <c r="A1261" s="124">
        <v>41241</v>
      </c>
      <c r="B1261" s="125">
        <v>42.162999999999997</v>
      </c>
      <c r="C1261" s="52"/>
      <c r="D1261" s="52"/>
      <c r="E1261" s="52"/>
      <c r="F1261" s="52"/>
      <c r="G1261" s="52"/>
      <c r="H1261" s="52"/>
    </row>
    <row r="1262" spans="1:8" ht="15.75">
      <c r="A1262" s="124">
        <v>41242</v>
      </c>
      <c r="B1262" s="125">
        <v>42.734000000000002</v>
      </c>
      <c r="C1262" s="52"/>
      <c r="D1262" s="52"/>
      <c r="E1262" s="52"/>
      <c r="F1262" s="52"/>
      <c r="G1262" s="52"/>
      <c r="H1262" s="52"/>
    </row>
    <row r="1263" spans="1:8" ht="15.75">
      <c r="A1263" s="124">
        <v>41243</v>
      </c>
      <c r="B1263" s="125">
        <v>42.415999999999997</v>
      </c>
      <c r="C1263" s="52"/>
      <c r="D1263" s="52"/>
      <c r="E1263" s="52"/>
      <c r="F1263" s="52"/>
      <c r="G1263" s="52"/>
      <c r="H1263" s="52"/>
    </row>
    <row r="1264" spans="1:8" ht="15.75">
      <c r="A1264" s="124">
        <v>41246</v>
      </c>
      <c r="B1264" s="125">
        <v>42.064999999999998</v>
      </c>
      <c r="C1264" s="52"/>
      <c r="D1264" s="52"/>
      <c r="E1264" s="52"/>
      <c r="F1264" s="52"/>
      <c r="G1264" s="52"/>
      <c r="H1264" s="52"/>
    </row>
    <row r="1265" spans="1:8" ht="15.75">
      <c r="A1265" s="124">
        <v>41247</v>
      </c>
      <c r="B1265" s="125">
        <v>42.015000000000001</v>
      </c>
      <c r="C1265" s="52"/>
      <c r="D1265" s="52"/>
      <c r="E1265" s="52"/>
      <c r="F1265" s="52"/>
      <c r="G1265" s="52"/>
      <c r="H1265" s="52"/>
    </row>
    <row r="1266" spans="1:8" ht="15.75">
      <c r="A1266" s="124">
        <v>41248</v>
      </c>
      <c r="B1266" s="125">
        <v>41.481999999999999</v>
      </c>
      <c r="C1266" s="52"/>
      <c r="D1266" s="52"/>
      <c r="E1266" s="52"/>
      <c r="F1266" s="52"/>
      <c r="G1266" s="52"/>
      <c r="H1266" s="52"/>
    </row>
    <row r="1267" spans="1:8" ht="15.75">
      <c r="A1267" s="124">
        <v>41249</v>
      </c>
      <c r="B1267" s="125">
        <v>42.116</v>
      </c>
      <c r="C1267" s="52"/>
      <c r="D1267" s="52"/>
      <c r="E1267" s="52"/>
      <c r="F1267" s="52"/>
      <c r="G1267" s="52"/>
      <c r="H1267" s="52"/>
    </row>
    <row r="1268" spans="1:8" ht="15.75">
      <c r="A1268" s="124">
        <v>41250</v>
      </c>
      <c r="B1268" s="125">
        <v>42.470999999999997</v>
      </c>
      <c r="C1268" s="52"/>
      <c r="D1268" s="52"/>
      <c r="E1268" s="52"/>
      <c r="F1268" s="52"/>
      <c r="G1268" s="52"/>
      <c r="H1268" s="52"/>
    </row>
    <row r="1269" spans="1:8" ht="15.75">
      <c r="A1269" s="124">
        <v>41253</v>
      </c>
      <c r="B1269" s="125">
        <v>42.442</v>
      </c>
      <c r="C1269" s="52"/>
      <c r="D1269" s="52"/>
      <c r="E1269" s="52"/>
      <c r="F1269" s="52"/>
      <c r="G1269" s="52"/>
      <c r="H1269" s="52"/>
    </row>
    <row r="1270" spans="1:8" ht="15.75">
      <c r="A1270" s="124">
        <v>41254</v>
      </c>
      <c r="B1270" s="125">
        <v>42.097999999999999</v>
      </c>
      <c r="C1270" s="52"/>
      <c r="D1270" s="52"/>
      <c r="E1270" s="52"/>
      <c r="F1270" s="52"/>
      <c r="G1270" s="52"/>
      <c r="H1270" s="52"/>
    </row>
    <row r="1271" spans="1:8" ht="15.75">
      <c r="A1271" s="124">
        <v>41255</v>
      </c>
      <c r="B1271" s="125">
        <v>42.012</v>
      </c>
      <c r="C1271" s="52"/>
      <c r="D1271" s="52"/>
      <c r="E1271" s="52"/>
      <c r="F1271" s="52"/>
      <c r="G1271" s="52"/>
      <c r="H1271" s="52"/>
    </row>
    <row r="1272" spans="1:8" ht="15.75">
      <c r="A1272" s="124">
        <v>41256</v>
      </c>
      <c r="B1272" s="125">
        <v>41.844999999999999</v>
      </c>
      <c r="C1272" s="52"/>
      <c r="D1272" s="52"/>
      <c r="E1272" s="52"/>
      <c r="F1272" s="52"/>
      <c r="G1272" s="52"/>
      <c r="H1272" s="52"/>
    </row>
    <row r="1273" spans="1:8" ht="15.75">
      <c r="A1273" s="124">
        <v>41257</v>
      </c>
      <c r="B1273" s="125">
        <v>42.069000000000003</v>
      </c>
      <c r="C1273" s="52"/>
      <c r="D1273" s="52"/>
      <c r="E1273" s="52"/>
      <c r="F1273" s="52"/>
      <c r="G1273" s="52"/>
      <c r="H1273" s="52"/>
    </row>
    <row r="1274" spans="1:8" ht="15.75">
      <c r="A1274" s="124">
        <v>41260</v>
      </c>
      <c r="B1274" s="125">
        <v>42.000999999999998</v>
      </c>
      <c r="C1274" s="52"/>
      <c r="D1274" s="52"/>
      <c r="E1274" s="52"/>
      <c r="F1274" s="52"/>
      <c r="G1274" s="52"/>
      <c r="H1274" s="52"/>
    </row>
    <row r="1275" spans="1:8" ht="15.75">
      <c r="A1275" s="124">
        <v>41261</v>
      </c>
      <c r="B1275" s="125">
        <v>42.116999999999997</v>
      </c>
      <c r="C1275" s="52"/>
      <c r="D1275" s="52"/>
      <c r="E1275" s="52"/>
      <c r="F1275" s="52"/>
      <c r="G1275" s="52"/>
      <c r="H1275" s="52"/>
    </row>
    <row r="1276" spans="1:8" ht="15.75">
      <c r="A1276" s="124">
        <v>41262</v>
      </c>
      <c r="B1276" s="125">
        <v>41.753999999999998</v>
      </c>
      <c r="C1276" s="52"/>
      <c r="D1276" s="52"/>
      <c r="E1276" s="52"/>
      <c r="F1276" s="52"/>
      <c r="G1276" s="52"/>
      <c r="H1276" s="52"/>
    </row>
    <row r="1277" spans="1:8" ht="15.75">
      <c r="A1277" s="124">
        <v>41263</v>
      </c>
      <c r="B1277" s="125">
        <v>42.234000000000002</v>
      </c>
      <c r="C1277" s="52"/>
      <c r="D1277" s="52"/>
      <c r="E1277" s="52"/>
      <c r="F1277" s="52"/>
      <c r="G1277" s="52"/>
      <c r="H1277" s="52"/>
    </row>
    <row r="1278" spans="1:8" ht="15.75">
      <c r="A1278" s="124">
        <v>41264</v>
      </c>
      <c r="B1278" s="125">
        <v>42.72</v>
      </c>
      <c r="C1278" s="52"/>
      <c r="D1278" s="52"/>
      <c r="E1278" s="52"/>
      <c r="F1278" s="52"/>
      <c r="G1278" s="52"/>
      <c r="H1278" s="52"/>
    </row>
    <row r="1279" spans="1:8" ht="15.75">
      <c r="A1279" s="124">
        <v>41270</v>
      </c>
      <c r="B1279" s="125">
        <v>42.158000000000001</v>
      </c>
      <c r="C1279" s="52"/>
      <c r="D1279" s="52"/>
      <c r="E1279" s="52"/>
      <c r="F1279" s="52"/>
      <c r="G1279" s="52"/>
      <c r="H1279" s="52"/>
    </row>
    <row r="1280" spans="1:8" ht="15.75">
      <c r="A1280" s="124">
        <v>41271</v>
      </c>
      <c r="B1280" s="125">
        <v>42.457000000000001</v>
      </c>
      <c r="C1280" s="52"/>
      <c r="D1280" s="52"/>
      <c r="E1280" s="52"/>
      <c r="F1280" s="52"/>
      <c r="G1280" s="52"/>
      <c r="H1280" s="52"/>
    </row>
    <row r="1281" spans="1:8" ht="15.75">
      <c r="A1281" s="124">
        <v>41276</v>
      </c>
      <c r="B1281" s="125">
        <v>42.878</v>
      </c>
      <c r="C1281" s="52"/>
      <c r="D1281" s="52"/>
      <c r="E1281" s="52"/>
      <c r="F1281" s="52"/>
      <c r="G1281" s="52"/>
      <c r="H1281" s="52"/>
    </row>
    <row r="1282" spans="1:8" ht="15.75">
      <c r="A1282" s="124">
        <v>41277</v>
      </c>
      <c r="B1282" s="125">
        <v>43.582000000000001</v>
      </c>
      <c r="C1282" s="52"/>
      <c r="D1282" s="52"/>
      <c r="E1282" s="52"/>
      <c r="F1282" s="52"/>
      <c r="G1282" s="52"/>
      <c r="H1282" s="52"/>
    </row>
    <row r="1283" spans="1:8" ht="15.75">
      <c r="A1283" s="124">
        <v>41278</v>
      </c>
      <c r="B1283" s="125">
        <v>43.609000000000002</v>
      </c>
      <c r="C1283" s="52"/>
      <c r="D1283" s="52"/>
      <c r="E1283" s="52"/>
      <c r="F1283" s="52"/>
      <c r="G1283" s="52"/>
      <c r="H1283" s="52"/>
    </row>
    <row r="1284" spans="1:8" ht="15.75">
      <c r="A1284" s="124">
        <v>41281</v>
      </c>
      <c r="B1284" s="125">
        <v>43.703000000000003</v>
      </c>
      <c r="C1284" s="52"/>
      <c r="D1284" s="52"/>
      <c r="E1284" s="52"/>
      <c r="F1284" s="52"/>
      <c r="G1284" s="52"/>
      <c r="H1284" s="52"/>
    </row>
    <row r="1285" spans="1:8" ht="15.75">
      <c r="A1285" s="124">
        <v>41282</v>
      </c>
      <c r="B1285" s="125">
        <v>44.058</v>
      </c>
      <c r="C1285" s="52"/>
      <c r="D1285" s="52"/>
      <c r="E1285" s="52"/>
      <c r="F1285" s="52"/>
      <c r="G1285" s="52"/>
      <c r="H1285" s="52"/>
    </row>
    <row r="1286" spans="1:8" ht="15.75">
      <c r="A1286" s="124">
        <v>41283</v>
      </c>
      <c r="B1286" s="125">
        <v>44.232999999999997</v>
      </c>
      <c r="C1286" s="52"/>
      <c r="D1286" s="52"/>
      <c r="E1286" s="52"/>
      <c r="F1286" s="52"/>
      <c r="G1286" s="52"/>
      <c r="H1286" s="52"/>
    </row>
    <row r="1287" spans="1:8" ht="15.75">
      <c r="A1287" s="124">
        <v>41284</v>
      </c>
      <c r="B1287" s="125">
        <v>43.649000000000001</v>
      </c>
      <c r="C1287" s="52"/>
      <c r="D1287" s="52"/>
      <c r="E1287" s="52"/>
      <c r="F1287" s="52"/>
      <c r="G1287" s="52"/>
      <c r="H1287" s="52"/>
    </row>
    <row r="1288" spans="1:8" ht="15.75">
      <c r="A1288" s="124">
        <v>41285</v>
      </c>
      <c r="B1288" s="125">
        <v>43.234999999999999</v>
      </c>
      <c r="C1288" s="52"/>
      <c r="D1288" s="52"/>
      <c r="E1288" s="52"/>
      <c r="F1288" s="52"/>
      <c r="G1288" s="52"/>
      <c r="H1288" s="52"/>
    </row>
    <row r="1289" spans="1:8" ht="15.75">
      <c r="A1289" s="124">
        <v>41288</v>
      </c>
      <c r="B1289" s="125">
        <v>43.579000000000001</v>
      </c>
      <c r="C1289" s="52"/>
      <c r="D1289" s="52"/>
      <c r="E1289" s="52"/>
      <c r="F1289" s="52"/>
      <c r="G1289" s="52"/>
      <c r="H1289" s="52"/>
    </row>
    <row r="1290" spans="1:8" ht="15.75">
      <c r="A1290" s="124">
        <v>41289</v>
      </c>
      <c r="B1290" s="125">
        <v>43.765999999999998</v>
      </c>
      <c r="C1290" s="52"/>
      <c r="D1290" s="52"/>
      <c r="E1290" s="52"/>
      <c r="F1290" s="52"/>
      <c r="G1290" s="52"/>
      <c r="H1290" s="52"/>
    </row>
    <row r="1291" spans="1:8" ht="15.75">
      <c r="A1291" s="124">
        <v>41290</v>
      </c>
      <c r="B1291" s="125">
        <v>43.883000000000003</v>
      </c>
      <c r="C1291" s="52"/>
      <c r="D1291" s="52"/>
      <c r="E1291" s="52"/>
      <c r="F1291" s="52"/>
      <c r="G1291" s="52"/>
      <c r="H1291" s="52"/>
    </row>
    <row r="1292" spans="1:8" ht="15.75">
      <c r="A1292" s="124">
        <v>41291</v>
      </c>
      <c r="B1292" s="125">
        <v>43.554000000000002</v>
      </c>
      <c r="C1292" s="52"/>
      <c r="D1292" s="52"/>
      <c r="E1292" s="52"/>
      <c r="F1292" s="52"/>
      <c r="G1292" s="52"/>
      <c r="H1292" s="52"/>
    </row>
    <row r="1293" spans="1:8" ht="15.75">
      <c r="A1293" s="124">
        <v>41292</v>
      </c>
      <c r="B1293" s="125">
        <v>43.601999999999997</v>
      </c>
      <c r="C1293" s="52"/>
      <c r="D1293" s="52"/>
      <c r="E1293" s="52"/>
      <c r="F1293" s="52"/>
      <c r="G1293" s="52"/>
      <c r="H1293" s="52"/>
    </row>
    <row r="1294" spans="1:8" ht="15.75">
      <c r="A1294" s="124">
        <v>41295</v>
      </c>
      <c r="B1294" s="125">
        <v>43.709000000000003</v>
      </c>
      <c r="C1294" s="52"/>
      <c r="D1294" s="52"/>
      <c r="E1294" s="52"/>
      <c r="F1294" s="52"/>
      <c r="G1294" s="52"/>
      <c r="H1294" s="52"/>
    </row>
    <row r="1295" spans="1:8" ht="15.75">
      <c r="A1295" s="124">
        <v>41296</v>
      </c>
      <c r="B1295" s="125">
        <v>43.646000000000001</v>
      </c>
      <c r="C1295" s="52"/>
      <c r="D1295" s="52"/>
      <c r="E1295" s="52"/>
      <c r="F1295" s="52"/>
      <c r="G1295" s="52"/>
      <c r="H1295" s="52"/>
    </row>
    <row r="1296" spans="1:8" ht="15.75">
      <c r="A1296" s="124">
        <v>41297</v>
      </c>
      <c r="B1296" s="125">
        <v>43.73</v>
      </c>
      <c r="C1296" s="52"/>
      <c r="D1296" s="52"/>
      <c r="E1296" s="52"/>
      <c r="F1296" s="52"/>
      <c r="G1296" s="52"/>
      <c r="H1296" s="52"/>
    </row>
    <row r="1297" spans="1:8" ht="15.75">
      <c r="A1297" s="124">
        <v>41298</v>
      </c>
      <c r="B1297" s="125">
        <v>43.033000000000001</v>
      </c>
      <c r="C1297" s="52"/>
      <c r="D1297" s="52"/>
      <c r="E1297" s="52"/>
      <c r="F1297" s="52"/>
      <c r="G1297" s="52"/>
      <c r="H1297" s="52"/>
    </row>
    <row r="1298" spans="1:8" ht="15.75">
      <c r="A1298" s="124">
        <v>41299</v>
      </c>
      <c r="B1298" s="125">
        <v>42.847000000000001</v>
      </c>
      <c r="C1298" s="52"/>
      <c r="D1298" s="52"/>
      <c r="E1298" s="52"/>
      <c r="F1298" s="52"/>
      <c r="G1298" s="52"/>
      <c r="H1298" s="52"/>
    </row>
    <row r="1299" spans="1:8" ht="15.75">
      <c r="A1299" s="124">
        <v>41302</v>
      </c>
      <c r="B1299" s="125">
        <v>42.994</v>
      </c>
      <c r="C1299" s="52"/>
      <c r="D1299" s="52"/>
      <c r="E1299" s="52"/>
      <c r="F1299" s="52"/>
      <c r="G1299" s="52"/>
      <c r="H1299" s="52"/>
    </row>
    <row r="1300" spans="1:8" ht="15.75">
      <c r="A1300" s="124">
        <v>41303</v>
      </c>
      <c r="B1300" s="125">
        <v>43.08</v>
      </c>
      <c r="C1300" s="52"/>
      <c r="D1300" s="52"/>
      <c r="E1300" s="52"/>
      <c r="F1300" s="52"/>
      <c r="G1300" s="52"/>
      <c r="H1300" s="52"/>
    </row>
    <row r="1301" spans="1:8" ht="15.75">
      <c r="A1301" s="124">
        <v>41304</v>
      </c>
      <c r="B1301" s="125">
        <v>42.15</v>
      </c>
      <c r="C1301" s="52"/>
      <c r="D1301" s="52"/>
      <c r="E1301" s="52"/>
      <c r="F1301" s="52"/>
      <c r="G1301" s="52"/>
      <c r="H1301" s="52"/>
    </row>
    <row r="1302" spans="1:8" ht="15.75">
      <c r="A1302" s="124">
        <v>41305</v>
      </c>
      <c r="B1302" s="125">
        <v>40.872999999999998</v>
      </c>
      <c r="C1302" s="52"/>
      <c r="D1302" s="52"/>
      <c r="E1302" s="52"/>
      <c r="F1302" s="52"/>
      <c r="G1302" s="52"/>
      <c r="H1302" s="52"/>
    </row>
    <row r="1303" spans="1:8" ht="15.75">
      <c r="A1303" s="124">
        <v>41306</v>
      </c>
      <c r="B1303" s="125">
        <v>40.055999999999997</v>
      </c>
      <c r="C1303" s="52"/>
      <c r="D1303" s="52"/>
      <c r="E1303" s="52"/>
      <c r="F1303" s="52"/>
      <c r="G1303" s="52"/>
      <c r="H1303" s="52"/>
    </row>
    <row r="1304" spans="1:8" ht="15.75">
      <c r="A1304" s="124">
        <v>41309</v>
      </c>
      <c r="B1304" s="125">
        <v>40.002000000000002</v>
      </c>
      <c r="C1304" s="52"/>
      <c r="D1304" s="52"/>
      <c r="E1304" s="52"/>
      <c r="F1304" s="52"/>
      <c r="G1304" s="52"/>
      <c r="H1304" s="52"/>
    </row>
    <row r="1305" spans="1:8" ht="15.75">
      <c r="A1305" s="124">
        <v>41310</v>
      </c>
      <c r="B1305" s="125">
        <v>39.552</v>
      </c>
      <c r="C1305" s="52"/>
      <c r="D1305" s="52"/>
      <c r="E1305" s="52"/>
      <c r="F1305" s="52"/>
      <c r="G1305" s="52"/>
      <c r="H1305" s="52"/>
    </row>
    <row r="1306" spans="1:8" ht="15.75">
      <c r="A1306" s="124">
        <v>41311</v>
      </c>
      <c r="B1306" s="125">
        <v>40.61</v>
      </c>
      <c r="C1306" s="52"/>
      <c r="D1306" s="52"/>
      <c r="E1306" s="52"/>
      <c r="F1306" s="52"/>
      <c r="G1306" s="52"/>
      <c r="H1306" s="52"/>
    </row>
    <row r="1307" spans="1:8" ht="15.75">
      <c r="A1307" s="124">
        <v>41312</v>
      </c>
      <c r="B1307" s="125">
        <v>40.734000000000002</v>
      </c>
      <c r="C1307" s="52"/>
      <c r="D1307" s="52"/>
      <c r="E1307" s="52"/>
      <c r="F1307" s="52"/>
      <c r="G1307" s="52"/>
      <c r="H1307" s="52"/>
    </row>
    <row r="1308" spans="1:8" ht="15.75">
      <c r="A1308" s="124">
        <v>41313</v>
      </c>
      <c r="B1308" s="125">
        <v>41.421999999999997</v>
      </c>
      <c r="C1308" s="52"/>
      <c r="D1308" s="52"/>
      <c r="E1308" s="52"/>
      <c r="F1308" s="52"/>
      <c r="G1308" s="52"/>
      <c r="H1308" s="52"/>
    </row>
    <row r="1309" spans="1:8" ht="15.75">
      <c r="A1309" s="124">
        <v>41316</v>
      </c>
      <c r="B1309" s="125">
        <v>41.9</v>
      </c>
      <c r="C1309" s="52"/>
      <c r="D1309" s="52"/>
      <c r="E1309" s="52"/>
      <c r="F1309" s="52"/>
      <c r="G1309" s="52"/>
      <c r="H1309" s="52"/>
    </row>
    <row r="1310" spans="1:8" ht="15.75">
      <c r="A1310" s="124">
        <v>41317</v>
      </c>
      <c r="B1310" s="125">
        <v>42.279000000000003</v>
      </c>
      <c r="C1310" s="52"/>
      <c r="D1310" s="52"/>
      <c r="E1310" s="52"/>
      <c r="F1310" s="52"/>
      <c r="G1310" s="52"/>
      <c r="H1310" s="52"/>
    </row>
    <row r="1311" spans="1:8" ht="15.75">
      <c r="A1311" s="124">
        <v>41318</v>
      </c>
      <c r="B1311" s="125">
        <v>42.503</v>
      </c>
      <c r="C1311" s="52"/>
      <c r="D1311" s="52"/>
      <c r="E1311" s="52"/>
      <c r="F1311" s="52"/>
      <c r="G1311" s="52"/>
      <c r="H1311" s="52"/>
    </row>
    <row r="1312" spans="1:8" ht="15.75">
      <c r="A1312" s="124">
        <v>41319</v>
      </c>
      <c r="B1312" s="125">
        <v>42.941000000000003</v>
      </c>
      <c r="C1312" s="52"/>
      <c r="D1312" s="52"/>
      <c r="E1312" s="52"/>
      <c r="F1312" s="52"/>
      <c r="G1312" s="52"/>
      <c r="H1312" s="52"/>
    </row>
    <row r="1313" spans="1:8" ht="15.75">
      <c r="A1313" s="124">
        <v>41320</v>
      </c>
      <c r="B1313" s="125">
        <v>42.753999999999998</v>
      </c>
      <c r="C1313" s="52"/>
      <c r="D1313" s="52"/>
      <c r="E1313" s="52"/>
      <c r="F1313" s="52"/>
      <c r="G1313" s="52"/>
      <c r="H1313" s="52"/>
    </row>
    <row r="1314" spans="1:8" ht="15.75">
      <c r="A1314" s="124">
        <v>41323</v>
      </c>
      <c r="B1314" s="125">
        <v>42.963999999999999</v>
      </c>
      <c r="C1314" s="52"/>
      <c r="D1314" s="52"/>
      <c r="E1314" s="52"/>
      <c r="F1314" s="52"/>
      <c r="G1314" s="52"/>
      <c r="H1314" s="52"/>
    </row>
    <row r="1315" spans="1:8" ht="15.75">
      <c r="A1315" s="124">
        <v>41324</v>
      </c>
      <c r="B1315" s="125">
        <v>42.695999999999998</v>
      </c>
      <c r="C1315" s="52"/>
      <c r="D1315" s="52"/>
      <c r="E1315" s="52"/>
      <c r="F1315" s="52"/>
      <c r="G1315" s="52"/>
      <c r="H1315" s="52"/>
    </row>
    <row r="1316" spans="1:8" ht="15.75">
      <c r="A1316" s="124">
        <v>41325</v>
      </c>
      <c r="B1316" s="125">
        <v>43.05</v>
      </c>
      <c r="C1316" s="52"/>
      <c r="D1316" s="52"/>
      <c r="E1316" s="52"/>
      <c r="F1316" s="52"/>
      <c r="G1316" s="52"/>
      <c r="H1316" s="52"/>
    </row>
    <row r="1317" spans="1:8" ht="15.75">
      <c r="A1317" s="124">
        <v>41326</v>
      </c>
      <c r="B1317" s="125">
        <v>43.134</v>
      </c>
      <c r="C1317" s="52"/>
      <c r="D1317" s="52"/>
      <c r="E1317" s="52"/>
      <c r="F1317" s="52"/>
      <c r="G1317" s="52"/>
      <c r="H1317" s="52"/>
    </row>
    <row r="1318" spans="1:8" ht="15.75">
      <c r="A1318" s="124">
        <v>41327</v>
      </c>
      <c r="B1318" s="125">
        <v>43.155000000000001</v>
      </c>
      <c r="C1318" s="52"/>
      <c r="D1318" s="52"/>
      <c r="E1318" s="52"/>
      <c r="F1318" s="52"/>
      <c r="G1318" s="52"/>
      <c r="H1318" s="52"/>
    </row>
    <row r="1319" spans="1:8" ht="15.75">
      <c r="A1319" s="124">
        <v>41330</v>
      </c>
      <c r="B1319" s="125">
        <v>42.828000000000003</v>
      </c>
      <c r="C1319" s="52"/>
      <c r="D1319" s="52"/>
      <c r="E1319" s="52"/>
      <c r="F1319" s="52"/>
      <c r="G1319" s="52"/>
      <c r="H1319" s="52"/>
    </row>
    <row r="1320" spans="1:8" ht="15.75">
      <c r="A1320" s="124">
        <v>41331</v>
      </c>
      <c r="B1320" s="125">
        <v>42.856000000000002</v>
      </c>
      <c r="C1320" s="52"/>
      <c r="D1320" s="52"/>
      <c r="E1320" s="52"/>
      <c r="F1320" s="52"/>
      <c r="G1320" s="52"/>
      <c r="H1320" s="52"/>
    </row>
    <row r="1321" spans="1:8" ht="15.75">
      <c r="A1321" s="124">
        <v>41332</v>
      </c>
      <c r="B1321" s="125">
        <v>42.533999999999999</v>
      </c>
      <c r="C1321" s="52"/>
      <c r="D1321" s="52"/>
      <c r="E1321" s="52"/>
      <c r="F1321" s="52"/>
      <c r="G1321" s="52"/>
      <c r="H1321" s="52"/>
    </row>
    <row r="1322" spans="1:8" ht="15.75">
      <c r="A1322" s="124">
        <v>41333</v>
      </c>
      <c r="B1322" s="125">
        <v>42.162999999999997</v>
      </c>
      <c r="C1322" s="52"/>
      <c r="D1322" s="52"/>
      <c r="E1322" s="52"/>
      <c r="F1322" s="52"/>
      <c r="G1322" s="52"/>
      <c r="H1322" s="52"/>
    </row>
    <row r="1323" spans="1:8" ht="15.75">
      <c r="A1323" s="124">
        <v>41334</v>
      </c>
      <c r="B1323" s="125">
        <v>42.185000000000002</v>
      </c>
      <c r="C1323" s="52"/>
      <c r="D1323" s="52"/>
      <c r="E1323" s="52"/>
      <c r="F1323" s="52"/>
      <c r="G1323" s="52"/>
      <c r="H1323" s="52"/>
    </row>
    <row r="1324" spans="1:8" ht="15.75">
      <c r="A1324" s="124">
        <v>41337</v>
      </c>
      <c r="B1324" s="125">
        <v>42.575000000000003</v>
      </c>
      <c r="C1324" s="52"/>
      <c r="D1324" s="52"/>
      <c r="E1324" s="52"/>
      <c r="F1324" s="52"/>
      <c r="G1324" s="52"/>
      <c r="H1324" s="52"/>
    </row>
    <row r="1325" spans="1:8" ht="15.75">
      <c r="A1325" s="124">
        <v>41338</v>
      </c>
      <c r="B1325" s="125">
        <v>42.865000000000002</v>
      </c>
      <c r="C1325" s="52"/>
      <c r="D1325" s="52"/>
      <c r="E1325" s="52"/>
      <c r="F1325" s="52"/>
      <c r="G1325" s="52"/>
      <c r="H1325" s="52"/>
    </row>
    <row r="1326" spans="1:8" ht="15.75">
      <c r="A1326" s="124">
        <v>41339</v>
      </c>
      <c r="B1326" s="125">
        <v>43.058</v>
      </c>
      <c r="C1326" s="52"/>
      <c r="D1326" s="52"/>
      <c r="E1326" s="52"/>
      <c r="F1326" s="52"/>
      <c r="G1326" s="52"/>
      <c r="H1326" s="52"/>
    </row>
    <row r="1327" spans="1:8" ht="15.75">
      <c r="A1327" s="124">
        <v>41340</v>
      </c>
      <c r="B1327" s="125">
        <v>42.439</v>
      </c>
      <c r="C1327" s="52"/>
      <c r="D1327" s="52"/>
      <c r="E1327" s="52"/>
      <c r="F1327" s="52"/>
      <c r="G1327" s="52"/>
      <c r="H1327" s="52"/>
    </row>
    <row r="1328" spans="1:8" ht="15.75">
      <c r="A1328" s="124">
        <v>41341</v>
      </c>
      <c r="B1328" s="125">
        <v>42.052999999999997</v>
      </c>
      <c r="C1328" s="52"/>
      <c r="D1328" s="52"/>
      <c r="E1328" s="52"/>
      <c r="F1328" s="52"/>
      <c r="G1328" s="52"/>
      <c r="H1328" s="52"/>
    </row>
    <row r="1329" spans="1:8" ht="15.75">
      <c r="A1329" s="124">
        <v>41344</v>
      </c>
      <c r="B1329" s="125">
        <v>41.697000000000003</v>
      </c>
      <c r="C1329" s="52"/>
      <c r="D1329" s="52"/>
      <c r="E1329" s="52"/>
      <c r="F1329" s="52"/>
      <c r="G1329" s="52"/>
      <c r="H1329" s="52"/>
    </row>
    <row r="1330" spans="1:8" ht="15.75">
      <c r="A1330" s="124">
        <v>41345</v>
      </c>
      <c r="B1330" s="125">
        <v>42.03</v>
      </c>
      <c r="C1330" s="52"/>
      <c r="D1330" s="52"/>
      <c r="E1330" s="52"/>
      <c r="F1330" s="52"/>
      <c r="G1330" s="52"/>
      <c r="H1330" s="52"/>
    </row>
    <row r="1331" spans="1:8" ht="15.75">
      <c r="A1331" s="124">
        <v>41346</v>
      </c>
      <c r="B1331" s="125">
        <v>42.661000000000001</v>
      </c>
      <c r="C1331" s="52"/>
      <c r="D1331" s="52"/>
      <c r="E1331" s="52"/>
      <c r="F1331" s="52"/>
      <c r="G1331" s="52"/>
      <c r="H1331" s="52"/>
    </row>
    <row r="1332" spans="1:8" ht="15.75">
      <c r="A1332" s="124">
        <v>41347</v>
      </c>
      <c r="B1332" s="125">
        <v>43.244</v>
      </c>
      <c r="C1332" s="52"/>
      <c r="D1332" s="52"/>
      <c r="E1332" s="52"/>
      <c r="F1332" s="52"/>
      <c r="G1332" s="52"/>
      <c r="H1332" s="52"/>
    </row>
    <row r="1333" spans="1:8" ht="15.75">
      <c r="A1333" s="124">
        <v>41348</v>
      </c>
      <c r="B1333" s="125">
        <v>42.668999999999997</v>
      </c>
      <c r="C1333" s="52"/>
      <c r="D1333" s="52"/>
      <c r="E1333" s="52"/>
      <c r="F1333" s="52"/>
      <c r="G1333" s="52"/>
      <c r="H1333" s="52"/>
    </row>
    <row r="1334" spans="1:8" ht="15.75">
      <c r="A1334" s="124">
        <v>41351</v>
      </c>
      <c r="B1334" s="125">
        <v>42.677999999999997</v>
      </c>
      <c r="C1334" s="52"/>
      <c r="D1334" s="52"/>
      <c r="E1334" s="52"/>
      <c r="F1334" s="52"/>
      <c r="G1334" s="52"/>
      <c r="H1334" s="52"/>
    </row>
    <row r="1335" spans="1:8" ht="15.75">
      <c r="A1335" s="124">
        <v>41352</v>
      </c>
      <c r="B1335" s="125">
        <v>42.752000000000002</v>
      </c>
      <c r="C1335" s="52"/>
      <c r="D1335" s="52"/>
      <c r="E1335" s="52"/>
      <c r="F1335" s="52"/>
      <c r="G1335" s="52"/>
      <c r="H1335" s="52"/>
    </row>
    <row r="1336" spans="1:8" ht="15.75">
      <c r="A1336" s="124">
        <v>41353</v>
      </c>
      <c r="B1336" s="125">
        <v>42.014000000000003</v>
      </c>
      <c r="C1336" s="52"/>
      <c r="D1336" s="52"/>
      <c r="E1336" s="52"/>
      <c r="F1336" s="52"/>
      <c r="G1336" s="52"/>
      <c r="H1336" s="52"/>
    </row>
    <row r="1337" spans="1:8" ht="15.75">
      <c r="A1337" s="124">
        <v>41354</v>
      </c>
      <c r="B1337" s="125">
        <v>42.234999999999999</v>
      </c>
      <c r="C1337" s="52"/>
      <c r="D1337" s="52"/>
      <c r="E1337" s="52"/>
      <c r="F1337" s="52"/>
      <c r="G1337" s="52"/>
      <c r="H1337" s="52"/>
    </row>
    <row r="1338" spans="1:8" ht="15.75">
      <c r="A1338" s="124">
        <v>41355</v>
      </c>
      <c r="B1338" s="125">
        <v>41.627000000000002</v>
      </c>
      <c r="C1338" s="52"/>
      <c r="D1338" s="52"/>
      <c r="E1338" s="52"/>
      <c r="F1338" s="52"/>
      <c r="G1338" s="52"/>
      <c r="H1338" s="52"/>
    </row>
    <row r="1339" spans="1:8" ht="15.75">
      <c r="A1339" s="124">
        <v>41358</v>
      </c>
      <c r="B1339" s="125">
        <v>42.530999999999999</v>
      </c>
      <c r="C1339" s="52"/>
      <c r="D1339" s="52"/>
      <c r="E1339" s="52"/>
      <c r="F1339" s="52"/>
      <c r="G1339" s="52"/>
      <c r="H1339" s="52"/>
    </row>
    <row r="1340" spans="1:8" ht="15.75">
      <c r="A1340" s="124">
        <v>41359</v>
      </c>
      <c r="B1340" s="125">
        <v>42.816000000000003</v>
      </c>
      <c r="C1340" s="52"/>
      <c r="D1340" s="52"/>
      <c r="E1340" s="52"/>
      <c r="F1340" s="52"/>
      <c r="G1340" s="52"/>
      <c r="H1340" s="52"/>
    </row>
    <row r="1341" spans="1:8" ht="15.75">
      <c r="A1341" s="124">
        <v>41360</v>
      </c>
      <c r="B1341" s="125">
        <v>42.927999999999997</v>
      </c>
      <c r="C1341" s="52"/>
      <c r="D1341" s="52"/>
      <c r="E1341" s="52"/>
      <c r="F1341" s="52"/>
      <c r="G1341" s="52"/>
      <c r="H1341" s="52"/>
    </row>
    <row r="1342" spans="1:8" ht="15.75">
      <c r="A1342" s="124">
        <v>41361</v>
      </c>
      <c r="B1342" s="125">
        <v>42.765999999999998</v>
      </c>
      <c r="C1342" s="52"/>
      <c r="D1342" s="52"/>
      <c r="E1342" s="52"/>
      <c r="F1342" s="52"/>
      <c r="G1342" s="52"/>
      <c r="H1342" s="52"/>
    </row>
    <row r="1343" spans="1:8" ht="15.75">
      <c r="A1343" s="124">
        <v>41366</v>
      </c>
      <c r="B1343" s="125">
        <v>43.325000000000003</v>
      </c>
      <c r="C1343" s="52"/>
      <c r="D1343" s="52"/>
      <c r="E1343" s="52"/>
      <c r="F1343" s="52"/>
      <c r="G1343" s="52"/>
      <c r="H1343" s="52"/>
    </row>
    <row r="1344" spans="1:8" ht="15.75">
      <c r="A1344" s="124">
        <v>41367</v>
      </c>
      <c r="B1344" s="125">
        <v>43.215000000000003</v>
      </c>
      <c r="C1344" s="52"/>
      <c r="D1344" s="52"/>
      <c r="E1344" s="52"/>
      <c r="F1344" s="52"/>
      <c r="G1344" s="52"/>
      <c r="H1344" s="52"/>
    </row>
    <row r="1345" spans="1:8" ht="15.75">
      <c r="A1345" s="124">
        <v>41368</v>
      </c>
      <c r="B1345" s="125">
        <v>43.747</v>
      </c>
      <c r="C1345" s="52"/>
      <c r="D1345" s="52"/>
      <c r="E1345" s="52"/>
      <c r="F1345" s="52"/>
      <c r="G1345" s="52"/>
      <c r="H1345" s="52"/>
    </row>
    <row r="1346" spans="1:8" ht="15.75">
      <c r="A1346" s="124">
        <v>41369</v>
      </c>
      <c r="B1346" s="125">
        <v>44.219000000000001</v>
      </c>
      <c r="C1346" s="52"/>
      <c r="D1346" s="52"/>
      <c r="E1346" s="52"/>
      <c r="F1346" s="52"/>
      <c r="G1346" s="52"/>
      <c r="H1346" s="52"/>
    </row>
    <row r="1347" spans="1:8" ht="15.75">
      <c r="A1347" s="124">
        <v>41372</v>
      </c>
      <c r="B1347" s="125">
        <v>44.55</v>
      </c>
      <c r="C1347" s="52"/>
      <c r="D1347" s="52"/>
      <c r="E1347" s="52"/>
      <c r="F1347" s="52"/>
      <c r="G1347" s="52"/>
      <c r="H1347" s="52"/>
    </row>
    <row r="1348" spans="1:8" ht="15.75">
      <c r="A1348" s="124">
        <v>41373</v>
      </c>
      <c r="B1348" s="125">
        <v>44.350999999999999</v>
      </c>
      <c r="C1348" s="52"/>
      <c r="D1348" s="52"/>
      <c r="E1348" s="52"/>
      <c r="F1348" s="52"/>
      <c r="G1348" s="52"/>
      <c r="H1348" s="52"/>
    </row>
    <row r="1349" spans="1:8" ht="15.75">
      <c r="A1349" s="124">
        <v>41374</v>
      </c>
      <c r="B1349" s="125">
        <v>44.500999999999998</v>
      </c>
      <c r="C1349" s="52"/>
      <c r="D1349" s="52"/>
      <c r="E1349" s="52"/>
      <c r="F1349" s="52"/>
      <c r="G1349" s="52"/>
      <c r="H1349" s="52"/>
    </row>
    <row r="1350" spans="1:8" ht="15.75">
      <c r="A1350" s="124">
        <v>41375</v>
      </c>
      <c r="B1350" s="125">
        <v>44.625999999999998</v>
      </c>
      <c r="C1350" s="52"/>
      <c r="D1350" s="52"/>
      <c r="E1350" s="52"/>
      <c r="F1350" s="52"/>
      <c r="G1350" s="52"/>
      <c r="H1350" s="52"/>
    </row>
    <row r="1351" spans="1:8" ht="15.75">
      <c r="A1351" s="124">
        <v>41376</v>
      </c>
      <c r="B1351" s="125">
        <v>44.634</v>
      </c>
      <c r="C1351" s="52"/>
      <c r="D1351" s="52"/>
      <c r="E1351" s="52"/>
      <c r="F1351" s="52"/>
      <c r="G1351" s="52"/>
      <c r="H1351" s="52"/>
    </row>
    <row r="1352" spans="1:8" ht="15.75">
      <c r="A1352" s="124">
        <v>41379</v>
      </c>
      <c r="B1352" s="125">
        <v>44.298000000000002</v>
      </c>
      <c r="C1352" s="52"/>
      <c r="D1352" s="52"/>
      <c r="E1352" s="52"/>
      <c r="F1352" s="52"/>
      <c r="G1352" s="52"/>
      <c r="H1352" s="52"/>
    </row>
    <row r="1353" spans="1:8" ht="15.75">
      <c r="A1353" s="124">
        <v>41380</v>
      </c>
      <c r="B1353" s="125">
        <v>44.043999999999997</v>
      </c>
      <c r="C1353" s="52"/>
      <c r="D1353" s="52"/>
      <c r="E1353" s="52"/>
      <c r="F1353" s="52"/>
      <c r="G1353" s="52"/>
      <c r="H1353" s="52"/>
    </row>
    <row r="1354" spans="1:8" ht="15.75">
      <c r="A1354" s="124">
        <v>41381</v>
      </c>
      <c r="B1354" s="125">
        <v>43.863999999999997</v>
      </c>
      <c r="C1354" s="52"/>
      <c r="D1354" s="52"/>
      <c r="E1354" s="52"/>
      <c r="F1354" s="52"/>
      <c r="G1354" s="52"/>
      <c r="H1354" s="52"/>
    </row>
    <row r="1355" spans="1:8" ht="15.75">
      <c r="A1355" s="124">
        <v>41382</v>
      </c>
      <c r="B1355" s="125">
        <v>44.07</v>
      </c>
      <c r="C1355" s="52"/>
      <c r="D1355" s="52"/>
      <c r="E1355" s="52"/>
      <c r="F1355" s="52"/>
      <c r="G1355" s="52"/>
      <c r="H1355" s="52"/>
    </row>
    <row r="1356" spans="1:8" ht="15.75">
      <c r="A1356" s="124">
        <v>41383</v>
      </c>
      <c r="B1356" s="125">
        <v>44.048000000000002</v>
      </c>
      <c r="C1356" s="52"/>
      <c r="D1356" s="52"/>
      <c r="E1356" s="52"/>
      <c r="F1356" s="52"/>
      <c r="G1356" s="52"/>
      <c r="H1356" s="52"/>
    </row>
    <row r="1357" spans="1:8" ht="15.75">
      <c r="A1357" s="124">
        <v>41386</v>
      </c>
      <c r="B1357" s="125">
        <v>44.076999999999998</v>
      </c>
      <c r="C1357" s="52"/>
      <c r="D1357" s="52"/>
      <c r="E1357" s="52"/>
      <c r="F1357" s="52"/>
      <c r="G1357" s="52"/>
      <c r="H1357" s="52"/>
    </row>
    <row r="1358" spans="1:8" ht="15.75">
      <c r="A1358" s="124">
        <v>41387</v>
      </c>
      <c r="B1358" s="125">
        <v>44.238</v>
      </c>
      <c r="C1358" s="52"/>
      <c r="D1358" s="52"/>
      <c r="E1358" s="52"/>
      <c r="F1358" s="52"/>
      <c r="G1358" s="52"/>
      <c r="H1358" s="52"/>
    </row>
    <row r="1359" spans="1:8" ht="15.75">
      <c r="A1359" s="124">
        <v>41388</v>
      </c>
      <c r="B1359" s="125">
        <v>44.322000000000003</v>
      </c>
      <c r="C1359" s="52"/>
      <c r="D1359" s="52"/>
      <c r="E1359" s="52"/>
      <c r="F1359" s="52"/>
      <c r="G1359" s="52"/>
      <c r="H1359" s="52"/>
    </row>
    <row r="1360" spans="1:8" ht="15.75">
      <c r="A1360" s="124">
        <v>41389</v>
      </c>
      <c r="B1360" s="125">
        <v>43.890999999999998</v>
      </c>
      <c r="C1360" s="52"/>
      <c r="D1360" s="52"/>
      <c r="E1360" s="52"/>
      <c r="F1360" s="52"/>
      <c r="G1360" s="52"/>
      <c r="H1360" s="52"/>
    </row>
    <row r="1361" spans="1:8" ht="15.75">
      <c r="A1361" s="124">
        <v>41390</v>
      </c>
      <c r="B1361" s="125">
        <v>43.186999999999998</v>
      </c>
      <c r="C1361" s="52"/>
      <c r="D1361" s="52"/>
      <c r="E1361" s="52"/>
      <c r="F1361" s="52"/>
      <c r="G1361" s="52"/>
      <c r="H1361" s="52"/>
    </row>
    <row r="1362" spans="1:8" ht="15.75">
      <c r="A1362" s="124">
        <v>41393</v>
      </c>
      <c r="B1362" s="125">
        <v>43.377000000000002</v>
      </c>
      <c r="C1362" s="52"/>
      <c r="D1362" s="52"/>
      <c r="E1362" s="52"/>
      <c r="F1362" s="52"/>
      <c r="G1362" s="52"/>
      <c r="H1362" s="52"/>
    </row>
    <row r="1363" spans="1:8" ht="15.75">
      <c r="A1363" s="124">
        <v>41394</v>
      </c>
      <c r="B1363" s="125">
        <v>43.499000000000002</v>
      </c>
      <c r="C1363" s="52"/>
      <c r="D1363" s="52"/>
      <c r="E1363" s="52"/>
      <c r="F1363" s="52"/>
      <c r="G1363" s="52"/>
      <c r="H1363" s="52"/>
    </row>
    <row r="1364" spans="1:8" ht="15.75">
      <c r="A1364" s="124">
        <v>41396</v>
      </c>
      <c r="B1364" s="125">
        <v>43.335000000000001</v>
      </c>
      <c r="C1364" s="52"/>
      <c r="D1364" s="52"/>
      <c r="E1364" s="52"/>
      <c r="F1364" s="52"/>
      <c r="G1364" s="52"/>
      <c r="H1364" s="52"/>
    </row>
    <row r="1365" spans="1:8" ht="15.75">
      <c r="A1365" s="124">
        <v>41397</v>
      </c>
      <c r="B1365" s="125">
        <v>42.634</v>
      </c>
      <c r="C1365" s="52"/>
      <c r="D1365" s="52"/>
      <c r="E1365" s="52"/>
      <c r="F1365" s="52"/>
      <c r="G1365" s="52"/>
      <c r="H1365" s="52"/>
    </row>
    <row r="1366" spans="1:8" ht="15.75">
      <c r="A1366" s="124">
        <v>41400</v>
      </c>
      <c r="B1366" s="125">
        <v>42.688000000000002</v>
      </c>
      <c r="C1366" s="52"/>
      <c r="D1366" s="52"/>
      <c r="E1366" s="52"/>
      <c r="F1366" s="52"/>
      <c r="G1366" s="52"/>
      <c r="H1366" s="52"/>
    </row>
    <row r="1367" spans="1:8" ht="15.75">
      <c r="A1367" s="124">
        <v>41401</v>
      </c>
      <c r="B1367" s="125">
        <v>43.503</v>
      </c>
      <c r="C1367" s="52"/>
      <c r="D1367" s="52"/>
      <c r="E1367" s="52"/>
      <c r="F1367" s="52"/>
      <c r="G1367" s="52"/>
      <c r="H1367" s="52"/>
    </row>
    <row r="1368" spans="1:8" ht="15.75">
      <c r="A1368" s="124">
        <v>41402</v>
      </c>
      <c r="B1368" s="125">
        <v>43.284999999999997</v>
      </c>
      <c r="C1368" s="52"/>
      <c r="D1368" s="52"/>
      <c r="E1368" s="52"/>
      <c r="F1368" s="52"/>
      <c r="G1368" s="52"/>
      <c r="H1368" s="52"/>
    </row>
    <row r="1369" spans="1:8" ht="15.75">
      <c r="A1369" s="124">
        <v>41403</v>
      </c>
      <c r="B1369" s="125">
        <v>43.491</v>
      </c>
      <c r="C1369" s="52"/>
      <c r="D1369" s="52"/>
      <c r="E1369" s="52"/>
      <c r="F1369" s="52"/>
      <c r="G1369" s="52"/>
      <c r="H1369" s="52"/>
    </row>
    <row r="1370" spans="1:8" ht="15.75">
      <c r="A1370" s="124">
        <v>41404</v>
      </c>
      <c r="B1370" s="125">
        <v>43.679000000000002</v>
      </c>
      <c r="C1370" s="52"/>
      <c r="D1370" s="52"/>
      <c r="E1370" s="52"/>
      <c r="F1370" s="52"/>
      <c r="G1370" s="52"/>
      <c r="H1370" s="52"/>
    </row>
    <row r="1371" spans="1:8" ht="15.75">
      <c r="A1371" s="124">
        <v>41407</v>
      </c>
      <c r="B1371" s="125">
        <v>44.81</v>
      </c>
      <c r="C1371" s="52"/>
      <c r="D1371" s="52"/>
      <c r="E1371" s="52"/>
      <c r="F1371" s="52"/>
      <c r="G1371" s="52"/>
      <c r="H1371" s="52"/>
    </row>
    <row r="1372" spans="1:8" ht="15.75">
      <c r="A1372" s="124">
        <v>41408</v>
      </c>
      <c r="B1372" s="125">
        <v>45.505000000000003</v>
      </c>
      <c r="C1372" s="52"/>
      <c r="D1372" s="52"/>
      <c r="E1372" s="52"/>
      <c r="F1372" s="52"/>
      <c r="G1372" s="52"/>
      <c r="H1372" s="52"/>
    </row>
    <row r="1373" spans="1:8" ht="15.75">
      <c r="A1373" s="124">
        <v>41409</v>
      </c>
      <c r="B1373" s="125">
        <v>45.844999999999999</v>
      </c>
      <c r="C1373" s="52"/>
      <c r="D1373" s="52"/>
      <c r="E1373" s="52"/>
      <c r="F1373" s="52"/>
      <c r="G1373" s="52"/>
      <c r="H1373" s="52"/>
    </row>
    <row r="1374" spans="1:8" ht="15.75">
      <c r="A1374" s="124">
        <v>41410</v>
      </c>
      <c r="B1374" s="125">
        <v>46.188000000000002</v>
      </c>
      <c r="C1374" s="52"/>
      <c r="D1374" s="52"/>
      <c r="E1374" s="52"/>
      <c r="F1374" s="52"/>
      <c r="G1374" s="52"/>
      <c r="H1374" s="52"/>
    </row>
    <row r="1375" spans="1:8" ht="15.75">
      <c r="A1375" s="124">
        <v>41411</v>
      </c>
      <c r="B1375" s="125">
        <v>46.325000000000003</v>
      </c>
      <c r="C1375" s="52"/>
      <c r="D1375" s="52"/>
      <c r="E1375" s="52"/>
      <c r="F1375" s="52"/>
      <c r="G1375" s="52"/>
      <c r="H1375" s="52"/>
    </row>
    <row r="1376" spans="1:8" ht="15.75">
      <c r="A1376" s="124">
        <v>41414</v>
      </c>
      <c r="B1376" s="125">
        <v>46.344999999999999</v>
      </c>
      <c r="C1376" s="52"/>
      <c r="D1376" s="52"/>
      <c r="E1376" s="52"/>
      <c r="F1376" s="52"/>
      <c r="G1376" s="52"/>
      <c r="H1376" s="52"/>
    </row>
    <row r="1377" spans="1:8" ht="15.75">
      <c r="A1377" s="124">
        <v>41415</v>
      </c>
      <c r="B1377" s="125">
        <v>46.776000000000003</v>
      </c>
      <c r="C1377" s="52"/>
      <c r="D1377" s="52"/>
      <c r="E1377" s="52"/>
      <c r="F1377" s="52"/>
      <c r="G1377" s="52"/>
      <c r="H1377" s="52"/>
    </row>
    <row r="1378" spans="1:8" ht="15.75">
      <c r="A1378" s="124">
        <v>41416</v>
      </c>
      <c r="B1378" s="125">
        <v>45.923999999999999</v>
      </c>
      <c r="C1378" s="52"/>
      <c r="D1378" s="52"/>
      <c r="E1378" s="52"/>
      <c r="F1378" s="52"/>
      <c r="G1378" s="52"/>
      <c r="H1378" s="52"/>
    </row>
    <row r="1379" spans="1:8" ht="15.75">
      <c r="A1379" s="124">
        <v>41417</v>
      </c>
      <c r="B1379" s="125">
        <v>45.462000000000003</v>
      </c>
      <c r="C1379" s="52"/>
      <c r="D1379" s="52"/>
      <c r="E1379" s="52"/>
      <c r="F1379" s="52"/>
      <c r="G1379" s="52"/>
      <c r="H1379" s="52"/>
    </row>
    <row r="1380" spans="1:8" ht="15.75">
      <c r="A1380" s="124">
        <v>41418</v>
      </c>
      <c r="B1380" s="125">
        <v>46.332999999999998</v>
      </c>
      <c r="C1380" s="52"/>
      <c r="D1380" s="52"/>
      <c r="E1380" s="52"/>
      <c r="F1380" s="52"/>
      <c r="G1380" s="52"/>
      <c r="H1380" s="52"/>
    </row>
    <row r="1381" spans="1:8" ht="15.75">
      <c r="A1381" s="124">
        <v>41421</v>
      </c>
      <c r="B1381" s="125">
        <v>46.505000000000003</v>
      </c>
      <c r="C1381" s="52"/>
      <c r="D1381" s="52"/>
      <c r="E1381" s="52"/>
      <c r="F1381" s="52"/>
      <c r="G1381" s="52"/>
      <c r="H1381" s="52"/>
    </row>
    <row r="1382" spans="1:8" ht="15.75">
      <c r="A1382" s="124">
        <v>41422</v>
      </c>
      <c r="B1382" s="125">
        <v>46.42</v>
      </c>
      <c r="C1382" s="52"/>
      <c r="D1382" s="52"/>
      <c r="E1382" s="52"/>
      <c r="F1382" s="52"/>
      <c r="G1382" s="52"/>
      <c r="H1382" s="52"/>
    </row>
    <row r="1383" spans="1:8" ht="15.75">
      <c r="A1383" s="124">
        <v>41423</v>
      </c>
      <c r="B1383" s="125">
        <v>44.780999999999999</v>
      </c>
      <c r="C1383" s="52"/>
      <c r="D1383" s="52"/>
      <c r="E1383" s="52"/>
      <c r="F1383" s="52"/>
      <c r="G1383" s="52"/>
      <c r="H1383" s="52"/>
    </row>
    <row r="1384" spans="1:8" ht="15.75">
      <c r="A1384" s="124">
        <v>41424</v>
      </c>
      <c r="B1384" s="125">
        <v>44.209000000000003</v>
      </c>
      <c r="C1384" s="52"/>
      <c r="D1384" s="52"/>
      <c r="E1384" s="52"/>
      <c r="F1384" s="52"/>
      <c r="G1384" s="52"/>
      <c r="H1384" s="52"/>
    </row>
    <row r="1385" spans="1:8" ht="15.75">
      <c r="A1385" s="124">
        <v>41425</v>
      </c>
      <c r="B1385" s="125">
        <v>43.591999999999999</v>
      </c>
      <c r="C1385" s="52"/>
      <c r="D1385" s="52"/>
      <c r="E1385" s="52"/>
      <c r="F1385" s="52"/>
      <c r="G1385" s="52"/>
      <c r="H1385" s="52"/>
    </row>
    <row r="1386" spans="1:8" ht="15.75">
      <c r="A1386" s="124">
        <v>41428</v>
      </c>
      <c r="B1386" s="125">
        <v>43.527999999999999</v>
      </c>
      <c r="C1386" s="52"/>
      <c r="D1386" s="52"/>
      <c r="E1386" s="52"/>
      <c r="F1386" s="52"/>
      <c r="G1386" s="52"/>
      <c r="H1386" s="52"/>
    </row>
    <row r="1387" spans="1:8" ht="15.75">
      <c r="A1387" s="124">
        <v>41429</v>
      </c>
      <c r="B1387" s="125">
        <v>43.335999999999999</v>
      </c>
      <c r="C1387" s="52"/>
      <c r="D1387" s="52"/>
      <c r="E1387" s="52"/>
      <c r="F1387" s="52"/>
      <c r="G1387" s="52"/>
      <c r="H1387" s="52"/>
    </row>
    <row r="1388" spans="1:8" ht="15.75">
      <c r="A1388" s="124">
        <v>41430</v>
      </c>
      <c r="B1388" s="125">
        <v>43.332999999999998</v>
      </c>
      <c r="C1388" s="52"/>
      <c r="D1388" s="52"/>
      <c r="E1388" s="52"/>
      <c r="F1388" s="52"/>
      <c r="G1388" s="52"/>
      <c r="H1388" s="52"/>
    </row>
    <row r="1389" spans="1:8" ht="15.75">
      <c r="A1389" s="124">
        <v>41431</v>
      </c>
      <c r="B1389" s="125">
        <v>42.601999999999997</v>
      </c>
      <c r="C1389" s="52"/>
      <c r="D1389" s="52"/>
      <c r="E1389" s="52"/>
      <c r="F1389" s="52"/>
      <c r="G1389" s="52"/>
      <c r="H1389" s="52"/>
    </row>
    <row r="1390" spans="1:8" ht="15.75">
      <c r="A1390" s="124">
        <v>41432</v>
      </c>
      <c r="B1390" s="125">
        <v>42.268999999999998</v>
      </c>
      <c r="C1390" s="52"/>
      <c r="D1390" s="52"/>
      <c r="E1390" s="52"/>
      <c r="F1390" s="52"/>
      <c r="G1390" s="52"/>
      <c r="H1390" s="52"/>
    </row>
    <row r="1391" spans="1:8" ht="15.75">
      <c r="A1391" s="124">
        <v>41435</v>
      </c>
      <c r="B1391" s="125">
        <v>42.113</v>
      </c>
      <c r="C1391" s="52"/>
      <c r="D1391" s="52"/>
      <c r="E1391" s="52"/>
      <c r="F1391" s="52"/>
      <c r="G1391" s="52"/>
      <c r="H1391" s="52"/>
    </row>
    <row r="1392" spans="1:8" ht="15.75">
      <c r="A1392" s="124">
        <v>41436</v>
      </c>
      <c r="B1392" s="125">
        <v>41.384</v>
      </c>
      <c r="C1392" s="52"/>
      <c r="D1392" s="52"/>
      <c r="E1392" s="52"/>
      <c r="F1392" s="52"/>
      <c r="G1392" s="52"/>
      <c r="H1392" s="52"/>
    </row>
    <row r="1393" spans="1:8" ht="15.75">
      <c r="A1393" s="124">
        <v>41437</v>
      </c>
      <c r="B1393" s="125">
        <v>41.15</v>
      </c>
      <c r="C1393" s="52"/>
      <c r="D1393" s="52"/>
      <c r="E1393" s="52"/>
      <c r="F1393" s="52"/>
      <c r="G1393" s="52"/>
      <c r="H1393" s="52"/>
    </row>
    <row r="1394" spans="1:8" ht="15.75">
      <c r="A1394" s="124">
        <v>41438</v>
      </c>
      <c r="B1394" s="125">
        <v>41.585000000000001</v>
      </c>
      <c r="C1394" s="52"/>
      <c r="D1394" s="52"/>
      <c r="E1394" s="52"/>
      <c r="F1394" s="52"/>
      <c r="G1394" s="52"/>
      <c r="H1394" s="52"/>
    </row>
    <row r="1395" spans="1:8" ht="15.75">
      <c r="A1395" s="124">
        <v>41439</v>
      </c>
      <c r="B1395" s="125">
        <v>41.86</v>
      </c>
      <c r="C1395" s="52"/>
      <c r="D1395" s="52"/>
      <c r="E1395" s="52"/>
      <c r="F1395" s="52"/>
      <c r="G1395" s="52"/>
      <c r="H1395" s="52"/>
    </row>
    <row r="1396" spans="1:8" ht="15.75">
      <c r="A1396" s="124">
        <v>41442</v>
      </c>
      <c r="B1396" s="125">
        <v>42.075000000000003</v>
      </c>
      <c r="C1396" s="52"/>
      <c r="D1396" s="52"/>
      <c r="E1396" s="52"/>
      <c r="F1396" s="52"/>
      <c r="G1396" s="52"/>
      <c r="H1396" s="52"/>
    </row>
    <row r="1397" spans="1:8" ht="15.75">
      <c r="A1397" s="124">
        <v>41443</v>
      </c>
      <c r="B1397" s="125">
        <v>42.188000000000002</v>
      </c>
      <c r="C1397" s="52"/>
      <c r="D1397" s="52"/>
      <c r="E1397" s="52"/>
      <c r="F1397" s="52"/>
      <c r="G1397" s="52"/>
      <c r="H1397" s="52"/>
    </row>
    <row r="1398" spans="1:8" ht="15.75">
      <c r="A1398" s="124">
        <v>41444</v>
      </c>
      <c r="B1398" s="125">
        <v>41.835000000000001</v>
      </c>
      <c r="C1398" s="52"/>
      <c r="D1398" s="52"/>
      <c r="E1398" s="52"/>
      <c r="F1398" s="52"/>
      <c r="G1398" s="52"/>
      <c r="H1398" s="52"/>
    </row>
    <row r="1399" spans="1:8" ht="15.75">
      <c r="A1399" s="124">
        <v>41445</v>
      </c>
      <c r="B1399" s="125">
        <v>40.404000000000003</v>
      </c>
      <c r="C1399" s="52"/>
      <c r="D1399" s="52"/>
      <c r="E1399" s="52"/>
      <c r="F1399" s="52"/>
      <c r="G1399" s="52"/>
      <c r="H1399" s="52"/>
    </row>
    <row r="1400" spans="1:8" ht="15.75">
      <c r="A1400" s="124">
        <v>41446</v>
      </c>
      <c r="B1400" s="125">
        <v>41.243000000000002</v>
      </c>
      <c r="C1400" s="52"/>
      <c r="D1400" s="52"/>
      <c r="E1400" s="52"/>
      <c r="F1400" s="52"/>
      <c r="G1400" s="52"/>
      <c r="H1400" s="52"/>
    </row>
    <row r="1401" spans="1:8" ht="15.75">
      <c r="A1401" s="124">
        <v>41449</v>
      </c>
      <c r="B1401" s="125">
        <v>42.069000000000003</v>
      </c>
      <c r="C1401" s="52"/>
      <c r="D1401" s="52"/>
      <c r="E1401" s="52"/>
      <c r="F1401" s="52"/>
      <c r="G1401" s="52"/>
      <c r="H1401" s="52"/>
    </row>
    <row r="1402" spans="1:8" ht="15.75">
      <c r="A1402" s="124">
        <v>41450</v>
      </c>
      <c r="B1402" s="125">
        <v>42.524999999999999</v>
      </c>
      <c r="C1402" s="52"/>
      <c r="D1402" s="52"/>
      <c r="E1402" s="52"/>
      <c r="F1402" s="52"/>
      <c r="G1402" s="52"/>
      <c r="H1402" s="52"/>
    </row>
    <row r="1403" spans="1:8" ht="15.75">
      <c r="A1403" s="124">
        <v>41451</v>
      </c>
      <c r="B1403" s="125">
        <v>43.737000000000002</v>
      </c>
      <c r="C1403" s="52"/>
      <c r="D1403" s="52"/>
      <c r="E1403" s="52"/>
      <c r="F1403" s="52"/>
      <c r="G1403" s="52"/>
      <c r="H1403" s="52"/>
    </row>
    <row r="1404" spans="1:8" ht="15.75">
      <c r="A1404" s="124">
        <v>41452</v>
      </c>
      <c r="B1404" s="125">
        <v>44.77</v>
      </c>
      <c r="C1404" s="52"/>
      <c r="D1404" s="52"/>
      <c r="E1404" s="52"/>
      <c r="F1404" s="52"/>
      <c r="G1404" s="52"/>
      <c r="H1404" s="52"/>
    </row>
    <row r="1405" spans="1:8" ht="15.75">
      <c r="A1405" s="124">
        <v>41453</v>
      </c>
      <c r="B1405" s="125">
        <v>44.807000000000002</v>
      </c>
      <c r="C1405" s="52"/>
      <c r="D1405" s="52"/>
      <c r="E1405" s="52"/>
      <c r="F1405" s="52"/>
      <c r="G1405" s="52"/>
      <c r="H1405" s="52"/>
    </row>
    <row r="1406" spans="1:8" ht="15.75">
      <c r="A1406" s="124">
        <v>41456</v>
      </c>
      <c r="B1406" s="125">
        <v>44.036999999999999</v>
      </c>
      <c r="C1406" s="52"/>
      <c r="D1406" s="52"/>
      <c r="E1406" s="52"/>
      <c r="F1406" s="52"/>
      <c r="G1406" s="52"/>
      <c r="H1406" s="52"/>
    </row>
    <row r="1407" spans="1:8" ht="15.75">
      <c r="A1407" s="124">
        <v>41457</v>
      </c>
      <c r="B1407" s="125">
        <v>44.01</v>
      </c>
      <c r="C1407" s="52"/>
      <c r="D1407" s="52"/>
      <c r="E1407" s="52"/>
      <c r="F1407" s="52"/>
      <c r="G1407" s="52"/>
      <c r="H1407" s="52"/>
    </row>
    <row r="1408" spans="1:8" ht="15.75">
      <c r="A1408" s="124">
        <v>41458</v>
      </c>
      <c r="B1408" s="125">
        <v>43.999000000000002</v>
      </c>
      <c r="C1408" s="52"/>
      <c r="D1408" s="52"/>
      <c r="E1408" s="52"/>
      <c r="F1408" s="52"/>
      <c r="G1408" s="52"/>
      <c r="H1408" s="52"/>
    </row>
    <row r="1409" spans="1:8" ht="15.75">
      <c r="A1409" s="124">
        <v>41459</v>
      </c>
      <c r="B1409" s="125">
        <v>44.064</v>
      </c>
      <c r="C1409" s="52"/>
      <c r="D1409" s="52"/>
      <c r="E1409" s="52"/>
      <c r="F1409" s="52"/>
      <c r="G1409" s="52"/>
      <c r="H1409" s="52"/>
    </row>
    <row r="1410" spans="1:8" ht="15.75">
      <c r="A1410" s="124">
        <v>41460</v>
      </c>
      <c r="B1410" s="125">
        <v>44.264000000000003</v>
      </c>
      <c r="C1410" s="52"/>
      <c r="D1410" s="52"/>
      <c r="E1410" s="52"/>
      <c r="F1410" s="52"/>
      <c r="G1410" s="52"/>
      <c r="H1410" s="52"/>
    </row>
    <row r="1411" spans="1:8" ht="15.75">
      <c r="A1411" s="124">
        <v>41463</v>
      </c>
      <c r="B1411" s="125">
        <v>44.408999999999999</v>
      </c>
      <c r="C1411" s="52"/>
      <c r="D1411" s="52"/>
      <c r="E1411" s="52"/>
      <c r="F1411" s="52"/>
      <c r="G1411" s="52"/>
      <c r="H1411" s="52"/>
    </row>
    <row r="1412" spans="1:8" ht="15.75">
      <c r="A1412" s="124">
        <v>41464</v>
      </c>
      <c r="B1412" s="125">
        <v>45.466999999999999</v>
      </c>
      <c r="C1412" s="52"/>
      <c r="D1412" s="52"/>
      <c r="E1412" s="52"/>
      <c r="F1412" s="52"/>
      <c r="G1412" s="52"/>
      <c r="H1412" s="52"/>
    </row>
    <row r="1413" spans="1:8" ht="15.75">
      <c r="A1413" s="124">
        <v>41465</v>
      </c>
      <c r="B1413" s="125">
        <v>44.47</v>
      </c>
      <c r="C1413" s="52"/>
      <c r="D1413" s="52"/>
      <c r="E1413" s="52"/>
      <c r="F1413" s="52"/>
      <c r="G1413" s="52"/>
      <c r="H1413" s="52"/>
    </row>
    <row r="1414" spans="1:8" ht="15.75">
      <c r="A1414" s="124">
        <v>41466</v>
      </c>
      <c r="B1414" s="125">
        <v>44.938000000000002</v>
      </c>
      <c r="C1414" s="52"/>
      <c r="D1414" s="52"/>
      <c r="E1414" s="52"/>
      <c r="F1414" s="52"/>
      <c r="G1414" s="52"/>
      <c r="H1414" s="52"/>
    </row>
    <row r="1415" spans="1:8" ht="15.75">
      <c r="A1415" s="124">
        <v>41467</v>
      </c>
      <c r="B1415" s="125">
        <v>44.747</v>
      </c>
      <c r="C1415" s="52"/>
      <c r="D1415" s="52"/>
      <c r="E1415" s="52"/>
      <c r="F1415" s="52"/>
      <c r="G1415" s="52"/>
      <c r="H1415" s="52"/>
    </row>
    <row r="1416" spans="1:8" ht="15.75">
      <c r="A1416" s="124">
        <v>41470</v>
      </c>
      <c r="B1416" s="125">
        <v>44.564</v>
      </c>
      <c r="C1416" s="52"/>
      <c r="D1416" s="52"/>
      <c r="E1416" s="52"/>
      <c r="F1416" s="52"/>
      <c r="G1416" s="52"/>
      <c r="H1416" s="52"/>
    </row>
    <row r="1417" spans="1:8" ht="15.75">
      <c r="A1417" s="124">
        <v>41471</v>
      </c>
      <c r="B1417" s="125">
        <v>44.390999999999998</v>
      </c>
      <c r="C1417" s="52"/>
      <c r="D1417" s="52"/>
      <c r="E1417" s="52"/>
      <c r="F1417" s="52"/>
      <c r="G1417" s="52"/>
      <c r="H1417" s="52"/>
    </row>
    <row r="1418" spans="1:8" ht="15.75">
      <c r="A1418" s="124">
        <v>41472</v>
      </c>
      <c r="B1418" s="125">
        <v>44.47</v>
      </c>
      <c r="C1418" s="52"/>
      <c r="D1418" s="52"/>
      <c r="E1418" s="52"/>
      <c r="F1418" s="52"/>
      <c r="G1418" s="52"/>
      <c r="H1418" s="52"/>
    </row>
    <row r="1419" spans="1:8" ht="15.75">
      <c r="A1419" s="124">
        <v>41473</v>
      </c>
      <c r="B1419" s="125">
        <v>44.648000000000003</v>
      </c>
      <c r="C1419" s="52"/>
      <c r="D1419" s="52"/>
      <c r="E1419" s="52"/>
      <c r="F1419" s="52"/>
      <c r="G1419" s="52"/>
      <c r="H1419" s="52"/>
    </row>
    <row r="1420" spans="1:8" ht="15.75">
      <c r="A1420" s="124">
        <v>41474</v>
      </c>
      <c r="B1420" s="125">
        <v>44.405000000000001</v>
      </c>
      <c r="C1420" s="52"/>
      <c r="D1420" s="52"/>
      <c r="E1420" s="52"/>
      <c r="F1420" s="52"/>
      <c r="G1420" s="52"/>
      <c r="H1420" s="52"/>
    </row>
    <row r="1421" spans="1:8" ht="15.75">
      <c r="A1421" s="124">
        <v>41477</v>
      </c>
      <c r="B1421" s="125">
        <v>44.305</v>
      </c>
      <c r="C1421" s="52"/>
      <c r="D1421" s="52"/>
      <c r="E1421" s="52"/>
      <c r="F1421" s="52"/>
      <c r="G1421" s="52"/>
      <c r="H1421" s="52"/>
    </row>
    <row r="1422" spans="1:8" ht="15.75">
      <c r="A1422" s="124">
        <v>41478</v>
      </c>
      <c r="B1422" s="125">
        <v>44.231999999999999</v>
      </c>
      <c r="C1422" s="52"/>
      <c r="D1422" s="52"/>
      <c r="E1422" s="52"/>
      <c r="F1422" s="52"/>
      <c r="G1422" s="52"/>
      <c r="H1422" s="52"/>
    </row>
    <row r="1423" spans="1:8" ht="15.75">
      <c r="A1423" s="124">
        <v>41479</v>
      </c>
      <c r="B1423" s="125">
        <v>43.213000000000001</v>
      </c>
      <c r="C1423" s="52"/>
      <c r="D1423" s="52"/>
      <c r="E1423" s="52"/>
      <c r="F1423" s="52"/>
      <c r="G1423" s="52"/>
      <c r="H1423" s="52"/>
    </row>
    <row r="1424" spans="1:8" ht="15.75">
      <c r="A1424" s="124">
        <v>41480</v>
      </c>
      <c r="B1424" s="125">
        <v>43.261000000000003</v>
      </c>
      <c r="C1424" s="52"/>
      <c r="D1424" s="52"/>
      <c r="E1424" s="52"/>
      <c r="F1424" s="52"/>
      <c r="G1424" s="52"/>
      <c r="H1424" s="52"/>
    </row>
    <row r="1425" spans="1:8" ht="15.75">
      <c r="A1425" s="124">
        <v>41481</v>
      </c>
      <c r="B1425" s="125">
        <v>43.389000000000003</v>
      </c>
      <c r="C1425" s="52"/>
      <c r="D1425" s="52"/>
      <c r="E1425" s="52"/>
      <c r="F1425" s="52"/>
      <c r="G1425" s="52"/>
      <c r="H1425" s="52"/>
    </row>
    <row r="1426" spans="1:8" ht="15.75">
      <c r="A1426" s="124">
        <v>41484</v>
      </c>
      <c r="B1426" s="125">
        <v>43.668999999999997</v>
      </c>
      <c r="C1426" s="52"/>
      <c r="D1426" s="52"/>
      <c r="E1426" s="52"/>
      <c r="F1426" s="52"/>
      <c r="G1426" s="52"/>
      <c r="H1426" s="52"/>
    </row>
    <row r="1427" spans="1:8" ht="15.75">
      <c r="A1427" s="124">
        <v>41485</v>
      </c>
      <c r="B1427" s="125">
        <v>43.267000000000003</v>
      </c>
      <c r="C1427" s="52"/>
      <c r="D1427" s="52"/>
      <c r="E1427" s="52"/>
      <c r="F1427" s="52"/>
      <c r="G1427" s="52"/>
      <c r="H1427" s="52"/>
    </row>
    <row r="1428" spans="1:8" ht="15.75">
      <c r="A1428" s="124">
        <v>41486</v>
      </c>
      <c r="B1428" s="125">
        <v>41.488</v>
      </c>
      <c r="C1428" s="52"/>
      <c r="D1428" s="52"/>
      <c r="E1428" s="52"/>
      <c r="F1428" s="52"/>
      <c r="G1428" s="52"/>
      <c r="H1428" s="52"/>
    </row>
    <row r="1429" spans="1:8" ht="15.75">
      <c r="A1429" s="124">
        <v>41487</v>
      </c>
      <c r="B1429" s="125">
        <v>41.957000000000001</v>
      </c>
      <c r="C1429" s="52"/>
      <c r="D1429" s="52"/>
      <c r="E1429" s="52"/>
      <c r="F1429" s="52"/>
      <c r="G1429" s="52"/>
      <c r="H1429" s="52"/>
    </row>
    <row r="1430" spans="1:8" ht="15.75">
      <c r="A1430" s="124">
        <v>41488</v>
      </c>
      <c r="B1430" s="125">
        <v>41.286999999999999</v>
      </c>
      <c r="C1430" s="52"/>
      <c r="D1430" s="52"/>
      <c r="E1430" s="52"/>
      <c r="F1430" s="52"/>
      <c r="G1430" s="52"/>
      <c r="H1430" s="52"/>
    </row>
    <row r="1431" spans="1:8" ht="15.75">
      <c r="A1431" s="124">
        <v>41491</v>
      </c>
      <c r="B1431" s="125">
        <v>41.033000000000001</v>
      </c>
      <c r="C1431" s="52"/>
      <c r="D1431" s="52"/>
      <c r="E1431" s="52"/>
      <c r="F1431" s="52"/>
      <c r="G1431" s="52"/>
      <c r="H1431" s="52"/>
    </row>
    <row r="1432" spans="1:8" ht="15.75">
      <c r="A1432" s="124">
        <v>41492</v>
      </c>
      <c r="B1432" s="125">
        <v>40.786000000000001</v>
      </c>
      <c r="C1432" s="52"/>
      <c r="D1432" s="52"/>
      <c r="E1432" s="52"/>
      <c r="F1432" s="52"/>
      <c r="G1432" s="52"/>
      <c r="H1432" s="52"/>
    </row>
    <row r="1433" spans="1:8" ht="15.75">
      <c r="A1433" s="124">
        <v>41493</v>
      </c>
      <c r="B1433" s="125">
        <v>40.593000000000004</v>
      </c>
      <c r="C1433" s="52"/>
      <c r="D1433" s="52"/>
      <c r="E1433" s="52"/>
      <c r="F1433" s="52"/>
      <c r="G1433" s="52"/>
      <c r="H1433" s="52"/>
    </row>
    <row r="1434" spans="1:8" ht="15.75">
      <c r="A1434" s="124">
        <v>41494</v>
      </c>
      <c r="B1434" s="125">
        <v>40.087000000000003</v>
      </c>
      <c r="C1434" s="52"/>
      <c r="D1434" s="52"/>
      <c r="E1434" s="52"/>
      <c r="F1434" s="52"/>
      <c r="G1434" s="52"/>
      <c r="H1434" s="52"/>
    </row>
    <row r="1435" spans="1:8" ht="15.75">
      <c r="A1435" s="124">
        <v>41495</v>
      </c>
      <c r="B1435" s="125">
        <v>40.607999999999997</v>
      </c>
      <c r="C1435" s="52"/>
      <c r="D1435" s="52"/>
      <c r="E1435" s="52"/>
      <c r="F1435" s="52"/>
      <c r="G1435" s="52"/>
      <c r="H1435" s="52"/>
    </row>
    <row r="1436" spans="1:8" ht="15.75">
      <c r="A1436" s="124">
        <v>41498</v>
      </c>
      <c r="B1436" s="125">
        <v>39.75</v>
      </c>
      <c r="C1436" s="52"/>
      <c r="D1436" s="52"/>
      <c r="E1436" s="52"/>
      <c r="F1436" s="52"/>
      <c r="G1436" s="52"/>
      <c r="H1436" s="52"/>
    </row>
    <row r="1437" spans="1:8" ht="15.75">
      <c r="A1437" s="124">
        <v>41499</v>
      </c>
      <c r="B1437" s="125">
        <v>39.612000000000002</v>
      </c>
      <c r="C1437" s="52"/>
      <c r="D1437" s="52"/>
      <c r="E1437" s="52"/>
      <c r="F1437" s="52"/>
      <c r="G1437" s="52"/>
      <c r="H1437" s="52"/>
    </row>
    <row r="1438" spans="1:8" ht="15.75">
      <c r="A1438" s="124">
        <v>41500</v>
      </c>
      <c r="B1438" s="125">
        <v>39.444000000000003</v>
      </c>
      <c r="C1438" s="52"/>
      <c r="D1438" s="52"/>
      <c r="E1438" s="52"/>
      <c r="F1438" s="52"/>
      <c r="G1438" s="52"/>
      <c r="H1438" s="52"/>
    </row>
    <row r="1439" spans="1:8" ht="15.75">
      <c r="A1439" s="124">
        <v>41501</v>
      </c>
      <c r="B1439" s="125">
        <v>38.752000000000002</v>
      </c>
      <c r="C1439" s="52"/>
      <c r="D1439" s="52"/>
      <c r="E1439" s="52"/>
      <c r="F1439" s="52"/>
      <c r="G1439" s="52"/>
      <c r="H1439" s="52"/>
    </row>
    <row r="1440" spans="1:8" ht="15.75">
      <c r="A1440" s="124">
        <v>41502</v>
      </c>
      <c r="B1440" s="125">
        <v>37.884999999999998</v>
      </c>
      <c r="C1440" s="52"/>
      <c r="D1440" s="52"/>
      <c r="E1440" s="52"/>
      <c r="F1440" s="52"/>
      <c r="G1440" s="52"/>
      <c r="H1440" s="52"/>
    </row>
    <row r="1441" spans="1:8" ht="15.75">
      <c r="A1441" s="124">
        <v>41505</v>
      </c>
      <c r="B1441" s="125">
        <v>37.814</v>
      </c>
      <c r="C1441" s="52"/>
      <c r="D1441" s="52"/>
      <c r="E1441" s="52"/>
      <c r="F1441" s="52"/>
      <c r="G1441" s="52"/>
      <c r="H1441" s="52"/>
    </row>
    <row r="1442" spans="1:8" ht="15.75">
      <c r="A1442" s="124">
        <v>41506</v>
      </c>
      <c r="B1442" s="125">
        <v>38.154000000000003</v>
      </c>
      <c r="C1442" s="52"/>
      <c r="D1442" s="52"/>
      <c r="E1442" s="52"/>
      <c r="F1442" s="52"/>
      <c r="G1442" s="52"/>
      <c r="H1442" s="52"/>
    </row>
    <row r="1443" spans="1:8" ht="15.75">
      <c r="A1443" s="124">
        <v>41507</v>
      </c>
      <c r="B1443" s="125">
        <v>38.058</v>
      </c>
      <c r="C1443" s="52"/>
      <c r="D1443" s="52"/>
      <c r="E1443" s="52"/>
      <c r="F1443" s="52"/>
      <c r="G1443" s="52"/>
      <c r="H1443" s="52"/>
    </row>
    <row r="1444" spans="1:8" ht="15.75">
      <c r="A1444" s="124">
        <v>41508</v>
      </c>
      <c r="B1444" s="125">
        <v>38.542000000000002</v>
      </c>
      <c r="C1444" s="52"/>
      <c r="D1444" s="52"/>
      <c r="E1444" s="52"/>
      <c r="F1444" s="52"/>
      <c r="G1444" s="52"/>
      <c r="H1444" s="52"/>
    </row>
    <row r="1445" spans="1:8" ht="15.75">
      <c r="A1445" s="124">
        <v>41509</v>
      </c>
      <c r="B1445" s="125">
        <v>38.79</v>
      </c>
      <c r="C1445" s="52"/>
      <c r="D1445" s="52"/>
      <c r="E1445" s="52"/>
      <c r="F1445" s="52"/>
      <c r="G1445" s="52"/>
      <c r="H1445" s="52"/>
    </row>
    <row r="1446" spans="1:8" ht="15.75">
      <c r="A1446" s="124">
        <v>41512</v>
      </c>
      <c r="B1446" s="125">
        <v>39.521999999999998</v>
      </c>
      <c r="C1446" s="52"/>
      <c r="D1446" s="52"/>
      <c r="E1446" s="52"/>
      <c r="F1446" s="52"/>
      <c r="G1446" s="52"/>
      <c r="H1446" s="52"/>
    </row>
    <row r="1447" spans="1:8" ht="15.75">
      <c r="A1447" s="124">
        <v>41513</v>
      </c>
      <c r="B1447" s="125">
        <v>39.325000000000003</v>
      </c>
      <c r="C1447" s="52"/>
      <c r="D1447" s="52"/>
      <c r="E1447" s="52"/>
      <c r="F1447" s="52"/>
      <c r="G1447" s="52"/>
      <c r="H1447" s="52"/>
    </row>
    <row r="1448" spans="1:8" ht="15.75">
      <c r="A1448" s="124">
        <v>41514</v>
      </c>
      <c r="B1448" s="125">
        <v>38.950000000000003</v>
      </c>
      <c r="C1448" s="52"/>
      <c r="D1448" s="52"/>
      <c r="E1448" s="52"/>
      <c r="F1448" s="52"/>
      <c r="G1448" s="52"/>
      <c r="H1448" s="52"/>
    </row>
    <row r="1449" spans="1:8" ht="15.75">
      <c r="A1449" s="124">
        <v>41515</v>
      </c>
      <c r="B1449" s="125">
        <v>39.082000000000001</v>
      </c>
      <c r="C1449" s="52"/>
      <c r="D1449" s="52"/>
      <c r="E1449" s="52"/>
      <c r="F1449" s="52"/>
      <c r="G1449" s="52"/>
      <c r="H1449" s="52"/>
    </row>
    <row r="1450" spans="1:8" ht="15.75">
      <c r="A1450" s="124">
        <v>41516</v>
      </c>
      <c r="B1450" s="125">
        <v>39.238999999999997</v>
      </c>
      <c r="C1450" s="52"/>
      <c r="D1450" s="52"/>
      <c r="E1450" s="52"/>
      <c r="F1450" s="52"/>
      <c r="G1450" s="52"/>
      <c r="H1450" s="52"/>
    </row>
    <row r="1451" spans="1:8" ht="15.75">
      <c r="A1451" s="124">
        <v>41519</v>
      </c>
      <c r="B1451" s="125">
        <v>39.134999999999998</v>
      </c>
      <c r="C1451" s="52"/>
      <c r="D1451" s="52"/>
      <c r="E1451" s="52"/>
      <c r="F1451" s="52"/>
      <c r="G1451" s="52"/>
      <c r="H1451" s="52"/>
    </row>
    <row r="1452" spans="1:8" ht="15.75">
      <c r="A1452" s="124">
        <v>41520</v>
      </c>
      <c r="B1452" s="125">
        <v>38.567999999999998</v>
      </c>
      <c r="C1452" s="52"/>
      <c r="D1452" s="52"/>
      <c r="E1452" s="52"/>
      <c r="F1452" s="52"/>
      <c r="G1452" s="52"/>
      <c r="H1452" s="52"/>
    </row>
    <row r="1453" spans="1:8" ht="15.75">
      <c r="A1453" s="124">
        <v>41521</v>
      </c>
      <c r="B1453" s="125">
        <v>39.296999999999997</v>
      </c>
      <c r="C1453" s="52"/>
      <c r="D1453" s="52"/>
      <c r="E1453" s="52"/>
      <c r="F1453" s="52"/>
      <c r="G1453" s="52"/>
      <c r="H1453" s="52"/>
    </row>
    <row r="1454" spans="1:8" ht="15.75">
      <c r="A1454" s="124">
        <v>41522</v>
      </c>
      <c r="B1454" s="125">
        <v>39.277000000000001</v>
      </c>
      <c r="C1454" s="52"/>
      <c r="D1454" s="52"/>
      <c r="E1454" s="52"/>
      <c r="F1454" s="52"/>
      <c r="G1454" s="52"/>
      <c r="H1454" s="52"/>
    </row>
    <row r="1455" spans="1:8" ht="15.75">
      <c r="A1455" s="124">
        <v>41523</v>
      </c>
      <c r="B1455" s="125">
        <v>40.095999999999997</v>
      </c>
      <c r="C1455" s="52"/>
      <c r="D1455" s="52"/>
      <c r="E1455" s="52"/>
      <c r="F1455" s="52"/>
      <c r="G1455" s="52"/>
      <c r="H1455" s="52"/>
    </row>
    <row r="1456" spans="1:8" ht="15.75">
      <c r="A1456" s="124">
        <v>41526</v>
      </c>
      <c r="B1456" s="125">
        <v>40.229999999999997</v>
      </c>
      <c r="C1456" s="52"/>
      <c r="D1456" s="52"/>
      <c r="E1456" s="52"/>
      <c r="F1456" s="52"/>
      <c r="G1456" s="52"/>
      <c r="H1456" s="52"/>
    </row>
    <row r="1457" spans="1:8" ht="15.75">
      <c r="A1457" s="124">
        <v>41527</v>
      </c>
      <c r="B1457" s="125">
        <v>40.677999999999997</v>
      </c>
      <c r="C1457" s="52"/>
      <c r="D1457" s="52"/>
      <c r="E1457" s="52"/>
      <c r="F1457" s="52"/>
      <c r="G1457" s="52"/>
      <c r="H1457" s="52"/>
    </row>
    <row r="1458" spans="1:8" ht="15.75">
      <c r="A1458" s="124">
        <v>41528</v>
      </c>
      <c r="B1458" s="125">
        <v>40.947000000000003</v>
      </c>
      <c r="C1458" s="52"/>
      <c r="D1458" s="52"/>
      <c r="E1458" s="52"/>
      <c r="F1458" s="52"/>
      <c r="G1458" s="52"/>
      <c r="H1458" s="52"/>
    </row>
    <row r="1459" spans="1:8" ht="15.75">
      <c r="A1459" s="124">
        <v>41529</v>
      </c>
      <c r="B1459" s="125">
        <v>40.887999999999998</v>
      </c>
      <c r="C1459" s="52"/>
      <c r="D1459" s="52"/>
      <c r="E1459" s="52"/>
      <c r="F1459" s="52"/>
      <c r="G1459" s="52"/>
      <c r="H1459" s="52"/>
    </row>
    <row r="1460" spans="1:8" ht="15.75">
      <c r="A1460" s="124">
        <v>41530</v>
      </c>
      <c r="B1460" s="125">
        <v>40.792999999999999</v>
      </c>
      <c r="C1460" s="52"/>
      <c r="D1460" s="52"/>
      <c r="E1460" s="52"/>
      <c r="F1460" s="52"/>
      <c r="G1460" s="52"/>
      <c r="H1460" s="52"/>
    </row>
    <row r="1461" spans="1:8" ht="15.75">
      <c r="A1461" s="124">
        <v>41533</v>
      </c>
      <c r="B1461" s="125">
        <v>40.692999999999998</v>
      </c>
      <c r="C1461" s="52"/>
      <c r="D1461" s="52"/>
      <c r="E1461" s="52"/>
      <c r="F1461" s="52"/>
      <c r="G1461" s="52"/>
      <c r="H1461" s="52"/>
    </row>
    <row r="1462" spans="1:8" ht="15.75">
      <c r="A1462" s="124">
        <v>41534</v>
      </c>
      <c r="B1462" s="125">
        <v>40.804000000000002</v>
      </c>
      <c r="C1462" s="52"/>
      <c r="D1462" s="52"/>
      <c r="E1462" s="52"/>
      <c r="F1462" s="52"/>
      <c r="G1462" s="52"/>
      <c r="H1462" s="52"/>
    </row>
    <row r="1463" spans="1:8" ht="15.75">
      <c r="A1463" s="124">
        <v>41535</v>
      </c>
      <c r="B1463" s="125">
        <v>40.865000000000002</v>
      </c>
      <c r="C1463" s="52"/>
      <c r="D1463" s="52"/>
      <c r="E1463" s="52"/>
      <c r="F1463" s="52"/>
      <c r="G1463" s="52"/>
      <c r="H1463" s="52"/>
    </row>
    <row r="1464" spans="1:8" ht="15.75">
      <c r="A1464" s="124">
        <v>41536</v>
      </c>
      <c r="B1464" s="125">
        <v>41.5</v>
      </c>
      <c r="C1464" s="52"/>
      <c r="D1464" s="52"/>
      <c r="E1464" s="52"/>
      <c r="F1464" s="52"/>
      <c r="G1464" s="52"/>
      <c r="H1464" s="52"/>
    </row>
    <row r="1465" spans="1:8" ht="15.75">
      <c r="A1465" s="124">
        <v>41537</v>
      </c>
      <c r="B1465" s="125">
        <v>41.216000000000001</v>
      </c>
      <c r="C1465" s="52"/>
      <c r="D1465" s="52"/>
      <c r="E1465" s="52"/>
      <c r="F1465" s="52"/>
      <c r="G1465" s="52"/>
      <c r="H1465" s="52"/>
    </row>
    <row r="1466" spans="1:8" ht="15.75">
      <c r="A1466" s="124">
        <v>41540</v>
      </c>
      <c r="B1466" s="125">
        <v>40.713999999999999</v>
      </c>
      <c r="C1466" s="52"/>
      <c r="D1466" s="52"/>
      <c r="E1466" s="52"/>
      <c r="F1466" s="52"/>
      <c r="G1466" s="52"/>
      <c r="H1466" s="52"/>
    </row>
    <row r="1467" spans="1:8" ht="15.75">
      <c r="A1467" s="124">
        <v>41541</v>
      </c>
      <c r="B1467" s="125">
        <v>40.097000000000001</v>
      </c>
      <c r="C1467" s="52"/>
      <c r="D1467" s="52"/>
      <c r="E1467" s="52"/>
      <c r="F1467" s="52"/>
      <c r="G1467" s="52"/>
      <c r="H1467" s="52"/>
    </row>
    <row r="1468" spans="1:8" ht="15.75">
      <c r="A1468" s="124">
        <v>41542</v>
      </c>
      <c r="B1468" s="125">
        <v>39.792000000000002</v>
      </c>
      <c r="C1468" s="52"/>
      <c r="D1468" s="52"/>
      <c r="E1468" s="52"/>
      <c r="F1468" s="52"/>
      <c r="G1468" s="52"/>
      <c r="H1468" s="52"/>
    </row>
    <row r="1469" spans="1:8" ht="15.75">
      <c r="A1469" s="124">
        <v>41543</v>
      </c>
      <c r="B1469" s="125">
        <v>40.247</v>
      </c>
      <c r="C1469" s="52"/>
      <c r="D1469" s="52"/>
      <c r="E1469" s="52"/>
      <c r="F1469" s="52"/>
      <c r="G1469" s="52"/>
      <c r="H1469" s="52"/>
    </row>
    <row r="1470" spans="1:8" ht="15.75">
      <c r="A1470" s="124">
        <v>41544</v>
      </c>
      <c r="B1470" s="125">
        <v>39.868000000000002</v>
      </c>
      <c r="C1470" s="52"/>
      <c r="D1470" s="52"/>
      <c r="E1470" s="52"/>
      <c r="F1470" s="52"/>
      <c r="G1470" s="52"/>
      <c r="H1470" s="52"/>
    </row>
    <row r="1471" spans="1:8" ht="15.75">
      <c r="A1471" s="124">
        <v>41547</v>
      </c>
      <c r="B1471" s="125">
        <v>39.582000000000001</v>
      </c>
      <c r="C1471" s="52"/>
      <c r="D1471" s="52"/>
      <c r="E1471" s="52"/>
      <c r="F1471" s="52"/>
      <c r="G1471" s="52"/>
      <c r="H1471" s="52"/>
    </row>
    <row r="1472" spans="1:8" ht="15.75">
      <c r="A1472" s="124">
        <v>41548</v>
      </c>
      <c r="B1472" s="125">
        <v>40.037999999999997</v>
      </c>
      <c r="C1472" s="52"/>
      <c r="D1472" s="52"/>
      <c r="E1472" s="52"/>
      <c r="F1472" s="52"/>
      <c r="G1472" s="52"/>
      <c r="H1472" s="52"/>
    </row>
    <row r="1473" spans="1:8" ht="15.75">
      <c r="A1473" s="124">
        <v>41549</v>
      </c>
      <c r="B1473" s="125">
        <v>39.646000000000001</v>
      </c>
      <c r="C1473" s="52"/>
      <c r="D1473" s="52"/>
      <c r="E1473" s="52"/>
      <c r="F1473" s="52"/>
      <c r="G1473" s="52"/>
      <c r="H1473" s="52"/>
    </row>
    <row r="1474" spans="1:8" ht="15.75">
      <c r="A1474" s="124">
        <v>41550</v>
      </c>
      <c r="B1474" s="125">
        <v>38.744</v>
      </c>
      <c r="C1474" s="52"/>
      <c r="D1474" s="52"/>
      <c r="E1474" s="52"/>
      <c r="F1474" s="52"/>
      <c r="G1474" s="52"/>
      <c r="H1474" s="52"/>
    </row>
    <row r="1475" spans="1:8" ht="15.75">
      <c r="A1475" s="124">
        <v>41551</v>
      </c>
      <c r="B1475" s="125">
        <v>38.439</v>
      </c>
      <c r="C1475" s="52"/>
      <c r="D1475" s="52"/>
      <c r="E1475" s="52"/>
      <c r="F1475" s="52"/>
      <c r="G1475" s="52"/>
      <c r="H1475" s="52"/>
    </row>
    <row r="1476" spans="1:8" ht="15.75">
      <c r="A1476" s="124">
        <v>41554</v>
      </c>
      <c r="B1476" s="125">
        <v>38.720999999999997</v>
      </c>
      <c r="C1476" s="52"/>
      <c r="D1476" s="52"/>
      <c r="E1476" s="52"/>
      <c r="F1476" s="52"/>
      <c r="G1476" s="52"/>
      <c r="H1476" s="52"/>
    </row>
    <row r="1477" spans="1:8" ht="15.75">
      <c r="A1477" s="124">
        <v>41555</v>
      </c>
      <c r="B1477" s="125">
        <v>38.334000000000003</v>
      </c>
      <c r="C1477" s="52"/>
      <c r="D1477" s="52"/>
      <c r="E1477" s="52"/>
      <c r="F1477" s="52"/>
      <c r="G1477" s="52"/>
      <c r="H1477" s="52"/>
    </row>
    <row r="1478" spans="1:8" ht="15.75">
      <c r="A1478" s="124">
        <v>41556</v>
      </c>
      <c r="B1478" s="125">
        <v>38.594999999999999</v>
      </c>
      <c r="C1478" s="52"/>
      <c r="D1478" s="52"/>
      <c r="E1478" s="52"/>
      <c r="F1478" s="52"/>
      <c r="G1478" s="52"/>
      <c r="H1478" s="52"/>
    </row>
    <row r="1479" spans="1:8" ht="15.75">
      <c r="A1479" s="124">
        <v>41557</v>
      </c>
      <c r="B1479" s="125">
        <v>39.241999999999997</v>
      </c>
      <c r="C1479" s="52"/>
      <c r="D1479" s="52"/>
      <c r="E1479" s="52"/>
      <c r="F1479" s="52"/>
      <c r="G1479" s="52"/>
      <c r="H1479" s="52"/>
    </row>
    <row r="1480" spans="1:8" ht="15.75">
      <c r="A1480" s="124">
        <v>41558</v>
      </c>
      <c r="B1480" s="125">
        <v>39.274999999999999</v>
      </c>
      <c r="C1480" s="52"/>
      <c r="D1480" s="52"/>
      <c r="E1480" s="52"/>
      <c r="F1480" s="52"/>
      <c r="G1480" s="52"/>
      <c r="H1480" s="52"/>
    </row>
    <row r="1481" spans="1:8" ht="15.75">
      <c r="A1481" s="124">
        <v>41561</v>
      </c>
      <c r="B1481" s="125">
        <v>39.231999999999999</v>
      </c>
      <c r="C1481" s="52"/>
      <c r="D1481" s="52"/>
      <c r="E1481" s="52"/>
      <c r="F1481" s="52"/>
      <c r="G1481" s="52"/>
      <c r="H1481" s="52"/>
    </row>
    <row r="1482" spans="1:8" ht="15.75">
      <c r="A1482" s="124">
        <v>41562</v>
      </c>
      <c r="B1482" s="125">
        <v>39.728000000000002</v>
      </c>
      <c r="C1482" s="52"/>
      <c r="D1482" s="52"/>
      <c r="E1482" s="52"/>
      <c r="F1482" s="52"/>
      <c r="G1482" s="52"/>
      <c r="H1482" s="52"/>
    </row>
    <row r="1483" spans="1:8" ht="15.75">
      <c r="A1483" s="124">
        <v>41563</v>
      </c>
      <c r="B1483" s="125">
        <v>40.149000000000001</v>
      </c>
      <c r="C1483" s="52"/>
      <c r="D1483" s="52"/>
      <c r="E1483" s="52"/>
      <c r="F1483" s="52"/>
      <c r="G1483" s="52"/>
      <c r="H1483" s="52"/>
    </row>
    <row r="1484" spans="1:8" ht="15.75">
      <c r="A1484" s="124">
        <v>41564</v>
      </c>
      <c r="B1484" s="125">
        <v>40.353999999999999</v>
      </c>
      <c r="C1484" s="52"/>
      <c r="D1484" s="52"/>
      <c r="E1484" s="52"/>
      <c r="F1484" s="52"/>
      <c r="G1484" s="52"/>
      <c r="H1484" s="52"/>
    </row>
    <row r="1485" spans="1:8" ht="15.75">
      <c r="A1485" s="124">
        <v>41565</v>
      </c>
      <c r="B1485" s="125">
        <v>40.07</v>
      </c>
      <c r="C1485" s="52"/>
      <c r="D1485" s="52"/>
      <c r="E1485" s="52"/>
      <c r="F1485" s="52"/>
      <c r="G1485" s="52"/>
      <c r="H1485" s="52"/>
    </row>
    <row r="1486" spans="1:8" ht="15.75">
      <c r="A1486" s="124">
        <v>41568</v>
      </c>
      <c r="B1486" s="125">
        <v>39.920999999999999</v>
      </c>
      <c r="C1486" s="52"/>
      <c r="D1486" s="52"/>
      <c r="E1486" s="52"/>
      <c r="F1486" s="52"/>
      <c r="G1486" s="52"/>
      <c r="H1486" s="52"/>
    </row>
    <row r="1487" spans="1:8" ht="15.75">
      <c r="A1487" s="124">
        <v>41569</v>
      </c>
      <c r="B1487" s="125">
        <v>39.94</v>
      </c>
      <c r="C1487" s="52"/>
      <c r="D1487" s="52"/>
      <c r="E1487" s="52"/>
      <c r="F1487" s="52"/>
      <c r="G1487" s="52"/>
      <c r="H1487" s="52"/>
    </row>
    <row r="1488" spans="1:8" ht="15.75">
      <c r="A1488" s="124">
        <v>41570</v>
      </c>
      <c r="B1488" s="125">
        <v>40.026000000000003</v>
      </c>
      <c r="C1488" s="52"/>
      <c r="D1488" s="52"/>
      <c r="E1488" s="52"/>
      <c r="F1488" s="52"/>
      <c r="G1488" s="52"/>
      <c r="H1488" s="52"/>
    </row>
    <row r="1489" spans="1:8" ht="15.75">
      <c r="A1489" s="124">
        <v>41571</v>
      </c>
      <c r="B1489" s="125">
        <v>38.851999999999997</v>
      </c>
      <c r="C1489" s="52"/>
      <c r="D1489" s="52"/>
      <c r="E1489" s="52"/>
      <c r="F1489" s="52"/>
      <c r="G1489" s="52"/>
      <c r="H1489" s="52"/>
    </row>
    <row r="1490" spans="1:8" ht="15.75">
      <c r="A1490" s="124">
        <v>41572</v>
      </c>
      <c r="B1490" s="125">
        <v>39.497999999999998</v>
      </c>
      <c r="C1490" s="52"/>
      <c r="D1490" s="52"/>
      <c r="E1490" s="52"/>
      <c r="F1490" s="52"/>
      <c r="G1490" s="52"/>
      <c r="H1490" s="52"/>
    </row>
    <row r="1491" spans="1:8" ht="15.75">
      <c r="A1491" s="124">
        <v>41575</v>
      </c>
      <c r="B1491" s="125">
        <v>39.119999999999997</v>
      </c>
      <c r="C1491" s="52"/>
      <c r="D1491" s="52"/>
      <c r="E1491" s="52"/>
      <c r="F1491" s="52"/>
      <c r="G1491" s="52"/>
      <c r="H1491" s="52"/>
    </row>
    <row r="1492" spans="1:8" ht="15.75">
      <c r="A1492" s="124">
        <v>41576</v>
      </c>
      <c r="B1492" s="125">
        <v>38.896000000000001</v>
      </c>
      <c r="C1492" s="52"/>
      <c r="D1492" s="52"/>
      <c r="E1492" s="52"/>
      <c r="F1492" s="52"/>
      <c r="G1492" s="52"/>
      <c r="H1492" s="52"/>
    </row>
    <row r="1493" spans="1:8" ht="15.75">
      <c r="A1493" s="124">
        <v>41577</v>
      </c>
      <c r="B1493" s="125">
        <v>38.57</v>
      </c>
      <c r="C1493" s="52"/>
      <c r="D1493" s="52"/>
      <c r="E1493" s="52"/>
      <c r="F1493" s="52"/>
      <c r="G1493" s="52"/>
      <c r="H1493" s="52"/>
    </row>
    <row r="1494" spans="1:8" ht="15.75">
      <c r="A1494" s="124">
        <v>41578</v>
      </c>
      <c r="B1494" s="125">
        <v>38.569000000000003</v>
      </c>
      <c r="C1494" s="52"/>
      <c r="D1494" s="52"/>
      <c r="E1494" s="52"/>
      <c r="F1494" s="52"/>
      <c r="G1494" s="52"/>
      <c r="H1494" s="52"/>
    </row>
    <row r="1495" spans="1:8" ht="15.75">
      <c r="A1495" s="124">
        <v>41579</v>
      </c>
      <c r="B1495" s="125">
        <v>38.738999999999997</v>
      </c>
      <c r="C1495" s="52"/>
      <c r="D1495" s="52"/>
      <c r="E1495" s="52"/>
      <c r="F1495" s="52"/>
      <c r="G1495" s="52"/>
      <c r="H1495" s="52"/>
    </row>
    <row r="1496" spans="1:8" ht="15.75">
      <c r="A1496" s="124">
        <v>41582</v>
      </c>
      <c r="B1496" s="125">
        <v>39.253</v>
      </c>
      <c r="C1496" s="52"/>
      <c r="D1496" s="52"/>
      <c r="E1496" s="52"/>
      <c r="F1496" s="52"/>
      <c r="G1496" s="52"/>
      <c r="H1496" s="52"/>
    </row>
    <row r="1497" spans="1:8" ht="15.75">
      <c r="A1497" s="124">
        <v>41583</v>
      </c>
      <c r="B1497" s="125">
        <v>38.979999999999997</v>
      </c>
      <c r="C1497" s="52"/>
      <c r="D1497" s="52"/>
      <c r="E1497" s="52"/>
      <c r="F1497" s="52"/>
      <c r="G1497" s="52"/>
      <c r="H1497" s="52"/>
    </row>
    <row r="1498" spans="1:8" ht="15.75">
      <c r="A1498" s="124">
        <v>41584</v>
      </c>
      <c r="B1498" s="125">
        <v>38.911999999999999</v>
      </c>
      <c r="C1498" s="52"/>
      <c r="D1498" s="52"/>
      <c r="E1498" s="52"/>
      <c r="F1498" s="52"/>
      <c r="G1498" s="52"/>
      <c r="H1498" s="52"/>
    </row>
    <row r="1499" spans="1:8" ht="15.75">
      <c r="A1499" s="124">
        <v>41585</v>
      </c>
      <c r="B1499" s="125">
        <v>38.904000000000003</v>
      </c>
      <c r="C1499" s="52"/>
      <c r="D1499" s="52"/>
      <c r="E1499" s="52"/>
      <c r="F1499" s="52"/>
      <c r="G1499" s="52"/>
      <c r="H1499" s="52"/>
    </row>
    <row r="1500" spans="1:8" ht="15.75">
      <c r="A1500" s="124">
        <v>41586</v>
      </c>
      <c r="B1500" s="125">
        <v>38.43</v>
      </c>
      <c r="C1500" s="52"/>
      <c r="D1500" s="52"/>
      <c r="E1500" s="52"/>
      <c r="F1500" s="52"/>
      <c r="G1500" s="52"/>
      <c r="H1500" s="52"/>
    </row>
    <row r="1501" spans="1:8" ht="15.75">
      <c r="A1501" s="124">
        <v>41589</v>
      </c>
      <c r="B1501" s="125">
        <v>38.399000000000001</v>
      </c>
      <c r="C1501" s="52"/>
      <c r="D1501" s="52"/>
      <c r="E1501" s="52"/>
      <c r="F1501" s="52"/>
      <c r="G1501" s="52"/>
      <c r="H1501" s="52"/>
    </row>
    <row r="1502" spans="1:8" ht="15.75">
      <c r="A1502" s="124">
        <v>41590</v>
      </c>
      <c r="B1502" s="125">
        <v>37.808999999999997</v>
      </c>
      <c r="C1502" s="52"/>
      <c r="D1502" s="52"/>
      <c r="E1502" s="52"/>
      <c r="F1502" s="52"/>
      <c r="G1502" s="52"/>
      <c r="H1502" s="52"/>
    </row>
    <row r="1503" spans="1:8" ht="15.75">
      <c r="A1503" s="124">
        <v>41591</v>
      </c>
      <c r="B1503" s="125">
        <v>38.009</v>
      </c>
      <c r="C1503" s="52"/>
      <c r="D1503" s="52"/>
      <c r="E1503" s="52"/>
      <c r="F1503" s="52"/>
      <c r="G1503" s="52"/>
      <c r="H1503" s="52"/>
    </row>
    <row r="1504" spans="1:8" ht="15.75">
      <c r="A1504" s="124">
        <v>41592</v>
      </c>
      <c r="B1504" s="125">
        <v>38.619</v>
      </c>
      <c r="C1504" s="52"/>
      <c r="D1504" s="52"/>
      <c r="E1504" s="52"/>
      <c r="F1504" s="52"/>
      <c r="G1504" s="52"/>
      <c r="H1504" s="52"/>
    </row>
    <row r="1505" spans="1:8" ht="15.75">
      <c r="A1505" s="124">
        <v>41593</v>
      </c>
      <c r="B1505" s="125">
        <v>37.962000000000003</v>
      </c>
      <c r="C1505" s="52"/>
      <c r="D1505" s="52"/>
      <c r="E1505" s="52"/>
      <c r="F1505" s="52"/>
      <c r="G1505" s="52"/>
      <c r="H1505" s="52"/>
    </row>
    <row r="1506" spans="1:8" ht="15.75">
      <c r="A1506" s="124">
        <v>41596</v>
      </c>
      <c r="B1506" s="125">
        <v>37.777000000000001</v>
      </c>
      <c r="C1506" s="52"/>
      <c r="D1506" s="52"/>
      <c r="E1506" s="52"/>
      <c r="F1506" s="52"/>
      <c r="G1506" s="52"/>
      <c r="H1506" s="52"/>
    </row>
    <row r="1507" spans="1:8" ht="15.75">
      <c r="A1507" s="124">
        <v>41597</v>
      </c>
      <c r="B1507" s="125">
        <v>37.517000000000003</v>
      </c>
      <c r="C1507" s="52"/>
      <c r="D1507" s="52"/>
      <c r="E1507" s="52"/>
      <c r="F1507" s="52"/>
      <c r="G1507" s="52"/>
      <c r="H1507" s="52"/>
    </row>
    <row r="1508" spans="1:8" ht="15.75">
      <c r="A1508" s="124">
        <v>41598</v>
      </c>
      <c r="B1508" s="125">
        <v>37.832000000000001</v>
      </c>
      <c r="C1508" s="52"/>
      <c r="D1508" s="52"/>
      <c r="E1508" s="52"/>
      <c r="F1508" s="52"/>
      <c r="G1508" s="52"/>
      <c r="H1508" s="52"/>
    </row>
    <row r="1509" spans="1:8" ht="15.75">
      <c r="A1509" s="124">
        <v>41599</v>
      </c>
      <c r="B1509" s="125">
        <v>37.537999999999997</v>
      </c>
      <c r="C1509" s="52"/>
      <c r="D1509" s="52"/>
      <c r="E1509" s="52"/>
      <c r="F1509" s="52"/>
      <c r="G1509" s="52"/>
      <c r="H1509" s="52"/>
    </row>
    <row r="1510" spans="1:8" ht="15.75">
      <c r="A1510" s="124">
        <v>41600</v>
      </c>
      <c r="B1510" s="125">
        <v>37.308999999999997</v>
      </c>
      <c r="C1510" s="52"/>
      <c r="D1510" s="52"/>
      <c r="E1510" s="52"/>
      <c r="F1510" s="52"/>
      <c r="G1510" s="52"/>
      <c r="H1510" s="52"/>
    </row>
    <row r="1511" spans="1:8" ht="15.75">
      <c r="A1511" s="124">
        <v>41603</v>
      </c>
      <c r="B1511" s="125">
        <v>37.256999999999998</v>
      </c>
      <c r="C1511" s="52"/>
      <c r="D1511" s="52"/>
      <c r="E1511" s="52"/>
      <c r="F1511" s="52"/>
      <c r="G1511" s="52"/>
      <c r="H1511" s="52"/>
    </row>
    <row r="1512" spans="1:8" ht="15.75">
      <c r="A1512" s="124">
        <v>41604</v>
      </c>
      <c r="B1512" s="125">
        <v>36.935000000000002</v>
      </c>
      <c r="C1512" s="52"/>
      <c r="D1512" s="52"/>
      <c r="E1512" s="52"/>
      <c r="F1512" s="52"/>
      <c r="G1512" s="52"/>
      <c r="H1512" s="52"/>
    </row>
    <row r="1513" spans="1:8" ht="15.75">
      <c r="A1513" s="124">
        <v>41605</v>
      </c>
      <c r="B1513" s="125">
        <v>38.015999999999998</v>
      </c>
      <c r="C1513" s="52"/>
      <c r="D1513" s="52"/>
      <c r="E1513" s="52"/>
      <c r="F1513" s="52"/>
      <c r="G1513" s="52"/>
      <c r="H1513" s="52"/>
    </row>
    <row r="1514" spans="1:8" ht="15.75">
      <c r="A1514" s="124">
        <v>41606</v>
      </c>
      <c r="B1514" s="125">
        <v>38.213999999999999</v>
      </c>
      <c r="C1514" s="52"/>
      <c r="D1514" s="52"/>
      <c r="E1514" s="52"/>
      <c r="F1514" s="52"/>
      <c r="G1514" s="52"/>
      <c r="H1514" s="52"/>
    </row>
    <row r="1515" spans="1:8" ht="15.75">
      <c r="A1515" s="124">
        <v>41607</v>
      </c>
      <c r="B1515" s="125">
        <v>37.648000000000003</v>
      </c>
      <c r="C1515" s="52"/>
      <c r="D1515" s="52"/>
      <c r="E1515" s="52"/>
      <c r="F1515" s="52"/>
      <c r="G1515" s="52"/>
      <c r="H1515" s="52"/>
    </row>
    <row r="1516" spans="1:8" ht="15.75">
      <c r="A1516" s="124">
        <v>41610</v>
      </c>
      <c r="B1516" s="125">
        <v>37.923000000000002</v>
      </c>
      <c r="C1516" s="52"/>
      <c r="D1516" s="52"/>
      <c r="E1516" s="52"/>
      <c r="F1516" s="52"/>
      <c r="G1516" s="52"/>
      <c r="H1516" s="52"/>
    </row>
    <row r="1517" spans="1:8" ht="15.75">
      <c r="A1517" s="124">
        <v>41611</v>
      </c>
      <c r="B1517" s="125">
        <v>37.918999999999997</v>
      </c>
      <c r="C1517" s="52"/>
      <c r="D1517" s="52"/>
      <c r="E1517" s="52"/>
      <c r="F1517" s="52"/>
      <c r="G1517" s="52"/>
      <c r="H1517" s="52"/>
    </row>
    <row r="1518" spans="1:8" ht="15.75">
      <c r="A1518" s="124">
        <v>41612</v>
      </c>
      <c r="B1518" s="125">
        <v>38.898000000000003</v>
      </c>
      <c r="C1518" s="52"/>
      <c r="D1518" s="52"/>
      <c r="E1518" s="52"/>
      <c r="F1518" s="52"/>
      <c r="G1518" s="52"/>
      <c r="H1518" s="52"/>
    </row>
    <row r="1519" spans="1:8" ht="15.75">
      <c r="A1519" s="124">
        <v>41613</v>
      </c>
      <c r="B1519" s="125">
        <v>38.261000000000003</v>
      </c>
      <c r="C1519" s="52"/>
      <c r="D1519" s="52"/>
      <c r="E1519" s="52"/>
      <c r="F1519" s="52"/>
      <c r="G1519" s="52"/>
      <c r="H1519" s="52"/>
    </row>
    <row r="1520" spans="1:8" ht="15.75">
      <c r="A1520" s="124">
        <v>41614</v>
      </c>
      <c r="B1520" s="125">
        <v>38.497</v>
      </c>
      <c r="C1520" s="52"/>
      <c r="D1520" s="52"/>
      <c r="E1520" s="52"/>
      <c r="F1520" s="52"/>
      <c r="G1520" s="52"/>
      <c r="H1520" s="52"/>
    </row>
    <row r="1521" spans="1:8" ht="15.75">
      <c r="A1521" s="124">
        <v>41617</v>
      </c>
      <c r="B1521" s="125">
        <v>38.567</v>
      </c>
      <c r="C1521" s="52"/>
      <c r="D1521" s="52"/>
      <c r="E1521" s="52"/>
      <c r="F1521" s="52"/>
      <c r="G1521" s="52"/>
      <c r="H1521" s="52"/>
    </row>
    <row r="1522" spans="1:8" ht="15.75">
      <c r="A1522" s="124">
        <v>41618</v>
      </c>
      <c r="B1522" s="125">
        <v>38.951999999999998</v>
      </c>
      <c r="C1522" s="52"/>
      <c r="D1522" s="52"/>
      <c r="E1522" s="52"/>
      <c r="F1522" s="52"/>
      <c r="G1522" s="52"/>
      <c r="H1522" s="52"/>
    </row>
    <row r="1523" spans="1:8" ht="15.75">
      <c r="A1523" s="124">
        <v>41619</v>
      </c>
      <c r="B1523" s="125">
        <v>38.564999999999998</v>
      </c>
      <c r="C1523" s="52"/>
      <c r="D1523" s="52"/>
      <c r="E1523" s="52"/>
      <c r="F1523" s="52"/>
      <c r="G1523" s="52"/>
      <c r="H1523" s="52"/>
    </row>
    <row r="1524" spans="1:8" ht="15.75">
      <c r="A1524" s="124">
        <v>41620</v>
      </c>
      <c r="B1524" s="125">
        <v>38.255000000000003</v>
      </c>
      <c r="C1524" s="52"/>
      <c r="D1524" s="52"/>
      <c r="E1524" s="52"/>
      <c r="F1524" s="52"/>
      <c r="G1524" s="52"/>
      <c r="H1524" s="52"/>
    </row>
    <row r="1525" spans="1:8" ht="15.75">
      <c r="A1525" s="124">
        <v>41621</v>
      </c>
      <c r="B1525" s="125">
        <v>37.728999999999999</v>
      </c>
      <c r="C1525" s="52"/>
      <c r="D1525" s="52"/>
      <c r="E1525" s="52"/>
      <c r="F1525" s="52"/>
      <c r="G1525" s="52"/>
      <c r="H1525" s="52"/>
    </row>
    <row r="1526" spans="1:8" ht="15.75">
      <c r="A1526" s="124">
        <v>41624</v>
      </c>
      <c r="B1526" s="125">
        <v>37.603999999999999</v>
      </c>
      <c r="C1526" s="52"/>
      <c r="D1526" s="52"/>
      <c r="E1526" s="52"/>
      <c r="F1526" s="52"/>
      <c r="G1526" s="52"/>
      <c r="H1526" s="52"/>
    </row>
    <row r="1527" spans="1:8" ht="15.75">
      <c r="A1527" s="124">
        <v>41625</v>
      </c>
      <c r="B1527" s="125">
        <v>37.284999999999997</v>
      </c>
      <c r="C1527" s="52"/>
      <c r="D1527" s="52"/>
      <c r="E1527" s="52"/>
      <c r="F1527" s="52"/>
      <c r="G1527" s="52"/>
      <c r="H1527" s="52"/>
    </row>
    <row r="1528" spans="1:8" ht="15.75">
      <c r="A1528" s="124">
        <v>41626</v>
      </c>
      <c r="B1528" s="125">
        <v>37.029000000000003</v>
      </c>
      <c r="C1528" s="52"/>
      <c r="D1528" s="52"/>
      <c r="E1528" s="52"/>
      <c r="F1528" s="52"/>
      <c r="G1528" s="52"/>
      <c r="H1528" s="52"/>
    </row>
    <row r="1529" spans="1:8" ht="15.75">
      <c r="A1529" s="124">
        <v>41627</v>
      </c>
      <c r="B1529" s="125">
        <v>37.984000000000002</v>
      </c>
      <c r="C1529" s="52"/>
      <c r="D1529" s="52"/>
      <c r="E1529" s="52"/>
      <c r="F1529" s="52"/>
      <c r="G1529" s="52"/>
      <c r="H1529" s="52"/>
    </row>
    <row r="1530" spans="1:8" ht="15.75">
      <c r="A1530" s="124">
        <v>41628</v>
      </c>
      <c r="B1530" s="125">
        <v>37.600999999999999</v>
      </c>
      <c r="C1530" s="52"/>
      <c r="D1530" s="52"/>
      <c r="E1530" s="52"/>
      <c r="F1530" s="52"/>
      <c r="G1530" s="52"/>
      <c r="H1530" s="52"/>
    </row>
    <row r="1531" spans="1:8" ht="15.75">
      <c r="A1531" s="124">
        <v>41631</v>
      </c>
      <c r="B1531" s="125">
        <v>37.612000000000002</v>
      </c>
      <c r="C1531" s="52"/>
      <c r="D1531" s="52"/>
      <c r="E1531" s="52"/>
      <c r="F1531" s="52"/>
      <c r="G1531" s="52"/>
      <c r="H1531" s="52"/>
    </row>
    <row r="1532" spans="1:8" ht="15.75">
      <c r="A1532" s="124">
        <v>41635</v>
      </c>
      <c r="B1532" s="125">
        <v>37.372</v>
      </c>
      <c r="C1532" s="52"/>
      <c r="D1532" s="52"/>
      <c r="E1532" s="52"/>
      <c r="F1532" s="52"/>
      <c r="G1532" s="52"/>
      <c r="H1532" s="52"/>
    </row>
    <row r="1533" spans="1:8" ht="15.75">
      <c r="A1533" s="124">
        <v>41638</v>
      </c>
      <c r="B1533" s="125">
        <v>37.625999999999998</v>
      </c>
      <c r="C1533" s="52"/>
      <c r="D1533" s="52"/>
      <c r="E1533" s="52"/>
      <c r="F1533" s="52"/>
      <c r="G1533" s="52"/>
      <c r="H1533" s="52"/>
    </row>
    <row r="1534" spans="1:8" ht="15.75">
      <c r="A1534" s="124">
        <v>41641</v>
      </c>
      <c r="B1534" s="125">
        <v>37.624000000000002</v>
      </c>
      <c r="C1534" s="52"/>
      <c r="D1534" s="52"/>
      <c r="E1534" s="52"/>
      <c r="F1534" s="52"/>
      <c r="G1534" s="52"/>
      <c r="H1534" s="52"/>
    </row>
    <row r="1535" spans="1:8" ht="15.75">
      <c r="A1535" s="124">
        <v>41642</v>
      </c>
      <c r="B1535" s="125">
        <v>38.353999999999999</v>
      </c>
      <c r="C1535" s="52"/>
      <c r="D1535" s="52"/>
      <c r="E1535" s="52"/>
      <c r="F1535" s="52"/>
      <c r="G1535" s="52"/>
      <c r="H1535" s="52"/>
    </row>
    <row r="1536" spans="1:8" ht="15.75">
      <c r="A1536" s="124">
        <v>41645</v>
      </c>
      <c r="B1536" s="125">
        <v>38.728000000000002</v>
      </c>
      <c r="C1536" s="52"/>
      <c r="D1536" s="52"/>
      <c r="E1536" s="52"/>
      <c r="F1536" s="52"/>
      <c r="G1536" s="52"/>
      <c r="H1536" s="52"/>
    </row>
    <row r="1537" spans="1:8" ht="15.75">
      <c r="A1537" s="124">
        <v>41646</v>
      </c>
      <c r="B1537" s="125">
        <v>38.674999999999997</v>
      </c>
      <c r="C1537" s="52"/>
      <c r="D1537" s="52"/>
      <c r="E1537" s="52"/>
      <c r="F1537" s="52"/>
      <c r="G1537" s="52"/>
      <c r="H1537" s="52"/>
    </row>
    <row r="1538" spans="1:8" ht="15.75">
      <c r="A1538" s="124">
        <v>41647</v>
      </c>
      <c r="B1538" s="125">
        <v>39.087000000000003</v>
      </c>
      <c r="C1538" s="52"/>
      <c r="D1538" s="52"/>
      <c r="E1538" s="52"/>
      <c r="F1538" s="52"/>
      <c r="G1538" s="52"/>
      <c r="H1538" s="52"/>
    </row>
    <row r="1539" spans="1:8" ht="15.75">
      <c r="A1539" s="124">
        <v>41648</v>
      </c>
      <c r="B1539" s="125">
        <v>39.104999999999997</v>
      </c>
      <c r="C1539" s="52"/>
      <c r="D1539" s="52"/>
      <c r="E1539" s="52"/>
      <c r="F1539" s="52"/>
      <c r="G1539" s="52"/>
      <c r="H1539" s="52"/>
    </row>
    <row r="1540" spans="1:8" ht="15.75">
      <c r="A1540" s="124">
        <v>41649</v>
      </c>
      <c r="B1540" s="125">
        <v>39.04</v>
      </c>
      <c r="C1540" s="52"/>
      <c r="D1540" s="52"/>
      <c r="E1540" s="52"/>
      <c r="F1540" s="52"/>
      <c r="G1540" s="52"/>
      <c r="H1540" s="52"/>
    </row>
    <row r="1541" spans="1:8" ht="15.75">
      <c r="A1541" s="124">
        <v>41652</v>
      </c>
      <c r="B1541" s="125">
        <v>38.941000000000003</v>
      </c>
      <c r="C1541" s="52"/>
      <c r="D1541" s="52"/>
      <c r="E1541" s="52"/>
      <c r="F1541" s="52"/>
      <c r="G1541" s="52"/>
      <c r="H1541" s="52"/>
    </row>
    <row r="1542" spans="1:8" ht="15.75">
      <c r="A1542" s="124">
        <v>41653</v>
      </c>
      <c r="B1542" s="125">
        <v>38.968000000000004</v>
      </c>
      <c r="C1542" s="52"/>
      <c r="D1542" s="52"/>
      <c r="E1542" s="52"/>
      <c r="F1542" s="52"/>
      <c r="G1542" s="52"/>
      <c r="H1542" s="52"/>
    </row>
    <row r="1543" spans="1:8" ht="15.75">
      <c r="A1543" s="124">
        <v>41654</v>
      </c>
      <c r="B1543" s="125">
        <v>39.430999999999997</v>
      </c>
      <c r="C1543" s="52"/>
      <c r="D1543" s="52"/>
      <c r="E1543" s="52"/>
      <c r="F1543" s="52"/>
      <c r="G1543" s="52"/>
      <c r="H1543" s="52"/>
    </row>
    <row r="1544" spans="1:8" ht="15.75">
      <c r="A1544" s="124">
        <v>41655</v>
      </c>
      <c r="B1544" s="125">
        <v>39.475000000000001</v>
      </c>
      <c r="C1544" s="52"/>
      <c r="D1544" s="52"/>
      <c r="E1544" s="52"/>
      <c r="F1544" s="52"/>
      <c r="G1544" s="52"/>
      <c r="H1544" s="52"/>
    </row>
    <row r="1545" spans="1:8" ht="15.75">
      <c r="A1545" s="124">
        <v>41656</v>
      </c>
      <c r="B1545" s="125">
        <v>39.637999999999998</v>
      </c>
      <c r="C1545" s="52"/>
      <c r="D1545" s="52"/>
      <c r="E1545" s="52"/>
      <c r="F1545" s="52"/>
      <c r="G1545" s="52"/>
      <c r="H1545" s="52"/>
    </row>
    <row r="1546" spans="1:8" ht="15.75">
      <c r="A1546" s="124">
        <v>41659</v>
      </c>
      <c r="B1546" s="125">
        <v>39.655000000000001</v>
      </c>
      <c r="C1546" s="52"/>
      <c r="D1546" s="52"/>
      <c r="E1546" s="52"/>
      <c r="F1546" s="52"/>
      <c r="G1546" s="52"/>
      <c r="H1546" s="52"/>
    </row>
    <row r="1547" spans="1:8" ht="15.75">
      <c r="A1547" s="124">
        <v>41660</v>
      </c>
      <c r="B1547" s="125">
        <v>39.890999999999998</v>
      </c>
      <c r="C1547" s="52"/>
      <c r="D1547" s="52"/>
      <c r="E1547" s="52"/>
      <c r="F1547" s="52"/>
      <c r="G1547" s="52"/>
      <c r="H1547" s="52"/>
    </row>
    <row r="1548" spans="1:8" ht="15.75">
      <c r="A1548" s="124">
        <v>41661</v>
      </c>
      <c r="B1548" s="125">
        <v>39.731000000000002</v>
      </c>
      <c r="C1548" s="52"/>
      <c r="D1548" s="52"/>
      <c r="E1548" s="52"/>
      <c r="F1548" s="52"/>
      <c r="G1548" s="52"/>
      <c r="H1548" s="52"/>
    </row>
    <row r="1549" spans="1:8" ht="15.75">
      <c r="A1549" s="124">
        <v>41662</v>
      </c>
      <c r="B1549" s="125">
        <v>38.950000000000003</v>
      </c>
      <c r="C1549" s="52"/>
      <c r="D1549" s="52"/>
      <c r="E1549" s="52"/>
      <c r="F1549" s="52"/>
      <c r="G1549" s="52"/>
      <c r="H1549" s="52"/>
    </row>
    <row r="1550" spans="1:8" ht="15.75">
      <c r="A1550" s="124">
        <v>41663</v>
      </c>
      <c r="B1550" s="125">
        <v>39.039000000000001</v>
      </c>
      <c r="C1550" s="52"/>
      <c r="D1550" s="52"/>
      <c r="E1550" s="52"/>
      <c r="F1550" s="52"/>
      <c r="G1550" s="52"/>
      <c r="H1550" s="52"/>
    </row>
    <row r="1551" spans="1:8" ht="15.75">
      <c r="A1551" s="124">
        <v>41666</v>
      </c>
      <c r="B1551" s="125">
        <v>38.966999999999999</v>
      </c>
      <c r="C1551" s="52"/>
      <c r="D1551" s="52"/>
      <c r="E1551" s="52"/>
      <c r="F1551" s="52"/>
      <c r="G1551" s="52"/>
      <c r="H1551" s="52"/>
    </row>
    <row r="1552" spans="1:8" ht="15.75">
      <c r="A1552" s="124">
        <v>41667</v>
      </c>
      <c r="B1552" s="125">
        <v>39.204000000000001</v>
      </c>
      <c r="C1552" s="52"/>
      <c r="D1552" s="52"/>
      <c r="E1552" s="52"/>
      <c r="F1552" s="52"/>
      <c r="G1552" s="52"/>
      <c r="H1552" s="52"/>
    </row>
    <row r="1553" spans="1:8" ht="15.75">
      <c r="A1553" s="124">
        <v>41668</v>
      </c>
      <c r="B1553" s="125">
        <v>39.244</v>
      </c>
      <c r="C1553" s="52"/>
      <c r="D1553" s="52"/>
      <c r="E1553" s="52"/>
      <c r="F1553" s="52"/>
      <c r="G1553" s="52"/>
      <c r="H1553" s="52"/>
    </row>
    <row r="1554" spans="1:8" ht="15.75">
      <c r="A1554" s="124">
        <v>41669</v>
      </c>
      <c r="B1554" s="125">
        <v>40.317999999999998</v>
      </c>
      <c r="C1554" s="52"/>
      <c r="D1554" s="52"/>
      <c r="E1554" s="52"/>
      <c r="F1554" s="52"/>
      <c r="G1554" s="52"/>
      <c r="H1554" s="52"/>
    </row>
    <row r="1555" spans="1:8" ht="15.75">
      <c r="A1555" s="124">
        <v>41670</v>
      </c>
      <c r="B1555" s="125">
        <v>40.865000000000002</v>
      </c>
      <c r="C1555" s="52"/>
      <c r="D1555" s="52"/>
      <c r="E1555" s="52"/>
      <c r="F1555" s="52"/>
      <c r="G1555" s="52"/>
      <c r="H1555" s="52"/>
    </row>
    <row r="1556" spans="1:8" ht="15.75">
      <c r="A1556" s="124">
        <v>41673</v>
      </c>
      <c r="B1556" s="125">
        <v>40.289000000000001</v>
      </c>
      <c r="C1556" s="52"/>
      <c r="D1556" s="52"/>
      <c r="E1556" s="52"/>
      <c r="F1556" s="52"/>
      <c r="G1556" s="52"/>
      <c r="H1556" s="52"/>
    </row>
    <row r="1557" spans="1:8" ht="15.75">
      <c r="A1557" s="124">
        <v>41674</v>
      </c>
      <c r="B1557" s="125">
        <v>40.56</v>
      </c>
      <c r="C1557" s="52"/>
      <c r="D1557" s="52"/>
      <c r="E1557" s="52"/>
      <c r="F1557" s="52"/>
      <c r="G1557" s="52"/>
      <c r="H1557" s="52"/>
    </row>
    <row r="1558" spans="1:8" ht="15.75">
      <c r="A1558" s="124">
        <v>41675</v>
      </c>
      <c r="B1558" s="125">
        <v>41.012</v>
      </c>
      <c r="C1558" s="52"/>
      <c r="D1558" s="52"/>
      <c r="E1558" s="52"/>
      <c r="F1558" s="52"/>
      <c r="G1558" s="52"/>
      <c r="H1558" s="52"/>
    </row>
    <row r="1559" spans="1:8" ht="15.75">
      <c r="A1559" s="124">
        <v>41676</v>
      </c>
      <c r="B1559" s="125">
        <v>41.164999999999999</v>
      </c>
      <c r="C1559" s="52"/>
      <c r="D1559" s="52"/>
      <c r="E1559" s="52"/>
      <c r="F1559" s="52"/>
      <c r="G1559" s="52"/>
      <c r="H1559" s="52"/>
    </row>
    <row r="1560" spans="1:8" ht="15.75">
      <c r="A1560" s="124">
        <v>41677</v>
      </c>
      <c r="B1560" s="125">
        <v>41.417999999999999</v>
      </c>
      <c r="C1560" s="52"/>
      <c r="D1560" s="52"/>
      <c r="E1560" s="52"/>
      <c r="F1560" s="52"/>
      <c r="G1560" s="52"/>
      <c r="H1560" s="52"/>
    </row>
    <row r="1561" spans="1:8" ht="15.75">
      <c r="A1561" s="124">
        <v>41680</v>
      </c>
      <c r="B1561" s="125">
        <v>41.965000000000003</v>
      </c>
      <c r="C1561" s="52"/>
      <c r="D1561" s="52"/>
      <c r="E1561" s="52"/>
      <c r="F1561" s="52"/>
      <c r="G1561" s="52"/>
      <c r="H1561" s="52"/>
    </row>
    <row r="1562" spans="1:8" ht="15.75">
      <c r="A1562" s="124">
        <v>41681</v>
      </c>
      <c r="B1562" s="125">
        <v>42.424999999999997</v>
      </c>
      <c r="C1562" s="52"/>
      <c r="D1562" s="52"/>
      <c r="E1562" s="52"/>
      <c r="F1562" s="52"/>
      <c r="G1562" s="52"/>
      <c r="H1562" s="52"/>
    </row>
    <row r="1563" spans="1:8" ht="15.75">
      <c r="A1563" s="124">
        <v>41682</v>
      </c>
      <c r="B1563" s="125">
        <v>42.524000000000001</v>
      </c>
      <c r="C1563" s="52"/>
      <c r="D1563" s="52"/>
      <c r="E1563" s="52"/>
      <c r="F1563" s="52"/>
      <c r="G1563" s="52"/>
      <c r="H1563" s="52"/>
    </row>
    <row r="1564" spans="1:8" ht="15.75">
      <c r="A1564" s="124">
        <v>41683</v>
      </c>
      <c r="B1564" s="125">
        <v>42.402000000000001</v>
      </c>
      <c r="C1564" s="52"/>
      <c r="D1564" s="52"/>
      <c r="E1564" s="52"/>
      <c r="F1564" s="52"/>
      <c r="G1564" s="52"/>
      <c r="H1564" s="52"/>
    </row>
    <row r="1565" spans="1:8" ht="15.75">
      <c r="A1565" s="124">
        <v>41684</v>
      </c>
      <c r="B1565" s="125">
        <v>42.625</v>
      </c>
      <c r="C1565" s="52"/>
      <c r="D1565" s="52"/>
      <c r="E1565" s="52"/>
      <c r="F1565" s="52"/>
      <c r="G1565" s="52"/>
      <c r="H1565" s="52"/>
    </row>
    <row r="1566" spans="1:8" ht="15.75">
      <c r="A1566" s="124">
        <v>41687</v>
      </c>
      <c r="B1566" s="125">
        <v>42.636000000000003</v>
      </c>
      <c r="C1566" s="52"/>
      <c r="D1566" s="52"/>
      <c r="E1566" s="52"/>
      <c r="F1566" s="52"/>
      <c r="G1566" s="52"/>
      <c r="H1566" s="52"/>
    </row>
    <row r="1567" spans="1:8" ht="15.75">
      <c r="A1567" s="124">
        <v>41688</v>
      </c>
      <c r="B1567" s="125">
        <v>42.521999999999998</v>
      </c>
      <c r="C1567" s="52"/>
      <c r="D1567" s="52"/>
      <c r="E1567" s="52"/>
      <c r="F1567" s="52"/>
      <c r="G1567" s="52"/>
      <c r="H1567" s="52"/>
    </row>
    <row r="1568" spans="1:8" ht="15.75">
      <c r="A1568" s="124">
        <v>41689</v>
      </c>
      <c r="B1568" s="125">
        <v>42.835999999999999</v>
      </c>
      <c r="C1568" s="52"/>
      <c r="D1568" s="52"/>
      <c r="E1568" s="52"/>
      <c r="F1568" s="52"/>
      <c r="G1568" s="52"/>
      <c r="H1568" s="52"/>
    </row>
    <row r="1569" spans="1:8" ht="15.75">
      <c r="A1569" s="124">
        <v>41690</v>
      </c>
      <c r="B1569" s="125">
        <v>42.444000000000003</v>
      </c>
      <c r="C1569" s="52"/>
      <c r="D1569" s="52"/>
      <c r="E1569" s="52"/>
      <c r="F1569" s="52"/>
      <c r="G1569" s="52"/>
      <c r="H1569" s="52"/>
    </row>
    <row r="1570" spans="1:8" ht="15.75">
      <c r="A1570" s="124">
        <v>41691</v>
      </c>
      <c r="B1570" s="125">
        <v>42.588000000000001</v>
      </c>
      <c r="C1570" s="52"/>
      <c r="D1570" s="52"/>
      <c r="E1570" s="52"/>
      <c r="F1570" s="52"/>
      <c r="G1570" s="52"/>
      <c r="H1570" s="52"/>
    </row>
    <row r="1571" spans="1:8" ht="15.75">
      <c r="A1571" s="124">
        <v>41694</v>
      </c>
      <c r="B1571" s="125">
        <v>42.807000000000002</v>
      </c>
      <c r="C1571" s="52"/>
      <c r="D1571" s="52"/>
      <c r="E1571" s="52"/>
      <c r="F1571" s="52"/>
      <c r="G1571" s="52"/>
      <c r="H1571" s="52"/>
    </row>
    <row r="1572" spans="1:8" ht="15.75">
      <c r="A1572" s="124">
        <v>41695</v>
      </c>
      <c r="B1572" s="125">
        <v>42.597000000000001</v>
      </c>
      <c r="C1572" s="52"/>
      <c r="D1572" s="52"/>
      <c r="E1572" s="52"/>
      <c r="F1572" s="52"/>
      <c r="G1572" s="52"/>
      <c r="H1572" s="52"/>
    </row>
    <row r="1573" spans="1:8" ht="15.75">
      <c r="A1573" s="124">
        <v>41696</v>
      </c>
      <c r="B1573" s="125">
        <v>42.662999999999997</v>
      </c>
      <c r="C1573" s="52"/>
      <c r="D1573" s="52"/>
      <c r="E1573" s="52"/>
      <c r="F1573" s="52"/>
      <c r="G1573" s="52"/>
      <c r="H1573" s="52"/>
    </row>
    <row r="1574" spans="1:8" ht="15.75">
      <c r="A1574" s="124">
        <v>41697</v>
      </c>
      <c r="B1574" s="125">
        <v>42.179000000000002</v>
      </c>
      <c r="C1574" s="52"/>
      <c r="D1574" s="52"/>
      <c r="E1574" s="52"/>
      <c r="F1574" s="52"/>
      <c r="G1574" s="52"/>
      <c r="H1574" s="52"/>
    </row>
    <row r="1575" spans="1:8" ht="15.75">
      <c r="A1575" s="124">
        <v>41698</v>
      </c>
      <c r="B1575" s="125">
        <v>42.073</v>
      </c>
      <c r="C1575" s="52"/>
      <c r="D1575" s="52"/>
      <c r="E1575" s="52"/>
      <c r="F1575" s="52"/>
      <c r="G1575" s="52"/>
      <c r="H1575" s="52"/>
    </row>
    <row r="1576" spans="1:8" ht="15.75">
      <c r="A1576" s="124">
        <v>41701</v>
      </c>
      <c r="B1576" s="125">
        <v>42.383000000000003</v>
      </c>
      <c r="C1576" s="52"/>
      <c r="D1576" s="52"/>
      <c r="E1576" s="52"/>
      <c r="F1576" s="52"/>
      <c r="G1576" s="52"/>
      <c r="H1576" s="52"/>
    </row>
    <row r="1577" spans="1:8" ht="15.75">
      <c r="A1577" s="124">
        <v>41702</v>
      </c>
      <c r="B1577" s="125">
        <v>42.814999999999998</v>
      </c>
      <c r="C1577" s="52"/>
      <c r="D1577" s="52"/>
      <c r="E1577" s="52"/>
      <c r="F1577" s="52"/>
      <c r="G1577" s="52"/>
      <c r="H1577" s="52"/>
    </row>
    <row r="1578" spans="1:8" ht="15.75">
      <c r="A1578" s="124">
        <v>41703</v>
      </c>
      <c r="B1578" s="125">
        <v>42.63</v>
      </c>
      <c r="C1578" s="52"/>
      <c r="D1578" s="52"/>
      <c r="E1578" s="52"/>
      <c r="F1578" s="52"/>
      <c r="G1578" s="52"/>
      <c r="H1578" s="52"/>
    </row>
    <row r="1579" spans="1:8" ht="15.75">
      <c r="A1579" s="124">
        <v>41704</v>
      </c>
      <c r="B1579" s="125">
        <v>41.807000000000002</v>
      </c>
      <c r="C1579" s="52"/>
      <c r="D1579" s="52"/>
      <c r="E1579" s="52"/>
      <c r="F1579" s="52"/>
      <c r="G1579" s="52"/>
      <c r="H1579" s="52"/>
    </row>
    <row r="1580" spans="1:8" ht="15.75">
      <c r="A1580" s="124">
        <v>41705</v>
      </c>
      <c r="B1580" s="125">
        <v>41.512</v>
      </c>
      <c r="C1580" s="52"/>
      <c r="D1580" s="52"/>
      <c r="E1580" s="52"/>
      <c r="F1580" s="52"/>
      <c r="G1580" s="52"/>
      <c r="H1580" s="52"/>
    </row>
    <row r="1581" spans="1:8" ht="15.75">
      <c r="A1581" s="124">
        <v>41708</v>
      </c>
      <c r="B1581" s="125">
        <v>41.31</v>
      </c>
      <c r="C1581" s="52"/>
      <c r="D1581" s="52"/>
      <c r="E1581" s="52"/>
      <c r="F1581" s="52"/>
      <c r="G1581" s="52"/>
      <c r="H1581" s="52"/>
    </row>
    <row r="1582" spans="1:8" ht="15.75">
      <c r="A1582" s="124">
        <v>41709</v>
      </c>
      <c r="B1582" s="125">
        <v>41.634999999999998</v>
      </c>
      <c r="C1582" s="52"/>
      <c r="D1582" s="52"/>
      <c r="E1582" s="52"/>
      <c r="F1582" s="52"/>
      <c r="G1582" s="52"/>
      <c r="H1582" s="52"/>
    </row>
    <row r="1583" spans="1:8" ht="15.75">
      <c r="A1583" s="124">
        <v>41710</v>
      </c>
      <c r="B1583" s="125">
        <v>41.850999999999999</v>
      </c>
      <c r="C1583" s="52"/>
      <c r="D1583" s="52"/>
      <c r="E1583" s="52"/>
      <c r="F1583" s="52"/>
      <c r="G1583" s="52"/>
      <c r="H1583" s="52"/>
    </row>
    <row r="1584" spans="1:8" ht="15.75">
      <c r="A1584" s="124">
        <v>41711</v>
      </c>
      <c r="B1584" s="125">
        <v>41.793999999999997</v>
      </c>
      <c r="C1584" s="52"/>
      <c r="D1584" s="52"/>
      <c r="E1584" s="52"/>
      <c r="F1584" s="52"/>
      <c r="G1584" s="52"/>
      <c r="H1584" s="52"/>
    </row>
    <row r="1585" spans="1:8" ht="15.75">
      <c r="A1585" s="124">
        <v>41712</v>
      </c>
      <c r="B1585" s="125">
        <v>41.671999999999997</v>
      </c>
      <c r="C1585" s="52"/>
      <c r="D1585" s="52"/>
      <c r="E1585" s="52"/>
      <c r="F1585" s="52"/>
      <c r="G1585" s="52"/>
      <c r="H1585" s="52"/>
    </row>
    <row r="1586" spans="1:8" ht="15.75">
      <c r="A1586" s="124">
        <v>41715</v>
      </c>
      <c r="B1586" s="125">
        <v>41.612000000000002</v>
      </c>
      <c r="C1586" s="52"/>
      <c r="D1586" s="52"/>
      <c r="E1586" s="52"/>
      <c r="F1586" s="52"/>
      <c r="G1586" s="52"/>
      <c r="H1586" s="52"/>
    </row>
    <row r="1587" spans="1:8" ht="15.75">
      <c r="A1587" s="124">
        <v>41716</v>
      </c>
      <c r="B1587" s="125">
        <v>41.728999999999999</v>
      </c>
      <c r="C1587" s="52"/>
      <c r="D1587" s="52"/>
      <c r="E1587" s="52"/>
      <c r="F1587" s="52"/>
      <c r="G1587" s="52"/>
      <c r="H1587" s="52"/>
    </row>
    <row r="1588" spans="1:8" ht="15.75">
      <c r="A1588" s="124">
        <v>41717</v>
      </c>
      <c r="B1588" s="125">
        <v>41.365000000000002</v>
      </c>
      <c r="C1588" s="52"/>
      <c r="D1588" s="52"/>
      <c r="E1588" s="52"/>
      <c r="F1588" s="52"/>
      <c r="G1588" s="52"/>
      <c r="H1588" s="52"/>
    </row>
    <row r="1589" spans="1:8" ht="15.75">
      <c r="A1589" s="124">
        <v>41718</v>
      </c>
      <c r="B1589" s="125">
        <v>41.176000000000002</v>
      </c>
      <c r="C1589" s="52"/>
      <c r="D1589" s="52"/>
      <c r="E1589" s="52"/>
      <c r="F1589" s="52"/>
      <c r="G1589" s="52"/>
      <c r="H1589" s="52"/>
    </row>
    <row r="1590" spans="1:8" ht="15.75">
      <c r="A1590" s="124">
        <v>41719</v>
      </c>
      <c r="B1590" s="125">
        <v>41.232999999999997</v>
      </c>
      <c r="C1590" s="52"/>
      <c r="D1590" s="52"/>
      <c r="E1590" s="52"/>
      <c r="F1590" s="52"/>
      <c r="G1590" s="52"/>
      <c r="H1590" s="52"/>
    </row>
    <row r="1591" spans="1:8" ht="15.75">
      <c r="A1591" s="124">
        <v>41722</v>
      </c>
      <c r="B1591" s="125">
        <v>40.819000000000003</v>
      </c>
      <c r="C1591" s="52"/>
      <c r="D1591" s="52"/>
      <c r="E1591" s="52"/>
      <c r="F1591" s="52"/>
      <c r="G1591" s="52"/>
      <c r="H1591" s="52"/>
    </row>
    <row r="1592" spans="1:8" ht="15.75">
      <c r="A1592" s="124">
        <v>41723</v>
      </c>
      <c r="B1592" s="125">
        <v>41.673000000000002</v>
      </c>
      <c r="C1592" s="52"/>
      <c r="D1592" s="52"/>
      <c r="E1592" s="52"/>
      <c r="F1592" s="52"/>
      <c r="G1592" s="52"/>
      <c r="H1592" s="52"/>
    </row>
    <row r="1593" spans="1:8" ht="15.75">
      <c r="A1593" s="124">
        <v>41724</v>
      </c>
      <c r="B1593" s="125">
        <v>41.43</v>
      </c>
      <c r="C1593" s="52"/>
      <c r="D1593" s="52"/>
      <c r="E1593" s="52"/>
      <c r="F1593" s="52"/>
      <c r="G1593" s="52"/>
      <c r="H1593" s="52"/>
    </row>
    <row r="1594" spans="1:8" ht="15.75">
      <c r="A1594" s="124">
        <v>41725</v>
      </c>
      <c r="B1594" s="125">
        <v>41.182000000000002</v>
      </c>
      <c r="C1594" s="52"/>
      <c r="D1594" s="52"/>
      <c r="E1594" s="52"/>
      <c r="F1594" s="52"/>
      <c r="G1594" s="52"/>
      <c r="H1594" s="52"/>
    </row>
    <row r="1595" spans="1:8" ht="15.75">
      <c r="A1595" s="124">
        <v>41726</v>
      </c>
      <c r="B1595" s="125">
        <v>41.481999999999999</v>
      </c>
      <c r="C1595" s="52"/>
      <c r="D1595" s="52"/>
      <c r="E1595" s="52"/>
      <c r="F1595" s="52"/>
      <c r="G1595" s="52"/>
      <c r="H1595" s="52"/>
    </row>
    <row r="1596" spans="1:8" ht="15.75">
      <c r="A1596" s="124">
        <v>41729</v>
      </c>
      <c r="B1596" s="125">
        <v>42.039000000000001</v>
      </c>
      <c r="C1596" s="52"/>
      <c r="D1596" s="52"/>
      <c r="E1596" s="52"/>
      <c r="F1596" s="52"/>
      <c r="G1596" s="52"/>
      <c r="H1596" s="52"/>
    </row>
    <row r="1597" spans="1:8" ht="15.75">
      <c r="A1597" s="124">
        <v>41730</v>
      </c>
      <c r="B1597" s="125">
        <v>41.887</v>
      </c>
      <c r="C1597" s="52"/>
      <c r="D1597" s="52"/>
      <c r="E1597" s="52"/>
      <c r="F1597" s="52"/>
      <c r="G1597" s="52"/>
      <c r="H1597" s="52"/>
    </row>
    <row r="1598" spans="1:8" ht="15.75">
      <c r="A1598" s="124">
        <v>41731</v>
      </c>
      <c r="B1598" s="125">
        <v>42.728000000000002</v>
      </c>
      <c r="C1598" s="52"/>
      <c r="D1598" s="52"/>
      <c r="E1598" s="52"/>
      <c r="F1598" s="52"/>
      <c r="G1598" s="52"/>
      <c r="H1598" s="52"/>
    </row>
    <row r="1599" spans="1:8" ht="15.75">
      <c r="A1599" s="124">
        <v>41732</v>
      </c>
      <c r="B1599" s="125">
        <v>42.491</v>
      </c>
      <c r="C1599" s="52"/>
      <c r="D1599" s="52"/>
      <c r="E1599" s="52"/>
      <c r="F1599" s="52"/>
      <c r="G1599" s="52"/>
      <c r="H1599" s="52"/>
    </row>
    <row r="1600" spans="1:8" ht="15.75">
      <c r="A1600" s="124">
        <v>41733</v>
      </c>
      <c r="B1600" s="125">
        <v>42.877000000000002</v>
      </c>
      <c r="C1600" s="52"/>
      <c r="D1600" s="52"/>
      <c r="E1600" s="52"/>
      <c r="F1600" s="52"/>
      <c r="G1600" s="52"/>
      <c r="H1600" s="52"/>
    </row>
    <row r="1601" spans="1:8" ht="15.75">
      <c r="A1601" s="124">
        <v>41736</v>
      </c>
      <c r="B1601" s="125">
        <v>43.362000000000002</v>
      </c>
      <c r="C1601" s="52"/>
      <c r="D1601" s="52"/>
      <c r="E1601" s="52"/>
      <c r="F1601" s="52"/>
      <c r="G1601" s="52"/>
      <c r="H1601" s="52"/>
    </row>
    <row r="1602" spans="1:8" ht="15.75">
      <c r="A1602" s="124">
        <v>41737</v>
      </c>
      <c r="B1602" s="125">
        <v>43.189</v>
      </c>
      <c r="C1602" s="52"/>
      <c r="D1602" s="52"/>
      <c r="E1602" s="52"/>
      <c r="F1602" s="52"/>
      <c r="G1602" s="52"/>
      <c r="H1602" s="52"/>
    </row>
    <row r="1603" spans="1:8" ht="15.75">
      <c r="A1603" s="124">
        <v>41738</v>
      </c>
      <c r="B1603" s="125">
        <v>43.131</v>
      </c>
      <c r="C1603" s="52"/>
      <c r="D1603" s="52"/>
      <c r="E1603" s="52"/>
      <c r="F1603" s="52"/>
      <c r="G1603" s="52"/>
      <c r="H1603" s="52"/>
    </row>
    <row r="1604" spans="1:8" ht="15.75">
      <c r="A1604" s="124">
        <v>41739</v>
      </c>
      <c r="B1604" s="125">
        <v>42.646999999999998</v>
      </c>
      <c r="C1604" s="52"/>
      <c r="D1604" s="52"/>
      <c r="E1604" s="52"/>
      <c r="F1604" s="52"/>
      <c r="G1604" s="52"/>
      <c r="H1604" s="52"/>
    </row>
    <row r="1605" spans="1:8" ht="15.75">
      <c r="A1605" s="124">
        <v>41740</v>
      </c>
      <c r="B1605" s="125">
        <v>41.601999999999997</v>
      </c>
      <c r="C1605" s="52"/>
      <c r="D1605" s="52"/>
      <c r="E1605" s="52"/>
      <c r="F1605" s="52"/>
      <c r="G1605" s="52"/>
      <c r="H1605" s="52"/>
    </row>
    <row r="1606" spans="1:8" ht="15.75">
      <c r="A1606" s="124">
        <v>41743</v>
      </c>
      <c r="B1606" s="125">
        <v>41.725000000000001</v>
      </c>
      <c r="C1606" s="52"/>
      <c r="D1606" s="52"/>
      <c r="E1606" s="52"/>
      <c r="F1606" s="52"/>
      <c r="G1606" s="52"/>
      <c r="H1606" s="52"/>
    </row>
    <row r="1607" spans="1:8" ht="15.75">
      <c r="A1607" s="124">
        <v>41744</v>
      </c>
      <c r="B1607" s="125">
        <v>41.872</v>
      </c>
      <c r="C1607" s="52"/>
      <c r="D1607" s="52"/>
      <c r="E1607" s="52"/>
      <c r="F1607" s="52"/>
      <c r="G1607" s="52"/>
      <c r="H1607" s="52"/>
    </row>
    <row r="1608" spans="1:8" ht="15.75">
      <c r="A1608" s="124">
        <v>41745</v>
      </c>
      <c r="B1608" s="125">
        <v>42.264000000000003</v>
      </c>
      <c r="C1608" s="52"/>
      <c r="D1608" s="52"/>
      <c r="E1608" s="52"/>
      <c r="F1608" s="52"/>
      <c r="G1608" s="52"/>
      <c r="H1608" s="52"/>
    </row>
    <row r="1609" spans="1:8" ht="15.75">
      <c r="A1609" s="124">
        <v>41746</v>
      </c>
      <c r="B1609" s="125">
        <v>41.271999999999998</v>
      </c>
      <c r="C1609" s="52"/>
      <c r="D1609" s="52"/>
      <c r="E1609" s="52"/>
      <c r="F1609" s="52"/>
      <c r="G1609" s="52"/>
      <c r="H1609" s="52"/>
    </row>
    <row r="1610" spans="1:8" ht="15.75">
      <c r="A1610" s="124">
        <v>41751</v>
      </c>
      <c r="B1610" s="125">
        <v>41.798999999999999</v>
      </c>
      <c r="C1610" s="52"/>
      <c r="D1610" s="52"/>
      <c r="E1610" s="52"/>
      <c r="F1610" s="52"/>
      <c r="G1610" s="52"/>
      <c r="H1610" s="52"/>
    </row>
    <row r="1611" spans="1:8" ht="15.75">
      <c r="A1611" s="124">
        <v>41752</v>
      </c>
      <c r="B1611" s="125">
        <v>41.645000000000003</v>
      </c>
      <c r="C1611" s="52"/>
      <c r="D1611" s="52"/>
      <c r="E1611" s="52"/>
      <c r="F1611" s="52"/>
      <c r="G1611" s="52"/>
      <c r="H1611" s="52"/>
    </row>
    <row r="1612" spans="1:8" ht="15.75">
      <c r="A1612" s="124">
        <v>41753</v>
      </c>
      <c r="B1612" s="125">
        <v>41.878999999999998</v>
      </c>
      <c r="C1612" s="52"/>
      <c r="D1612" s="52"/>
      <c r="E1612" s="52"/>
      <c r="F1612" s="52"/>
      <c r="G1612" s="52"/>
      <c r="H1612" s="52"/>
    </row>
    <row r="1613" spans="1:8" ht="15.75">
      <c r="A1613" s="124">
        <v>41754</v>
      </c>
      <c r="B1613" s="125">
        <v>42.125999999999998</v>
      </c>
      <c r="C1613" s="52"/>
      <c r="D1613" s="52"/>
      <c r="E1613" s="52"/>
      <c r="F1613" s="52"/>
      <c r="G1613" s="52"/>
      <c r="H1613" s="52"/>
    </row>
    <row r="1614" spans="1:8" ht="15.75">
      <c r="A1614" s="124">
        <v>41757</v>
      </c>
      <c r="B1614" s="125">
        <v>42.377000000000002</v>
      </c>
      <c r="C1614" s="52"/>
      <c r="D1614" s="52"/>
      <c r="E1614" s="52"/>
      <c r="F1614" s="52"/>
      <c r="G1614" s="52"/>
      <c r="H1614" s="52"/>
    </row>
    <row r="1615" spans="1:8" ht="15.75">
      <c r="A1615" s="124">
        <v>41758</v>
      </c>
      <c r="B1615" s="125">
        <v>42.738</v>
      </c>
      <c r="C1615" s="52"/>
      <c r="D1615" s="52"/>
      <c r="E1615" s="52"/>
      <c r="F1615" s="52"/>
      <c r="G1615" s="52"/>
      <c r="H1615" s="52"/>
    </row>
    <row r="1616" spans="1:8" ht="15.75">
      <c r="A1616" s="124">
        <v>41759</v>
      </c>
      <c r="B1616" s="125">
        <v>42.295000000000002</v>
      </c>
      <c r="C1616" s="52"/>
      <c r="D1616" s="52"/>
      <c r="E1616" s="52"/>
      <c r="F1616" s="52"/>
      <c r="G1616" s="52"/>
      <c r="H1616" s="52"/>
    </row>
    <row r="1617" spans="1:8" ht="15.75">
      <c r="A1617" s="124">
        <v>41761</v>
      </c>
      <c r="B1617" s="125">
        <v>42.921999999999997</v>
      </c>
      <c r="C1617" s="52"/>
      <c r="D1617" s="52"/>
      <c r="E1617" s="52"/>
      <c r="F1617" s="52"/>
      <c r="G1617" s="52"/>
      <c r="H1617" s="52"/>
    </row>
    <row r="1618" spans="1:8" ht="15.75">
      <c r="A1618" s="124">
        <v>41764</v>
      </c>
      <c r="B1618" s="125">
        <v>43.295000000000002</v>
      </c>
      <c r="C1618" s="52"/>
      <c r="D1618" s="52"/>
      <c r="E1618" s="52"/>
      <c r="F1618" s="52"/>
      <c r="G1618" s="52"/>
      <c r="H1618" s="52"/>
    </row>
    <row r="1619" spans="1:8" ht="15.75">
      <c r="A1619" s="124">
        <v>41765</v>
      </c>
      <c r="B1619" s="125">
        <v>43.304000000000002</v>
      </c>
      <c r="C1619" s="52"/>
      <c r="D1619" s="52"/>
      <c r="E1619" s="52"/>
      <c r="F1619" s="52"/>
      <c r="G1619" s="52"/>
      <c r="H1619" s="52"/>
    </row>
    <row r="1620" spans="1:8" ht="15.75">
      <c r="A1620" s="124">
        <v>41766</v>
      </c>
      <c r="B1620" s="125">
        <v>43.92</v>
      </c>
      <c r="C1620" s="52"/>
      <c r="D1620" s="52"/>
      <c r="E1620" s="52"/>
      <c r="F1620" s="52"/>
      <c r="G1620" s="52"/>
      <c r="H1620" s="52"/>
    </row>
    <row r="1621" spans="1:8" ht="15.75">
      <c r="A1621" s="124">
        <v>41767</v>
      </c>
      <c r="B1621" s="125">
        <v>44.401000000000003</v>
      </c>
      <c r="C1621" s="52"/>
      <c r="D1621" s="52"/>
      <c r="E1621" s="52"/>
      <c r="F1621" s="52"/>
      <c r="G1621" s="52"/>
      <c r="H1621" s="52"/>
    </row>
    <row r="1622" spans="1:8" ht="15.75">
      <c r="A1622" s="124">
        <v>41768</v>
      </c>
      <c r="B1622" s="125">
        <v>44.603000000000002</v>
      </c>
      <c r="C1622" s="52"/>
      <c r="D1622" s="52"/>
      <c r="E1622" s="52"/>
      <c r="F1622" s="52"/>
      <c r="G1622" s="52"/>
      <c r="H1622" s="52"/>
    </row>
    <row r="1623" spans="1:8" ht="15.75">
      <c r="A1623" s="124">
        <v>41771</v>
      </c>
      <c r="B1623" s="125">
        <v>44.802999999999997</v>
      </c>
      <c r="C1623" s="52"/>
      <c r="D1623" s="52"/>
      <c r="E1623" s="52"/>
      <c r="F1623" s="52"/>
      <c r="G1623" s="52"/>
      <c r="H1623" s="52"/>
    </row>
    <row r="1624" spans="1:8" ht="15.75">
      <c r="A1624" s="124">
        <v>41772</v>
      </c>
      <c r="B1624" s="125">
        <v>44.959000000000003</v>
      </c>
      <c r="C1624" s="52"/>
      <c r="D1624" s="52"/>
      <c r="E1624" s="52"/>
      <c r="F1624" s="52"/>
      <c r="G1624" s="52"/>
      <c r="H1624" s="52"/>
    </row>
    <row r="1625" spans="1:8" ht="15.75">
      <c r="A1625" s="124">
        <v>41773</v>
      </c>
      <c r="B1625" s="125">
        <v>44.926000000000002</v>
      </c>
      <c r="C1625" s="52"/>
      <c r="D1625" s="52"/>
      <c r="E1625" s="52"/>
      <c r="F1625" s="52"/>
      <c r="G1625" s="52"/>
      <c r="H1625" s="52"/>
    </row>
    <row r="1626" spans="1:8" ht="15.75">
      <c r="A1626" s="124">
        <v>41774</v>
      </c>
      <c r="B1626" s="125">
        <v>44.404000000000003</v>
      </c>
      <c r="C1626" s="52"/>
      <c r="D1626" s="52"/>
      <c r="E1626" s="52"/>
      <c r="F1626" s="52"/>
      <c r="G1626" s="52"/>
      <c r="H1626" s="52"/>
    </row>
    <row r="1627" spans="1:8" ht="15.75">
      <c r="A1627" s="124">
        <v>41775</v>
      </c>
      <c r="B1627" s="125">
        <v>44.692999999999998</v>
      </c>
      <c r="C1627" s="52"/>
      <c r="D1627" s="52"/>
      <c r="E1627" s="52"/>
      <c r="F1627" s="52"/>
      <c r="G1627" s="52"/>
      <c r="H1627" s="52"/>
    </row>
    <row r="1628" spans="1:8" ht="15.75">
      <c r="A1628" s="124">
        <v>41778</v>
      </c>
      <c r="B1628" s="125">
        <v>44.78</v>
      </c>
      <c r="C1628" s="52"/>
      <c r="D1628" s="52"/>
      <c r="E1628" s="52"/>
      <c r="F1628" s="52"/>
      <c r="G1628" s="52"/>
      <c r="H1628" s="52"/>
    </row>
    <row r="1629" spans="1:8" ht="15.75">
      <c r="A1629" s="124">
        <v>41779</v>
      </c>
      <c r="B1629" s="125">
        <v>44.527999999999999</v>
      </c>
      <c r="C1629" s="52"/>
      <c r="D1629" s="52"/>
      <c r="E1629" s="52"/>
      <c r="F1629" s="52"/>
      <c r="G1629" s="52"/>
      <c r="H1629" s="52"/>
    </row>
    <row r="1630" spans="1:8" ht="15.75">
      <c r="A1630" s="124">
        <v>41780</v>
      </c>
      <c r="B1630" s="125">
        <v>44.439</v>
      </c>
      <c r="C1630" s="52"/>
      <c r="D1630" s="52"/>
      <c r="E1630" s="52"/>
      <c r="F1630" s="52"/>
      <c r="G1630" s="52"/>
      <c r="H1630" s="52"/>
    </row>
    <row r="1631" spans="1:8" ht="15.75">
      <c r="A1631" s="124">
        <v>41781</v>
      </c>
      <c r="B1631" s="125">
        <v>44.377000000000002</v>
      </c>
      <c r="C1631" s="52"/>
      <c r="D1631" s="52"/>
      <c r="E1631" s="52"/>
      <c r="F1631" s="52"/>
      <c r="G1631" s="52"/>
      <c r="H1631" s="52"/>
    </row>
    <row r="1632" spans="1:8" ht="15.75">
      <c r="A1632" s="124">
        <v>41782</v>
      </c>
      <c r="B1632" s="125">
        <v>44.345999999999997</v>
      </c>
      <c r="C1632" s="52"/>
      <c r="D1632" s="52"/>
      <c r="E1632" s="52"/>
      <c r="F1632" s="52"/>
      <c r="G1632" s="52"/>
      <c r="H1632" s="52"/>
    </row>
    <row r="1633" spans="1:8" ht="15.75">
      <c r="A1633" s="124">
        <v>41785</v>
      </c>
      <c r="B1633" s="125">
        <v>44.643000000000001</v>
      </c>
      <c r="C1633" s="52"/>
      <c r="D1633" s="52"/>
      <c r="E1633" s="52"/>
      <c r="F1633" s="52"/>
      <c r="G1633" s="52"/>
      <c r="H1633" s="52"/>
    </row>
    <row r="1634" spans="1:8" ht="15.75">
      <c r="A1634" s="124">
        <v>41786</v>
      </c>
      <c r="B1634" s="125">
        <v>44.887999999999998</v>
      </c>
      <c r="C1634" s="52"/>
      <c r="D1634" s="52"/>
      <c r="E1634" s="52"/>
      <c r="F1634" s="52"/>
      <c r="G1634" s="52"/>
      <c r="H1634" s="52"/>
    </row>
    <row r="1635" spans="1:8" ht="15.75">
      <c r="A1635" s="124">
        <v>41787</v>
      </c>
      <c r="B1635" s="125">
        <v>44.783999999999999</v>
      </c>
      <c r="C1635" s="52"/>
      <c r="D1635" s="52"/>
      <c r="E1635" s="52"/>
      <c r="F1635" s="52"/>
      <c r="G1635" s="52"/>
      <c r="H1635" s="52"/>
    </row>
    <row r="1636" spans="1:8" ht="15.75">
      <c r="A1636" s="124">
        <v>41788</v>
      </c>
      <c r="B1636" s="125">
        <v>44.905999999999999</v>
      </c>
      <c r="C1636" s="52"/>
      <c r="D1636" s="52"/>
      <c r="E1636" s="52"/>
      <c r="F1636" s="52"/>
      <c r="G1636" s="52"/>
      <c r="H1636" s="52"/>
    </row>
    <row r="1637" spans="1:8" ht="15.75">
      <c r="A1637" s="124">
        <v>41789</v>
      </c>
      <c r="B1637" s="125">
        <v>45.070999999999998</v>
      </c>
      <c r="C1637" s="52"/>
      <c r="D1637" s="52"/>
      <c r="E1637" s="52"/>
      <c r="F1637" s="52"/>
      <c r="G1637" s="52"/>
      <c r="H1637" s="52"/>
    </row>
    <row r="1638" spans="1:8" ht="15.75">
      <c r="A1638" s="124">
        <v>41792</v>
      </c>
      <c r="B1638" s="125">
        <v>45.56</v>
      </c>
      <c r="C1638" s="52"/>
      <c r="D1638" s="52"/>
      <c r="E1638" s="52"/>
      <c r="F1638" s="52"/>
      <c r="G1638" s="52"/>
      <c r="H1638" s="52"/>
    </row>
    <row r="1639" spans="1:8" ht="15.75">
      <c r="A1639" s="124">
        <v>41793</v>
      </c>
      <c r="B1639" s="125">
        <v>45.395000000000003</v>
      </c>
      <c r="C1639" s="52"/>
      <c r="D1639" s="52"/>
      <c r="E1639" s="52"/>
      <c r="F1639" s="52"/>
      <c r="G1639" s="52"/>
      <c r="H1639" s="52"/>
    </row>
    <row r="1640" spans="1:8" ht="15.75">
      <c r="A1640" s="124">
        <v>41794</v>
      </c>
      <c r="B1640" s="125">
        <v>45.386000000000003</v>
      </c>
      <c r="C1640" s="52"/>
      <c r="D1640" s="52"/>
      <c r="E1640" s="52"/>
      <c r="F1640" s="52"/>
      <c r="G1640" s="52"/>
      <c r="H1640" s="52"/>
    </row>
    <row r="1641" spans="1:8" ht="15.75">
      <c r="A1641" s="124">
        <v>41795</v>
      </c>
      <c r="B1641" s="125">
        <v>45.875</v>
      </c>
      <c r="C1641" s="52"/>
      <c r="D1641" s="52"/>
      <c r="E1641" s="52"/>
      <c r="F1641" s="52"/>
      <c r="G1641" s="52"/>
      <c r="H1641" s="52"/>
    </row>
    <row r="1642" spans="1:8" ht="15.75">
      <c r="A1642" s="124">
        <v>41796</v>
      </c>
      <c r="B1642" s="125">
        <v>45.658000000000001</v>
      </c>
      <c r="C1642" s="52"/>
      <c r="D1642" s="52"/>
      <c r="E1642" s="52"/>
      <c r="F1642" s="52"/>
      <c r="G1642" s="52"/>
      <c r="H1642" s="52"/>
    </row>
    <row r="1643" spans="1:8" ht="15.75">
      <c r="A1643" s="124">
        <v>41799</v>
      </c>
      <c r="B1643" s="125">
        <v>45.087000000000003</v>
      </c>
      <c r="C1643" s="52"/>
      <c r="D1643" s="52"/>
      <c r="E1643" s="52"/>
      <c r="F1643" s="52"/>
      <c r="G1643" s="52"/>
      <c r="H1643" s="52"/>
    </row>
    <row r="1644" spans="1:8" ht="15.75">
      <c r="A1644" s="124">
        <v>41800</v>
      </c>
      <c r="B1644" s="125">
        <v>44.908000000000001</v>
      </c>
      <c r="C1644" s="52"/>
      <c r="D1644" s="52"/>
      <c r="E1644" s="52"/>
      <c r="F1644" s="52"/>
      <c r="G1644" s="52"/>
      <c r="H1644" s="52"/>
    </row>
    <row r="1645" spans="1:8" ht="15.75">
      <c r="A1645" s="124">
        <v>41801</v>
      </c>
      <c r="B1645" s="125">
        <v>44.948999999999998</v>
      </c>
      <c r="C1645" s="52"/>
      <c r="D1645" s="52"/>
      <c r="E1645" s="52"/>
      <c r="F1645" s="52"/>
      <c r="G1645" s="52"/>
      <c r="H1645" s="52"/>
    </row>
    <row r="1646" spans="1:8" ht="15.75">
      <c r="A1646" s="124">
        <v>41802</v>
      </c>
      <c r="B1646" s="125">
        <v>44.828000000000003</v>
      </c>
      <c r="C1646" s="52"/>
      <c r="D1646" s="52"/>
      <c r="E1646" s="52"/>
      <c r="F1646" s="52"/>
      <c r="G1646" s="52"/>
      <c r="H1646" s="52"/>
    </row>
    <row r="1647" spans="1:8" ht="15.75">
      <c r="A1647" s="124">
        <v>41803</v>
      </c>
      <c r="B1647" s="125">
        <v>45.307000000000002</v>
      </c>
      <c r="C1647" s="52"/>
      <c r="D1647" s="52"/>
      <c r="E1647" s="52"/>
      <c r="F1647" s="52"/>
      <c r="G1647" s="52"/>
      <c r="H1647" s="52"/>
    </row>
    <row r="1648" spans="1:8" ht="15.75">
      <c r="A1648" s="124">
        <v>41806</v>
      </c>
      <c r="B1648" s="125">
        <v>44.914999999999999</v>
      </c>
      <c r="C1648" s="52"/>
      <c r="D1648" s="52"/>
      <c r="E1648" s="52"/>
      <c r="F1648" s="52"/>
      <c r="G1648" s="52"/>
      <c r="H1648" s="52"/>
    </row>
    <row r="1649" spans="1:8" ht="15.75">
      <c r="A1649" s="124">
        <v>41807</v>
      </c>
      <c r="B1649" s="125">
        <v>44.927999999999997</v>
      </c>
      <c r="C1649" s="52"/>
      <c r="D1649" s="52"/>
      <c r="E1649" s="52"/>
      <c r="F1649" s="52"/>
      <c r="G1649" s="52"/>
      <c r="H1649" s="52"/>
    </row>
    <row r="1650" spans="1:8" ht="15.75">
      <c r="A1650" s="124">
        <v>41808</v>
      </c>
      <c r="B1650" s="125">
        <v>44.817999999999998</v>
      </c>
      <c r="C1650" s="52"/>
      <c r="D1650" s="52"/>
      <c r="E1650" s="52"/>
      <c r="F1650" s="52"/>
      <c r="G1650" s="52"/>
      <c r="H1650" s="52"/>
    </row>
    <row r="1651" spans="1:8" ht="15.75">
      <c r="A1651" s="124">
        <v>41809</v>
      </c>
      <c r="B1651" s="125">
        <v>44.902000000000001</v>
      </c>
      <c r="C1651" s="52"/>
      <c r="D1651" s="52"/>
      <c r="E1651" s="52"/>
      <c r="F1651" s="52"/>
      <c r="G1651" s="52"/>
      <c r="H1651" s="52"/>
    </row>
    <row r="1652" spans="1:8" ht="15.75">
      <c r="A1652" s="124">
        <v>41810</v>
      </c>
      <c r="B1652" s="125">
        <v>45.393999999999998</v>
      </c>
      <c r="C1652" s="52"/>
      <c r="D1652" s="52"/>
      <c r="E1652" s="52"/>
      <c r="F1652" s="52"/>
      <c r="G1652" s="52"/>
      <c r="H1652" s="52"/>
    </row>
    <row r="1653" spans="1:8" ht="15.75">
      <c r="A1653" s="124">
        <v>41813</v>
      </c>
      <c r="B1653" s="125">
        <v>45.445</v>
      </c>
      <c r="C1653" s="52"/>
      <c r="D1653" s="52"/>
      <c r="E1653" s="52"/>
      <c r="F1653" s="52"/>
      <c r="G1653" s="52"/>
      <c r="H1653" s="52"/>
    </row>
    <row r="1654" spans="1:8" ht="15.75">
      <c r="A1654" s="124">
        <v>41814</v>
      </c>
      <c r="B1654" s="125">
        <v>45.658999999999999</v>
      </c>
      <c r="C1654" s="52"/>
      <c r="D1654" s="52"/>
      <c r="E1654" s="52"/>
      <c r="F1654" s="52"/>
      <c r="G1654" s="52"/>
      <c r="H1654" s="52"/>
    </row>
    <row r="1655" spans="1:8" ht="15.75">
      <c r="A1655" s="124">
        <v>41815</v>
      </c>
      <c r="B1655" s="125">
        <v>45.73</v>
      </c>
      <c r="C1655" s="52"/>
      <c r="D1655" s="52"/>
      <c r="E1655" s="52"/>
      <c r="F1655" s="52"/>
      <c r="G1655" s="52"/>
      <c r="H1655" s="52"/>
    </row>
    <row r="1656" spans="1:8" ht="15.75">
      <c r="A1656" s="124">
        <v>41816</v>
      </c>
      <c r="B1656" s="125">
        <v>45.923999999999999</v>
      </c>
      <c r="C1656" s="52"/>
      <c r="D1656" s="52"/>
      <c r="E1656" s="52"/>
      <c r="F1656" s="52"/>
      <c r="G1656" s="52"/>
      <c r="H1656" s="52"/>
    </row>
    <row r="1657" spans="1:8" ht="15.75">
      <c r="A1657" s="124">
        <v>41817</v>
      </c>
      <c r="B1657" s="125">
        <v>46.081000000000003</v>
      </c>
      <c r="C1657" s="52"/>
      <c r="D1657" s="52"/>
      <c r="E1657" s="52"/>
      <c r="F1657" s="52"/>
      <c r="G1657" s="52"/>
      <c r="H1657" s="52"/>
    </row>
    <row r="1658" spans="1:8" ht="15.75">
      <c r="A1658" s="124">
        <v>41820</v>
      </c>
      <c r="B1658" s="125">
        <v>45.764000000000003</v>
      </c>
      <c r="C1658" s="52"/>
      <c r="D1658" s="52"/>
      <c r="E1658" s="52"/>
      <c r="F1658" s="52"/>
      <c r="G1658" s="52"/>
      <c r="H1658" s="52"/>
    </row>
    <row r="1659" spans="1:8" ht="15.75">
      <c r="A1659" s="124">
        <v>41821</v>
      </c>
      <c r="B1659" s="125">
        <v>46.134</v>
      </c>
      <c r="C1659" s="52"/>
      <c r="D1659" s="52"/>
      <c r="E1659" s="52"/>
      <c r="F1659" s="52"/>
      <c r="G1659" s="52"/>
      <c r="H1659" s="52"/>
    </row>
    <row r="1660" spans="1:8" ht="15.75">
      <c r="A1660" s="124">
        <v>41822</v>
      </c>
      <c r="B1660" s="125">
        <v>46.113</v>
      </c>
      <c r="C1660" s="52"/>
      <c r="D1660" s="52"/>
      <c r="E1660" s="52"/>
      <c r="F1660" s="52"/>
      <c r="G1660" s="52"/>
      <c r="H1660" s="52"/>
    </row>
    <row r="1661" spans="1:8" ht="15.75">
      <c r="A1661" s="124">
        <v>41823</v>
      </c>
      <c r="B1661" s="125">
        <v>46.18</v>
      </c>
      <c r="C1661" s="52"/>
      <c r="D1661" s="52"/>
      <c r="E1661" s="52"/>
      <c r="F1661" s="52"/>
      <c r="G1661" s="52"/>
      <c r="H1661" s="52"/>
    </row>
    <row r="1662" spans="1:8" ht="15.75">
      <c r="A1662" s="124">
        <v>41824</v>
      </c>
      <c r="B1662" s="125">
        <v>46.305</v>
      </c>
      <c r="C1662" s="52"/>
      <c r="D1662" s="52"/>
      <c r="E1662" s="52"/>
      <c r="F1662" s="52"/>
      <c r="G1662" s="52"/>
      <c r="H1662" s="52"/>
    </row>
    <row r="1663" spans="1:8" ht="15.75">
      <c r="A1663" s="124">
        <v>41827</v>
      </c>
      <c r="B1663" s="125">
        <v>46.137999999999998</v>
      </c>
      <c r="C1663" s="52"/>
      <c r="D1663" s="52"/>
      <c r="E1663" s="52"/>
      <c r="F1663" s="52"/>
      <c r="G1663" s="52"/>
      <c r="H1663" s="52"/>
    </row>
    <row r="1664" spans="1:8" ht="15.75">
      <c r="A1664" s="124">
        <v>41828</v>
      </c>
      <c r="B1664" s="125">
        <v>46.491</v>
      </c>
      <c r="C1664" s="52"/>
      <c r="D1664" s="52"/>
      <c r="E1664" s="52"/>
      <c r="F1664" s="52"/>
      <c r="G1664" s="52"/>
      <c r="H1664" s="52"/>
    </row>
    <row r="1665" spans="1:8" ht="15.75">
      <c r="A1665" s="124">
        <v>41829</v>
      </c>
      <c r="B1665" s="125">
        <v>46.378999999999998</v>
      </c>
      <c r="C1665" s="52"/>
      <c r="D1665" s="52"/>
      <c r="E1665" s="52"/>
      <c r="F1665" s="52"/>
      <c r="G1665" s="52"/>
      <c r="H1665" s="52"/>
    </row>
    <row r="1666" spans="1:8" ht="15.75">
      <c r="A1666" s="124">
        <v>41830</v>
      </c>
      <c r="B1666" s="125">
        <v>46.551000000000002</v>
      </c>
      <c r="C1666" s="52"/>
      <c r="D1666" s="52"/>
      <c r="E1666" s="52"/>
      <c r="F1666" s="52"/>
      <c r="G1666" s="52"/>
      <c r="H1666" s="52"/>
    </row>
    <row r="1667" spans="1:8" ht="15.75">
      <c r="A1667" s="124">
        <v>41831</v>
      </c>
      <c r="B1667" s="125">
        <v>46.756</v>
      </c>
      <c r="C1667" s="52"/>
      <c r="D1667" s="52"/>
      <c r="E1667" s="52"/>
      <c r="F1667" s="52"/>
      <c r="G1667" s="52"/>
      <c r="H1667" s="52"/>
    </row>
    <row r="1668" spans="1:8" ht="15.75">
      <c r="A1668" s="124">
        <v>41834</v>
      </c>
      <c r="B1668" s="125">
        <v>46.994</v>
      </c>
      <c r="C1668" s="52"/>
      <c r="D1668" s="52"/>
      <c r="E1668" s="52"/>
      <c r="F1668" s="52"/>
      <c r="G1668" s="52"/>
      <c r="H1668" s="52"/>
    </row>
    <row r="1669" spans="1:8" ht="15.75">
      <c r="A1669" s="124">
        <v>41835</v>
      </c>
      <c r="B1669" s="125">
        <v>47.283999999999999</v>
      </c>
      <c r="C1669" s="52"/>
      <c r="D1669" s="52"/>
      <c r="E1669" s="52"/>
      <c r="F1669" s="52"/>
      <c r="G1669" s="52"/>
      <c r="H1669" s="52"/>
    </row>
    <row r="1670" spans="1:8" ht="15.75">
      <c r="A1670" s="124">
        <v>41836</v>
      </c>
      <c r="B1670" s="125">
        <v>47.688000000000002</v>
      </c>
      <c r="C1670" s="52"/>
      <c r="D1670" s="52"/>
      <c r="E1670" s="52"/>
      <c r="F1670" s="52"/>
      <c r="G1670" s="52"/>
      <c r="H1670" s="52"/>
    </row>
    <row r="1671" spans="1:8" ht="15.75">
      <c r="A1671" s="124">
        <v>41837</v>
      </c>
      <c r="B1671" s="125">
        <v>47.680999999999997</v>
      </c>
      <c r="C1671" s="52"/>
      <c r="D1671" s="52"/>
      <c r="E1671" s="52"/>
      <c r="F1671" s="52"/>
      <c r="G1671" s="52"/>
      <c r="H1671" s="52"/>
    </row>
    <row r="1672" spans="1:8" ht="15.75">
      <c r="A1672" s="124">
        <v>41838</v>
      </c>
      <c r="B1672" s="125">
        <v>47.728000000000002</v>
      </c>
      <c r="C1672" s="52"/>
      <c r="D1672" s="52"/>
      <c r="E1672" s="52"/>
      <c r="F1672" s="52"/>
      <c r="G1672" s="52"/>
      <c r="H1672" s="52"/>
    </row>
    <row r="1673" spans="1:8" ht="15.75">
      <c r="A1673" s="124">
        <v>41841</v>
      </c>
      <c r="B1673" s="125">
        <v>47.639000000000003</v>
      </c>
      <c r="C1673" s="52"/>
      <c r="D1673" s="52"/>
      <c r="E1673" s="52"/>
      <c r="F1673" s="52"/>
      <c r="G1673" s="52"/>
      <c r="H1673" s="52"/>
    </row>
    <row r="1674" spans="1:8" ht="15.75">
      <c r="A1674" s="124">
        <v>41842</v>
      </c>
      <c r="B1674" s="125">
        <v>48.250999999999998</v>
      </c>
      <c r="C1674" s="52"/>
      <c r="D1674" s="52"/>
      <c r="E1674" s="52"/>
      <c r="F1674" s="52"/>
      <c r="G1674" s="52"/>
      <c r="H1674" s="52"/>
    </row>
    <row r="1675" spans="1:8" ht="15.75">
      <c r="A1675" s="124">
        <v>41843</v>
      </c>
      <c r="B1675" s="125">
        <v>48.220999999999997</v>
      </c>
      <c r="C1675" s="52"/>
      <c r="D1675" s="52"/>
      <c r="E1675" s="52"/>
      <c r="F1675" s="52"/>
      <c r="G1675" s="52"/>
      <c r="H1675" s="52"/>
    </row>
    <row r="1676" spans="1:8" ht="15.75">
      <c r="A1676" s="124">
        <v>41844</v>
      </c>
      <c r="B1676" s="125">
        <v>48.472000000000001</v>
      </c>
      <c r="C1676" s="52"/>
      <c r="D1676" s="52"/>
      <c r="E1676" s="52"/>
      <c r="F1676" s="52"/>
      <c r="G1676" s="52"/>
      <c r="H1676" s="52"/>
    </row>
    <row r="1677" spans="1:8" ht="15.75">
      <c r="A1677" s="124">
        <v>41845</v>
      </c>
      <c r="B1677" s="125">
        <v>48.277000000000001</v>
      </c>
      <c r="C1677" s="52"/>
      <c r="D1677" s="52"/>
      <c r="E1677" s="52"/>
      <c r="F1677" s="52"/>
      <c r="G1677" s="52"/>
      <c r="H1677" s="52"/>
    </row>
    <row r="1678" spans="1:8" ht="15.75">
      <c r="A1678" s="124">
        <v>41848</v>
      </c>
      <c r="B1678" s="125">
        <v>48.692</v>
      </c>
      <c r="C1678" s="52"/>
      <c r="D1678" s="52"/>
      <c r="E1678" s="52"/>
      <c r="F1678" s="52"/>
      <c r="G1678" s="52"/>
      <c r="H1678" s="52"/>
    </row>
    <row r="1679" spans="1:8" ht="15.75">
      <c r="A1679" s="124">
        <v>41849</v>
      </c>
      <c r="B1679" s="125">
        <v>48.722999999999999</v>
      </c>
      <c r="C1679" s="52"/>
      <c r="D1679" s="52"/>
      <c r="E1679" s="52"/>
      <c r="F1679" s="52"/>
      <c r="G1679" s="52"/>
      <c r="H1679" s="52"/>
    </row>
    <row r="1680" spans="1:8" ht="15.75">
      <c r="A1680" s="124">
        <v>41850</v>
      </c>
      <c r="B1680" s="125">
        <v>49.164000000000001</v>
      </c>
      <c r="C1680" s="52"/>
      <c r="D1680" s="52"/>
      <c r="E1680" s="52"/>
      <c r="F1680" s="52"/>
      <c r="G1680" s="52"/>
      <c r="H1680" s="52"/>
    </row>
    <row r="1681" spans="1:8" ht="15.75">
      <c r="A1681" s="124">
        <v>41851</v>
      </c>
      <c r="B1681" s="125">
        <v>48.198999999999998</v>
      </c>
      <c r="C1681" s="52"/>
      <c r="D1681" s="52"/>
      <c r="E1681" s="52"/>
      <c r="F1681" s="52"/>
      <c r="G1681" s="52"/>
      <c r="H1681" s="52"/>
    </row>
    <row r="1682" spans="1:8" ht="15.75">
      <c r="A1682" s="124">
        <v>41852</v>
      </c>
      <c r="B1682" s="125">
        <v>47.976999999999997</v>
      </c>
      <c r="C1682" s="52"/>
      <c r="D1682" s="52"/>
      <c r="E1682" s="52"/>
      <c r="F1682" s="52"/>
      <c r="G1682" s="52"/>
      <c r="H1682" s="52"/>
    </row>
    <row r="1683" spans="1:8" ht="15.75">
      <c r="A1683" s="124">
        <v>41855</v>
      </c>
      <c r="B1683" s="125">
        <v>48.13</v>
      </c>
      <c r="C1683" s="52"/>
      <c r="D1683" s="52"/>
      <c r="E1683" s="52"/>
      <c r="F1683" s="52"/>
      <c r="G1683" s="52"/>
      <c r="H1683" s="52"/>
    </row>
    <row r="1684" spans="1:8" ht="15.75">
      <c r="A1684" s="124">
        <v>41856</v>
      </c>
      <c r="B1684" s="125">
        <v>47.722000000000001</v>
      </c>
      <c r="C1684" s="52"/>
      <c r="D1684" s="52"/>
      <c r="E1684" s="52"/>
      <c r="F1684" s="52"/>
      <c r="G1684" s="52"/>
      <c r="H1684" s="52"/>
    </row>
    <row r="1685" spans="1:8" ht="15.75">
      <c r="A1685" s="124">
        <v>41857</v>
      </c>
      <c r="B1685" s="125">
        <v>47.976999999999997</v>
      </c>
      <c r="C1685" s="52"/>
      <c r="D1685" s="52"/>
      <c r="E1685" s="52"/>
      <c r="F1685" s="52"/>
      <c r="G1685" s="52"/>
      <c r="H1685" s="52"/>
    </row>
    <row r="1686" spans="1:8" ht="15.75">
      <c r="A1686" s="124">
        <v>41858</v>
      </c>
      <c r="B1686" s="125">
        <v>48.219000000000001</v>
      </c>
      <c r="C1686" s="52"/>
      <c r="D1686" s="52"/>
      <c r="E1686" s="52"/>
      <c r="F1686" s="52"/>
      <c r="G1686" s="52"/>
      <c r="H1686" s="52"/>
    </row>
    <row r="1687" spans="1:8" ht="15.75">
      <c r="A1687" s="124">
        <v>41859</v>
      </c>
      <c r="B1687" s="125">
        <v>48.253</v>
      </c>
      <c r="C1687" s="52"/>
      <c r="D1687" s="52"/>
      <c r="E1687" s="52"/>
      <c r="F1687" s="52"/>
      <c r="G1687" s="52"/>
      <c r="H1687" s="52"/>
    </row>
    <row r="1688" spans="1:8" ht="15.75">
      <c r="A1688" s="124">
        <v>41862</v>
      </c>
      <c r="B1688" s="125">
        <v>48.375</v>
      </c>
      <c r="C1688" s="52"/>
      <c r="D1688" s="52"/>
      <c r="E1688" s="52"/>
      <c r="F1688" s="52"/>
      <c r="G1688" s="52"/>
      <c r="H1688" s="52"/>
    </row>
    <row r="1689" spans="1:8" ht="15.75">
      <c r="A1689" s="124">
        <v>41863</v>
      </c>
      <c r="B1689" s="125">
        <v>48.405999999999999</v>
      </c>
      <c r="C1689" s="52"/>
      <c r="D1689" s="52"/>
      <c r="E1689" s="52"/>
      <c r="F1689" s="52"/>
      <c r="G1689" s="52"/>
      <c r="H1689" s="52"/>
    </row>
    <row r="1690" spans="1:8" ht="15.75">
      <c r="A1690" s="124">
        <v>41864</v>
      </c>
      <c r="B1690" s="125">
        <v>49.078000000000003</v>
      </c>
      <c r="C1690" s="52"/>
      <c r="D1690" s="52"/>
      <c r="E1690" s="52"/>
      <c r="F1690" s="52"/>
      <c r="G1690" s="52"/>
      <c r="H1690" s="52"/>
    </row>
    <row r="1691" spans="1:8" ht="15.75">
      <c r="A1691" s="124">
        <v>41865</v>
      </c>
      <c r="B1691" s="125">
        <v>48.966000000000001</v>
      </c>
      <c r="C1691" s="52"/>
      <c r="D1691" s="52"/>
      <c r="E1691" s="52"/>
      <c r="F1691" s="52"/>
      <c r="G1691" s="52"/>
      <c r="H1691" s="52"/>
    </row>
    <row r="1692" spans="1:8" ht="15.75">
      <c r="A1692" s="124">
        <v>41866</v>
      </c>
      <c r="B1692" s="125">
        <v>48.536000000000001</v>
      </c>
      <c r="C1692" s="52"/>
      <c r="D1692" s="52"/>
      <c r="E1692" s="52"/>
      <c r="F1692" s="52"/>
      <c r="G1692" s="52"/>
      <c r="H1692" s="52"/>
    </row>
    <row r="1693" spans="1:8" ht="15.75">
      <c r="A1693" s="124">
        <v>41869</v>
      </c>
      <c r="B1693" s="125">
        <v>49.512</v>
      </c>
      <c r="C1693" s="52"/>
      <c r="D1693" s="52"/>
      <c r="E1693" s="52"/>
      <c r="F1693" s="52"/>
      <c r="G1693" s="52"/>
      <c r="H1693" s="52"/>
    </row>
    <row r="1694" spans="1:8" ht="15.75">
      <c r="A1694" s="124">
        <v>41870</v>
      </c>
      <c r="B1694" s="125">
        <v>49.871000000000002</v>
      </c>
      <c r="C1694" s="52"/>
      <c r="D1694" s="52"/>
      <c r="E1694" s="52"/>
      <c r="F1694" s="52"/>
      <c r="G1694" s="52"/>
      <c r="H1694" s="52"/>
    </row>
    <row r="1695" spans="1:8" ht="15.75">
      <c r="A1695" s="124">
        <v>41871</v>
      </c>
      <c r="B1695" s="125">
        <v>50.378999999999998</v>
      </c>
      <c r="C1695" s="52"/>
      <c r="D1695" s="52"/>
      <c r="E1695" s="52"/>
      <c r="F1695" s="52"/>
      <c r="G1695" s="52"/>
      <c r="H1695" s="52"/>
    </row>
    <row r="1696" spans="1:8" ht="15.75">
      <c r="A1696" s="124">
        <v>41872</v>
      </c>
      <c r="B1696" s="125">
        <v>50.234000000000002</v>
      </c>
      <c r="C1696" s="52"/>
      <c r="D1696" s="52"/>
      <c r="E1696" s="52"/>
      <c r="F1696" s="52"/>
      <c r="G1696" s="52"/>
      <c r="H1696" s="52"/>
    </row>
    <row r="1697" spans="1:8" ht="15.75">
      <c r="A1697" s="124">
        <v>41873</v>
      </c>
      <c r="B1697" s="125">
        <v>49.991999999999997</v>
      </c>
      <c r="C1697" s="52"/>
      <c r="D1697" s="52"/>
      <c r="E1697" s="52"/>
      <c r="F1697" s="52"/>
      <c r="G1697" s="52"/>
      <c r="H1697" s="52"/>
    </row>
    <row r="1698" spans="1:8" ht="15.75">
      <c r="A1698" s="124">
        <v>41876</v>
      </c>
      <c r="B1698" s="125">
        <v>49.853000000000002</v>
      </c>
      <c r="C1698" s="52"/>
      <c r="D1698" s="52"/>
      <c r="E1698" s="52"/>
      <c r="F1698" s="52"/>
      <c r="G1698" s="52"/>
      <c r="H1698" s="52"/>
    </row>
    <row r="1699" spans="1:8" ht="15.75">
      <c r="A1699" s="124">
        <v>41877</v>
      </c>
      <c r="B1699" s="125">
        <v>50.128</v>
      </c>
      <c r="C1699" s="52"/>
      <c r="D1699" s="52"/>
      <c r="E1699" s="52"/>
      <c r="F1699" s="52"/>
      <c r="G1699" s="52"/>
      <c r="H1699" s="52"/>
    </row>
    <row r="1700" spans="1:8" ht="15.75">
      <c r="A1700" s="124">
        <v>41878</v>
      </c>
      <c r="B1700" s="125">
        <v>49.822000000000003</v>
      </c>
      <c r="C1700" s="52"/>
      <c r="D1700" s="52"/>
      <c r="E1700" s="52"/>
      <c r="F1700" s="52"/>
      <c r="G1700" s="52"/>
      <c r="H1700" s="52"/>
    </row>
    <row r="1701" spans="1:8" ht="15.75">
      <c r="A1701" s="124">
        <v>41879</v>
      </c>
      <c r="B1701" s="125">
        <v>49.866999999999997</v>
      </c>
      <c r="C1701" s="52"/>
      <c r="D1701" s="52"/>
      <c r="E1701" s="52"/>
      <c r="F1701" s="52"/>
      <c r="G1701" s="52"/>
      <c r="H1701" s="52"/>
    </row>
    <row r="1702" spans="1:8" ht="15.75">
      <c r="A1702" s="124">
        <v>41880</v>
      </c>
      <c r="B1702" s="125">
        <v>50.338000000000001</v>
      </c>
      <c r="C1702" s="52"/>
      <c r="D1702" s="52"/>
      <c r="E1702" s="52"/>
      <c r="F1702" s="52"/>
      <c r="G1702" s="52"/>
      <c r="H1702" s="52"/>
    </row>
    <row r="1703" spans="1:8" ht="15.75">
      <c r="A1703" s="124">
        <v>41883</v>
      </c>
      <c r="B1703" s="125">
        <v>50.478000000000002</v>
      </c>
      <c r="C1703" s="52"/>
      <c r="D1703" s="52"/>
      <c r="E1703" s="52"/>
      <c r="F1703" s="52"/>
      <c r="G1703" s="52"/>
      <c r="H1703" s="52"/>
    </row>
    <row r="1704" spans="1:8" ht="15.75">
      <c r="A1704" s="124">
        <v>41884</v>
      </c>
      <c r="B1704" s="125">
        <v>50.133000000000003</v>
      </c>
      <c r="C1704" s="52"/>
      <c r="D1704" s="52"/>
      <c r="E1704" s="52"/>
      <c r="F1704" s="52"/>
      <c r="G1704" s="52"/>
      <c r="H1704" s="52"/>
    </row>
    <row r="1705" spans="1:8" ht="15.75">
      <c r="A1705" s="124">
        <v>41885</v>
      </c>
      <c r="B1705" s="125">
        <v>50.259</v>
      </c>
      <c r="C1705" s="52"/>
      <c r="D1705" s="52"/>
      <c r="E1705" s="52"/>
      <c r="F1705" s="52"/>
      <c r="G1705" s="52"/>
      <c r="H1705" s="52"/>
    </row>
    <row r="1706" spans="1:8" ht="15.75">
      <c r="A1706" s="124">
        <v>41886</v>
      </c>
      <c r="B1706" s="125">
        <v>50.975000000000001</v>
      </c>
      <c r="C1706" s="52"/>
      <c r="D1706" s="52"/>
      <c r="E1706" s="52"/>
      <c r="F1706" s="52"/>
      <c r="G1706" s="52"/>
      <c r="H1706" s="52"/>
    </row>
    <row r="1707" spans="1:8" ht="15.75">
      <c r="A1707" s="124">
        <v>41887</v>
      </c>
      <c r="B1707" s="125">
        <v>51.402999999999999</v>
      </c>
      <c r="C1707" s="52"/>
      <c r="D1707" s="52"/>
      <c r="E1707" s="52"/>
      <c r="F1707" s="52"/>
      <c r="G1707" s="52"/>
      <c r="H1707" s="52"/>
    </row>
    <row r="1708" spans="1:8" ht="15.75">
      <c r="A1708" s="124">
        <v>41890</v>
      </c>
      <c r="B1708" s="125">
        <v>52.188000000000002</v>
      </c>
      <c r="C1708" s="52"/>
      <c r="D1708" s="52"/>
      <c r="E1708" s="52"/>
      <c r="F1708" s="52"/>
      <c r="G1708" s="52"/>
      <c r="H1708" s="52"/>
    </row>
    <row r="1709" spans="1:8" ht="15.75">
      <c r="A1709" s="124">
        <v>41891</v>
      </c>
      <c r="B1709" s="125">
        <v>51.761000000000003</v>
      </c>
      <c r="C1709" s="52"/>
      <c r="D1709" s="52"/>
      <c r="E1709" s="52"/>
      <c r="F1709" s="52"/>
      <c r="G1709" s="52"/>
      <c r="H1709" s="52"/>
    </row>
    <row r="1710" spans="1:8" ht="15.75">
      <c r="A1710" s="124">
        <v>41892</v>
      </c>
      <c r="B1710" s="125">
        <v>50.085999999999999</v>
      </c>
      <c r="C1710" s="52"/>
      <c r="D1710" s="52"/>
      <c r="E1710" s="52"/>
      <c r="F1710" s="52"/>
      <c r="G1710" s="52"/>
      <c r="H1710" s="52"/>
    </row>
    <row r="1711" spans="1:8" ht="15.75">
      <c r="A1711" s="124">
        <v>41893</v>
      </c>
      <c r="B1711" s="125">
        <v>49.646999999999998</v>
      </c>
      <c r="C1711" s="52"/>
      <c r="D1711" s="52"/>
      <c r="E1711" s="52"/>
      <c r="F1711" s="52"/>
      <c r="G1711" s="52"/>
      <c r="H1711" s="52"/>
    </row>
    <row r="1712" spans="1:8" ht="15.75">
      <c r="A1712" s="124">
        <v>41894</v>
      </c>
      <c r="B1712" s="125">
        <v>48.176000000000002</v>
      </c>
      <c r="C1712" s="52"/>
      <c r="D1712" s="52"/>
      <c r="E1712" s="52"/>
      <c r="F1712" s="52"/>
      <c r="G1712" s="52"/>
      <c r="H1712" s="52"/>
    </row>
    <row r="1713" spans="1:8" ht="15.75">
      <c r="A1713" s="124">
        <v>41897</v>
      </c>
      <c r="B1713" s="125">
        <v>47.777999999999999</v>
      </c>
      <c r="C1713" s="52"/>
      <c r="D1713" s="52"/>
      <c r="E1713" s="52"/>
      <c r="F1713" s="52"/>
      <c r="G1713" s="52"/>
      <c r="H1713" s="52"/>
    </row>
    <row r="1714" spans="1:8" ht="15.75">
      <c r="A1714" s="124">
        <v>41898</v>
      </c>
      <c r="B1714" s="125">
        <v>48.128</v>
      </c>
      <c r="C1714" s="52"/>
      <c r="D1714" s="52"/>
      <c r="E1714" s="52"/>
      <c r="F1714" s="52"/>
      <c r="G1714" s="52"/>
      <c r="H1714" s="52"/>
    </row>
    <row r="1715" spans="1:8" ht="15.75">
      <c r="A1715" s="124">
        <v>41899</v>
      </c>
      <c r="B1715" s="125">
        <v>48.103999999999999</v>
      </c>
      <c r="C1715" s="52"/>
      <c r="D1715" s="52"/>
      <c r="E1715" s="52"/>
      <c r="F1715" s="52"/>
      <c r="G1715" s="52"/>
      <c r="H1715" s="52"/>
    </row>
    <row r="1716" spans="1:8" ht="15.75">
      <c r="A1716" s="124">
        <v>41900</v>
      </c>
      <c r="B1716" s="125">
        <v>47.39</v>
      </c>
      <c r="C1716" s="52"/>
      <c r="D1716" s="52"/>
      <c r="E1716" s="52"/>
      <c r="F1716" s="52"/>
      <c r="G1716" s="52"/>
      <c r="H1716" s="52"/>
    </row>
    <row r="1717" spans="1:8" ht="15.75">
      <c r="A1717" s="124">
        <v>41901</v>
      </c>
      <c r="B1717" s="125">
        <v>47.709000000000003</v>
      </c>
      <c r="C1717" s="52"/>
      <c r="D1717" s="52"/>
      <c r="E1717" s="52"/>
      <c r="F1717" s="52"/>
      <c r="G1717" s="52"/>
      <c r="H1717" s="52"/>
    </row>
    <row r="1718" spans="1:8" ht="15.75">
      <c r="A1718" s="124">
        <v>41904</v>
      </c>
      <c r="B1718" s="125">
        <v>48.134</v>
      </c>
      <c r="C1718" s="52"/>
      <c r="D1718" s="52"/>
      <c r="E1718" s="52"/>
      <c r="F1718" s="52"/>
      <c r="G1718" s="52"/>
      <c r="H1718" s="52"/>
    </row>
    <row r="1719" spans="1:8" ht="15.75">
      <c r="A1719" s="124">
        <v>41905</v>
      </c>
      <c r="B1719" s="125">
        <v>48.33</v>
      </c>
      <c r="C1719" s="52"/>
      <c r="D1719" s="52"/>
      <c r="E1719" s="52"/>
      <c r="F1719" s="52"/>
      <c r="G1719" s="52"/>
      <c r="H1719" s="52"/>
    </row>
    <row r="1720" spans="1:8" ht="15.75">
      <c r="A1720" s="124">
        <v>41906</v>
      </c>
      <c r="B1720" s="125">
        <v>48.152000000000001</v>
      </c>
      <c r="C1720" s="52"/>
      <c r="D1720" s="52"/>
      <c r="E1720" s="52"/>
      <c r="F1720" s="52"/>
      <c r="G1720" s="52"/>
      <c r="H1720" s="52"/>
    </row>
    <row r="1721" spans="1:8" ht="15.75">
      <c r="A1721" s="124">
        <v>41907</v>
      </c>
      <c r="B1721" s="125">
        <v>47.473999999999997</v>
      </c>
      <c r="C1721" s="52"/>
      <c r="D1721" s="52"/>
      <c r="E1721" s="52"/>
      <c r="F1721" s="52"/>
      <c r="G1721" s="52"/>
      <c r="H1721" s="52"/>
    </row>
    <row r="1722" spans="1:8" ht="15.75">
      <c r="A1722" s="124">
        <v>41908</v>
      </c>
      <c r="B1722" s="125">
        <v>47.914999999999999</v>
      </c>
      <c r="C1722" s="52"/>
      <c r="D1722" s="52"/>
      <c r="E1722" s="52"/>
      <c r="F1722" s="52"/>
      <c r="G1722" s="52"/>
      <c r="H1722" s="52"/>
    </row>
    <row r="1723" spans="1:8" ht="15.75">
      <c r="A1723" s="124">
        <v>41911</v>
      </c>
      <c r="B1723" s="125">
        <v>47.963999999999999</v>
      </c>
      <c r="C1723" s="52"/>
      <c r="D1723" s="52"/>
      <c r="E1723" s="52"/>
      <c r="F1723" s="52"/>
      <c r="G1723" s="52"/>
      <c r="H1723" s="52"/>
    </row>
    <row r="1724" spans="1:8" ht="15.75">
      <c r="A1724" s="124">
        <v>41912</v>
      </c>
      <c r="B1724" s="125">
        <v>48.384999999999998</v>
      </c>
      <c r="C1724" s="52"/>
      <c r="D1724" s="52"/>
      <c r="E1724" s="52"/>
      <c r="F1724" s="52"/>
      <c r="G1724" s="52"/>
      <c r="H1724" s="52"/>
    </row>
    <row r="1725" spans="1:8" ht="15.75">
      <c r="A1725" s="124">
        <v>41913</v>
      </c>
      <c r="B1725" s="125">
        <v>48.878</v>
      </c>
      <c r="C1725" s="52"/>
      <c r="D1725" s="52"/>
      <c r="E1725" s="52"/>
      <c r="F1725" s="52"/>
      <c r="G1725" s="52"/>
      <c r="H1725" s="52"/>
    </row>
    <row r="1726" spans="1:8" ht="15.75">
      <c r="A1726" s="124">
        <v>41914</v>
      </c>
      <c r="B1726" s="125">
        <v>48.914999999999999</v>
      </c>
      <c r="C1726" s="52"/>
      <c r="D1726" s="52"/>
      <c r="E1726" s="52"/>
      <c r="F1726" s="52"/>
      <c r="G1726" s="52"/>
      <c r="H1726" s="52"/>
    </row>
    <row r="1727" spans="1:8" ht="15.75">
      <c r="A1727" s="124">
        <v>41918</v>
      </c>
      <c r="B1727" s="125">
        <v>49.814</v>
      </c>
      <c r="C1727" s="52"/>
      <c r="D1727" s="52"/>
      <c r="E1727" s="52"/>
      <c r="F1727" s="52"/>
      <c r="G1727" s="52"/>
      <c r="H1727" s="52"/>
    </row>
    <row r="1728" spans="1:8" ht="15.75">
      <c r="A1728" s="124">
        <v>41919</v>
      </c>
      <c r="B1728" s="125">
        <v>49.698999999999998</v>
      </c>
      <c r="C1728" s="52"/>
      <c r="D1728" s="52"/>
      <c r="E1728" s="52"/>
      <c r="F1728" s="52"/>
      <c r="G1728" s="52"/>
      <c r="H1728" s="52"/>
    </row>
    <row r="1729" spans="1:8" ht="15.75">
      <c r="A1729" s="124">
        <v>41920</v>
      </c>
      <c r="B1729" s="125">
        <v>49.798999999999999</v>
      </c>
      <c r="C1729" s="52"/>
      <c r="D1729" s="52"/>
      <c r="E1729" s="52"/>
      <c r="F1729" s="52"/>
      <c r="G1729" s="52"/>
      <c r="H1729" s="52"/>
    </row>
    <row r="1730" spans="1:8" ht="15.75">
      <c r="A1730" s="124">
        <v>41921</v>
      </c>
      <c r="B1730" s="125">
        <v>50.295000000000002</v>
      </c>
      <c r="C1730" s="52"/>
      <c r="D1730" s="52"/>
      <c r="E1730" s="52"/>
      <c r="F1730" s="52"/>
      <c r="G1730" s="52"/>
      <c r="H1730" s="52"/>
    </row>
    <row r="1731" spans="1:8" ht="15.75">
      <c r="A1731" s="124">
        <v>41922</v>
      </c>
      <c r="B1731" s="125">
        <v>51.436999999999998</v>
      </c>
      <c r="C1731" s="52"/>
      <c r="D1731" s="52"/>
      <c r="E1731" s="52"/>
      <c r="F1731" s="52"/>
      <c r="G1731" s="52"/>
      <c r="H1731" s="52"/>
    </row>
    <row r="1732" spans="1:8" ht="15.75">
      <c r="A1732" s="124">
        <v>41925</v>
      </c>
      <c r="B1732" s="125">
        <v>51.529000000000003</v>
      </c>
      <c r="C1732" s="52"/>
      <c r="D1732" s="52"/>
      <c r="E1732" s="52"/>
      <c r="F1732" s="52"/>
      <c r="G1732" s="52"/>
      <c r="H1732" s="52"/>
    </row>
    <row r="1733" spans="1:8" ht="15.75">
      <c r="A1733" s="124">
        <v>41926</v>
      </c>
      <c r="B1733" s="125">
        <v>52.454999999999998</v>
      </c>
      <c r="C1733" s="52"/>
      <c r="D1733" s="52"/>
      <c r="E1733" s="52"/>
      <c r="F1733" s="52"/>
      <c r="G1733" s="52"/>
      <c r="H1733" s="52"/>
    </row>
    <row r="1734" spans="1:8" ht="15.75">
      <c r="A1734" s="124">
        <v>41927</v>
      </c>
      <c r="B1734" s="125">
        <v>52.055999999999997</v>
      </c>
      <c r="C1734" s="52"/>
      <c r="D1734" s="52"/>
      <c r="E1734" s="52"/>
      <c r="F1734" s="52"/>
      <c r="G1734" s="52"/>
      <c r="H1734" s="52"/>
    </row>
    <row r="1735" spans="1:8" ht="15.75">
      <c r="A1735" s="124">
        <v>41928</v>
      </c>
      <c r="B1735" s="125">
        <v>51.475000000000001</v>
      </c>
      <c r="C1735" s="52"/>
      <c r="D1735" s="52"/>
      <c r="E1735" s="52"/>
      <c r="F1735" s="52"/>
      <c r="G1735" s="52"/>
      <c r="H1735" s="52"/>
    </row>
    <row r="1736" spans="1:8" ht="15.75">
      <c r="A1736" s="124">
        <v>41929</v>
      </c>
      <c r="B1736" s="125">
        <v>51.02</v>
      </c>
      <c r="C1736" s="52"/>
      <c r="D1736" s="52"/>
      <c r="E1736" s="52"/>
      <c r="F1736" s="52"/>
      <c r="G1736" s="52"/>
      <c r="H1736" s="52"/>
    </row>
    <row r="1737" spans="1:8" ht="15.75">
      <c r="A1737" s="124">
        <v>41932</v>
      </c>
      <c r="B1737" s="125">
        <v>51.972000000000001</v>
      </c>
      <c r="C1737" s="52"/>
      <c r="D1737" s="52"/>
      <c r="E1737" s="52"/>
      <c r="F1737" s="52"/>
      <c r="G1737" s="52"/>
      <c r="H1737" s="52"/>
    </row>
    <row r="1738" spans="1:8" ht="15.75">
      <c r="A1738" s="124">
        <v>41933</v>
      </c>
      <c r="B1738" s="125">
        <v>52.575000000000003</v>
      </c>
      <c r="C1738" s="52"/>
      <c r="D1738" s="52"/>
      <c r="E1738" s="52"/>
      <c r="F1738" s="52"/>
      <c r="G1738" s="52"/>
      <c r="H1738" s="52"/>
    </row>
    <row r="1739" spans="1:8" ht="15.75">
      <c r="A1739" s="124">
        <v>41934</v>
      </c>
      <c r="B1739" s="125">
        <v>52.951999999999998</v>
      </c>
      <c r="C1739" s="52"/>
      <c r="D1739" s="52"/>
      <c r="E1739" s="52"/>
      <c r="F1739" s="52"/>
      <c r="G1739" s="52"/>
      <c r="H1739" s="52"/>
    </row>
    <row r="1740" spans="1:8" ht="15.75">
      <c r="A1740" s="124">
        <v>41935</v>
      </c>
      <c r="B1740" s="125">
        <v>53.354999999999997</v>
      </c>
      <c r="C1740" s="52"/>
      <c r="D1740" s="52"/>
      <c r="E1740" s="52"/>
      <c r="F1740" s="52"/>
      <c r="G1740" s="52"/>
      <c r="H1740" s="52"/>
    </row>
    <row r="1741" spans="1:8" ht="15.75">
      <c r="A1741" s="124">
        <v>41936</v>
      </c>
      <c r="B1741" s="125">
        <v>52.994999999999997</v>
      </c>
      <c r="C1741" s="52"/>
      <c r="D1741" s="52"/>
      <c r="E1741" s="52"/>
      <c r="F1741" s="52"/>
      <c r="G1741" s="52"/>
      <c r="H1741" s="52"/>
    </row>
    <row r="1742" spans="1:8" ht="15.75">
      <c r="A1742" s="124">
        <v>41939</v>
      </c>
      <c r="B1742" s="125">
        <v>52.957999999999998</v>
      </c>
      <c r="C1742" s="52"/>
      <c r="D1742" s="52"/>
      <c r="E1742" s="52"/>
      <c r="F1742" s="52"/>
      <c r="G1742" s="52"/>
      <c r="H1742" s="52"/>
    </row>
    <row r="1743" spans="1:8" ht="15.75">
      <c r="A1743" s="124">
        <v>41940</v>
      </c>
      <c r="B1743" s="125">
        <v>52.399000000000001</v>
      </c>
      <c r="C1743" s="52"/>
      <c r="D1743" s="52"/>
      <c r="E1743" s="52"/>
      <c r="F1743" s="52"/>
      <c r="G1743" s="52"/>
      <c r="H1743" s="52"/>
    </row>
    <row r="1744" spans="1:8" ht="15.75">
      <c r="A1744" s="124">
        <v>41941</v>
      </c>
      <c r="B1744" s="125">
        <v>53.125999999999998</v>
      </c>
      <c r="C1744" s="52"/>
      <c r="D1744" s="52"/>
      <c r="E1744" s="52"/>
      <c r="F1744" s="52"/>
      <c r="G1744" s="52"/>
      <c r="H1744" s="52"/>
    </row>
    <row r="1745" spans="1:8" ht="15.75">
      <c r="A1745" s="124">
        <v>41942</v>
      </c>
      <c r="B1745" s="125">
        <v>53.552</v>
      </c>
      <c r="C1745" s="52"/>
      <c r="D1745" s="52"/>
      <c r="E1745" s="52"/>
      <c r="F1745" s="52"/>
      <c r="G1745" s="52"/>
      <c r="H1745" s="52"/>
    </row>
    <row r="1746" spans="1:8" ht="15.75">
      <c r="A1746" s="124">
        <v>41943</v>
      </c>
      <c r="B1746" s="125">
        <v>54.875</v>
      </c>
      <c r="C1746" s="52"/>
      <c r="D1746" s="52"/>
      <c r="E1746" s="52"/>
      <c r="F1746" s="52"/>
      <c r="G1746" s="52"/>
      <c r="H1746" s="52"/>
    </row>
    <row r="1747" spans="1:8" ht="15.75">
      <c r="A1747" s="124">
        <v>41946</v>
      </c>
      <c r="B1747" s="125">
        <v>55.896000000000001</v>
      </c>
      <c r="C1747" s="52"/>
      <c r="D1747" s="52"/>
      <c r="E1747" s="52"/>
      <c r="F1747" s="52"/>
      <c r="G1747" s="52"/>
      <c r="H1747" s="52"/>
    </row>
    <row r="1748" spans="1:8" ht="15.75">
      <c r="A1748" s="124">
        <v>41947</v>
      </c>
      <c r="B1748" s="125">
        <v>55.334000000000003</v>
      </c>
      <c r="C1748" s="52"/>
      <c r="D1748" s="52"/>
      <c r="E1748" s="52"/>
      <c r="F1748" s="52"/>
      <c r="G1748" s="52"/>
      <c r="H1748" s="52"/>
    </row>
    <row r="1749" spans="1:8" ht="15.75">
      <c r="A1749" s="124">
        <v>41948</v>
      </c>
      <c r="B1749" s="125">
        <v>55.517000000000003</v>
      </c>
      <c r="C1749" s="52"/>
      <c r="D1749" s="52"/>
      <c r="E1749" s="52"/>
      <c r="F1749" s="52"/>
      <c r="G1749" s="52"/>
      <c r="H1749" s="52"/>
    </row>
    <row r="1750" spans="1:8" ht="15.75">
      <c r="A1750" s="124">
        <v>41949</v>
      </c>
      <c r="B1750" s="125">
        <v>56.051000000000002</v>
      </c>
      <c r="C1750" s="52"/>
      <c r="D1750" s="52"/>
      <c r="E1750" s="52"/>
      <c r="F1750" s="52"/>
      <c r="G1750" s="52"/>
      <c r="H1750" s="52"/>
    </row>
    <row r="1751" spans="1:8" ht="15.75">
      <c r="A1751" s="124">
        <v>41950</v>
      </c>
      <c r="B1751" s="125">
        <v>55.6</v>
      </c>
      <c r="C1751" s="52"/>
      <c r="D1751" s="52"/>
      <c r="E1751" s="52"/>
      <c r="F1751" s="52"/>
      <c r="G1751" s="52"/>
      <c r="H1751" s="52"/>
    </row>
    <row r="1752" spans="1:8" ht="15.75">
      <c r="A1752" s="124">
        <v>41953</v>
      </c>
      <c r="B1752" s="125">
        <v>56.081000000000003</v>
      </c>
      <c r="C1752" s="52"/>
      <c r="D1752" s="52"/>
      <c r="E1752" s="52"/>
      <c r="F1752" s="52"/>
      <c r="G1752" s="52"/>
      <c r="H1752" s="52"/>
    </row>
    <row r="1753" spans="1:8" ht="15.75">
      <c r="A1753" s="124">
        <v>41954</v>
      </c>
      <c r="B1753" s="125">
        <v>55.816000000000003</v>
      </c>
      <c r="C1753" s="52"/>
      <c r="D1753" s="52"/>
      <c r="E1753" s="52"/>
      <c r="F1753" s="52"/>
      <c r="G1753" s="52"/>
      <c r="H1753" s="52"/>
    </row>
    <row r="1754" spans="1:8" ht="15.75">
      <c r="A1754" s="124">
        <v>41955</v>
      </c>
      <c r="B1754" s="125">
        <v>55.429000000000002</v>
      </c>
      <c r="C1754" s="52"/>
      <c r="D1754" s="52"/>
      <c r="E1754" s="52"/>
      <c r="F1754" s="52"/>
      <c r="G1754" s="52"/>
      <c r="H1754" s="52"/>
    </row>
    <row r="1755" spans="1:8" ht="15.75">
      <c r="A1755" s="124">
        <v>41956</v>
      </c>
      <c r="B1755" s="125">
        <v>55.869</v>
      </c>
      <c r="C1755" s="52"/>
      <c r="D1755" s="52"/>
      <c r="E1755" s="52"/>
      <c r="F1755" s="52"/>
      <c r="G1755" s="52"/>
      <c r="H1755" s="52"/>
    </row>
    <row r="1756" spans="1:8" ht="15.75">
      <c r="A1756" s="124">
        <v>41957</v>
      </c>
      <c r="B1756" s="125">
        <v>55.057000000000002</v>
      </c>
      <c r="C1756" s="52"/>
      <c r="D1756" s="52"/>
      <c r="E1756" s="52"/>
      <c r="F1756" s="52"/>
      <c r="G1756" s="52"/>
      <c r="H1756" s="52"/>
    </row>
    <row r="1757" spans="1:8" ht="15.75">
      <c r="A1757" s="124">
        <v>41960</v>
      </c>
      <c r="B1757" s="125">
        <v>55.692</v>
      </c>
      <c r="C1757" s="52"/>
      <c r="D1757" s="52"/>
      <c r="E1757" s="52"/>
      <c r="F1757" s="52"/>
      <c r="G1757" s="52"/>
      <c r="H1757" s="52"/>
    </row>
    <row r="1758" spans="1:8" ht="15.75">
      <c r="A1758" s="124">
        <v>41961</v>
      </c>
      <c r="B1758" s="125">
        <v>55.616999999999997</v>
      </c>
      <c r="C1758" s="52"/>
      <c r="D1758" s="52"/>
      <c r="E1758" s="52"/>
      <c r="F1758" s="52"/>
      <c r="G1758" s="52"/>
      <c r="H1758" s="52"/>
    </row>
    <row r="1759" spans="1:8" ht="15.75">
      <c r="A1759" s="124">
        <v>41962</v>
      </c>
      <c r="B1759" s="125">
        <v>55.098999999999997</v>
      </c>
      <c r="C1759" s="52"/>
      <c r="D1759" s="52"/>
      <c r="E1759" s="52"/>
      <c r="F1759" s="52"/>
      <c r="G1759" s="52"/>
      <c r="H1759" s="52"/>
    </row>
    <row r="1760" spans="1:8" ht="15.75">
      <c r="A1760" s="124">
        <v>41963</v>
      </c>
      <c r="B1760" s="125">
        <v>54.991</v>
      </c>
      <c r="C1760" s="52"/>
      <c r="D1760" s="52"/>
      <c r="E1760" s="52"/>
      <c r="F1760" s="52"/>
      <c r="G1760" s="52"/>
      <c r="H1760" s="52"/>
    </row>
    <row r="1761" spans="1:8" ht="15.75">
      <c r="A1761" s="124">
        <v>41964</v>
      </c>
      <c r="B1761" s="125">
        <v>56.335999999999999</v>
      </c>
      <c r="C1761" s="52"/>
      <c r="D1761" s="52"/>
      <c r="E1761" s="52"/>
      <c r="F1761" s="52"/>
      <c r="G1761" s="52"/>
      <c r="H1761" s="52"/>
    </row>
    <row r="1762" spans="1:8" ht="15.75">
      <c r="A1762" s="124">
        <v>41967</v>
      </c>
      <c r="B1762" s="125">
        <v>56.301000000000002</v>
      </c>
      <c r="C1762" s="52"/>
      <c r="D1762" s="52"/>
      <c r="E1762" s="52"/>
      <c r="F1762" s="52"/>
      <c r="G1762" s="52"/>
      <c r="H1762" s="52"/>
    </row>
    <row r="1763" spans="1:8" ht="15.75">
      <c r="A1763" s="124">
        <v>41968</v>
      </c>
      <c r="B1763" s="125">
        <v>55.962000000000003</v>
      </c>
      <c r="C1763" s="52"/>
      <c r="D1763" s="52"/>
      <c r="E1763" s="52"/>
      <c r="F1763" s="52"/>
      <c r="G1763" s="52"/>
      <c r="H1763" s="52"/>
    </row>
    <row r="1764" spans="1:8" ht="15.75">
      <c r="A1764" s="124">
        <v>41969</v>
      </c>
      <c r="B1764" s="125">
        <v>56.515000000000001</v>
      </c>
      <c r="C1764" s="52"/>
      <c r="D1764" s="52"/>
      <c r="E1764" s="52"/>
      <c r="F1764" s="52"/>
      <c r="G1764" s="52"/>
      <c r="H1764" s="52"/>
    </row>
    <row r="1765" spans="1:8" ht="15.75">
      <c r="A1765" s="124">
        <v>41970</v>
      </c>
      <c r="B1765" s="125">
        <v>56.631999999999998</v>
      </c>
      <c r="C1765" s="52"/>
      <c r="D1765" s="52"/>
      <c r="E1765" s="52"/>
      <c r="F1765" s="52"/>
      <c r="G1765" s="52"/>
      <c r="H1765" s="52"/>
    </row>
    <row r="1766" spans="1:8" ht="15.75">
      <c r="A1766" s="124">
        <v>41971</v>
      </c>
      <c r="B1766" s="125">
        <v>56.600999999999999</v>
      </c>
      <c r="C1766" s="52"/>
      <c r="D1766" s="52"/>
      <c r="E1766" s="52"/>
      <c r="F1766" s="52"/>
      <c r="G1766" s="52"/>
      <c r="H1766" s="52"/>
    </row>
    <row r="1767" spans="1:8" ht="15.75">
      <c r="A1767" s="124">
        <v>41974</v>
      </c>
      <c r="B1767" s="125">
        <v>56.889000000000003</v>
      </c>
      <c r="C1767" s="52"/>
      <c r="D1767" s="52"/>
      <c r="E1767" s="52"/>
      <c r="F1767" s="52"/>
      <c r="G1767" s="52"/>
      <c r="H1767" s="52"/>
    </row>
    <row r="1768" spans="1:8" ht="15.75">
      <c r="A1768" s="124">
        <v>41975</v>
      </c>
      <c r="B1768" s="125">
        <v>57.002000000000002</v>
      </c>
      <c r="C1768" s="52"/>
      <c r="D1768" s="52"/>
      <c r="E1768" s="52"/>
      <c r="F1768" s="52"/>
      <c r="G1768" s="52"/>
      <c r="H1768" s="52"/>
    </row>
    <row r="1769" spans="1:8" ht="15.75">
      <c r="A1769" s="124">
        <v>41976</v>
      </c>
      <c r="B1769" s="125">
        <v>57.468000000000004</v>
      </c>
      <c r="C1769" s="52"/>
      <c r="D1769" s="52"/>
      <c r="E1769" s="52"/>
      <c r="F1769" s="52"/>
      <c r="G1769" s="52"/>
      <c r="H1769" s="52"/>
    </row>
    <row r="1770" spans="1:8" ht="15.75">
      <c r="A1770" s="124">
        <v>41977</v>
      </c>
      <c r="B1770" s="125">
        <v>57.408999999999999</v>
      </c>
      <c r="C1770" s="52"/>
      <c r="D1770" s="52"/>
      <c r="E1770" s="52"/>
      <c r="F1770" s="52"/>
      <c r="G1770" s="52"/>
      <c r="H1770" s="52"/>
    </row>
    <row r="1771" spans="1:8" ht="15.75">
      <c r="A1771" s="124">
        <v>41978</v>
      </c>
      <c r="B1771" s="125">
        <v>57.040999999999997</v>
      </c>
      <c r="C1771" s="52"/>
      <c r="D1771" s="52"/>
      <c r="E1771" s="52"/>
      <c r="F1771" s="52"/>
      <c r="G1771" s="52"/>
      <c r="H1771" s="52"/>
    </row>
    <row r="1772" spans="1:8" ht="15.75">
      <c r="A1772" s="124">
        <v>41981</v>
      </c>
      <c r="B1772" s="125">
        <v>57.811</v>
      </c>
      <c r="C1772" s="52"/>
      <c r="D1772" s="52"/>
      <c r="E1772" s="52"/>
      <c r="F1772" s="52"/>
      <c r="G1772" s="52"/>
      <c r="H1772" s="52"/>
    </row>
    <row r="1773" spans="1:8" ht="15.75">
      <c r="A1773" s="124">
        <v>41982</v>
      </c>
      <c r="B1773" s="125">
        <v>58.198999999999998</v>
      </c>
      <c r="C1773" s="52"/>
      <c r="D1773" s="52"/>
      <c r="E1773" s="52"/>
      <c r="F1773" s="52"/>
      <c r="G1773" s="52"/>
      <c r="H1773" s="52"/>
    </row>
    <row r="1774" spans="1:8" ht="15.75">
      <c r="A1774" s="124">
        <v>41983</v>
      </c>
      <c r="B1774" s="125">
        <v>58.045999999999999</v>
      </c>
      <c r="C1774" s="52"/>
      <c r="D1774" s="52"/>
      <c r="E1774" s="52"/>
      <c r="F1774" s="52"/>
      <c r="G1774" s="52"/>
      <c r="H1774" s="52"/>
    </row>
    <row r="1775" spans="1:8" ht="15.75">
      <c r="A1775" s="124">
        <v>41984</v>
      </c>
      <c r="B1775" s="125">
        <v>58.216000000000001</v>
      </c>
      <c r="C1775" s="52"/>
      <c r="D1775" s="52"/>
      <c r="E1775" s="52"/>
      <c r="F1775" s="52"/>
      <c r="G1775" s="52"/>
      <c r="H1775" s="52"/>
    </row>
    <row r="1776" spans="1:8" ht="15.75">
      <c r="A1776" s="124">
        <v>41985</v>
      </c>
      <c r="B1776" s="125">
        <v>57.488999999999997</v>
      </c>
      <c r="C1776" s="52"/>
      <c r="D1776" s="52"/>
      <c r="E1776" s="52"/>
      <c r="F1776" s="52"/>
      <c r="G1776" s="52"/>
      <c r="H1776" s="52"/>
    </row>
    <row r="1777" spans="1:8" ht="15.75">
      <c r="A1777" s="124">
        <v>41988</v>
      </c>
      <c r="B1777" s="125">
        <v>56.161000000000001</v>
      </c>
      <c r="C1777" s="52"/>
      <c r="D1777" s="52"/>
      <c r="E1777" s="52"/>
      <c r="F1777" s="52"/>
      <c r="G1777" s="52"/>
      <c r="H1777" s="52"/>
    </row>
    <row r="1778" spans="1:8" ht="15.75">
      <c r="A1778" s="124">
        <v>41989</v>
      </c>
      <c r="B1778" s="125">
        <v>56.198</v>
      </c>
      <c r="C1778" s="52"/>
      <c r="D1778" s="52"/>
      <c r="E1778" s="52"/>
      <c r="F1778" s="52"/>
      <c r="G1778" s="52"/>
      <c r="H1778" s="52"/>
    </row>
    <row r="1779" spans="1:8" ht="15.75">
      <c r="A1779" s="124">
        <v>41990</v>
      </c>
      <c r="B1779" s="125">
        <v>57.259</v>
      </c>
      <c r="C1779" s="52"/>
      <c r="D1779" s="52"/>
      <c r="E1779" s="52"/>
      <c r="F1779" s="52"/>
      <c r="G1779" s="52"/>
      <c r="H1779" s="52"/>
    </row>
    <row r="1780" spans="1:8" ht="15.75">
      <c r="A1780" s="124">
        <v>41991</v>
      </c>
      <c r="B1780" s="125">
        <v>58.765000000000001</v>
      </c>
      <c r="C1780" s="52"/>
      <c r="D1780" s="52"/>
      <c r="E1780" s="52"/>
      <c r="F1780" s="52"/>
      <c r="G1780" s="52"/>
      <c r="H1780" s="52"/>
    </row>
    <row r="1781" spans="1:8" ht="15.75">
      <c r="A1781" s="124">
        <v>41992</v>
      </c>
      <c r="B1781" s="125">
        <v>59.725999999999999</v>
      </c>
      <c r="C1781" s="52"/>
      <c r="D1781" s="52"/>
      <c r="E1781" s="52"/>
      <c r="F1781" s="52"/>
      <c r="G1781" s="52"/>
      <c r="H1781" s="52"/>
    </row>
    <row r="1782" spans="1:8" ht="15.75">
      <c r="A1782" s="124">
        <v>41995</v>
      </c>
      <c r="B1782" s="125">
        <v>60.125999999999998</v>
      </c>
      <c r="C1782" s="52"/>
      <c r="D1782" s="52"/>
      <c r="E1782" s="52"/>
      <c r="F1782" s="52"/>
      <c r="G1782" s="52"/>
      <c r="H1782" s="52"/>
    </row>
    <row r="1783" spans="1:8" ht="15.75">
      <c r="A1783" s="124">
        <v>41996</v>
      </c>
      <c r="B1783" s="125">
        <v>60.238</v>
      </c>
      <c r="C1783" s="52"/>
      <c r="D1783" s="52"/>
      <c r="E1783" s="52"/>
      <c r="F1783" s="52"/>
      <c r="G1783" s="52"/>
      <c r="H1783" s="52"/>
    </row>
    <row r="1784" spans="1:8" ht="15.75">
      <c r="A1784" s="124">
        <v>42002</v>
      </c>
      <c r="B1784" s="125">
        <v>60.16</v>
      </c>
      <c r="C1784" s="52"/>
      <c r="D1784" s="52"/>
      <c r="E1784" s="52"/>
      <c r="F1784" s="52"/>
      <c r="G1784" s="52"/>
      <c r="H1784" s="52"/>
    </row>
    <row r="1785" spans="1:8" ht="15.75">
      <c r="A1785" s="124">
        <v>42003</v>
      </c>
      <c r="B1785" s="125">
        <v>60.610999999999997</v>
      </c>
      <c r="C1785" s="52"/>
      <c r="D1785" s="52"/>
      <c r="E1785" s="52"/>
      <c r="F1785" s="52"/>
      <c r="G1785" s="52"/>
      <c r="H1785" s="52"/>
    </row>
    <row r="1786" spans="1:8" ht="15.75">
      <c r="A1786" s="124">
        <v>42006</v>
      </c>
      <c r="B1786" s="125">
        <v>60.753</v>
      </c>
      <c r="C1786" s="52"/>
      <c r="D1786" s="52"/>
      <c r="E1786" s="52"/>
      <c r="F1786" s="52"/>
      <c r="G1786" s="52"/>
      <c r="H1786" s="52"/>
    </row>
    <row r="1787" spans="1:8" ht="15.75">
      <c r="A1787" s="124">
        <v>42009</v>
      </c>
      <c r="B1787" s="125">
        <v>61.835999999999999</v>
      </c>
      <c r="C1787" s="52"/>
      <c r="D1787" s="52"/>
      <c r="E1787" s="52"/>
      <c r="F1787" s="52"/>
      <c r="G1787" s="52"/>
      <c r="H1787" s="52"/>
    </row>
    <row r="1788" spans="1:8" ht="15.75">
      <c r="A1788" s="124">
        <v>42010</v>
      </c>
      <c r="B1788" s="125">
        <v>62.216999999999999</v>
      </c>
      <c r="C1788" s="52"/>
      <c r="D1788" s="52"/>
      <c r="E1788" s="52"/>
      <c r="F1788" s="52"/>
      <c r="G1788" s="52"/>
      <c r="H1788" s="52"/>
    </row>
    <row r="1789" spans="1:8" ht="15.75">
      <c r="A1789" s="124">
        <v>42011</v>
      </c>
      <c r="B1789" s="125">
        <v>63.682000000000002</v>
      </c>
      <c r="C1789" s="52"/>
      <c r="D1789" s="52"/>
      <c r="E1789" s="52"/>
      <c r="F1789" s="52"/>
      <c r="G1789" s="52"/>
      <c r="H1789" s="52"/>
    </row>
    <row r="1790" spans="1:8" ht="15.75">
      <c r="A1790" s="124">
        <v>42012</v>
      </c>
      <c r="B1790" s="125">
        <v>64.242000000000004</v>
      </c>
      <c r="C1790" s="52"/>
      <c r="D1790" s="52"/>
      <c r="E1790" s="52"/>
      <c r="F1790" s="52"/>
      <c r="G1790" s="52"/>
      <c r="H1790" s="52"/>
    </row>
    <row r="1791" spans="1:8" ht="15.75">
      <c r="A1791" s="124">
        <v>42013</v>
      </c>
      <c r="B1791" s="125">
        <v>64.941000000000003</v>
      </c>
      <c r="C1791" s="52"/>
      <c r="D1791" s="52"/>
      <c r="E1791" s="52"/>
      <c r="F1791" s="52"/>
      <c r="G1791" s="52"/>
      <c r="H1791" s="52"/>
    </row>
    <row r="1792" spans="1:8" ht="15.75">
      <c r="A1792" s="124">
        <v>42016</v>
      </c>
      <c r="B1792" s="125">
        <v>65.334999999999994</v>
      </c>
      <c r="C1792" s="52"/>
      <c r="D1792" s="52"/>
      <c r="E1792" s="52"/>
      <c r="F1792" s="52"/>
      <c r="G1792" s="52"/>
      <c r="H1792" s="52"/>
    </row>
    <row r="1793" spans="1:8" ht="15.75">
      <c r="A1793" s="124">
        <v>42017</v>
      </c>
      <c r="B1793" s="125">
        <v>65.067999999999998</v>
      </c>
      <c r="C1793" s="52"/>
      <c r="D1793" s="52"/>
      <c r="E1793" s="52"/>
      <c r="F1793" s="52"/>
      <c r="G1793" s="52"/>
      <c r="H1793" s="52"/>
    </row>
    <row r="1794" spans="1:8" ht="15.75">
      <c r="A1794" s="124">
        <v>42018</v>
      </c>
      <c r="B1794" s="125">
        <v>65.63</v>
      </c>
      <c r="C1794" s="52"/>
      <c r="D1794" s="52"/>
      <c r="E1794" s="52"/>
      <c r="F1794" s="52"/>
      <c r="G1794" s="52"/>
      <c r="H1794" s="52"/>
    </row>
    <row r="1795" spans="1:8" ht="15.75">
      <c r="A1795" s="124">
        <v>42019</v>
      </c>
      <c r="B1795" s="125">
        <v>67.227999999999994</v>
      </c>
      <c r="C1795" s="52"/>
      <c r="D1795" s="52"/>
      <c r="E1795" s="52"/>
      <c r="F1795" s="52"/>
      <c r="G1795" s="52"/>
      <c r="H1795" s="52"/>
    </row>
    <row r="1796" spans="1:8" ht="15.75">
      <c r="A1796" s="124">
        <v>42020</v>
      </c>
      <c r="B1796" s="125">
        <v>68.049000000000007</v>
      </c>
      <c r="C1796" s="52"/>
      <c r="D1796" s="52"/>
      <c r="E1796" s="52"/>
      <c r="F1796" s="52"/>
      <c r="G1796" s="52"/>
      <c r="H1796" s="52"/>
    </row>
    <row r="1797" spans="1:8" ht="15.75">
      <c r="A1797" s="124">
        <v>42023</v>
      </c>
      <c r="B1797" s="125">
        <v>68.221000000000004</v>
      </c>
      <c r="C1797" s="52"/>
      <c r="D1797" s="52"/>
      <c r="E1797" s="52"/>
      <c r="F1797" s="52"/>
      <c r="G1797" s="52"/>
      <c r="H1797" s="52"/>
    </row>
    <row r="1798" spans="1:8" ht="15.75">
      <c r="A1798" s="124">
        <v>42024</v>
      </c>
      <c r="B1798" s="125">
        <v>67.165000000000006</v>
      </c>
      <c r="C1798" s="52"/>
      <c r="D1798" s="52"/>
      <c r="E1798" s="52"/>
      <c r="F1798" s="52"/>
      <c r="G1798" s="52"/>
      <c r="H1798" s="52"/>
    </row>
    <row r="1799" spans="1:8" ht="15.75">
      <c r="A1799" s="124">
        <v>42025</v>
      </c>
      <c r="B1799" s="125">
        <v>66.84</v>
      </c>
      <c r="C1799" s="52"/>
      <c r="D1799" s="52"/>
      <c r="E1799" s="52"/>
      <c r="F1799" s="52"/>
      <c r="G1799" s="52"/>
      <c r="H1799" s="52"/>
    </row>
    <row r="1800" spans="1:8" ht="15.75">
      <c r="A1800" s="124">
        <v>42026</v>
      </c>
      <c r="B1800" s="125">
        <v>69</v>
      </c>
      <c r="C1800" s="52"/>
      <c r="D1800" s="52"/>
      <c r="E1800" s="52"/>
      <c r="F1800" s="52"/>
      <c r="G1800" s="52"/>
      <c r="H1800" s="52"/>
    </row>
    <row r="1801" spans="1:8" ht="15.75">
      <c r="A1801" s="124">
        <v>42027</v>
      </c>
      <c r="B1801" s="125">
        <v>70.397999999999996</v>
      </c>
      <c r="C1801" s="52"/>
      <c r="D1801" s="52"/>
      <c r="E1801" s="52"/>
      <c r="F1801" s="52"/>
      <c r="G1801" s="52"/>
      <c r="H1801" s="52"/>
    </row>
    <row r="1802" spans="1:8" ht="15.75">
      <c r="A1802" s="124">
        <v>42030</v>
      </c>
      <c r="B1802" s="125">
        <v>70.492000000000004</v>
      </c>
      <c r="C1802" s="52"/>
      <c r="D1802" s="52"/>
      <c r="E1802" s="52"/>
      <c r="F1802" s="52"/>
      <c r="G1802" s="52"/>
      <c r="H1802" s="52"/>
    </row>
    <row r="1803" spans="1:8" ht="15.75">
      <c r="A1803" s="124">
        <v>42031</v>
      </c>
      <c r="B1803" s="125">
        <v>70.387</v>
      </c>
      <c r="C1803" s="52"/>
      <c r="D1803" s="52"/>
      <c r="E1803" s="52"/>
      <c r="F1803" s="52"/>
      <c r="G1803" s="52"/>
      <c r="H1803" s="52"/>
    </row>
    <row r="1804" spans="1:8" ht="15.75">
      <c r="A1804" s="124">
        <v>42032</v>
      </c>
      <c r="B1804" s="125">
        <v>70.373999999999995</v>
      </c>
      <c r="C1804" s="52"/>
      <c r="D1804" s="52"/>
      <c r="E1804" s="52"/>
      <c r="F1804" s="52"/>
      <c r="G1804" s="52"/>
      <c r="H1804" s="52"/>
    </row>
    <row r="1805" spans="1:8" ht="15.75">
      <c r="A1805" s="124">
        <v>42033</v>
      </c>
      <c r="B1805" s="125">
        <v>69.575000000000003</v>
      </c>
      <c r="C1805" s="52"/>
      <c r="D1805" s="52"/>
      <c r="E1805" s="52"/>
      <c r="F1805" s="52"/>
      <c r="G1805" s="52"/>
      <c r="H1805" s="52"/>
    </row>
    <row r="1806" spans="1:8" ht="15.75">
      <c r="A1806" s="124">
        <v>42034</v>
      </c>
      <c r="B1806" s="125">
        <v>69.308999999999997</v>
      </c>
      <c r="C1806" s="52"/>
      <c r="D1806" s="52"/>
      <c r="E1806" s="52"/>
      <c r="F1806" s="52"/>
      <c r="G1806" s="52"/>
      <c r="H1806" s="52"/>
    </row>
    <row r="1807" spans="1:8" ht="15.75">
      <c r="A1807" s="124">
        <v>42037</v>
      </c>
      <c r="B1807" s="125">
        <v>67.174000000000007</v>
      </c>
      <c r="C1807" s="52"/>
      <c r="D1807" s="52"/>
      <c r="E1807" s="52"/>
      <c r="F1807" s="52"/>
      <c r="G1807" s="52"/>
      <c r="H1807" s="52"/>
    </row>
    <row r="1808" spans="1:8" ht="15.75">
      <c r="A1808" s="124">
        <v>42038</v>
      </c>
      <c r="B1808" s="125">
        <v>67.108999999999995</v>
      </c>
      <c r="C1808" s="52"/>
      <c r="D1808" s="52"/>
      <c r="E1808" s="52"/>
      <c r="F1808" s="52"/>
      <c r="G1808" s="52"/>
      <c r="H1808" s="52"/>
    </row>
    <row r="1809" spans="1:8" ht="15.75">
      <c r="A1809" s="124">
        <v>42039</v>
      </c>
      <c r="B1809" s="125">
        <v>69.103999999999999</v>
      </c>
      <c r="C1809" s="52"/>
      <c r="D1809" s="52"/>
      <c r="E1809" s="52"/>
      <c r="F1809" s="52"/>
      <c r="G1809" s="52"/>
      <c r="H1809" s="52"/>
    </row>
    <row r="1810" spans="1:8" ht="15.75">
      <c r="A1810" s="124">
        <v>42040</v>
      </c>
      <c r="B1810" s="125">
        <v>69.602999999999994</v>
      </c>
      <c r="C1810" s="52"/>
      <c r="D1810" s="52"/>
      <c r="E1810" s="52"/>
      <c r="F1810" s="52"/>
      <c r="G1810" s="52"/>
      <c r="H1810" s="52"/>
    </row>
    <row r="1811" spans="1:8" ht="15.75">
      <c r="A1811" s="124">
        <v>42041</v>
      </c>
      <c r="B1811" s="125">
        <v>68.692999999999998</v>
      </c>
      <c r="C1811" s="52"/>
      <c r="D1811" s="52"/>
      <c r="E1811" s="52"/>
      <c r="F1811" s="52"/>
      <c r="G1811" s="52"/>
      <c r="H1811" s="52"/>
    </row>
    <row r="1812" spans="1:8" ht="15.75">
      <c r="A1812" s="124">
        <v>42044</v>
      </c>
      <c r="B1812" s="125">
        <v>68.545000000000002</v>
      </c>
      <c r="C1812" s="52"/>
      <c r="D1812" s="52"/>
      <c r="E1812" s="52"/>
      <c r="F1812" s="52"/>
      <c r="G1812" s="52"/>
      <c r="H1812" s="52"/>
    </row>
    <row r="1813" spans="1:8" ht="15.75">
      <c r="A1813" s="124">
        <v>42045</v>
      </c>
      <c r="B1813" s="125">
        <v>68.177000000000007</v>
      </c>
      <c r="C1813" s="52"/>
      <c r="D1813" s="52"/>
      <c r="E1813" s="52"/>
      <c r="F1813" s="52"/>
      <c r="G1813" s="52"/>
      <c r="H1813" s="52"/>
    </row>
    <row r="1814" spans="1:8" ht="15.75">
      <c r="A1814" s="124">
        <v>42046</v>
      </c>
      <c r="B1814" s="125">
        <v>68.484999999999999</v>
      </c>
      <c r="C1814" s="52"/>
      <c r="D1814" s="52"/>
      <c r="E1814" s="52"/>
      <c r="F1814" s="52"/>
      <c r="G1814" s="52"/>
      <c r="H1814" s="52"/>
    </row>
    <row r="1815" spans="1:8" ht="15.75">
      <c r="A1815" s="124">
        <v>42047</v>
      </c>
      <c r="B1815" s="125">
        <v>69.575000000000003</v>
      </c>
      <c r="C1815" s="52"/>
      <c r="D1815" s="52"/>
      <c r="E1815" s="52"/>
      <c r="F1815" s="52"/>
      <c r="G1815" s="52"/>
      <c r="H1815" s="52"/>
    </row>
    <row r="1816" spans="1:8" ht="15.75">
      <c r="A1816" s="124">
        <v>42048</v>
      </c>
      <c r="B1816" s="125">
        <v>68.576999999999998</v>
      </c>
      <c r="C1816" s="52"/>
      <c r="D1816" s="52"/>
      <c r="E1816" s="52"/>
      <c r="F1816" s="52"/>
      <c r="G1816" s="52"/>
      <c r="H1816" s="52"/>
    </row>
    <row r="1817" spans="1:8" ht="15.75">
      <c r="A1817" s="124">
        <v>42051</v>
      </c>
      <c r="B1817" s="125">
        <v>68.683000000000007</v>
      </c>
      <c r="C1817" s="52"/>
      <c r="D1817" s="52"/>
      <c r="E1817" s="52"/>
      <c r="F1817" s="52"/>
      <c r="G1817" s="52"/>
      <c r="H1817" s="52"/>
    </row>
    <row r="1818" spans="1:8" ht="15.75">
      <c r="A1818" s="124">
        <v>42052</v>
      </c>
      <c r="B1818" s="125">
        <v>68.965000000000003</v>
      </c>
      <c r="C1818" s="52"/>
      <c r="D1818" s="52"/>
      <c r="E1818" s="52"/>
      <c r="F1818" s="52"/>
      <c r="G1818" s="52"/>
      <c r="H1818" s="52"/>
    </row>
    <row r="1819" spans="1:8" ht="15.75">
      <c r="A1819" s="124">
        <v>42053</v>
      </c>
      <c r="B1819" s="125">
        <v>69.278999999999996</v>
      </c>
      <c r="C1819" s="52"/>
      <c r="D1819" s="52"/>
      <c r="E1819" s="52"/>
      <c r="F1819" s="52"/>
      <c r="G1819" s="52"/>
      <c r="H1819" s="52"/>
    </row>
    <row r="1820" spans="1:8" ht="15.75">
      <c r="A1820" s="124">
        <v>42054</v>
      </c>
      <c r="B1820" s="125">
        <v>68.108999999999995</v>
      </c>
      <c r="C1820" s="52"/>
      <c r="D1820" s="52"/>
      <c r="E1820" s="52"/>
      <c r="F1820" s="52"/>
      <c r="G1820" s="52"/>
      <c r="H1820" s="52"/>
    </row>
    <row r="1821" spans="1:8" ht="15.75">
      <c r="A1821" s="124">
        <v>42055</v>
      </c>
      <c r="B1821" s="125">
        <v>68.528999999999996</v>
      </c>
      <c r="C1821" s="52"/>
      <c r="D1821" s="52"/>
      <c r="E1821" s="52"/>
      <c r="F1821" s="52"/>
      <c r="G1821" s="52"/>
      <c r="H1821" s="52"/>
    </row>
    <row r="1822" spans="1:8" ht="15.75">
      <c r="A1822" s="124">
        <v>42058</v>
      </c>
      <c r="B1822" s="125">
        <v>69.790999999999997</v>
      </c>
      <c r="C1822" s="52"/>
      <c r="D1822" s="52"/>
      <c r="E1822" s="52"/>
      <c r="F1822" s="52"/>
      <c r="G1822" s="52"/>
      <c r="H1822" s="52"/>
    </row>
    <row r="1823" spans="1:8" ht="15.75">
      <c r="A1823" s="124">
        <v>42059</v>
      </c>
      <c r="B1823" s="125">
        <v>68.608999999999995</v>
      </c>
      <c r="C1823" s="52"/>
      <c r="D1823" s="52"/>
      <c r="E1823" s="52"/>
      <c r="F1823" s="52"/>
      <c r="G1823" s="52"/>
      <c r="H1823" s="52"/>
    </row>
    <row r="1824" spans="1:8" ht="15.75">
      <c r="A1824" s="124">
        <v>42060</v>
      </c>
      <c r="B1824" s="125">
        <v>69.013000000000005</v>
      </c>
      <c r="C1824" s="52"/>
      <c r="D1824" s="52"/>
      <c r="E1824" s="52"/>
      <c r="F1824" s="52"/>
      <c r="G1824" s="52"/>
      <c r="H1824" s="52"/>
    </row>
    <row r="1825" spans="1:8" ht="15.75">
      <c r="A1825" s="124">
        <v>42061</v>
      </c>
      <c r="B1825" s="125">
        <v>68.536000000000001</v>
      </c>
      <c r="C1825" s="52"/>
      <c r="D1825" s="52"/>
      <c r="E1825" s="52"/>
      <c r="F1825" s="52"/>
      <c r="G1825" s="52"/>
      <c r="H1825" s="52"/>
    </row>
    <row r="1826" spans="1:8" ht="15.75">
      <c r="A1826" s="124">
        <v>42062</v>
      </c>
      <c r="B1826" s="125">
        <v>68.421000000000006</v>
      </c>
      <c r="C1826" s="52"/>
      <c r="D1826" s="52"/>
      <c r="E1826" s="52"/>
      <c r="F1826" s="52"/>
      <c r="G1826" s="52"/>
      <c r="H1826" s="52"/>
    </row>
    <row r="1827" spans="1:8" ht="15.75">
      <c r="A1827" s="124">
        <v>42065</v>
      </c>
      <c r="B1827" s="125">
        <v>69.135999999999996</v>
      </c>
      <c r="C1827" s="52"/>
      <c r="D1827" s="52"/>
      <c r="E1827" s="52"/>
      <c r="F1827" s="52"/>
      <c r="G1827" s="52"/>
      <c r="H1827" s="52"/>
    </row>
    <row r="1828" spans="1:8" ht="15.75">
      <c r="A1828" s="124">
        <v>42066</v>
      </c>
      <c r="B1828" s="125">
        <v>68.519000000000005</v>
      </c>
      <c r="C1828" s="52"/>
      <c r="D1828" s="52"/>
      <c r="E1828" s="52"/>
      <c r="F1828" s="52"/>
      <c r="G1828" s="52"/>
      <c r="H1828" s="52"/>
    </row>
    <row r="1829" spans="1:8" ht="15.75">
      <c r="A1829" s="124">
        <v>42067</v>
      </c>
      <c r="B1829" s="125">
        <v>69.331000000000003</v>
      </c>
      <c r="C1829" s="52"/>
      <c r="D1829" s="52"/>
      <c r="E1829" s="52"/>
      <c r="F1829" s="52"/>
      <c r="G1829" s="52"/>
      <c r="H1829" s="52"/>
    </row>
    <row r="1830" spans="1:8" ht="15.75">
      <c r="A1830" s="124">
        <v>42068</v>
      </c>
      <c r="B1830" s="125">
        <v>70.063999999999993</v>
      </c>
      <c r="C1830" s="52"/>
      <c r="D1830" s="52"/>
      <c r="E1830" s="52"/>
      <c r="F1830" s="52"/>
      <c r="G1830" s="52"/>
      <c r="H1830" s="52"/>
    </row>
    <row r="1831" spans="1:8" ht="15.75">
      <c r="A1831" s="124">
        <v>42069</v>
      </c>
      <c r="B1831" s="125">
        <v>68.944999999999993</v>
      </c>
      <c r="C1831" s="52"/>
      <c r="D1831" s="52"/>
      <c r="E1831" s="52"/>
      <c r="F1831" s="52"/>
      <c r="G1831" s="52"/>
      <c r="H1831" s="52"/>
    </row>
    <row r="1832" spans="1:8" ht="15.75">
      <c r="A1832" s="124">
        <v>42072</v>
      </c>
      <c r="B1832" s="125">
        <v>69.456999999999994</v>
      </c>
      <c r="C1832" s="52"/>
      <c r="D1832" s="52"/>
      <c r="E1832" s="52"/>
      <c r="F1832" s="52"/>
      <c r="G1832" s="52"/>
      <c r="H1832" s="52"/>
    </row>
    <row r="1833" spans="1:8" ht="15.75">
      <c r="A1833" s="124">
        <v>42073</v>
      </c>
      <c r="B1833" s="125">
        <v>70.841999999999999</v>
      </c>
      <c r="C1833" s="52"/>
      <c r="D1833" s="52"/>
      <c r="E1833" s="52"/>
      <c r="F1833" s="52"/>
      <c r="G1833" s="52"/>
      <c r="H1833" s="52"/>
    </row>
    <row r="1834" spans="1:8" ht="15.75">
      <c r="A1834" s="124">
        <v>42074</v>
      </c>
      <c r="B1834" s="125">
        <v>71.77</v>
      </c>
      <c r="C1834" s="52"/>
      <c r="D1834" s="52"/>
      <c r="E1834" s="52"/>
      <c r="F1834" s="52"/>
      <c r="G1834" s="52"/>
      <c r="H1834" s="52"/>
    </row>
    <row r="1835" spans="1:8" ht="15.75">
      <c r="A1835" s="124">
        <v>42075</v>
      </c>
      <c r="B1835" s="125">
        <v>72.040000000000006</v>
      </c>
      <c r="C1835" s="52"/>
      <c r="D1835" s="52"/>
      <c r="E1835" s="52"/>
      <c r="F1835" s="52"/>
      <c r="G1835" s="52"/>
      <c r="H1835" s="52"/>
    </row>
    <row r="1836" spans="1:8" ht="15.75">
      <c r="A1836" s="124">
        <v>42076</v>
      </c>
      <c r="B1836" s="125">
        <v>72.911000000000001</v>
      </c>
      <c r="C1836" s="52"/>
      <c r="D1836" s="52"/>
      <c r="E1836" s="52"/>
      <c r="F1836" s="52"/>
      <c r="G1836" s="52"/>
      <c r="H1836" s="52"/>
    </row>
    <row r="1837" spans="1:8" ht="15.75">
      <c r="A1837" s="124">
        <v>42079</v>
      </c>
      <c r="B1837" s="125">
        <v>74.087000000000003</v>
      </c>
      <c r="C1837" s="52"/>
      <c r="D1837" s="52"/>
      <c r="E1837" s="52"/>
      <c r="F1837" s="52"/>
      <c r="G1837" s="52"/>
      <c r="H1837" s="52"/>
    </row>
    <row r="1838" spans="1:8" ht="15.75">
      <c r="A1838" s="124">
        <v>42080</v>
      </c>
      <c r="B1838" s="125">
        <v>73.709999999999994</v>
      </c>
      <c r="C1838" s="52"/>
      <c r="D1838" s="52"/>
      <c r="E1838" s="52"/>
      <c r="F1838" s="52"/>
      <c r="G1838" s="52"/>
      <c r="H1838" s="52"/>
    </row>
    <row r="1839" spans="1:8" ht="15.75">
      <c r="A1839" s="124">
        <v>42081</v>
      </c>
      <c r="B1839" s="125">
        <v>74.046999999999997</v>
      </c>
      <c r="C1839" s="52"/>
      <c r="D1839" s="52"/>
      <c r="E1839" s="52"/>
      <c r="F1839" s="52"/>
      <c r="G1839" s="52"/>
      <c r="H1839" s="52"/>
    </row>
    <row r="1840" spans="1:8" ht="15.75">
      <c r="A1840" s="124">
        <v>42082</v>
      </c>
      <c r="B1840" s="125">
        <v>75.018000000000001</v>
      </c>
      <c r="C1840" s="52"/>
      <c r="D1840" s="52"/>
      <c r="E1840" s="52"/>
      <c r="F1840" s="52"/>
      <c r="G1840" s="52"/>
      <c r="H1840" s="52"/>
    </row>
    <row r="1841" spans="1:8" ht="15.75">
      <c r="A1841" s="124">
        <v>42083</v>
      </c>
      <c r="B1841" s="125">
        <v>74.966999999999999</v>
      </c>
      <c r="C1841" s="52"/>
      <c r="D1841" s="52"/>
      <c r="E1841" s="52"/>
      <c r="F1841" s="52"/>
      <c r="G1841" s="52"/>
      <c r="H1841" s="52"/>
    </row>
    <row r="1842" spans="1:8" ht="15.75">
      <c r="A1842" s="124">
        <v>42086</v>
      </c>
      <c r="B1842" s="125">
        <v>74.394999999999996</v>
      </c>
      <c r="C1842" s="52"/>
      <c r="D1842" s="52"/>
      <c r="E1842" s="52"/>
      <c r="F1842" s="52"/>
      <c r="G1842" s="52"/>
      <c r="H1842" s="52"/>
    </row>
    <row r="1843" spans="1:8" ht="15.75">
      <c r="A1843" s="124">
        <v>42087</v>
      </c>
      <c r="B1843" s="125">
        <v>73.869</v>
      </c>
      <c r="C1843" s="52"/>
      <c r="D1843" s="52"/>
      <c r="E1843" s="52"/>
      <c r="F1843" s="52"/>
      <c r="G1843" s="52"/>
      <c r="H1843" s="52"/>
    </row>
    <row r="1844" spans="1:8" ht="15.75">
      <c r="A1844" s="124">
        <v>42088</v>
      </c>
      <c r="B1844" s="125">
        <v>71.731999999999999</v>
      </c>
      <c r="C1844" s="52"/>
      <c r="D1844" s="52"/>
      <c r="E1844" s="52"/>
      <c r="F1844" s="52"/>
      <c r="G1844" s="52"/>
      <c r="H1844" s="52"/>
    </row>
    <row r="1845" spans="1:8" ht="15.75">
      <c r="A1845" s="124">
        <v>42089</v>
      </c>
      <c r="B1845" s="125">
        <v>71.852999999999994</v>
      </c>
      <c r="C1845" s="52"/>
      <c r="D1845" s="52"/>
      <c r="E1845" s="52"/>
      <c r="F1845" s="52"/>
      <c r="G1845" s="52"/>
      <c r="H1845" s="52"/>
    </row>
    <row r="1846" spans="1:8" ht="15.75">
      <c r="A1846" s="124">
        <v>42090</v>
      </c>
      <c r="B1846" s="125">
        <v>71.563999999999993</v>
      </c>
      <c r="C1846" s="52"/>
      <c r="D1846" s="52"/>
      <c r="E1846" s="52"/>
      <c r="F1846" s="52"/>
      <c r="G1846" s="52"/>
      <c r="H1846" s="52"/>
    </row>
    <row r="1847" spans="1:8" ht="15.75">
      <c r="A1847" s="124">
        <v>42093</v>
      </c>
      <c r="B1847" s="125">
        <v>72.254000000000005</v>
      </c>
      <c r="C1847" s="52"/>
      <c r="D1847" s="52"/>
      <c r="E1847" s="52"/>
      <c r="F1847" s="52"/>
      <c r="G1847" s="52"/>
      <c r="H1847" s="52"/>
    </row>
    <row r="1848" spans="1:8" ht="15.75">
      <c r="A1848" s="124">
        <v>42094</v>
      </c>
      <c r="B1848" s="125">
        <v>72.625</v>
      </c>
      <c r="C1848" s="52"/>
      <c r="D1848" s="52"/>
      <c r="E1848" s="52"/>
      <c r="F1848" s="52"/>
      <c r="G1848" s="52"/>
      <c r="H1848" s="52"/>
    </row>
    <row r="1849" spans="1:8" ht="15.75">
      <c r="A1849" s="124">
        <v>42095</v>
      </c>
      <c r="B1849" s="125">
        <v>71.733999999999995</v>
      </c>
      <c r="C1849" s="52"/>
      <c r="D1849" s="52"/>
      <c r="E1849" s="52"/>
      <c r="F1849" s="52"/>
      <c r="G1849" s="52"/>
      <c r="H1849" s="52"/>
    </row>
    <row r="1850" spans="1:8" ht="15.75">
      <c r="A1850" s="124">
        <v>42096</v>
      </c>
      <c r="B1850" s="125">
        <v>71.706999999999994</v>
      </c>
      <c r="C1850" s="52"/>
      <c r="D1850" s="52"/>
      <c r="E1850" s="52"/>
      <c r="F1850" s="52"/>
      <c r="G1850" s="52"/>
      <c r="H1850" s="52"/>
    </row>
    <row r="1851" spans="1:8" ht="15.75">
      <c r="A1851" s="124">
        <v>42101</v>
      </c>
      <c r="B1851" s="125">
        <v>71.814999999999998</v>
      </c>
      <c r="C1851" s="52"/>
      <c r="D1851" s="52"/>
      <c r="E1851" s="52"/>
      <c r="F1851" s="52"/>
      <c r="G1851" s="52"/>
      <c r="H1851" s="52"/>
    </row>
    <row r="1852" spans="1:8" ht="15.75">
      <c r="A1852" s="124">
        <v>42102</v>
      </c>
      <c r="B1852" s="125">
        <v>71.878</v>
      </c>
      <c r="C1852" s="52"/>
      <c r="D1852" s="52"/>
      <c r="E1852" s="52"/>
      <c r="F1852" s="52"/>
      <c r="G1852" s="52"/>
      <c r="H1852" s="52"/>
    </row>
    <row r="1853" spans="1:8" ht="15.75">
      <c r="A1853" s="124">
        <v>42103</v>
      </c>
      <c r="B1853" s="125">
        <v>70.908000000000001</v>
      </c>
      <c r="C1853" s="52"/>
      <c r="D1853" s="52"/>
      <c r="E1853" s="52"/>
      <c r="F1853" s="52"/>
      <c r="G1853" s="52"/>
      <c r="H1853" s="52"/>
    </row>
    <row r="1854" spans="1:8" ht="15.75">
      <c r="A1854" s="124">
        <v>42104</v>
      </c>
      <c r="B1854" s="125">
        <v>71.497</v>
      </c>
      <c r="C1854" s="52"/>
      <c r="D1854" s="52"/>
      <c r="E1854" s="52"/>
      <c r="F1854" s="52"/>
      <c r="G1854" s="52"/>
      <c r="H1854" s="52"/>
    </row>
    <row r="1855" spans="1:8" ht="15.75">
      <c r="A1855" s="124">
        <v>42107</v>
      </c>
      <c r="B1855" s="125">
        <v>71.325999999999993</v>
      </c>
      <c r="C1855" s="52"/>
      <c r="D1855" s="52"/>
      <c r="E1855" s="52"/>
      <c r="F1855" s="52"/>
      <c r="G1855" s="52"/>
      <c r="H1855" s="52"/>
    </row>
    <row r="1856" spans="1:8" ht="15.75">
      <c r="A1856" s="124">
        <v>42108</v>
      </c>
      <c r="B1856" s="125">
        <v>70.941999999999993</v>
      </c>
      <c r="C1856" s="52"/>
      <c r="D1856" s="52"/>
      <c r="E1856" s="52"/>
      <c r="F1856" s="52"/>
      <c r="G1856" s="52"/>
      <c r="H1856" s="52"/>
    </row>
    <row r="1857" spans="1:8" ht="15.75">
      <c r="A1857" s="124">
        <v>42109</v>
      </c>
      <c r="B1857" s="125">
        <v>70.188999999999993</v>
      </c>
      <c r="C1857" s="52"/>
      <c r="D1857" s="52"/>
      <c r="E1857" s="52"/>
      <c r="F1857" s="52"/>
      <c r="G1857" s="52"/>
      <c r="H1857" s="52"/>
    </row>
    <row r="1858" spans="1:8" ht="15.75">
      <c r="A1858" s="124">
        <v>42110</v>
      </c>
      <c r="B1858" s="125">
        <v>70.082999999999998</v>
      </c>
      <c r="C1858" s="52"/>
      <c r="D1858" s="52"/>
      <c r="E1858" s="52"/>
      <c r="F1858" s="52"/>
      <c r="G1858" s="52"/>
      <c r="H1858" s="52"/>
    </row>
    <row r="1859" spans="1:8" ht="15.75">
      <c r="A1859" s="124">
        <v>42111</v>
      </c>
      <c r="B1859" s="125">
        <v>69.313999999999993</v>
      </c>
      <c r="C1859" s="52"/>
      <c r="D1859" s="52"/>
      <c r="E1859" s="52"/>
      <c r="F1859" s="52"/>
      <c r="G1859" s="52"/>
      <c r="H1859" s="52"/>
    </row>
    <row r="1860" spans="1:8" ht="15.75">
      <c r="A1860" s="124">
        <v>42114</v>
      </c>
      <c r="B1860" s="125">
        <v>69.742999999999995</v>
      </c>
      <c r="C1860" s="52"/>
      <c r="D1860" s="52"/>
      <c r="E1860" s="52"/>
      <c r="F1860" s="52"/>
      <c r="G1860" s="52"/>
      <c r="H1860" s="52"/>
    </row>
    <row r="1861" spans="1:8" ht="15.75">
      <c r="A1861" s="124">
        <v>42115</v>
      </c>
      <c r="B1861" s="125">
        <v>70.408000000000001</v>
      </c>
      <c r="C1861" s="52"/>
      <c r="D1861" s="52"/>
      <c r="E1861" s="52"/>
      <c r="F1861" s="52"/>
      <c r="G1861" s="52"/>
      <c r="H1861" s="52"/>
    </row>
    <row r="1862" spans="1:8" ht="15.75">
      <c r="A1862" s="124">
        <v>42116</v>
      </c>
      <c r="B1862" s="125">
        <v>70.370999999999995</v>
      </c>
      <c r="C1862" s="52"/>
      <c r="D1862" s="52"/>
      <c r="E1862" s="52"/>
      <c r="F1862" s="52"/>
      <c r="G1862" s="52"/>
      <c r="H1862" s="52"/>
    </row>
    <row r="1863" spans="1:8" ht="15.75">
      <c r="A1863" s="124">
        <v>42117</v>
      </c>
      <c r="B1863" s="125">
        <v>70.177000000000007</v>
      </c>
      <c r="C1863" s="52"/>
      <c r="D1863" s="52"/>
      <c r="E1863" s="52"/>
      <c r="F1863" s="52"/>
      <c r="G1863" s="52"/>
      <c r="H1863" s="52"/>
    </row>
    <row r="1864" spans="1:8" ht="15.75">
      <c r="A1864" s="124">
        <v>42118</v>
      </c>
      <c r="B1864" s="125">
        <v>70.429000000000002</v>
      </c>
      <c r="C1864" s="52"/>
      <c r="D1864" s="52"/>
      <c r="E1864" s="52"/>
      <c r="F1864" s="52"/>
      <c r="G1864" s="52"/>
      <c r="H1864" s="52"/>
    </row>
    <row r="1865" spans="1:8" ht="15.75">
      <c r="A1865" s="124">
        <v>42121</v>
      </c>
      <c r="B1865" s="125">
        <v>70.228999999999999</v>
      </c>
      <c r="C1865" s="52"/>
      <c r="D1865" s="52"/>
      <c r="E1865" s="52"/>
      <c r="F1865" s="52"/>
      <c r="G1865" s="52"/>
      <c r="H1865" s="52"/>
    </row>
    <row r="1866" spans="1:8" ht="15.75">
      <c r="A1866" s="124">
        <v>42122</v>
      </c>
      <c r="B1866" s="125">
        <v>69.271000000000001</v>
      </c>
      <c r="C1866" s="52"/>
      <c r="D1866" s="52"/>
      <c r="E1866" s="52"/>
      <c r="F1866" s="52"/>
      <c r="G1866" s="52"/>
      <c r="H1866" s="52"/>
    </row>
    <row r="1867" spans="1:8" ht="15.75">
      <c r="A1867" s="124">
        <v>42123</v>
      </c>
      <c r="B1867" s="125">
        <v>67.206000000000003</v>
      </c>
      <c r="C1867" s="52"/>
      <c r="D1867" s="52"/>
      <c r="E1867" s="52"/>
      <c r="F1867" s="52"/>
      <c r="G1867" s="52"/>
      <c r="H1867" s="52"/>
    </row>
    <row r="1868" spans="1:8" ht="15.75">
      <c r="A1868" s="124">
        <v>42124</v>
      </c>
      <c r="B1868" s="125">
        <v>66.001999999999995</v>
      </c>
      <c r="C1868" s="52"/>
      <c r="D1868" s="52"/>
      <c r="E1868" s="52"/>
      <c r="F1868" s="52"/>
      <c r="G1868" s="52"/>
      <c r="H1868" s="52"/>
    </row>
    <row r="1869" spans="1:8" ht="15.75">
      <c r="A1869" s="124">
        <v>42128</v>
      </c>
      <c r="B1869" s="125">
        <v>67.141000000000005</v>
      </c>
      <c r="C1869" s="52"/>
      <c r="D1869" s="52"/>
      <c r="E1869" s="52"/>
      <c r="F1869" s="52"/>
      <c r="G1869" s="52"/>
      <c r="H1869" s="52"/>
    </row>
    <row r="1870" spans="1:8" ht="15.75">
      <c r="A1870" s="124">
        <v>42129</v>
      </c>
      <c r="B1870" s="125">
        <v>65.045000000000002</v>
      </c>
      <c r="C1870" s="52"/>
      <c r="D1870" s="52"/>
      <c r="E1870" s="52"/>
      <c r="F1870" s="52"/>
      <c r="G1870" s="52"/>
      <c r="H1870" s="52"/>
    </row>
    <row r="1871" spans="1:8" ht="15.75">
      <c r="A1871" s="124">
        <v>42130</v>
      </c>
      <c r="B1871" s="125">
        <v>63.366</v>
      </c>
      <c r="C1871" s="52"/>
      <c r="D1871" s="52"/>
      <c r="E1871" s="52"/>
      <c r="F1871" s="52"/>
      <c r="G1871" s="52"/>
      <c r="H1871" s="52"/>
    </row>
    <row r="1872" spans="1:8" ht="15.75">
      <c r="A1872" s="124">
        <v>42131</v>
      </c>
      <c r="B1872" s="125">
        <v>65.563999999999993</v>
      </c>
      <c r="C1872" s="52"/>
      <c r="D1872" s="52"/>
      <c r="E1872" s="52"/>
      <c r="F1872" s="52"/>
      <c r="G1872" s="52"/>
      <c r="H1872" s="52"/>
    </row>
    <row r="1873" spans="1:8" ht="15.75">
      <c r="A1873" s="124">
        <v>42132</v>
      </c>
      <c r="B1873" s="125">
        <v>66.483000000000004</v>
      </c>
      <c r="C1873" s="52"/>
      <c r="D1873" s="52"/>
      <c r="E1873" s="52"/>
      <c r="F1873" s="52"/>
      <c r="G1873" s="52"/>
      <c r="H1873" s="52"/>
    </row>
    <row r="1874" spans="1:8" ht="15.75">
      <c r="A1874" s="124">
        <v>42135</v>
      </c>
      <c r="B1874" s="125">
        <v>65.998000000000005</v>
      </c>
      <c r="C1874" s="52"/>
      <c r="D1874" s="52"/>
      <c r="E1874" s="52"/>
      <c r="F1874" s="52"/>
      <c r="G1874" s="52"/>
      <c r="H1874" s="52"/>
    </row>
    <row r="1875" spans="1:8" ht="15.75">
      <c r="A1875" s="124">
        <v>42136</v>
      </c>
      <c r="B1875" s="125">
        <v>65.744</v>
      </c>
      <c r="C1875" s="52"/>
      <c r="D1875" s="52"/>
      <c r="E1875" s="52"/>
      <c r="F1875" s="52"/>
      <c r="G1875" s="52"/>
      <c r="H1875" s="52"/>
    </row>
    <row r="1876" spans="1:8" ht="15.75">
      <c r="A1876" s="124">
        <v>42137</v>
      </c>
      <c r="B1876" s="125">
        <v>65.480999999999995</v>
      </c>
      <c r="C1876" s="52"/>
      <c r="D1876" s="52"/>
      <c r="E1876" s="52"/>
      <c r="F1876" s="52"/>
      <c r="G1876" s="52"/>
      <c r="H1876" s="52"/>
    </row>
    <row r="1877" spans="1:8" ht="15.75">
      <c r="A1877" s="124">
        <v>42138</v>
      </c>
      <c r="B1877" s="125">
        <v>65.212999999999994</v>
      </c>
      <c r="C1877" s="52"/>
      <c r="D1877" s="52"/>
      <c r="E1877" s="52"/>
      <c r="F1877" s="52"/>
      <c r="G1877" s="52"/>
      <c r="H1877" s="52"/>
    </row>
    <row r="1878" spans="1:8" ht="15.75">
      <c r="A1878" s="124">
        <v>42139</v>
      </c>
      <c r="B1878" s="125">
        <v>65.528999999999996</v>
      </c>
      <c r="C1878" s="52"/>
      <c r="D1878" s="52"/>
      <c r="E1878" s="52"/>
      <c r="F1878" s="52"/>
      <c r="G1878" s="52"/>
      <c r="H1878" s="52"/>
    </row>
    <row r="1879" spans="1:8" ht="15.75">
      <c r="A1879" s="124">
        <v>42142</v>
      </c>
      <c r="B1879" s="125">
        <v>65.703000000000003</v>
      </c>
      <c r="C1879" s="52"/>
      <c r="D1879" s="52"/>
      <c r="E1879" s="52"/>
      <c r="F1879" s="52"/>
      <c r="G1879" s="52"/>
      <c r="H1879" s="52"/>
    </row>
    <row r="1880" spans="1:8" ht="15.75">
      <c r="A1880" s="124">
        <v>42143</v>
      </c>
      <c r="B1880" s="125">
        <v>67.06</v>
      </c>
      <c r="C1880" s="52"/>
      <c r="D1880" s="52"/>
      <c r="E1880" s="52"/>
      <c r="F1880" s="52"/>
      <c r="G1880" s="52"/>
      <c r="H1880" s="52"/>
    </row>
    <row r="1881" spans="1:8" ht="15.75">
      <c r="A1881" s="124">
        <v>42144</v>
      </c>
      <c r="B1881" s="125">
        <v>67.260000000000005</v>
      </c>
      <c r="C1881" s="52"/>
      <c r="D1881" s="52"/>
      <c r="E1881" s="52"/>
      <c r="F1881" s="52"/>
      <c r="G1881" s="52"/>
      <c r="H1881" s="52"/>
    </row>
    <row r="1882" spans="1:8" ht="15.75">
      <c r="A1882" s="124">
        <v>42145</v>
      </c>
      <c r="B1882" s="125">
        <v>66.656000000000006</v>
      </c>
      <c r="C1882" s="52"/>
      <c r="D1882" s="52"/>
      <c r="E1882" s="52"/>
      <c r="F1882" s="52"/>
      <c r="G1882" s="52"/>
      <c r="H1882" s="52"/>
    </row>
    <row r="1883" spans="1:8" ht="15.75">
      <c r="A1883" s="124">
        <v>42146</v>
      </c>
      <c r="B1883" s="125">
        <v>67.563000000000002</v>
      </c>
      <c r="C1883" s="52"/>
      <c r="D1883" s="52"/>
      <c r="E1883" s="52"/>
      <c r="F1883" s="52"/>
      <c r="G1883" s="52"/>
      <c r="H1883" s="52"/>
    </row>
    <row r="1884" spans="1:8" ht="15.75">
      <c r="A1884" s="124">
        <v>42150</v>
      </c>
      <c r="B1884" s="125">
        <v>67.725999999999999</v>
      </c>
      <c r="C1884" s="52"/>
      <c r="D1884" s="52"/>
      <c r="E1884" s="52"/>
      <c r="F1884" s="52"/>
      <c r="G1884" s="52"/>
      <c r="H1884" s="52"/>
    </row>
    <row r="1885" spans="1:8" ht="15.75">
      <c r="A1885" s="124">
        <v>42151</v>
      </c>
      <c r="B1885" s="125">
        <v>68.521000000000001</v>
      </c>
      <c r="C1885" s="52"/>
      <c r="D1885" s="52"/>
      <c r="E1885" s="52"/>
      <c r="F1885" s="52"/>
      <c r="G1885" s="52"/>
      <c r="H1885" s="52"/>
    </row>
    <row r="1886" spans="1:8" ht="15.75">
      <c r="A1886" s="124">
        <v>42152</v>
      </c>
      <c r="B1886" s="125">
        <v>67.983999999999995</v>
      </c>
      <c r="C1886" s="52"/>
      <c r="D1886" s="52"/>
      <c r="E1886" s="52"/>
      <c r="F1886" s="52"/>
      <c r="G1886" s="52"/>
      <c r="H1886" s="52"/>
    </row>
    <row r="1887" spans="1:8" ht="15.75">
      <c r="A1887" s="124">
        <v>42153</v>
      </c>
      <c r="B1887" s="125">
        <v>67.5</v>
      </c>
      <c r="C1887" s="52"/>
      <c r="D1887" s="52"/>
      <c r="E1887" s="52"/>
      <c r="F1887" s="52"/>
      <c r="G1887" s="52"/>
      <c r="H1887" s="52"/>
    </row>
    <row r="1888" spans="1:8" ht="15.75">
      <c r="A1888" s="124">
        <v>42156</v>
      </c>
      <c r="B1888" s="125">
        <v>68.376999999999995</v>
      </c>
      <c r="C1888" s="52"/>
      <c r="D1888" s="52"/>
      <c r="E1888" s="52"/>
      <c r="F1888" s="52"/>
      <c r="G1888" s="52"/>
      <c r="H1888" s="52"/>
    </row>
    <row r="1889" spans="1:8" ht="15.75">
      <c r="A1889" s="124">
        <v>42157</v>
      </c>
      <c r="B1889" s="125">
        <v>65.709000000000003</v>
      </c>
      <c r="C1889" s="52"/>
      <c r="D1889" s="52"/>
      <c r="E1889" s="52"/>
      <c r="F1889" s="52"/>
      <c r="G1889" s="52"/>
      <c r="H1889" s="52"/>
    </row>
    <row r="1890" spans="1:8" ht="15.75">
      <c r="A1890" s="124">
        <v>42158</v>
      </c>
      <c r="B1890" s="125">
        <v>63.579000000000001</v>
      </c>
      <c r="C1890" s="52"/>
      <c r="D1890" s="52"/>
      <c r="E1890" s="52"/>
      <c r="F1890" s="52"/>
      <c r="G1890" s="52"/>
      <c r="H1890" s="52"/>
    </row>
    <row r="1891" spans="1:8" ht="15.75">
      <c r="A1891" s="124">
        <v>42159</v>
      </c>
      <c r="B1891" s="125">
        <v>63.652999999999999</v>
      </c>
      <c r="C1891" s="52"/>
      <c r="D1891" s="52"/>
      <c r="E1891" s="52"/>
      <c r="F1891" s="52"/>
      <c r="G1891" s="52"/>
      <c r="H1891" s="52"/>
    </row>
    <row r="1892" spans="1:8" ht="15.75">
      <c r="A1892" s="124">
        <v>42160</v>
      </c>
      <c r="B1892" s="125">
        <v>64.332999999999998</v>
      </c>
      <c r="C1892" s="52"/>
      <c r="D1892" s="52"/>
      <c r="E1892" s="52"/>
      <c r="F1892" s="52"/>
      <c r="G1892" s="52"/>
      <c r="H1892" s="52"/>
    </row>
    <row r="1893" spans="1:8" ht="15.75">
      <c r="A1893" s="124">
        <v>42163</v>
      </c>
      <c r="B1893" s="125">
        <v>63.109000000000002</v>
      </c>
      <c r="C1893" s="52"/>
      <c r="D1893" s="52"/>
      <c r="E1893" s="52"/>
      <c r="F1893" s="52"/>
      <c r="G1893" s="52"/>
      <c r="H1893" s="52"/>
    </row>
    <row r="1894" spans="1:8" ht="15.75">
      <c r="A1894" s="124">
        <v>42164</v>
      </c>
      <c r="B1894" s="125">
        <v>62.662999999999997</v>
      </c>
      <c r="C1894" s="52"/>
      <c r="D1894" s="52"/>
      <c r="E1894" s="52"/>
      <c r="F1894" s="52"/>
      <c r="G1894" s="52"/>
      <c r="H1894" s="52"/>
    </row>
    <row r="1895" spans="1:8" ht="15.75">
      <c r="A1895" s="124">
        <v>42165</v>
      </c>
      <c r="B1895" s="125">
        <v>62.563000000000002</v>
      </c>
      <c r="C1895" s="52"/>
      <c r="D1895" s="52"/>
      <c r="E1895" s="52"/>
      <c r="F1895" s="52"/>
      <c r="G1895" s="52"/>
      <c r="H1895" s="52"/>
    </row>
    <row r="1896" spans="1:8" ht="15.75">
      <c r="A1896" s="124">
        <v>42166</v>
      </c>
      <c r="B1896" s="125">
        <v>63.628</v>
      </c>
      <c r="C1896" s="52"/>
      <c r="D1896" s="52"/>
      <c r="E1896" s="52"/>
      <c r="F1896" s="52"/>
      <c r="G1896" s="52"/>
      <c r="H1896" s="52"/>
    </row>
    <row r="1897" spans="1:8" ht="15.75">
      <c r="A1897" s="124">
        <v>42167</v>
      </c>
      <c r="B1897" s="125">
        <v>62.987000000000002</v>
      </c>
      <c r="C1897" s="52"/>
      <c r="D1897" s="52"/>
      <c r="E1897" s="52"/>
      <c r="F1897" s="52"/>
      <c r="G1897" s="52"/>
      <c r="H1897" s="52"/>
    </row>
    <row r="1898" spans="1:8" ht="15.75">
      <c r="A1898" s="124">
        <v>42170</v>
      </c>
      <c r="B1898" s="125">
        <v>63.174999999999997</v>
      </c>
      <c r="C1898" s="52"/>
      <c r="D1898" s="52"/>
      <c r="E1898" s="52"/>
      <c r="F1898" s="52"/>
      <c r="G1898" s="52"/>
      <c r="H1898" s="52"/>
    </row>
    <row r="1899" spans="1:8" ht="15.75">
      <c r="A1899" s="124">
        <v>42171</v>
      </c>
      <c r="B1899" s="125">
        <v>64.361000000000004</v>
      </c>
      <c r="C1899" s="52"/>
      <c r="D1899" s="52"/>
      <c r="E1899" s="52"/>
      <c r="F1899" s="52"/>
      <c r="G1899" s="52"/>
      <c r="H1899" s="52"/>
    </row>
    <row r="1900" spans="1:8" ht="15.75">
      <c r="A1900" s="124">
        <v>42172</v>
      </c>
      <c r="B1900" s="125">
        <v>63.942</v>
      </c>
      <c r="C1900" s="52"/>
      <c r="D1900" s="52"/>
      <c r="E1900" s="52"/>
      <c r="F1900" s="52"/>
      <c r="G1900" s="52"/>
      <c r="H1900" s="52"/>
    </row>
    <row r="1901" spans="1:8" ht="15.75">
      <c r="A1901" s="124">
        <v>42173</v>
      </c>
      <c r="B1901" s="125">
        <v>65.638000000000005</v>
      </c>
      <c r="C1901" s="52"/>
      <c r="D1901" s="52"/>
      <c r="E1901" s="52"/>
      <c r="F1901" s="52"/>
      <c r="G1901" s="52"/>
      <c r="H1901" s="52"/>
    </row>
    <row r="1902" spans="1:8" ht="15.75">
      <c r="A1902" s="124">
        <v>42174</v>
      </c>
      <c r="B1902" s="125">
        <v>65.238</v>
      </c>
      <c r="C1902" s="52"/>
      <c r="D1902" s="52"/>
      <c r="E1902" s="52"/>
      <c r="F1902" s="52"/>
      <c r="G1902" s="52"/>
      <c r="H1902" s="52"/>
    </row>
    <row r="1903" spans="1:8" ht="15.75">
      <c r="A1903" s="124">
        <v>42177</v>
      </c>
      <c r="B1903" s="125">
        <v>64.655000000000001</v>
      </c>
      <c r="C1903" s="52"/>
      <c r="D1903" s="52"/>
      <c r="E1903" s="52"/>
      <c r="F1903" s="52"/>
      <c r="G1903" s="52"/>
      <c r="H1903" s="52"/>
    </row>
    <row r="1904" spans="1:8" ht="15.75">
      <c r="A1904" s="124">
        <v>42178</v>
      </c>
      <c r="B1904" s="125">
        <v>64.019000000000005</v>
      </c>
      <c r="C1904" s="52"/>
      <c r="D1904" s="52"/>
      <c r="E1904" s="52"/>
      <c r="F1904" s="52"/>
      <c r="G1904" s="52"/>
      <c r="H1904" s="52"/>
    </row>
    <row r="1905" spans="1:8" ht="15.75">
      <c r="A1905" s="124">
        <v>42179</v>
      </c>
      <c r="B1905" s="125">
        <v>63.247999999999998</v>
      </c>
      <c r="C1905" s="52"/>
      <c r="D1905" s="52"/>
      <c r="E1905" s="52"/>
      <c r="F1905" s="52"/>
      <c r="G1905" s="52"/>
      <c r="H1905" s="52"/>
    </row>
    <row r="1906" spans="1:8" ht="15.75">
      <c r="A1906" s="124">
        <v>42180</v>
      </c>
      <c r="B1906" s="125">
        <v>63.088000000000001</v>
      </c>
      <c r="C1906" s="52"/>
      <c r="D1906" s="52"/>
      <c r="E1906" s="52"/>
      <c r="F1906" s="52"/>
      <c r="G1906" s="52"/>
      <c r="H1906" s="52"/>
    </row>
    <row r="1907" spans="1:8" ht="15.75">
      <c r="A1907" s="124">
        <v>42181</v>
      </c>
      <c r="B1907" s="125">
        <v>63.366</v>
      </c>
      <c r="C1907" s="52"/>
      <c r="D1907" s="52"/>
      <c r="E1907" s="52"/>
      <c r="F1907" s="52"/>
      <c r="G1907" s="52"/>
      <c r="H1907" s="52"/>
    </row>
    <row r="1908" spans="1:8" ht="15.75">
      <c r="A1908" s="124">
        <v>42184</v>
      </c>
      <c r="B1908" s="125">
        <v>62.612000000000002</v>
      </c>
      <c r="C1908" s="52"/>
      <c r="D1908" s="52"/>
      <c r="E1908" s="52"/>
      <c r="F1908" s="52"/>
      <c r="G1908" s="52"/>
      <c r="H1908" s="52"/>
    </row>
    <row r="1909" spans="1:8" ht="15.75">
      <c r="A1909" s="124">
        <v>42185</v>
      </c>
      <c r="B1909" s="125">
        <v>62.93</v>
      </c>
      <c r="C1909" s="52"/>
      <c r="D1909" s="52"/>
      <c r="E1909" s="52"/>
      <c r="F1909" s="52"/>
      <c r="G1909" s="52"/>
      <c r="H1909" s="52"/>
    </row>
    <row r="1910" spans="1:8" ht="15.75">
      <c r="A1910" s="124">
        <v>42186</v>
      </c>
      <c r="B1910" s="125">
        <v>64.167000000000002</v>
      </c>
      <c r="C1910" s="52"/>
      <c r="D1910" s="52"/>
      <c r="E1910" s="52"/>
      <c r="F1910" s="52"/>
      <c r="G1910" s="52"/>
      <c r="H1910" s="52"/>
    </row>
    <row r="1911" spans="1:8" ht="15.75">
      <c r="A1911" s="124">
        <v>42187</v>
      </c>
      <c r="B1911" s="125">
        <v>64.924000000000007</v>
      </c>
      <c r="C1911" s="52"/>
      <c r="D1911" s="52"/>
      <c r="E1911" s="52"/>
      <c r="F1911" s="52"/>
      <c r="G1911" s="52"/>
      <c r="H1911" s="52"/>
    </row>
    <row r="1912" spans="1:8" ht="15.75">
      <c r="A1912" s="124">
        <v>42188</v>
      </c>
      <c r="B1912" s="125">
        <v>65.168000000000006</v>
      </c>
      <c r="C1912" s="52"/>
      <c r="D1912" s="52"/>
      <c r="E1912" s="52"/>
      <c r="F1912" s="52"/>
      <c r="G1912" s="52"/>
      <c r="H1912" s="52"/>
    </row>
    <row r="1913" spans="1:8" ht="15.75">
      <c r="A1913" s="124">
        <v>42191</v>
      </c>
      <c r="B1913" s="125">
        <v>65.206000000000003</v>
      </c>
      <c r="C1913" s="52"/>
      <c r="D1913" s="52"/>
      <c r="E1913" s="52"/>
      <c r="F1913" s="52"/>
      <c r="G1913" s="52"/>
      <c r="H1913" s="52"/>
    </row>
    <row r="1914" spans="1:8" ht="15.75">
      <c r="A1914" s="124">
        <v>42192</v>
      </c>
      <c r="B1914" s="125">
        <v>67.349000000000004</v>
      </c>
      <c r="C1914" s="52"/>
      <c r="D1914" s="52"/>
      <c r="E1914" s="52"/>
      <c r="F1914" s="52"/>
      <c r="G1914" s="52"/>
      <c r="H1914" s="52"/>
    </row>
    <row r="1915" spans="1:8" ht="15.75">
      <c r="A1915" s="124">
        <v>42193</v>
      </c>
      <c r="B1915" s="125">
        <v>66.602000000000004</v>
      </c>
      <c r="C1915" s="52"/>
      <c r="D1915" s="52"/>
      <c r="E1915" s="52"/>
      <c r="F1915" s="52"/>
      <c r="G1915" s="52"/>
      <c r="H1915" s="52"/>
    </row>
    <row r="1916" spans="1:8" ht="15.75">
      <c r="A1916" s="124">
        <v>42194</v>
      </c>
      <c r="B1916" s="125">
        <v>67.177999999999997</v>
      </c>
      <c r="C1916" s="52"/>
      <c r="D1916" s="52"/>
      <c r="E1916" s="52"/>
      <c r="F1916" s="52"/>
      <c r="G1916" s="52"/>
      <c r="H1916" s="52"/>
    </row>
    <row r="1917" spans="1:8" ht="15.75">
      <c r="A1917" s="124">
        <v>42195</v>
      </c>
      <c r="B1917" s="125">
        <v>67.016000000000005</v>
      </c>
      <c r="C1917" s="52"/>
      <c r="D1917" s="52"/>
      <c r="E1917" s="52"/>
      <c r="F1917" s="52"/>
      <c r="G1917" s="52"/>
      <c r="H1917" s="52"/>
    </row>
    <row r="1918" spans="1:8" ht="15.75">
      <c r="A1918" s="124">
        <v>42198</v>
      </c>
      <c r="B1918" s="125">
        <v>67.004999999999995</v>
      </c>
      <c r="C1918" s="52"/>
      <c r="D1918" s="52"/>
      <c r="E1918" s="52"/>
      <c r="F1918" s="52"/>
      <c r="G1918" s="52"/>
      <c r="H1918" s="52"/>
    </row>
    <row r="1919" spans="1:8" ht="15.75">
      <c r="A1919" s="124">
        <v>42199</v>
      </c>
      <c r="B1919" s="125">
        <v>67.551000000000002</v>
      </c>
      <c r="C1919" s="52"/>
      <c r="D1919" s="52"/>
      <c r="E1919" s="52"/>
      <c r="F1919" s="52"/>
      <c r="G1919" s="52"/>
      <c r="H1919" s="52"/>
    </row>
    <row r="1920" spans="1:8" ht="15.75">
      <c r="A1920" s="124">
        <v>42200</v>
      </c>
      <c r="B1920" s="125">
        <v>68.091999999999999</v>
      </c>
      <c r="C1920" s="52"/>
      <c r="D1920" s="52"/>
      <c r="E1920" s="52"/>
      <c r="F1920" s="52"/>
      <c r="G1920" s="52"/>
      <c r="H1920" s="52"/>
    </row>
    <row r="1921" spans="1:8" ht="15.75">
      <c r="A1921" s="124">
        <v>42201</v>
      </c>
      <c r="B1921" s="125">
        <v>68.566999999999993</v>
      </c>
      <c r="C1921" s="52"/>
      <c r="D1921" s="52"/>
      <c r="E1921" s="52"/>
      <c r="F1921" s="52"/>
      <c r="G1921" s="52"/>
      <c r="H1921" s="52"/>
    </row>
    <row r="1922" spans="1:8" ht="15.75">
      <c r="A1922" s="124">
        <v>42202</v>
      </c>
      <c r="B1922" s="125">
        <v>68.48</v>
      </c>
      <c r="C1922" s="52"/>
      <c r="D1922" s="52"/>
      <c r="E1922" s="52"/>
      <c r="F1922" s="52"/>
      <c r="G1922" s="52"/>
      <c r="H1922" s="52"/>
    </row>
    <row r="1923" spans="1:8" ht="15.75">
      <c r="A1923" s="124">
        <v>42205</v>
      </c>
      <c r="B1923" s="125">
        <v>68.995999999999995</v>
      </c>
      <c r="C1923" s="52"/>
      <c r="D1923" s="52"/>
      <c r="E1923" s="52"/>
      <c r="F1923" s="52"/>
      <c r="G1923" s="52"/>
      <c r="H1923" s="52"/>
    </row>
    <row r="1924" spans="1:8" ht="15.75">
      <c r="A1924" s="124">
        <v>42206</v>
      </c>
      <c r="B1924" s="125">
        <v>68.067999999999998</v>
      </c>
      <c r="C1924" s="52"/>
      <c r="D1924" s="52"/>
      <c r="E1924" s="52"/>
      <c r="F1924" s="52"/>
      <c r="G1924" s="52"/>
      <c r="H1924" s="52"/>
    </row>
    <row r="1925" spans="1:8" ht="15.75">
      <c r="A1925" s="124">
        <v>42207</v>
      </c>
      <c r="B1925" s="125">
        <v>68.863</v>
      </c>
      <c r="C1925" s="52"/>
      <c r="D1925" s="52"/>
      <c r="E1925" s="52"/>
      <c r="F1925" s="52"/>
      <c r="G1925" s="52"/>
      <c r="H1925" s="52"/>
    </row>
    <row r="1926" spans="1:8" ht="15.75">
      <c r="A1926" s="124">
        <v>42208</v>
      </c>
      <c r="B1926" s="125">
        <v>67.436999999999998</v>
      </c>
      <c r="C1926" s="52"/>
      <c r="D1926" s="52"/>
      <c r="E1926" s="52"/>
      <c r="F1926" s="52"/>
      <c r="G1926" s="52"/>
      <c r="H1926" s="52"/>
    </row>
    <row r="1927" spans="1:8" ht="15.75">
      <c r="A1927" s="124">
        <v>42209</v>
      </c>
      <c r="B1927" s="125">
        <v>67.531999999999996</v>
      </c>
      <c r="C1927" s="52"/>
      <c r="D1927" s="52"/>
      <c r="E1927" s="52"/>
      <c r="F1927" s="52"/>
      <c r="G1927" s="52"/>
      <c r="H1927" s="52"/>
    </row>
    <row r="1928" spans="1:8" ht="15.75">
      <c r="A1928" s="124">
        <v>42212</v>
      </c>
      <c r="B1928" s="125">
        <v>67.385000000000005</v>
      </c>
      <c r="C1928" s="52"/>
      <c r="D1928" s="52"/>
      <c r="E1928" s="52"/>
      <c r="F1928" s="52"/>
      <c r="G1928" s="52"/>
      <c r="H1928" s="52"/>
    </row>
    <row r="1929" spans="1:8" ht="15.75">
      <c r="A1929" s="124">
        <v>42213</v>
      </c>
      <c r="B1929" s="125">
        <v>67.412999999999997</v>
      </c>
      <c r="C1929" s="52"/>
      <c r="D1929" s="52"/>
      <c r="E1929" s="52"/>
      <c r="F1929" s="52"/>
      <c r="G1929" s="52"/>
      <c r="H1929" s="52"/>
    </row>
    <row r="1930" spans="1:8" ht="15.75">
      <c r="A1930" s="124">
        <v>42214</v>
      </c>
      <c r="B1930" s="125">
        <v>66.367000000000004</v>
      </c>
      <c r="C1930" s="52"/>
      <c r="D1930" s="52"/>
      <c r="E1930" s="52"/>
      <c r="F1930" s="52"/>
      <c r="G1930" s="52"/>
      <c r="H1930" s="52"/>
    </row>
    <row r="1931" spans="1:8" ht="15.75">
      <c r="A1931" s="124">
        <v>42215</v>
      </c>
      <c r="B1931" s="125">
        <v>67.974999999999994</v>
      </c>
      <c r="C1931" s="52"/>
      <c r="D1931" s="52"/>
      <c r="E1931" s="52"/>
      <c r="F1931" s="52"/>
      <c r="G1931" s="52"/>
      <c r="H1931" s="52"/>
    </row>
    <row r="1932" spans="1:8" ht="15.75">
      <c r="A1932" s="124">
        <v>42216</v>
      </c>
      <c r="B1932" s="125">
        <v>67.924999999999997</v>
      </c>
      <c r="C1932" s="52"/>
      <c r="D1932" s="52"/>
      <c r="E1932" s="52"/>
      <c r="F1932" s="52"/>
      <c r="G1932" s="52"/>
      <c r="H1932" s="52"/>
    </row>
    <row r="1933" spans="1:8" ht="15.75">
      <c r="A1933" s="124">
        <v>42219</v>
      </c>
      <c r="B1933" s="125">
        <v>68.488</v>
      </c>
      <c r="C1933" s="52"/>
      <c r="D1933" s="52"/>
      <c r="E1933" s="52"/>
      <c r="F1933" s="52"/>
      <c r="G1933" s="52"/>
      <c r="H1933" s="52"/>
    </row>
    <row r="1934" spans="1:8" ht="15.75">
      <c r="A1934" s="124">
        <v>42220</v>
      </c>
      <c r="B1934" s="125">
        <v>68.393000000000001</v>
      </c>
      <c r="C1934" s="52"/>
      <c r="D1934" s="52"/>
      <c r="E1934" s="52"/>
      <c r="F1934" s="52"/>
      <c r="G1934" s="52"/>
      <c r="H1934" s="52"/>
    </row>
    <row r="1935" spans="1:8" ht="15.75">
      <c r="A1935" s="124">
        <v>42221</v>
      </c>
      <c r="B1935" s="125">
        <v>67.69</v>
      </c>
      <c r="C1935" s="52"/>
      <c r="D1935" s="52"/>
      <c r="E1935" s="52"/>
      <c r="F1935" s="52"/>
      <c r="G1935" s="52"/>
      <c r="H1935" s="52"/>
    </row>
    <row r="1936" spans="1:8" ht="15.75">
      <c r="A1936" s="124">
        <v>42222</v>
      </c>
      <c r="B1936" s="125">
        <v>67.301000000000002</v>
      </c>
      <c r="C1936" s="52"/>
      <c r="D1936" s="52"/>
      <c r="E1936" s="52"/>
      <c r="F1936" s="52"/>
      <c r="G1936" s="52"/>
      <c r="H1936" s="52"/>
    </row>
    <row r="1937" spans="1:8" ht="15.75">
      <c r="A1937" s="124">
        <v>42223</v>
      </c>
      <c r="B1937" s="125">
        <v>67.921999999999997</v>
      </c>
      <c r="C1937" s="52"/>
      <c r="D1937" s="52"/>
      <c r="E1937" s="52"/>
      <c r="F1937" s="52"/>
      <c r="G1937" s="52"/>
      <c r="H1937" s="52"/>
    </row>
    <row r="1938" spans="1:8" ht="15.75">
      <c r="A1938" s="124">
        <v>42226</v>
      </c>
      <c r="B1938" s="125">
        <v>67.953999999999994</v>
      </c>
      <c r="C1938" s="52"/>
      <c r="D1938" s="52"/>
      <c r="E1938" s="52"/>
      <c r="F1938" s="52"/>
      <c r="G1938" s="52"/>
      <c r="H1938" s="52"/>
    </row>
    <row r="1939" spans="1:8" ht="15.75">
      <c r="A1939" s="124">
        <v>42227</v>
      </c>
      <c r="B1939" s="125">
        <v>67.808999999999997</v>
      </c>
      <c r="C1939" s="52"/>
      <c r="D1939" s="52"/>
      <c r="E1939" s="52"/>
      <c r="F1939" s="52"/>
      <c r="G1939" s="52"/>
      <c r="H1939" s="52"/>
    </row>
    <row r="1940" spans="1:8" ht="15.75">
      <c r="A1940" s="124">
        <v>42228</v>
      </c>
      <c r="B1940" s="125">
        <v>67.960999999999999</v>
      </c>
      <c r="C1940" s="52"/>
      <c r="D1940" s="52"/>
      <c r="E1940" s="52"/>
      <c r="F1940" s="52"/>
      <c r="G1940" s="52"/>
      <c r="H1940" s="52"/>
    </row>
    <row r="1941" spans="1:8" ht="15.75">
      <c r="A1941" s="124">
        <v>42229</v>
      </c>
      <c r="B1941" s="125">
        <v>68.728999999999999</v>
      </c>
      <c r="C1941" s="52"/>
      <c r="D1941" s="52"/>
      <c r="E1941" s="52"/>
      <c r="F1941" s="52"/>
      <c r="G1941" s="52"/>
      <c r="H1941" s="52"/>
    </row>
    <row r="1942" spans="1:8" ht="15.75">
      <c r="A1942" s="124">
        <v>42230</v>
      </c>
      <c r="B1942" s="125">
        <v>68.659000000000006</v>
      </c>
      <c r="C1942" s="52"/>
      <c r="D1942" s="52"/>
      <c r="E1942" s="52"/>
      <c r="F1942" s="52"/>
      <c r="G1942" s="52"/>
      <c r="H1942" s="52"/>
    </row>
    <row r="1943" spans="1:8" ht="15.75">
      <c r="A1943" s="124">
        <v>42233</v>
      </c>
      <c r="B1943" s="125">
        <v>69.286000000000001</v>
      </c>
      <c r="C1943" s="52"/>
      <c r="D1943" s="52"/>
      <c r="E1943" s="52"/>
      <c r="F1943" s="52"/>
      <c r="G1943" s="52"/>
      <c r="H1943" s="52"/>
    </row>
    <row r="1944" spans="1:8" ht="15.75">
      <c r="A1944" s="124">
        <v>42234</v>
      </c>
      <c r="B1944" s="125">
        <v>70.201999999999998</v>
      </c>
      <c r="C1944" s="52"/>
      <c r="D1944" s="52"/>
      <c r="E1944" s="52"/>
      <c r="F1944" s="52"/>
      <c r="G1944" s="52"/>
      <c r="H1944" s="52"/>
    </row>
    <row r="1945" spans="1:8" ht="15.75">
      <c r="A1945" s="124">
        <v>42235</v>
      </c>
      <c r="B1945" s="125">
        <v>68.41</v>
      </c>
      <c r="C1945" s="52"/>
      <c r="D1945" s="52"/>
      <c r="E1945" s="52"/>
      <c r="F1945" s="52"/>
      <c r="G1945" s="52"/>
      <c r="H1945" s="52"/>
    </row>
    <row r="1946" spans="1:8" ht="15.75">
      <c r="A1946" s="124">
        <v>42236</v>
      </c>
      <c r="B1946" s="125">
        <v>68.010999999999996</v>
      </c>
      <c r="C1946" s="52"/>
      <c r="D1946" s="52"/>
      <c r="E1946" s="52"/>
      <c r="F1946" s="52"/>
      <c r="G1946" s="52"/>
      <c r="H1946" s="52"/>
    </row>
    <row r="1947" spans="1:8" ht="15.75">
      <c r="A1947" s="124">
        <v>42237</v>
      </c>
      <c r="B1947" s="125">
        <v>66.096999999999994</v>
      </c>
      <c r="C1947" s="52"/>
      <c r="D1947" s="52"/>
      <c r="E1947" s="52"/>
      <c r="F1947" s="52"/>
      <c r="G1947" s="52"/>
      <c r="H1947" s="52"/>
    </row>
    <row r="1948" spans="1:8" ht="15.75">
      <c r="A1948" s="124">
        <v>42240</v>
      </c>
      <c r="B1948" s="125">
        <v>62.286000000000001</v>
      </c>
      <c r="C1948" s="52"/>
      <c r="D1948" s="52"/>
      <c r="E1948" s="52"/>
      <c r="F1948" s="52"/>
      <c r="G1948" s="52"/>
      <c r="H1948" s="52"/>
    </row>
    <row r="1949" spans="1:8" ht="15.75">
      <c r="A1949" s="124">
        <v>42241</v>
      </c>
      <c r="B1949" s="125">
        <v>61.823</v>
      </c>
      <c r="C1949" s="52"/>
      <c r="D1949" s="52"/>
      <c r="E1949" s="52"/>
      <c r="F1949" s="52"/>
      <c r="G1949" s="52"/>
      <c r="H1949" s="52"/>
    </row>
    <row r="1950" spans="1:8" ht="15.75">
      <c r="A1950" s="124">
        <v>42242</v>
      </c>
      <c r="B1950" s="125">
        <v>61.4</v>
      </c>
      <c r="C1950" s="52"/>
      <c r="D1950" s="52"/>
      <c r="E1950" s="52"/>
      <c r="F1950" s="52"/>
      <c r="G1950" s="52"/>
      <c r="H1950" s="52"/>
    </row>
    <row r="1951" spans="1:8" ht="15.75">
      <c r="A1951" s="124">
        <v>42243</v>
      </c>
      <c r="B1951" s="125">
        <v>64.765000000000001</v>
      </c>
      <c r="C1951" s="52"/>
      <c r="D1951" s="52"/>
      <c r="E1951" s="52"/>
      <c r="F1951" s="52"/>
      <c r="G1951" s="52"/>
      <c r="H1951" s="52"/>
    </row>
    <row r="1952" spans="1:8" ht="15.75">
      <c r="A1952" s="124">
        <v>42244</v>
      </c>
      <c r="B1952" s="125">
        <v>64.778000000000006</v>
      </c>
      <c r="C1952" s="52"/>
      <c r="D1952" s="52"/>
      <c r="E1952" s="52"/>
      <c r="F1952" s="52"/>
      <c r="G1952" s="52"/>
      <c r="H1952" s="52"/>
    </row>
    <row r="1953" spans="1:8" ht="15.75">
      <c r="A1953" s="124">
        <v>42247</v>
      </c>
      <c r="B1953" s="125">
        <v>63.936</v>
      </c>
      <c r="C1953" s="52"/>
      <c r="D1953" s="52"/>
      <c r="E1953" s="52"/>
      <c r="F1953" s="52"/>
      <c r="G1953" s="52"/>
      <c r="H1953" s="52"/>
    </row>
    <row r="1954" spans="1:8" ht="15.75">
      <c r="A1954" s="124">
        <v>42248</v>
      </c>
      <c r="B1954" s="125">
        <v>61.210999999999999</v>
      </c>
      <c r="C1954" s="52"/>
      <c r="D1954" s="52"/>
      <c r="E1954" s="52"/>
      <c r="F1954" s="52"/>
      <c r="G1954" s="52"/>
      <c r="H1954" s="52"/>
    </row>
    <row r="1955" spans="1:8" ht="15.75">
      <c r="A1955" s="124">
        <v>42249</v>
      </c>
      <c r="B1955" s="125">
        <v>61.920999999999999</v>
      </c>
      <c r="C1955" s="52"/>
      <c r="D1955" s="52"/>
      <c r="E1955" s="52"/>
      <c r="F1955" s="52"/>
      <c r="G1955" s="52"/>
      <c r="H1955" s="52"/>
    </row>
    <row r="1956" spans="1:8" ht="15.75">
      <c r="A1956" s="124">
        <v>42250</v>
      </c>
      <c r="B1956" s="125">
        <v>63.003999999999998</v>
      </c>
      <c r="C1956" s="52"/>
      <c r="D1956" s="52"/>
      <c r="E1956" s="52"/>
      <c r="F1956" s="52"/>
      <c r="G1956" s="52"/>
      <c r="H1956" s="52"/>
    </row>
    <row r="1957" spans="1:8" ht="15.75">
      <c r="A1957" s="124">
        <v>42251</v>
      </c>
      <c r="B1957" s="125">
        <v>61.439</v>
      </c>
      <c r="C1957" s="52"/>
      <c r="D1957" s="52"/>
      <c r="E1957" s="52"/>
      <c r="F1957" s="52"/>
      <c r="G1957" s="52"/>
      <c r="H1957" s="52"/>
    </row>
    <row r="1958" spans="1:8" ht="15.75">
      <c r="A1958" s="124">
        <v>42254</v>
      </c>
      <c r="B1958" s="125">
        <v>61.871000000000002</v>
      </c>
      <c r="C1958" s="52"/>
      <c r="D1958" s="52"/>
      <c r="E1958" s="52"/>
      <c r="F1958" s="52"/>
      <c r="G1958" s="52"/>
      <c r="H1958" s="52"/>
    </row>
    <row r="1959" spans="1:8" ht="15.75">
      <c r="A1959" s="124">
        <v>42255</v>
      </c>
      <c r="B1959" s="125">
        <v>62.277000000000001</v>
      </c>
      <c r="C1959" s="52"/>
      <c r="D1959" s="52"/>
      <c r="E1959" s="52"/>
      <c r="F1959" s="52"/>
      <c r="G1959" s="52"/>
      <c r="H1959" s="52"/>
    </row>
    <row r="1960" spans="1:8" ht="15.75">
      <c r="A1960" s="124">
        <v>42256</v>
      </c>
      <c r="B1960" s="125">
        <v>62.238</v>
      </c>
      <c r="C1960" s="52"/>
      <c r="D1960" s="52"/>
      <c r="E1960" s="52"/>
      <c r="F1960" s="52"/>
      <c r="G1960" s="52"/>
      <c r="H1960" s="52"/>
    </row>
    <row r="1961" spans="1:8" ht="15.75">
      <c r="A1961" s="124">
        <v>42257</v>
      </c>
      <c r="B1961" s="125">
        <v>61.804000000000002</v>
      </c>
      <c r="C1961" s="52"/>
      <c r="D1961" s="52"/>
      <c r="E1961" s="52"/>
      <c r="F1961" s="52"/>
      <c r="G1961" s="52"/>
      <c r="H1961" s="52"/>
    </row>
    <row r="1962" spans="1:8" ht="15.75">
      <c r="A1962" s="124">
        <v>42258</v>
      </c>
      <c r="B1962" s="125">
        <v>61.823999999999998</v>
      </c>
      <c r="C1962" s="52"/>
      <c r="D1962" s="52"/>
      <c r="E1962" s="52"/>
      <c r="F1962" s="52"/>
      <c r="G1962" s="52"/>
      <c r="H1962" s="52"/>
    </row>
    <row r="1963" spans="1:8" ht="15.75">
      <c r="A1963" s="124">
        <v>42261</v>
      </c>
      <c r="B1963" s="125">
        <v>62.085000000000001</v>
      </c>
      <c r="C1963" s="52"/>
      <c r="D1963" s="52"/>
      <c r="E1963" s="52"/>
      <c r="F1963" s="52"/>
      <c r="G1963" s="52"/>
      <c r="H1963" s="52"/>
    </row>
    <row r="1964" spans="1:8" ht="15.75">
      <c r="A1964" s="124">
        <v>42262</v>
      </c>
      <c r="B1964" s="125">
        <v>63.064</v>
      </c>
      <c r="C1964" s="52"/>
      <c r="D1964" s="52"/>
      <c r="E1964" s="52"/>
      <c r="F1964" s="52"/>
      <c r="G1964" s="52"/>
      <c r="H1964" s="52"/>
    </row>
    <row r="1965" spans="1:8" ht="15.75">
      <c r="A1965" s="124">
        <v>42263</v>
      </c>
      <c r="B1965" s="125">
        <v>63.646000000000001</v>
      </c>
      <c r="C1965" s="52"/>
      <c r="D1965" s="52"/>
      <c r="E1965" s="52"/>
      <c r="F1965" s="52"/>
      <c r="G1965" s="52"/>
      <c r="H1965" s="52"/>
    </row>
    <row r="1966" spans="1:8" ht="15.75">
      <c r="A1966" s="124">
        <v>42264</v>
      </c>
      <c r="B1966" s="125">
        <v>63.104999999999997</v>
      </c>
      <c r="C1966" s="52"/>
      <c r="D1966" s="52"/>
      <c r="E1966" s="52"/>
      <c r="F1966" s="52"/>
      <c r="G1966" s="52"/>
      <c r="H1966" s="52"/>
    </row>
    <row r="1967" spans="1:8" ht="15.75">
      <c r="A1967" s="124">
        <v>42265</v>
      </c>
      <c r="B1967" s="125">
        <v>63.932000000000002</v>
      </c>
      <c r="C1967" s="52"/>
      <c r="D1967" s="52"/>
      <c r="E1967" s="52"/>
      <c r="F1967" s="52"/>
      <c r="G1967" s="52"/>
      <c r="H1967" s="52"/>
    </row>
    <row r="1968" spans="1:8" ht="15.75">
      <c r="A1968" s="124">
        <v>42268</v>
      </c>
      <c r="B1968" s="125">
        <v>64.641999999999996</v>
      </c>
      <c r="C1968" s="52"/>
      <c r="D1968" s="52"/>
      <c r="E1968" s="52"/>
      <c r="F1968" s="52"/>
      <c r="G1968" s="52"/>
      <c r="H1968" s="52"/>
    </row>
    <row r="1969" spans="1:8" ht="15.75">
      <c r="A1969" s="124">
        <v>42269</v>
      </c>
      <c r="B1969" s="125">
        <v>64.673000000000002</v>
      </c>
      <c r="C1969" s="52"/>
      <c r="D1969" s="52"/>
      <c r="E1969" s="52"/>
      <c r="F1969" s="52"/>
      <c r="G1969" s="52"/>
      <c r="H1969" s="52"/>
    </row>
    <row r="1970" spans="1:8" ht="15.75">
      <c r="A1970" s="124">
        <v>42270</v>
      </c>
      <c r="B1970" s="125">
        <v>64.88</v>
      </c>
      <c r="C1970" s="52"/>
      <c r="D1970" s="52"/>
      <c r="E1970" s="52"/>
      <c r="F1970" s="52"/>
      <c r="G1970" s="52"/>
      <c r="H1970" s="52"/>
    </row>
    <row r="1971" spans="1:8" ht="15.75">
      <c r="A1971" s="124">
        <v>42271</v>
      </c>
      <c r="B1971" s="125">
        <v>63.692999999999998</v>
      </c>
      <c r="C1971" s="52"/>
      <c r="D1971" s="52"/>
      <c r="E1971" s="52"/>
      <c r="F1971" s="52"/>
      <c r="G1971" s="52"/>
      <c r="H1971" s="52"/>
    </row>
    <row r="1972" spans="1:8" ht="15.75">
      <c r="A1972" s="124">
        <v>42272</v>
      </c>
      <c r="B1972" s="125">
        <v>65.114000000000004</v>
      </c>
      <c r="C1972" s="52"/>
      <c r="D1972" s="52"/>
      <c r="E1972" s="52"/>
      <c r="F1972" s="52"/>
      <c r="G1972" s="52"/>
      <c r="H1972" s="52"/>
    </row>
    <row r="1973" spans="1:8" ht="15.75">
      <c r="A1973" s="124">
        <v>42275</v>
      </c>
      <c r="B1973" s="125">
        <v>63.02</v>
      </c>
      <c r="C1973" s="52"/>
      <c r="D1973" s="52"/>
      <c r="E1973" s="52"/>
      <c r="F1973" s="52"/>
      <c r="G1973" s="52"/>
      <c r="H1973" s="52"/>
    </row>
    <row r="1974" spans="1:8" ht="15.75">
      <c r="A1974" s="124">
        <v>42276</v>
      </c>
      <c r="B1974" s="125">
        <v>64.61</v>
      </c>
      <c r="C1974" s="52"/>
      <c r="D1974" s="52"/>
      <c r="E1974" s="52"/>
      <c r="F1974" s="52"/>
      <c r="G1974" s="52"/>
      <c r="H1974" s="52"/>
    </row>
    <row r="1975" spans="1:8" ht="15.75">
      <c r="A1975" s="124">
        <v>42277</v>
      </c>
      <c r="B1975" s="125">
        <v>66.492000000000004</v>
      </c>
      <c r="C1975" s="52"/>
      <c r="D1975" s="52"/>
      <c r="E1975" s="52"/>
      <c r="F1975" s="52"/>
      <c r="G1975" s="52"/>
      <c r="H1975" s="52"/>
    </row>
    <row r="1976" spans="1:8" ht="15.75">
      <c r="A1976" s="124">
        <v>42278</v>
      </c>
      <c r="B1976" s="125">
        <v>66.424000000000007</v>
      </c>
      <c r="C1976" s="52"/>
      <c r="D1976" s="52"/>
      <c r="E1976" s="52"/>
      <c r="F1976" s="52"/>
      <c r="G1976" s="52"/>
      <c r="H1976" s="52"/>
    </row>
    <row r="1977" spans="1:8" ht="15.75">
      <c r="A1977" s="124">
        <v>42279</v>
      </c>
      <c r="B1977" s="125">
        <v>66.983999999999995</v>
      </c>
      <c r="C1977" s="52"/>
      <c r="D1977" s="52"/>
      <c r="E1977" s="52"/>
      <c r="F1977" s="52"/>
      <c r="G1977" s="52"/>
      <c r="H1977" s="52"/>
    </row>
    <row r="1978" spans="1:8" ht="15.75">
      <c r="A1978" s="124">
        <v>42282</v>
      </c>
      <c r="B1978" s="125">
        <v>67.867999999999995</v>
      </c>
      <c r="C1978" s="52"/>
      <c r="D1978" s="52"/>
      <c r="E1978" s="52"/>
      <c r="F1978" s="52"/>
      <c r="G1978" s="52"/>
      <c r="H1978" s="52"/>
    </row>
    <row r="1979" spans="1:8" ht="15.75">
      <c r="A1979" s="124">
        <v>42283</v>
      </c>
      <c r="B1979" s="125">
        <v>66.89</v>
      </c>
      <c r="C1979" s="52"/>
      <c r="D1979" s="52"/>
      <c r="E1979" s="52"/>
      <c r="F1979" s="52"/>
      <c r="G1979" s="52"/>
      <c r="H1979" s="52"/>
    </row>
    <row r="1980" spans="1:8" ht="15.75">
      <c r="A1980" s="124">
        <v>42284</v>
      </c>
      <c r="B1980" s="125">
        <v>67.251000000000005</v>
      </c>
      <c r="C1980" s="52"/>
      <c r="D1980" s="52"/>
      <c r="E1980" s="52"/>
      <c r="F1980" s="52"/>
      <c r="G1980" s="52"/>
      <c r="H1980" s="52"/>
    </row>
    <row r="1981" spans="1:8" ht="15.75">
      <c r="A1981" s="124">
        <v>42285</v>
      </c>
      <c r="B1981" s="125">
        <v>67.230999999999995</v>
      </c>
      <c r="C1981" s="52"/>
      <c r="D1981" s="52"/>
      <c r="E1981" s="52"/>
      <c r="F1981" s="52"/>
      <c r="G1981" s="52"/>
      <c r="H1981" s="52"/>
    </row>
    <row r="1982" spans="1:8" ht="15.75">
      <c r="A1982" s="124">
        <v>42286</v>
      </c>
      <c r="B1982" s="125">
        <v>67.578999999999994</v>
      </c>
      <c r="C1982" s="52"/>
      <c r="D1982" s="52"/>
      <c r="E1982" s="52"/>
      <c r="F1982" s="52"/>
      <c r="G1982" s="52"/>
      <c r="H1982" s="52"/>
    </row>
    <row r="1983" spans="1:8" ht="15.75">
      <c r="A1983" s="124">
        <v>42289</v>
      </c>
      <c r="B1983" s="125">
        <v>68.129000000000005</v>
      </c>
      <c r="C1983" s="52"/>
      <c r="D1983" s="52"/>
      <c r="E1983" s="52"/>
      <c r="F1983" s="52"/>
      <c r="G1983" s="52"/>
      <c r="H1983" s="52"/>
    </row>
    <row r="1984" spans="1:8" ht="15.75">
      <c r="A1984" s="124">
        <v>42290</v>
      </c>
      <c r="B1984" s="125">
        <v>67.459999999999994</v>
      </c>
      <c r="C1984" s="52"/>
      <c r="D1984" s="52"/>
      <c r="E1984" s="52"/>
      <c r="F1984" s="52"/>
      <c r="G1984" s="52"/>
      <c r="H1984" s="52"/>
    </row>
    <row r="1985" spans="1:8" ht="15.75">
      <c r="A1985" s="124">
        <v>42291</v>
      </c>
      <c r="B1985" s="125">
        <v>66.727999999999994</v>
      </c>
      <c r="C1985" s="52"/>
      <c r="D1985" s="52"/>
      <c r="E1985" s="52"/>
      <c r="F1985" s="52"/>
      <c r="G1985" s="52"/>
      <c r="H1985" s="52"/>
    </row>
    <row r="1986" spans="1:8" ht="15.75">
      <c r="A1986" s="124">
        <v>42292</v>
      </c>
      <c r="B1986" s="125">
        <v>67.813000000000002</v>
      </c>
      <c r="C1986" s="52"/>
      <c r="D1986" s="52"/>
      <c r="E1986" s="52"/>
      <c r="F1986" s="52"/>
      <c r="G1986" s="52"/>
      <c r="H1986" s="52"/>
    </row>
    <row r="1987" spans="1:8" ht="15.75">
      <c r="A1987" s="124">
        <v>42293</v>
      </c>
      <c r="B1987" s="125">
        <v>68.843999999999994</v>
      </c>
      <c r="C1987" s="52"/>
      <c r="D1987" s="52"/>
      <c r="E1987" s="52"/>
      <c r="F1987" s="52"/>
      <c r="G1987" s="52"/>
      <c r="H1987" s="52"/>
    </row>
    <row r="1988" spans="1:8" ht="15.75">
      <c r="A1988" s="124">
        <v>42296</v>
      </c>
      <c r="B1988" s="125">
        <v>69.936000000000007</v>
      </c>
      <c r="C1988" s="52"/>
      <c r="D1988" s="52"/>
      <c r="E1988" s="52"/>
      <c r="F1988" s="52"/>
      <c r="G1988" s="52"/>
      <c r="H1988" s="52"/>
    </row>
    <row r="1989" spans="1:8" ht="15.75">
      <c r="A1989" s="124">
        <v>42297</v>
      </c>
      <c r="B1989" s="125">
        <v>69.403999999999996</v>
      </c>
      <c r="C1989" s="52"/>
      <c r="D1989" s="52"/>
      <c r="E1989" s="52"/>
      <c r="F1989" s="52"/>
      <c r="G1989" s="52"/>
      <c r="H1989" s="52"/>
    </row>
    <row r="1990" spans="1:8" ht="15.75">
      <c r="A1990" s="124">
        <v>42298</v>
      </c>
      <c r="B1990" s="125">
        <v>69.843000000000004</v>
      </c>
      <c r="C1990" s="52"/>
      <c r="D1990" s="52"/>
      <c r="E1990" s="52"/>
      <c r="F1990" s="52"/>
      <c r="G1990" s="52"/>
      <c r="H1990" s="52"/>
    </row>
    <row r="1991" spans="1:8" ht="15.75">
      <c r="A1991" s="124">
        <v>42299</v>
      </c>
      <c r="B1991" s="125">
        <v>71.179000000000002</v>
      </c>
      <c r="C1991" s="52"/>
      <c r="D1991" s="52"/>
      <c r="E1991" s="52"/>
      <c r="F1991" s="52"/>
      <c r="G1991" s="52"/>
      <c r="H1991" s="52"/>
    </row>
    <row r="1992" spans="1:8" ht="15.75">
      <c r="A1992" s="124">
        <v>42300</v>
      </c>
      <c r="B1992" s="125">
        <v>71.462999999999994</v>
      </c>
      <c r="C1992" s="52"/>
      <c r="D1992" s="52"/>
      <c r="E1992" s="52"/>
      <c r="F1992" s="52"/>
      <c r="G1992" s="52"/>
      <c r="H1992" s="52"/>
    </row>
    <row r="1993" spans="1:8" ht="15.75">
      <c r="A1993" s="124">
        <v>42303</v>
      </c>
      <c r="B1993" s="125">
        <v>73.149000000000001</v>
      </c>
      <c r="C1993" s="52"/>
      <c r="D1993" s="52"/>
      <c r="E1993" s="52"/>
      <c r="F1993" s="52"/>
      <c r="G1993" s="52"/>
      <c r="H1993" s="52"/>
    </row>
    <row r="1994" spans="1:8" ht="15.75">
      <c r="A1994" s="124">
        <v>42304</v>
      </c>
      <c r="B1994" s="125">
        <v>71.822000000000003</v>
      </c>
      <c r="C1994" s="52"/>
      <c r="D1994" s="52"/>
      <c r="E1994" s="52"/>
      <c r="F1994" s="52"/>
      <c r="G1994" s="52"/>
      <c r="H1994" s="52"/>
    </row>
    <row r="1995" spans="1:8" ht="15.75">
      <c r="A1995" s="124">
        <v>42305</v>
      </c>
      <c r="B1995" s="125">
        <v>71.162999999999997</v>
      </c>
      <c r="C1995" s="52"/>
      <c r="D1995" s="52"/>
      <c r="E1995" s="52"/>
      <c r="F1995" s="52"/>
      <c r="G1995" s="52"/>
      <c r="H1995" s="52"/>
    </row>
    <row r="1996" spans="1:8" ht="15.75">
      <c r="A1996" s="124">
        <v>42306</v>
      </c>
      <c r="B1996" s="125">
        <v>70.679000000000002</v>
      </c>
      <c r="C1996" s="52"/>
      <c r="D1996" s="52"/>
      <c r="E1996" s="52"/>
      <c r="F1996" s="52"/>
      <c r="G1996" s="52"/>
      <c r="H1996" s="52"/>
    </row>
    <row r="1997" spans="1:8" ht="15.75">
      <c r="A1997" s="124">
        <v>42307</v>
      </c>
      <c r="B1997" s="125">
        <v>69.911000000000001</v>
      </c>
      <c r="C1997" s="52"/>
      <c r="D1997" s="52"/>
      <c r="E1997" s="52"/>
      <c r="F1997" s="52"/>
      <c r="G1997" s="52"/>
      <c r="H1997" s="52"/>
    </row>
    <row r="1998" spans="1:8" ht="15.75">
      <c r="A1998" s="124">
        <v>42310</v>
      </c>
      <c r="B1998" s="125">
        <v>71.391000000000005</v>
      </c>
      <c r="C1998" s="52"/>
      <c r="D1998" s="52"/>
      <c r="E1998" s="52"/>
      <c r="F1998" s="52"/>
      <c r="G1998" s="52"/>
      <c r="H1998" s="52"/>
    </row>
    <row r="1999" spans="1:8" ht="15.75">
      <c r="A1999" s="124">
        <v>42311</v>
      </c>
      <c r="B1999" s="125">
        <v>72.19</v>
      </c>
      <c r="C1999" s="52"/>
      <c r="D1999" s="52"/>
      <c r="E1999" s="52"/>
      <c r="F1999" s="52"/>
      <c r="G1999" s="52"/>
      <c r="H1999" s="52"/>
    </row>
    <row r="2000" spans="1:8" ht="15.75">
      <c r="A2000" s="124">
        <v>42312</v>
      </c>
      <c r="B2000" s="125">
        <v>72.369</v>
      </c>
      <c r="C2000" s="52"/>
      <c r="D2000" s="52"/>
      <c r="E2000" s="52"/>
      <c r="F2000" s="52"/>
      <c r="G2000" s="52"/>
      <c r="H2000" s="52"/>
    </row>
    <row r="2001" spans="1:8" ht="15.75">
      <c r="A2001" s="124">
        <v>42313</v>
      </c>
      <c r="B2001" s="125">
        <v>72.287000000000006</v>
      </c>
      <c r="C2001" s="52"/>
      <c r="D2001" s="52"/>
      <c r="E2001" s="52"/>
      <c r="F2001" s="52"/>
      <c r="G2001" s="52"/>
      <c r="H2001" s="52"/>
    </row>
    <row r="2002" spans="1:8" ht="15.75">
      <c r="A2002" s="124">
        <v>42314</v>
      </c>
      <c r="B2002" s="125">
        <v>70.971000000000004</v>
      </c>
      <c r="C2002" s="52"/>
      <c r="D2002" s="52"/>
      <c r="E2002" s="52"/>
      <c r="F2002" s="52"/>
      <c r="G2002" s="52"/>
      <c r="H2002" s="52"/>
    </row>
    <row r="2003" spans="1:8" ht="15.75">
      <c r="A2003" s="124">
        <v>42317</v>
      </c>
      <c r="B2003" s="125">
        <v>70.134</v>
      </c>
      <c r="C2003" s="52"/>
      <c r="D2003" s="52"/>
      <c r="E2003" s="52"/>
      <c r="F2003" s="52"/>
      <c r="G2003" s="52"/>
      <c r="H2003" s="52"/>
    </row>
    <row r="2004" spans="1:8" ht="15.75">
      <c r="A2004" s="124">
        <v>42318</v>
      </c>
      <c r="B2004" s="125">
        <v>71.509</v>
      </c>
      <c r="C2004" s="52"/>
      <c r="D2004" s="52"/>
      <c r="E2004" s="52"/>
      <c r="F2004" s="52"/>
      <c r="G2004" s="52"/>
      <c r="H2004" s="52"/>
    </row>
    <row r="2005" spans="1:8" ht="15.75">
      <c r="A2005" s="124">
        <v>42319</v>
      </c>
      <c r="B2005" s="125">
        <v>72.906000000000006</v>
      </c>
      <c r="C2005" s="52"/>
      <c r="D2005" s="52"/>
      <c r="E2005" s="52"/>
      <c r="F2005" s="52"/>
      <c r="G2005" s="52"/>
      <c r="H2005" s="52"/>
    </row>
    <row r="2006" spans="1:8" ht="15.75">
      <c r="A2006" s="124">
        <v>42320</v>
      </c>
      <c r="B2006" s="125">
        <v>72.153999999999996</v>
      </c>
      <c r="C2006" s="52"/>
      <c r="D2006" s="52"/>
      <c r="E2006" s="52"/>
      <c r="F2006" s="52"/>
      <c r="G2006" s="52"/>
      <c r="H2006" s="52"/>
    </row>
    <row r="2007" spans="1:8" ht="15.75">
      <c r="A2007" s="124">
        <v>42321</v>
      </c>
      <c r="B2007" s="125">
        <v>72.120999999999995</v>
      </c>
      <c r="C2007" s="52"/>
      <c r="D2007" s="52"/>
      <c r="E2007" s="52"/>
      <c r="F2007" s="52"/>
      <c r="G2007" s="52"/>
      <c r="H2007" s="52"/>
    </row>
    <row r="2008" spans="1:8" ht="15.75">
      <c r="A2008" s="124">
        <v>42324</v>
      </c>
      <c r="B2008" s="125">
        <v>72.396000000000001</v>
      </c>
      <c r="C2008" s="52"/>
      <c r="D2008" s="52"/>
      <c r="E2008" s="52"/>
      <c r="F2008" s="52"/>
      <c r="G2008" s="52"/>
      <c r="H2008" s="52"/>
    </row>
    <row r="2009" spans="1:8" ht="15.75">
      <c r="A2009" s="124">
        <v>42325</v>
      </c>
      <c r="B2009" s="125">
        <v>73.915000000000006</v>
      </c>
      <c r="C2009" s="52"/>
      <c r="D2009" s="52"/>
      <c r="E2009" s="52"/>
      <c r="F2009" s="52"/>
      <c r="G2009" s="52"/>
      <c r="H2009" s="52"/>
    </row>
    <row r="2010" spans="1:8" ht="15.75">
      <c r="A2010" s="124">
        <v>42326</v>
      </c>
      <c r="B2010" s="125">
        <v>72.978999999999999</v>
      </c>
      <c r="C2010" s="52"/>
      <c r="D2010" s="52"/>
      <c r="E2010" s="52"/>
      <c r="F2010" s="52"/>
      <c r="G2010" s="52"/>
      <c r="H2010" s="52"/>
    </row>
    <row r="2011" spans="1:8" ht="15.75">
      <c r="A2011" s="124">
        <v>42327</v>
      </c>
      <c r="B2011" s="125">
        <v>73.241</v>
      </c>
      <c r="C2011" s="52"/>
      <c r="D2011" s="52"/>
      <c r="E2011" s="52"/>
      <c r="F2011" s="52"/>
      <c r="G2011" s="52"/>
      <c r="H2011" s="52"/>
    </row>
    <row r="2012" spans="1:8" ht="15.75">
      <c r="A2012" s="124">
        <v>42328</v>
      </c>
      <c r="B2012" s="125">
        <v>74.277000000000001</v>
      </c>
      <c r="C2012" s="52"/>
      <c r="D2012" s="52"/>
      <c r="E2012" s="52"/>
      <c r="F2012" s="52"/>
      <c r="G2012" s="52"/>
      <c r="H2012" s="52"/>
    </row>
    <row r="2013" spans="1:8" ht="15.75">
      <c r="A2013" s="124">
        <v>42331</v>
      </c>
      <c r="B2013" s="125">
        <v>74.555999999999997</v>
      </c>
      <c r="C2013" s="52"/>
      <c r="D2013" s="52"/>
      <c r="E2013" s="52"/>
      <c r="F2013" s="52"/>
      <c r="G2013" s="52"/>
      <c r="H2013" s="52"/>
    </row>
    <row r="2014" spans="1:8" ht="15.75">
      <c r="A2014" s="124">
        <v>42332</v>
      </c>
      <c r="B2014" s="125">
        <v>73.706000000000003</v>
      </c>
      <c r="C2014" s="52"/>
      <c r="D2014" s="52"/>
      <c r="E2014" s="52"/>
      <c r="F2014" s="52"/>
      <c r="G2014" s="52"/>
      <c r="H2014" s="52"/>
    </row>
    <row r="2015" spans="1:8" ht="15.75">
      <c r="A2015" s="124">
        <v>42333</v>
      </c>
      <c r="B2015" s="125">
        <v>74.597999999999999</v>
      </c>
      <c r="C2015" s="52"/>
      <c r="D2015" s="52"/>
      <c r="E2015" s="52"/>
      <c r="F2015" s="52"/>
      <c r="G2015" s="52"/>
      <c r="H2015" s="52"/>
    </row>
    <row r="2016" spans="1:8" ht="15.75">
      <c r="A2016" s="124">
        <v>42334</v>
      </c>
      <c r="B2016" s="125">
        <v>74.894000000000005</v>
      </c>
      <c r="C2016" s="52"/>
      <c r="D2016" s="52"/>
      <c r="E2016" s="52"/>
      <c r="F2016" s="52"/>
      <c r="G2016" s="52"/>
      <c r="H2016" s="52"/>
    </row>
    <row r="2017" spans="1:8" ht="15.75">
      <c r="A2017" s="124">
        <v>42335</v>
      </c>
      <c r="B2017" s="125">
        <v>75.611999999999995</v>
      </c>
      <c r="C2017" s="52"/>
      <c r="D2017" s="52"/>
      <c r="E2017" s="52"/>
      <c r="F2017" s="52"/>
      <c r="G2017" s="52"/>
      <c r="H2017" s="52"/>
    </row>
    <row r="2018" spans="1:8" ht="15.75">
      <c r="A2018" s="124">
        <v>42338</v>
      </c>
      <c r="B2018" s="125">
        <v>75.572999999999993</v>
      </c>
      <c r="C2018" s="52"/>
      <c r="D2018" s="52"/>
      <c r="E2018" s="52"/>
      <c r="F2018" s="52"/>
      <c r="G2018" s="52"/>
      <c r="H2018" s="52"/>
    </row>
    <row r="2019" spans="1:8" ht="15.75">
      <c r="A2019" s="124">
        <v>42339</v>
      </c>
      <c r="B2019" s="125">
        <v>75.238</v>
      </c>
      <c r="C2019" s="52"/>
      <c r="D2019" s="52"/>
      <c r="E2019" s="52"/>
      <c r="F2019" s="52"/>
      <c r="G2019" s="52"/>
      <c r="H2019" s="52"/>
    </row>
    <row r="2020" spans="1:8" ht="15.75">
      <c r="A2020" s="124">
        <v>42340</v>
      </c>
      <c r="B2020" s="125">
        <v>75.959999999999994</v>
      </c>
      <c r="C2020" s="52"/>
      <c r="D2020" s="52"/>
      <c r="E2020" s="52"/>
      <c r="F2020" s="52"/>
      <c r="G2020" s="52"/>
      <c r="H2020" s="52"/>
    </row>
    <row r="2021" spans="1:8" ht="15.75">
      <c r="A2021" s="124">
        <v>42341</v>
      </c>
      <c r="B2021" s="125">
        <v>70.787000000000006</v>
      </c>
      <c r="C2021" s="52"/>
      <c r="D2021" s="52"/>
      <c r="E2021" s="52"/>
      <c r="F2021" s="52"/>
      <c r="G2021" s="52"/>
      <c r="H2021" s="52"/>
    </row>
    <row r="2022" spans="1:8" ht="15.75">
      <c r="A2022" s="124">
        <v>42342</v>
      </c>
      <c r="B2022" s="125">
        <v>72.489999999999995</v>
      </c>
      <c r="C2022" s="52"/>
      <c r="D2022" s="52"/>
      <c r="E2022" s="52"/>
      <c r="F2022" s="52"/>
      <c r="G2022" s="52"/>
      <c r="H2022" s="52"/>
    </row>
    <row r="2023" spans="1:8" ht="15.75">
      <c r="A2023" s="124">
        <v>42345</v>
      </c>
      <c r="B2023" s="125">
        <v>72.397999999999996</v>
      </c>
      <c r="C2023" s="52"/>
      <c r="D2023" s="52"/>
      <c r="E2023" s="52"/>
      <c r="F2023" s="52"/>
      <c r="G2023" s="52"/>
      <c r="H2023" s="52"/>
    </row>
    <row r="2024" spans="1:8" ht="15.75">
      <c r="A2024" s="124">
        <v>42346</v>
      </c>
      <c r="B2024" s="125">
        <v>71.888999999999996</v>
      </c>
      <c r="C2024" s="52"/>
      <c r="D2024" s="52"/>
      <c r="E2024" s="52"/>
      <c r="F2024" s="52"/>
      <c r="G2024" s="52"/>
      <c r="H2024" s="52"/>
    </row>
    <row r="2025" spans="1:8" ht="15.75">
      <c r="A2025" s="124">
        <v>42347</v>
      </c>
      <c r="B2025" s="125">
        <v>70.137</v>
      </c>
      <c r="C2025" s="52"/>
      <c r="D2025" s="52"/>
      <c r="E2025" s="52"/>
      <c r="F2025" s="52"/>
      <c r="G2025" s="52"/>
      <c r="H2025" s="52"/>
    </row>
    <row r="2026" spans="1:8" ht="15.75">
      <c r="A2026" s="124">
        <v>42348</v>
      </c>
      <c r="B2026" s="125">
        <v>70.540000000000006</v>
      </c>
      <c r="C2026" s="52"/>
      <c r="D2026" s="52"/>
      <c r="E2026" s="52"/>
      <c r="F2026" s="52"/>
      <c r="G2026" s="52"/>
      <c r="H2026" s="52"/>
    </row>
    <row r="2027" spans="1:8" ht="15.75">
      <c r="A2027" s="124">
        <v>42349</v>
      </c>
      <c r="B2027" s="125">
        <v>70.08</v>
      </c>
      <c r="C2027" s="52"/>
      <c r="D2027" s="52"/>
      <c r="E2027" s="52"/>
      <c r="F2027" s="52"/>
      <c r="G2027" s="52"/>
      <c r="H2027" s="52"/>
    </row>
    <row r="2028" spans="1:8" ht="15.75">
      <c r="A2028" s="124">
        <v>42352</v>
      </c>
      <c r="B2028" s="125">
        <v>70.126000000000005</v>
      </c>
      <c r="C2028" s="52"/>
      <c r="D2028" s="52"/>
      <c r="E2028" s="52"/>
      <c r="F2028" s="52"/>
      <c r="G2028" s="52"/>
      <c r="H2028" s="52"/>
    </row>
    <row r="2029" spans="1:8" ht="15.75">
      <c r="A2029" s="124">
        <v>42353</v>
      </c>
      <c r="B2029" s="125">
        <v>72.611000000000004</v>
      </c>
      <c r="C2029" s="52"/>
      <c r="D2029" s="52"/>
      <c r="E2029" s="52"/>
      <c r="F2029" s="52"/>
      <c r="G2029" s="52"/>
      <c r="H2029" s="52"/>
    </row>
    <row r="2030" spans="1:8" ht="15.75">
      <c r="A2030" s="124">
        <v>42354</v>
      </c>
      <c r="B2030" s="125">
        <v>72.757000000000005</v>
      </c>
      <c r="C2030" s="52"/>
      <c r="D2030" s="52"/>
      <c r="E2030" s="52"/>
      <c r="F2030" s="52"/>
      <c r="G2030" s="52"/>
      <c r="H2030" s="52"/>
    </row>
    <row r="2031" spans="1:8" ht="15.75">
      <c r="A2031" s="124">
        <v>42355</v>
      </c>
      <c r="B2031" s="125">
        <v>73.863</v>
      </c>
      <c r="C2031" s="52"/>
      <c r="D2031" s="52"/>
      <c r="E2031" s="52"/>
      <c r="F2031" s="52"/>
      <c r="G2031" s="52"/>
      <c r="H2031" s="52"/>
    </row>
    <row r="2032" spans="1:8" ht="15.75">
      <c r="A2032" s="124">
        <v>42356</v>
      </c>
      <c r="B2032" s="125">
        <v>73.745000000000005</v>
      </c>
      <c r="C2032" s="52"/>
      <c r="D2032" s="52"/>
      <c r="E2032" s="52"/>
      <c r="F2032" s="52"/>
      <c r="G2032" s="52"/>
      <c r="H2032" s="52"/>
    </row>
    <row r="2033" spans="1:8" ht="15.75">
      <c r="A2033" s="124">
        <v>42359</v>
      </c>
      <c r="B2033" s="125">
        <v>73.046999999999997</v>
      </c>
      <c r="C2033" s="52"/>
      <c r="D2033" s="52"/>
      <c r="E2033" s="52"/>
      <c r="F2033" s="52"/>
      <c r="G2033" s="52"/>
      <c r="H2033" s="52"/>
    </row>
    <row r="2034" spans="1:8" ht="15.75">
      <c r="A2034" s="124">
        <v>42360</v>
      </c>
      <c r="B2034" s="125">
        <v>72.742000000000004</v>
      </c>
      <c r="C2034" s="52"/>
      <c r="D2034" s="52"/>
      <c r="E2034" s="52"/>
      <c r="F2034" s="52"/>
      <c r="G2034" s="52"/>
      <c r="H2034" s="52"/>
    </row>
    <row r="2035" spans="1:8" ht="15.75">
      <c r="A2035" s="124">
        <v>42361</v>
      </c>
      <c r="B2035" s="125">
        <v>73.388999999999996</v>
      </c>
      <c r="C2035" s="52"/>
      <c r="D2035" s="52"/>
      <c r="E2035" s="52"/>
      <c r="F2035" s="52"/>
      <c r="G2035" s="52"/>
      <c r="H2035" s="52"/>
    </row>
    <row r="2036" spans="1:8" ht="15.75">
      <c r="A2036" s="124">
        <v>42366</v>
      </c>
      <c r="B2036" s="125">
        <v>73.159000000000006</v>
      </c>
      <c r="C2036" s="52"/>
      <c r="D2036" s="52"/>
      <c r="E2036" s="52"/>
      <c r="F2036" s="52"/>
      <c r="G2036" s="52"/>
      <c r="H2036" s="52"/>
    </row>
    <row r="2037" spans="1:8" ht="15.75">
      <c r="A2037" s="124">
        <v>42367</v>
      </c>
      <c r="B2037" s="125">
        <v>74.168000000000006</v>
      </c>
      <c r="C2037" s="52"/>
      <c r="D2037" s="52"/>
      <c r="E2037" s="52"/>
      <c r="F2037" s="52"/>
      <c r="G2037" s="52"/>
      <c r="H2037" s="52"/>
    </row>
    <row r="2038" spans="1:8" ht="15.75">
      <c r="A2038" s="124">
        <v>42368</v>
      </c>
      <c r="B2038" s="125">
        <v>75.403000000000006</v>
      </c>
      <c r="C2038" s="52"/>
      <c r="D2038" s="52"/>
      <c r="E2038" s="52"/>
      <c r="F2038" s="52"/>
      <c r="G2038" s="52"/>
      <c r="H2038" s="52"/>
    </row>
    <row r="2039" spans="1:8" ht="15.75">
      <c r="A2039" s="124">
        <v>42373</v>
      </c>
      <c r="B2039" s="125">
        <v>73.484999999999999</v>
      </c>
      <c r="C2039" s="52"/>
      <c r="D2039" s="52"/>
      <c r="E2039" s="52"/>
      <c r="F2039" s="52"/>
      <c r="G2039" s="52"/>
      <c r="H2039" s="52"/>
    </row>
    <row r="2040" spans="1:8" ht="15.75">
      <c r="A2040" s="124">
        <v>42374</v>
      </c>
      <c r="B2040" s="125">
        <v>75.647999999999996</v>
      </c>
      <c r="C2040" s="52"/>
      <c r="D2040" s="52"/>
      <c r="E2040" s="52"/>
      <c r="F2040" s="52"/>
      <c r="G2040" s="52"/>
      <c r="H2040" s="52"/>
    </row>
    <row r="2041" spans="1:8" ht="15.75">
      <c r="A2041" s="124">
        <v>42375</v>
      </c>
      <c r="B2041" s="125">
        <v>74.647000000000006</v>
      </c>
      <c r="C2041" s="52"/>
      <c r="D2041" s="52"/>
      <c r="E2041" s="52"/>
      <c r="F2041" s="52"/>
      <c r="G2041" s="52"/>
      <c r="H2041" s="52"/>
    </row>
    <row r="2042" spans="1:8" ht="15.75">
      <c r="A2042" s="124">
        <v>42376</v>
      </c>
      <c r="B2042" s="125">
        <v>73.813999999999993</v>
      </c>
      <c r="C2042" s="52"/>
      <c r="D2042" s="52"/>
      <c r="E2042" s="52"/>
      <c r="F2042" s="52"/>
      <c r="G2042" s="52"/>
      <c r="H2042" s="52"/>
    </row>
    <row r="2043" spans="1:8" ht="15.75">
      <c r="A2043" s="124">
        <v>42377</v>
      </c>
      <c r="B2043" s="125">
        <v>73.001999999999995</v>
      </c>
      <c r="C2043" s="52"/>
      <c r="D2043" s="52"/>
      <c r="E2043" s="52"/>
      <c r="F2043" s="52"/>
      <c r="G2043" s="52"/>
      <c r="H2043" s="52"/>
    </row>
    <row r="2044" spans="1:8" ht="15.75">
      <c r="A2044" s="124">
        <v>42380</v>
      </c>
      <c r="B2044" s="125">
        <v>72.658000000000001</v>
      </c>
      <c r="C2044" s="52"/>
      <c r="D2044" s="52"/>
      <c r="E2044" s="52"/>
      <c r="F2044" s="52"/>
      <c r="G2044" s="52"/>
      <c r="H2044" s="52"/>
    </row>
    <row r="2045" spans="1:8" ht="15.75">
      <c r="A2045" s="124">
        <v>42381</v>
      </c>
      <c r="B2045" s="125">
        <v>73.09</v>
      </c>
      <c r="C2045" s="52"/>
      <c r="D2045" s="52"/>
      <c r="E2045" s="52"/>
      <c r="F2045" s="52"/>
      <c r="G2045" s="52"/>
      <c r="H2045" s="52"/>
    </row>
    <row r="2046" spans="1:8" ht="15.75">
      <c r="A2046" s="124">
        <v>42382</v>
      </c>
      <c r="B2046" s="125">
        <v>73.338999999999999</v>
      </c>
      <c r="C2046" s="52"/>
      <c r="D2046" s="52"/>
      <c r="E2046" s="52"/>
      <c r="F2046" s="52"/>
      <c r="G2046" s="52"/>
      <c r="H2046" s="52"/>
    </row>
    <row r="2047" spans="1:8" ht="15.75">
      <c r="A2047" s="124">
        <v>42383</v>
      </c>
      <c r="B2047" s="125">
        <v>72.158000000000001</v>
      </c>
      <c r="C2047" s="52"/>
      <c r="D2047" s="52"/>
      <c r="E2047" s="52"/>
      <c r="F2047" s="52"/>
      <c r="G2047" s="52"/>
      <c r="H2047" s="52"/>
    </row>
    <row r="2048" spans="1:8" ht="15.75">
      <c r="A2048" s="124">
        <v>42384</v>
      </c>
      <c r="B2048" s="125">
        <v>71.486000000000004</v>
      </c>
      <c r="C2048" s="52"/>
      <c r="D2048" s="52"/>
      <c r="E2048" s="52"/>
      <c r="F2048" s="52"/>
      <c r="G2048" s="52"/>
      <c r="H2048" s="52"/>
    </row>
    <row r="2049" spans="1:8" ht="15.75">
      <c r="A2049" s="124">
        <v>42387</v>
      </c>
      <c r="B2049" s="125">
        <v>71.906999999999996</v>
      </c>
      <c r="C2049" s="52"/>
      <c r="D2049" s="52"/>
      <c r="E2049" s="52"/>
      <c r="F2049" s="52"/>
      <c r="G2049" s="52"/>
      <c r="H2049" s="52"/>
    </row>
    <row r="2050" spans="1:8" ht="15.75">
      <c r="A2050" s="124">
        <v>42388</v>
      </c>
      <c r="B2050" s="125">
        <v>71.896000000000001</v>
      </c>
      <c r="C2050" s="52"/>
      <c r="D2050" s="52"/>
      <c r="E2050" s="52"/>
      <c r="F2050" s="52"/>
      <c r="G2050" s="52"/>
      <c r="H2050" s="52"/>
    </row>
    <row r="2051" spans="1:8" ht="15.75">
      <c r="A2051" s="124">
        <v>42389</v>
      </c>
      <c r="B2051" s="125">
        <v>69.311999999999998</v>
      </c>
      <c r="C2051" s="52"/>
      <c r="D2051" s="52"/>
      <c r="E2051" s="52"/>
      <c r="F2051" s="52"/>
      <c r="G2051" s="52"/>
      <c r="H2051" s="52"/>
    </row>
    <row r="2052" spans="1:8" ht="15.75">
      <c r="A2052" s="124">
        <v>42390</v>
      </c>
      <c r="B2052" s="125">
        <v>69.917000000000002</v>
      </c>
      <c r="C2052" s="52"/>
      <c r="D2052" s="52"/>
      <c r="E2052" s="52"/>
      <c r="F2052" s="52"/>
      <c r="G2052" s="52"/>
      <c r="H2052" s="52"/>
    </row>
    <row r="2053" spans="1:8" ht="15.75">
      <c r="A2053" s="124">
        <v>42391</v>
      </c>
      <c r="B2053" s="125">
        <v>71.344999999999999</v>
      </c>
      <c r="C2053" s="52"/>
      <c r="D2053" s="52"/>
      <c r="E2053" s="52"/>
      <c r="F2053" s="52"/>
      <c r="G2053" s="52"/>
      <c r="H2053" s="52"/>
    </row>
    <row r="2054" spans="1:8" ht="15.75">
      <c r="A2054" s="124">
        <v>42394</v>
      </c>
      <c r="B2054" s="125">
        <v>72.543000000000006</v>
      </c>
      <c r="C2054" s="52"/>
      <c r="D2054" s="52"/>
      <c r="E2054" s="52"/>
      <c r="F2054" s="52"/>
      <c r="G2054" s="52"/>
      <c r="H2054" s="52"/>
    </row>
    <row r="2055" spans="1:8" ht="15.75">
      <c r="A2055" s="124">
        <v>42395</v>
      </c>
      <c r="B2055" s="125">
        <v>72.551000000000002</v>
      </c>
      <c r="C2055" s="52"/>
      <c r="D2055" s="52"/>
      <c r="E2055" s="52"/>
      <c r="F2055" s="52"/>
      <c r="G2055" s="52"/>
      <c r="H2055" s="52"/>
    </row>
    <row r="2056" spans="1:8" ht="15.75">
      <c r="A2056" s="124">
        <v>42396</v>
      </c>
      <c r="B2056" s="125">
        <v>71.661000000000001</v>
      </c>
      <c r="C2056" s="52"/>
      <c r="D2056" s="52"/>
      <c r="E2056" s="52"/>
      <c r="F2056" s="52"/>
      <c r="G2056" s="52"/>
      <c r="H2056" s="52"/>
    </row>
    <row r="2057" spans="1:8" ht="15.75">
      <c r="A2057" s="124">
        <v>42397</v>
      </c>
      <c r="B2057" s="125">
        <v>70.147000000000006</v>
      </c>
      <c r="C2057" s="52"/>
      <c r="D2057" s="52"/>
      <c r="E2057" s="52"/>
      <c r="F2057" s="52"/>
      <c r="G2057" s="52"/>
      <c r="H2057" s="52"/>
    </row>
    <row r="2058" spans="1:8" ht="15.75">
      <c r="A2058" s="124">
        <v>42398</v>
      </c>
      <c r="B2058" s="125">
        <v>70.674999999999997</v>
      </c>
      <c r="C2058" s="52"/>
      <c r="D2058" s="52"/>
      <c r="E2058" s="52"/>
      <c r="F2058" s="52"/>
      <c r="G2058" s="52"/>
      <c r="H2058" s="52"/>
    </row>
    <row r="2059" spans="1:8" ht="15.75">
      <c r="A2059" s="124">
        <v>42401</v>
      </c>
      <c r="B2059" s="125">
        <v>70.852000000000004</v>
      </c>
      <c r="C2059" s="52"/>
      <c r="D2059" s="52"/>
      <c r="E2059" s="52"/>
      <c r="F2059" s="52"/>
      <c r="G2059" s="52"/>
      <c r="H2059" s="52"/>
    </row>
    <row r="2060" spans="1:8" ht="15.75">
      <c r="A2060" s="124">
        <v>42402</v>
      </c>
      <c r="B2060" s="125">
        <v>68.856999999999999</v>
      </c>
      <c r="C2060" s="52"/>
      <c r="D2060" s="52"/>
      <c r="E2060" s="52"/>
      <c r="F2060" s="52"/>
      <c r="G2060" s="52"/>
      <c r="H2060" s="52"/>
    </row>
    <row r="2061" spans="1:8" ht="15.75">
      <c r="A2061" s="124">
        <v>42403</v>
      </c>
      <c r="B2061" s="125">
        <v>65.715999999999994</v>
      </c>
      <c r="C2061" s="52"/>
      <c r="D2061" s="52"/>
      <c r="E2061" s="52"/>
      <c r="F2061" s="52"/>
      <c r="G2061" s="52"/>
      <c r="H2061" s="52"/>
    </row>
    <row r="2062" spans="1:8" ht="15.75">
      <c r="A2062" s="124">
        <v>42404</v>
      </c>
      <c r="B2062" s="125">
        <v>68.034000000000006</v>
      </c>
      <c r="C2062" s="52"/>
      <c r="D2062" s="52"/>
      <c r="E2062" s="52"/>
      <c r="F2062" s="52"/>
      <c r="G2062" s="52"/>
      <c r="H2062" s="52"/>
    </row>
    <row r="2063" spans="1:8" ht="15.75">
      <c r="A2063" s="124">
        <v>42405</v>
      </c>
      <c r="B2063" s="125">
        <v>66.441000000000003</v>
      </c>
      <c r="C2063" s="52"/>
      <c r="D2063" s="52"/>
      <c r="E2063" s="52"/>
      <c r="F2063" s="52"/>
      <c r="G2063" s="52"/>
      <c r="H2063" s="52"/>
    </row>
    <row r="2064" spans="1:8" ht="15.75">
      <c r="A2064" s="124">
        <v>42408</v>
      </c>
      <c r="B2064" s="125">
        <v>63.302999999999997</v>
      </c>
      <c r="C2064" s="52"/>
      <c r="D2064" s="52"/>
      <c r="E2064" s="52"/>
      <c r="F2064" s="52"/>
      <c r="G2064" s="52"/>
      <c r="H2064" s="52"/>
    </row>
    <row r="2065" spans="1:8" ht="15.75">
      <c r="A2065" s="124">
        <v>42409</v>
      </c>
      <c r="B2065" s="125">
        <v>62.968000000000004</v>
      </c>
      <c r="C2065" s="52"/>
      <c r="D2065" s="52"/>
      <c r="E2065" s="52"/>
      <c r="F2065" s="52"/>
      <c r="G2065" s="52"/>
      <c r="H2065" s="52"/>
    </row>
    <row r="2066" spans="1:8" ht="15.75">
      <c r="A2066" s="124">
        <v>42410</v>
      </c>
      <c r="B2066" s="125">
        <v>64.007000000000005</v>
      </c>
      <c r="C2066" s="52"/>
      <c r="D2066" s="52"/>
      <c r="E2066" s="52"/>
      <c r="F2066" s="52"/>
      <c r="G2066" s="52"/>
      <c r="H2066" s="52"/>
    </row>
    <row r="2067" spans="1:8" ht="15.75">
      <c r="A2067" s="124">
        <v>42411</v>
      </c>
      <c r="B2067" s="125">
        <v>62.170999999999999</v>
      </c>
      <c r="C2067" s="52"/>
      <c r="D2067" s="52"/>
      <c r="E2067" s="52"/>
      <c r="F2067" s="52"/>
      <c r="G2067" s="52"/>
      <c r="H2067" s="52"/>
    </row>
    <row r="2068" spans="1:8" ht="15.75">
      <c r="A2068" s="124">
        <v>42412</v>
      </c>
      <c r="B2068" s="125">
        <v>62.924999999999997</v>
      </c>
      <c r="C2068" s="52"/>
      <c r="D2068" s="52"/>
      <c r="E2068" s="52"/>
      <c r="F2068" s="52"/>
      <c r="G2068" s="52"/>
      <c r="H2068" s="52"/>
    </row>
    <row r="2069" spans="1:8" ht="15.75">
      <c r="A2069" s="124">
        <v>42415</v>
      </c>
      <c r="B2069" s="125">
        <v>64.366</v>
      </c>
      <c r="C2069" s="52"/>
      <c r="D2069" s="52"/>
      <c r="E2069" s="52"/>
      <c r="F2069" s="52"/>
      <c r="G2069" s="52"/>
      <c r="H2069" s="52"/>
    </row>
    <row r="2070" spans="1:8" ht="15.75">
      <c r="A2070" s="124">
        <v>42416</v>
      </c>
      <c r="B2070" s="125">
        <v>64.099000000000004</v>
      </c>
      <c r="C2070" s="52"/>
      <c r="D2070" s="52"/>
      <c r="E2070" s="52"/>
      <c r="F2070" s="52"/>
      <c r="G2070" s="52"/>
      <c r="H2070" s="52"/>
    </row>
    <row r="2071" spans="1:8" ht="15.75">
      <c r="A2071" s="124">
        <v>42417</v>
      </c>
      <c r="B2071" s="125">
        <v>64.671999999999997</v>
      </c>
      <c r="C2071" s="52"/>
      <c r="D2071" s="52"/>
      <c r="E2071" s="52"/>
      <c r="F2071" s="52"/>
      <c r="G2071" s="52"/>
      <c r="H2071" s="52"/>
    </row>
    <row r="2072" spans="1:8" ht="15.75">
      <c r="A2072" s="124">
        <v>42418</v>
      </c>
      <c r="B2072" s="125">
        <v>65.075999999999993</v>
      </c>
      <c r="C2072" s="52"/>
      <c r="D2072" s="52"/>
      <c r="E2072" s="52"/>
      <c r="F2072" s="52"/>
      <c r="G2072" s="52"/>
      <c r="H2072" s="52"/>
    </row>
    <row r="2073" spans="1:8" ht="15.75">
      <c r="A2073" s="124">
        <v>42419</v>
      </c>
      <c r="B2073" s="125">
        <v>65.444000000000003</v>
      </c>
      <c r="C2073" s="52"/>
      <c r="D2073" s="52"/>
      <c r="E2073" s="52"/>
      <c r="F2073" s="52"/>
      <c r="G2073" s="52"/>
      <c r="H2073" s="52"/>
    </row>
    <row r="2074" spans="1:8" ht="15.75">
      <c r="A2074" s="124">
        <v>42422</v>
      </c>
      <c r="B2074" s="125">
        <v>67.024000000000001</v>
      </c>
      <c r="C2074" s="52"/>
      <c r="D2074" s="52"/>
      <c r="E2074" s="52"/>
      <c r="F2074" s="52"/>
      <c r="G2074" s="52"/>
      <c r="H2074" s="52"/>
    </row>
    <row r="2075" spans="1:8" ht="15.75">
      <c r="A2075" s="124">
        <v>42423</v>
      </c>
      <c r="B2075" s="125">
        <v>66.590999999999994</v>
      </c>
      <c r="C2075" s="52"/>
      <c r="D2075" s="52"/>
      <c r="E2075" s="52"/>
      <c r="F2075" s="52"/>
      <c r="G2075" s="52"/>
      <c r="H2075" s="52"/>
    </row>
    <row r="2076" spans="1:8" ht="15.75">
      <c r="A2076" s="124">
        <v>42424</v>
      </c>
      <c r="B2076" s="125">
        <v>65.373000000000005</v>
      </c>
      <c r="C2076" s="52"/>
      <c r="D2076" s="52"/>
      <c r="E2076" s="52"/>
      <c r="F2076" s="52"/>
      <c r="G2076" s="52"/>
      <c r="H2076" s="52"/>
    </row>
    <row r="2077" spans="1:8" ht="15.75">
      <c r="A2077" s="124">
        <v>42425</v>
      </c>
      <c r="B2077" s="125">
        <v>66.491</v>
      </c>
      <c r="C2077" s="52"/>
      <c r="D2077" s="52"/>
      <c r="E2077" s="52"/>
      <c r="F2077" s="52"/>
      <c r="G2077" s="52"/>
      <c r="H2077" s="52"/>
    </row>
    <row r="2078" spans="1:8" ht="15.75">
      <c r="A2078" s="124">
        <v>42426</v>
      </c>
      <c r="B2078" s="125">
        <v>67.236999999999995</v>
      </c>
      <c r="C2078" s="52"/>
      <c r="D2078" s="52"/>
      <c r="E2078" s="52"/>
      <c r="F2078" s="52"/>
      <c r="G2078" s="52"/>
      <c r="H2078" s="52"/>
    </row>
    <row r="2079" spans="1:8" ht="15.75">
      <c r="A2079" s="124">
        <v>42429</v>
      </c>
      <c r="B2079" s="125">
        <v>68.298000000000002</v>
      </c>
      <c r="C2079" s="52"/>
      <c r="D2079" s="52"/>
      <c r="E2079" s="52"/>
      <c r="F2079" s="52"/>
      <c r="G2079" s="52"/>
      <c r="H2079" s="52"/>
    </row>
    <row r="2080" spans="1:8" ht="15.75">
      <c r="A2080" s="124">
        <v>42430</v>
      </c>
      <c r="B2080" s="125">
        <v>62.215000000000003</v>
      </c>
      <c r="C2080" s="52"/>
      <c r="D2080" s="52"/>
      <c r="E2080" s="52"/>
      <c r="F2080" s="52"/>
      <c r="G2080" s="52"/>
      <c r="H2080" s="52"/>
    </row>
    <row r="2081" spans="1:8" ht="15.75">
      <c r="A2081" s="124">
        <v>42431</v>
      </c>
      <c r="B2081" s="125">
        <v>64.271000000000001</v>
      </c>
      <c r="C2081" s="52"/>
      <c r="D2081" s="52"/>
      <c r="E2081" s="52"/>
      <c r="F2081" s="52"/>
      <c r="G2081" s="52"/>
      <c r="H2081" s="52"/>
    </row>
    <row r="2082" spans="1:8" ht="15.75">
      <c r="A2082" s="124">
        <v>42432</v>
      </c>
      <c r="B2082" s="125">
        <v>63.917000000000002</v>
      </c>
      <c r="C2082" s="52"/>
      <c r="D2082" s="52"/>
      <c r="E2082" s="52"/>
      <c r="F2082" s="52"/>
      <c r="G2082" s="52"/>
      <c r="H2082" s="52"/>
    </row>
    <row r="2083" spans="1:8" ht="15.75">
      <c r="A2083" s="124">
        <v>42433</v>
      </c>
      <c r="B2083" s="125">
        <v>64.453999999999994</v>
      </c>
      <c r="C2083" s="52"/>
      <c r="D2083" s="52"/>
      <c r="E2083" s="52"/>
      <c r="F2083" s="52"/>
      <c r="G2083" s="52"/>
      <c r="H2083" s="52"/>
    </row>
    <row r="2084" spans="1:8" ht="15.75">
      <c r="A2084" s="124">
        <v>42436</v>
      </c>
      <c r="B2084" s="125">
        <v>64.632000000000005</v>
      </c>
      <c r="C2084" s="52"/>
      <c r="D2084" s="52"/>
      <c r="E2084" s="52"/>
      <c r="F2084" s="52"/>
      <c r="G2084" s="52"/>
      <c r="H2084" s="52"/>
    </row>
    <row r="2085" spans="1:8" ht="15.75">
      <c r="A2085" s="124">
        <v>42437</v>
      </c>
      <c r="B2085" s="125">
        <v>64.625</v>
      </c>
      <c r="C2085" s="52"/>
      <c r="D2085" s="52"/>
      <c r="E2085" s="52"/>
      <c r="F2085" s="52"/>
      <c r="G2085" s="52"/>
      <c r="H2085" s="52"/>
    </row>
    <row r="2086" spans="1:8" ht="15.75">
      <c r="A2086" s="124">
        <v>42438</v>
      </c>
      <c r="B2086" s="125">
        <v>64.409000000000006</v>
      </c>
      <c r="C2086" s="52"/>
      <c r="D2086" s="52"/>
      <c r="E2086" s="52"/>
      <c r="F2086" s="52"/>
      <c r="G2086" s="52"/>
      <c r="H2086" s="52"/>
    </row>
    <row r="2087" spans="1:8" ht="15.75">
      <c r="A2087" s="124">
        <v>42439</v>
      </c>
      <c r="B2087" s="125">
        <v>63.014000000000003</v>
      </c>
      <c r="C2087" s="52"/>
      <c r="D2087" s="52"/>
      <c r="E2087" s="52"/>
      <c r="F2087" s="52"/>
      <c r="G2087" s="52"/>
      <c r="H2087" s="52"/>
    </row>
    <row r="2088" spans="1:8" ht="15.75">
      <c r="A2088" s="124">
        <v>42440</v>
      </c>
      <c r="B2088" s="125">
        <v>64.352999999999994</v>
      </c>
      <c r="C2088" s="52"/>
      <c r="D2088" s="52"/>
      <c r="E2088" s="52"/>
      <c r="F2088" s="52"/>
      <c r="G2088" s="52"/>
      <c r="H2088" s="52"/>
    </row>
    <row r="2089" spans="1:8" ht="15.75">
      <c r="A2089" s="124">
        <v>42443</v>
      </c>
      <c r="B2089" s="125">
        <v>65.013000000000005</v>
      </c>
      <c r="C2089" s="52"/>
      <c r="D2089" s="52"/>
      <c r="E2089" s="52"/>
      <c r="F2089" s="52"/>
      <c r="G2089" s="52"/>
      <c r="H2089" s="52"/>
    </row>
    <row r="2090" spans="1:8" ht="15.75">
      <c r="A2090" s="124">
        <v>42444</v>
      </c>
      <c r="B2090" s="125">
        <v>65.087999999999994</v>
      </c>
      <c r="C2090" s="52"/>
      <c r="D2090" s="52"/>
      <c r="E2090" s="52"/>
      <c r="F2090" s="52"/>
      <c r="G2090" s="52"/>
      <c r="H2090" s="52"/>
    </row>
    <row r="2091" spans="1:8" ht="15.75">
      <c r="A2091" s="124">
        <v>42445</v>
      </c>
      <c r="B2091" s="125">
        <v>65.027000000000001</v>
      </c>
      <c r="C2091" s="52"/>
      <c r="D2091" s="52"/>
      <c r="E2091" s="52"/>
      <c r="F2091" s="52"/>
      <c r="G2091" s="52"/>
      <c r="H2091" s="52"/>
    </row>
    <row r="2092" spans="1:8" ht="15.75">
      <c r="A2092" s="124">
        <v>42446</v>
      </c>
      <c r="B2092" s="125">
        <v>65.33</v>
      </c>
      <c r="C2092" s="52"/>
      <c r="D2092" s="52"/>
      <c r="E2092" s="52"/>
      <c r="F2092" s="52"/>
      <c r="G2092" s="52"/>
      <c r="H2092" s="52"/>
    </row>
    <row r="2093" spans="1:8" ht="15.75">
      <c r="A2093" s="124">
        <v>42447</v>
      </c>
      <c r="B2093" s="125">
        <v>65.692999999999998</v>
      </c>
      <c r="C2093" s="52"/>
      <c r="D2093" s="52"/>
      <c r="E2093" s="52"/>
      <c r="F2093" s="52"/>
      <c r="G2093" s="52"/>
      <c r="H2093" s="52"/>
    </row>
    <row r="2094" spans="1:8" ht="15.75">
      <c r="A2094" s="124">
        <v>42450</v>
      </c>
      <c r="B2094" s="125">
        <v>64.569000000000003</v>
      </c>
      <c r="C2094" s="52"/>
      <c r="D2094" s="52"/>
      <c r="E2094" s="52"/>
      <c r="F2094" s="52"/>
      <c r="G2094" s="52"/>
      <c r="H2094" s="52"/>
    </row>
    <row r="2095" spans="1:8" ht="15.75">
      <c r="A2095" s="124">
        <v>42451</v>
      </c>
      <c r="B2095" s="125">
        <v>64.516000000000005</v>
      </c>
      <c r="C2095" s="52"/>
      <c r="D2095" s="52"/>
      <c r="E2095" s="52"/>
      <c r="F2095" s="52"/>
      <c r="G2095" s="52"/>
      <c r="H2095" s="52"/>
    </row>
    <row r="2096" spans="1:8" ht="15.75">
      <c r="A2096" s="124">
        <v>42452</v>
      </c>
      <c r="B2096" s="125">
        <v>64.543999999999997</v>
      </c>
      <c r="C2096" s="52"/>
      <c r="D2096" s="52"/>
      <c r="E2096" s="52"/>
      <c r="F2096" s="52"/>
      <c r="G2096" s="52"/>
      <c r="H2096" s="52"/>
    </row>
    <row r="2097" spans="1:8" ht="15.75">
      <c r="A2097" s="124">
        <v>42453</v>
      </c>
      <c r="B2097" s="125">
        <v>64.281999999999996</v>
      </c>
      <c r="C2097" s="52"/>
      <c r="D2097" s="52"/>
      <c r="E2097" s="52"/>
      <c r="F2097" s="52"/>
      <c r="G2097" s="52"/>
      <c r="H2097" s="52"/>
    </row>
    <row r="2098" spans="1:8" ht="15.75">
      <c r="A2098" s="124">
        <v>42458</v>
      </c>
      <c r="B2098" s="125">
        <v>65.802999999999997</v>
      </c>
      <c r="C2098" s="52"/>
      <c r="D2098" s="52"/>
      <c r="E2098" s="52"/>
      <c r="F2098" s="52"/>
      <c r="G2098" s="52"/>
      <c r="H2098" s="52"/>
    </row>
    <row r="2099" spans="1:8" ht="15.75">
      <c r="A2099" s="124">
        <v>42459</v>
      </c>
      <c r="B2099" s="125">
        <v>65.864000000000004</v>
      </c>
      <c r="C2099" s="52"/>
      <c r="D2099" s="52"/>
      <c r="E2099" s="52"/>
      <c r="F2099" s="52"/>
      <c r="G2099" s="52"/>
      <c r="H2099" s="52"/>
    </row>
    <row r="2100" spans="1:8" ht="15.75">
      <c r="A2100" s="124">
        <v>42460</v>
      </c>
      <c r="B2100" s="125">
        <v>65.153999999999996</v>
      </c>
      <c r="C2100" s="52"/>
      <c r="D2100" s="52"/>
      <c r="E2100" s="52"/>
      <c r="F2100" s="52"/>
      <c r="G2100" s="52"/>
      <c r="H2100" s="52"/>
    </row>
    <row r="2101" spans="1:8" ht="15.75">
      <c r="A2101" s="124">
        <v>42461</v>
      </c>
      <c r="B2101" s="125">
        <v>65.644000000000005</v>
      </c>
      <c r="C2101" s="52"/>
      <c r="D2101" s="52"/>
      <c r="E2101" s="52"/>
      <c r="F2101" s="52"/>
      <c r="G2101" s="52"/>
      <c r="H2101" s="52"/>
    </row>
    <row r="2102" spans="1:8" ht="15.75">
      <c r="A2102" s="124">
        <v>42464</v>
      </c>
      <c r="B2102" s="125">
        <v>64.933999999999997</v>
      </c>
      <c r="C2102" s="52"/>
      <c r="D2102" s="52"/>
      <c r="E2102" s="52"/>
      <c r="F2102" s="52"/>
      <c r="G2102" s="52"/>
      <c r="H2102" s="52"/>
    </row>
    <row r="2103" spans="1:8" ht="15.75">
      <c r="A2103" s="124">
        <v>42465</v>
      </c>
      <c r="B2103" s="125">
        <v>64.712000000000003</v>
      </c>
      <c r="C2103" s="52"/>
      <c r="D2103" s="52"/>
      <c r="E2103" s="52"/>
      <c r="F2103" s="52"/>
      <c r="G2103" s="52"/>
      <c r="H2103" s="52"/>
    </row>
    <row r="2104" spans="1:8" ht="15.75">
      <c r="A2104" s="124">
        <v>42466</v>
      </c>
      <c r="B2104" s="125">
        <v>64.585999999999999</v>
      </c>
      <c r="C2104" s="52"/>
      <c r="D2104" s="52"/>
      <c r="E2104" s="52"/>
      <c r="F2104" s="52"/>
      <c r="G2104" s="52"/>
      <c r="H2104" s="52"/>
    </row>
    <row r="2105" spans="1:8" ht="15.75">
      <c r="A2105" s="124">
        <v>42467</v>
      </c>
      <c r="B2105" s="125">
        <v>64.528999999999996</v>
      </c>
      <c r="C2105" s="52"/>
      <c r="D2105" s="52"/>
      <c r="E2105" s="52"/>
      <c r="F2105" s="52"/>
      <c r="G2105" s="52"/>
      <c r="H2105" s="52"/>
    </row>
    <row r="2106" spans="1:8" ht="15.75">
      <c r="A2106" s="124">
        <v>42468</v>
      </c>
      <c r="B2106" s="125">
        <v>64.849000000000004</v>
      </c>
      <c r="C2106" s="52"/>
      <c r="D2106" s="52"/>
      <c r="E2106" s="52"/>
      <c r="F2106" s="52"/>
      <c r="G2106" s="52"/>
      <c r="H2106" s="52"/>
    </row>
    <row r="2107" spans="1:8" ht="15.75">
      <c r="A2107" s="124">
        <v>42471</v>
      </c>
      <c r="B2107" s="125">
        <v>63.186999999999998</v>
      </c>
      <c r="C2107" s="52"/>
      <c r="D2107" s="52"/>
      <c r="E2107" s="52"/>
      <c r="F2107" s="52"/>
      <c r="G2107" s="52"/>
      <c r="H2107" s="52"/>
    </row>
    <row r="2108" spans="1:8" ht="15.75">
      <c r="A2108" s="124">
        <v>42472</v>
      </c>
      <c r="B2108" s="125">
        <v>63.13</v>
      </c>
      <c r="C2108" s="52"/>
      <c r="D2108" s="52"/>
      <c r="E2108" s="52"/>
      <c r="F2108" s="52"/>
      <c r="G2108" s="52"/>
      <c r="H2108" s="52"/>
    </row>
    <row r="2109" spans="1:8" ht="15.75">
      <c r="A2109" s="124">
        <v>42473</v>
      </c>
      <c r="B2109" s="125">
        <v>62.387</v>
      </c>
      <c r="C2109" s="52"/>
      <c r="D2109" s="52"/>
      <c r="E2109" s="52"/>
      <c r="F2109" s="52"/>
      <c r="G2109" s="52"/>
      <c r="H2109" s="52"/>
    </row>
    <row r="2110" spans="1:8" ht="15.75">
      <c r="A2110" s="124">
        <v>42474</v>
      </c>
      <c r="B2110" s="125">
        <v>61.365000000000002</v>
      </c>
      <c r="C2110" s="52"/>
      <c r="D2110" s="52"/>
      <c r="E2110" s="52"/>
      <c r="F2110" s="52"/>
      <c r="G2110" s="52"/>
      <c r="H2110" s="52"/>
    </row>
    <row r="2111" spans="1:8" ht="15.75">
      <c r="A2111" s="124">
        <v>42475</v>
      </c>
      <c r="B2111" s="125">
        <v>62.359000000000002</v>
      </c>
      <c r="C2111" s="52"/>
      <c r="D2111" s="52"/>
      <c r="E2111" s="52"/>
      <c r="F2111" s="52"/>
      <c r="G2111" s="52"/>
      <c r="H2111" s="52"/>
    </row>
    <row r="2112" spans="1:8" ht="15.75">
      <c r="A2112" s="124">
        <v>42478</v>
      </c>
      <c r="B2112" s="125">
        <v>62.018000000000001</v>
      </c>
      <c r="C2112" s="52"/>
      <c r="D2112" s="52"/>
      <c r="E2112" s="52"/>
      <c r="F2112" s="52"/>
      <c r="G2112" s="52"/>
      <c r="H2112" s="52"/>
    </row>
    <row r="2113" spans="1:8" ht="15.75">
      <c r="A2113" s="124">
        <v>42479</v>
      </c>
      <c r="B2113" s="125">
        <v>62.63</v>
      </c>
      <c r="C2113" s="52"/>
      <c r="D2113" s="52"/>
      <c r="E2113" s="52"/>
      <c r="F2113" s="52"/>
      <c r="G2113" s="52"/>
      <c r="H2113" s="52"/>
    </row>
    <row r="2114" spans="1:8" ht="15.75">
      <c r="A2114" s="124">
        <v>42480</v>
      </c>
      <c r="B2114" s="125">
        <v>61.886000000000003</v>
      </c>
      <c r="C2114" s="52"/>
      <c r="D2114" s="52"/>
      <c r="E2114" s="52"/>
      <c r="F2114" s="52"/>
      <c r="G2114" s="52"/>
      <c r="H2114" s="52"/>
    </row>
    <row r="2115" spans="1:8" ht="15.75">
      <c r="A2115" s="124">
        <v>42481</v>
      </c>
      <c r="B2115" s="125">
        <v>61.274999999999999</v>
      </c>
      <c r="C2115" s="52"/>
      <c r="D2115" s="52"/>
      <c r="E2115" s="52"/>
      <c r="F2115" s="52"/>
      <c r="G2115" s="52"/>
      <c r="H2115" s="52"/>
    </row>
    <row r="2116" spans="1:8" ht="15.75">
      <c r="A2116" s="124">
        <v>42482</v>
      </c>
      <c r="B2116" s="125">
        <v>62.703000000000003</v>
      </c>
      <c r="C2116" s="52"/>
      <c r="D2116" s="52"/>
      <c r="E2116" s="52"/>
      <c r="F2116" s="52"/>
      <c r="G2116" s="52"/>
      <c r="H2116" s="52"/>
    </row>
    <row r="2117" spans="1:8" ht="15.75">
      <c r="A2117" s="124">
        <v>42485</v>
      </c>
      <c r="B2117" s="125">
        <v>62.665999999999997</v>
      </c>
      <c r="C2117" s="52"/>
      <c r="D2117" s="52"/>
      <c r="E2117" s="52"/>
      <c r="F2117" s="52"/>
      <c r="G2117" s="52"/>
      <c r="H2117" s="52"/>
    </row>
    <row r="2118" spans="1:8" ht="15.75">
      <c r="A2118" s="124">
        <v>42486</v>
      </c>
      <c r="B2118" s="125">
        <v>62.247</v>
      </c>
      <c r="C2118" s="52"/>
      <c r="D2118" s="52"/>
      <c r="E2118" s="52"/>
      <c r="F2118" s="52"/>
      <c r="G2118" s="52"/>
      <c r="H2118" s="52"/>
    </row>
    <row r="2119" spans="1:8" ht="15.75">
      <c r="A2119" s="124">
        <v>42487</v>
      </c>
      <c r="B2119" s="125">
        <v>59.741999999999997</v>
      </c>
      <c r="C2119" s="52"/>
      <c r="D2119" s="52"/>
      <c r="E2119" s="52"/>
      <c r="F2119" s="52"/>
      <c r="G2119" s="52"/>
      <c r="H2119" s="52"/>
    </row>
    <row r="2120" spans="1:8" ht="15.75">
      <c r="A2120" s="124">
        <v>42488</v>
      </c>
      <c r="B2120" s="125">
        <v>60.39</v>
      </c>
      <c r="C2120" s="52"/>
      <c r="D2120" s="52"/>
      <c r="E2120" s="52"/>
      <c r="F2120" s="52"/>
      <c r="G2120" s="52"/>
      <c r="H2120" s="52"/>
    </row>
    <row r="2121" spans="1:8" ht="15.75">
      <c r="A2121" s="124">
        <v>42489</v>
      </c>
      <c r="B2121" s="125">
        <v>58.752000000000002</v>
      </c>
      <c r="C2121" s="52"/>
      <c r="D2121" s="52"/>
      <c r="E2121" s="52"/>
      <c r="F2121" s="52"/>
      <c r="G2121" s="52"/>
      <c r="H2121" s="52"/>
    </row>
    <row r="2122" spans="1:8" ht="15.75">
      <c r="A2122" s="124">
        <v>42492</v>
      </c>
      <c r="B2122" s="125">
        <v>59.424999999999997</v>
      </c>
      <c r="C2122" s="52"/>
      <c r="D2122" s="52"/>
      <c r="E2122" s="52"/>
      <c r="F2122" s="52"/>
      <c r="G2122" s="52"/>
      <c r="H2122" s="52"/>
    </row>
    <row r="2123" spans="1:8" ht="15.75">
      <c r="A2123" s="124">
        <v>42493</v>
      </c>
      <c r="B2123" s="125">
        <v>59.488</v>
      </c>
      <c r="C2123" s="52"/>
      <c r="D2123" s="52"/>
      <c r="E2123" s="52"/>
      <c r="F2123" s="52"/>
      <c r="G2123" s="52"/>
      <c r="H2123" s="52"/>
    </row>
    <row r="2124" spans="1:8" ht="15.75">
      <c r="A2124" s="124">
        <v>42494</v>
      </c>
      <c r="B2124" s="125">
        <v>60.838000000000001</v>
      </c>
      <c r="C2124" s="52"/>
      <c r="D2124" s="52"/>
      <c r="E2124" s="52"/>
      <c r="F2124" s="52"/>
      <c r="G2124" s="52"/>
      <c r="H2124" s="52"/>
    </row>
    <row r="2125" spans="1:8" ht="15.75">
      <c r="A2125" s="124">
        <v>42495</v>
      </c>
      <c r="B2125" s="125">
        <v>61.643999999999998</v>
      </c>
      <c r="C2125" s="52"/>
      <c r="D2125" s="52"/>
      <c r="E2125" s="52"/>
      <c r="F2125" s="52"/>
      <c r="G2125" s="52"/>
      <c r="H2125" s="52"/>
    </row>
    <row r="2126" spans="1:8" ht="15.75">
      <c r="A2126" s="124">
        <v>42496</v>
      </c>
      <c r="B2126" s="125">
        <v>61.868000000000002</v>
      </c>
      <c r="C2126" s="52"/>
      <c r="D2126" s="52"/>
      <c r="E2126" s="52"/>
      <c r="F2126" s="52"/>
      <c r="G2126" s="52"/>
      <c r="H2126" s="52"/>
    </row>
    <row r="2127" spans="1:8" ht="15.75">
      <c r="A2127" s="124">
        <v>42499</v>
      </c>
      <c r="B2127" s="125">
        <v>62.640999999999998</v>
      </c>
      <c r="C2127" s="52"/>
      <c r="D2127" s="52"/>
      <c r="E2127" s="52"/>
      <c r="F2127" s="52"/>
      <c r="G2127" s="52"/>
      <c r="H2127" s="52"/>
    </row>
    <row r="2128" spans="1:8" ht="15.75">
      <c r="A2128" s="124">
        <v>42500</v>
      </c>
      <c r="B2128" s="125">
        <v>63.445999999999998</v>
      </c>
      <c r="C2128" s="52"/>
      <c r="D2128" s="52"/>
      <c r="E2128" s="52"/>
      <c r="F2128" s="52"/>
      <c r="G2128" s="52"/>
      <c r="H2128" s="52"/>
    </row>
    <row r="2129" spans="1:8" ht="15.75">
      <c r="A2129" s="124">
        <v>42501</v>
      </c>
      <c r="B2129" s="125">
        <v>61.027000000000001</v>
      </c>
      <c r="C2129" s="52"/>
      <c r="D2129" s="52"/>
      <c r="E2129" s="52"/>
      <c r="F2129" s="52"/>
      <c r="G2129" s="52"/>
      <c r="H2129" s="52"/>
    </row>
    <row r="2130" spans="1:8" ht="15.75">
      <c r="A2130" s="124">
        <v>42502</v>
      </c>
      <c r="B2130" s="125">
        <v>61.024000000000001</v>
      </c>
      <c r="C2130" s="52"/>
      <c r="D2130" s="52"/>
      <c r="E2130" s="52"/>
      <c r="F2130" s="52"/>
      <c r="G2130" s="52"/>
      <c r="H2130" s="52"/>
    </row>
    <row r="2131" spans="1:8" ht="15.75">
      <c r="A2131" s="124">
        <v>42503</v>
      </c>
      <c r="B2131" s="125">
        <v>60.798999999999999</v>
      </c>
      <c r="C2131" s="52"/>
      <c r="D2131" s="52"/>
      <c r="E2131" s="52"/>
      <c r="F2131" s="52"/>
      <c r="G2131" s="52"/>
      <c r="H2131" s="52"/>
    </row>
    <row r="2132" spans="1:8" ht="15.75">
      <c r="A2132" s="124">
        <v>42507</v>
      </c>
      <c r="B2132" s="125">
        <v>60.000999999999998</v>
      </c>
      <c r="C2132" s="52"/>
      <c r="D2132" s="52"/>
      <c r="E2132" s="52"/>
      <c r="F2132" s="52"/>
      <c r="G2132" s="52"/>
      <c r="H2132" s="52"/>
    </row>
    <row r="2133" spans="1:8" ht="15.75">
      <c r="A2133" s="124">
        <v>42508</v>
      </c>
      <c r="B2133" s="125">
        <v>59.829000000000001</v>
      </c>
      <c r="C2133" s="52"/>
      <c r="D2133" s="52"/>
      <c r="E2133" s="52"/>
      <c r="F2133" s="52"/>
      <c r="G2133" s="52"/>
      <c r="H2133" s="52"/>
    </row>
    <row r="2134" spans="1:8" ht="15.75">
      <c r="A2134" s="124">
        <v>42509</v>
      </c>
      <c r="B2134" s="125">
        <v>59.292000000000002</v>
      </c>
      <c r="C2134" s="52"/>
      <c r="D2134" s="52"/>
      <c r="E2134" s="52"/>
      <c r="F2134" s="52"/>
      <c r="G2134" s="52"/>
      <c r="H2134" s="52"/>
    </row>
    <row r="2135" spans="1:8" ht="15.75">
      <c r="A2135" s="124">
        <v>42510</v>
      </c>
      <c r="B2135" s="125">
        <v>59.506</v>
      </c>
      <c r="C2135" s="52"/>
      <c r="D2135" s="52"/>
      <c r="E2135" s="52"/>
      <c r="F2135" s="52"/>
      <c r="G2135" s="52"/>
      <c r="H2135" s="52"/>
    </row>
    <row r="2136" spans="1:8" ht="15.75">
      <c r="A2136" s="124">
        <v>42513</v>
      </c>
      <c r="B2136" s="125">
        <v>59.584000000000003</v>
      </c>
      <c r="C2136" s="52"/>
      <c r="D2136" s="52"/>
      <c r="E2136" s="52"/>
      <c r="F2136" s="52"/>
      <c r="G2136" s="52"/>
      <c r="H2136" s="52"/>
    </row>
    <row r="2137" spans="1:8" ht="15.75">
      <c r="A2137" s="124">
        <v>42514</v>
      </c>
      <c r="B2137" s="125">
        <v>60.457000000000001</v>
      </c>
      <c r="C2137" s="52"/>
      <c r="D2137" s="52"/>
      <c r="E2137" s="52"/>
      <c r="F2137" s="52"/>
      <c r="G2137" s="52"/>
      <c r="H2137" s="52"/>
    </row>
    <row r="2138" spans="1:8" ht="15.75">
      <c r="A2138" s="124">
        <v>42515</v>
      </c>
      <c r="B2138" s="125">
        <v>61.070999999999998</v>
      </c>
      <c r="C2138" s="52"/>
      <c r="D2138" s="52"/>
      <c r="E2138" s="52"/>
      <c r="F2138" s="52"/>
      <c r="G2138" s="52"/>
      <c r="H2138" s="52"/>
    </row>
    <row r="2139" spans="1:8" ht="15.75">
      <c r="A2139" s="124">
        <v>42516</v>
      </c>
      <c r="B2139" s="125">
        <v>60.704000000000001</v>
      </c>
      <c r="C2139" s="52"/>
      <c r="D2139" s="52"/>
      <c r="E2139" s="52"/>
      <c r="F2139" s="52"/>
      <c r="G2139" s="52"/>
      <c r="H2139" s="52"/>
    </row>
    <row r="2140" spans="1:8" ht="15.75">
      <c r="A2140" s="124">
        <v>42517</v>
      </c>
      <c r="B2140" s="125">
        <v>61.091000000000001</v>
      </c>
      <c r="C2140" s="52"/>
      <c r="D2140" s="52"/>
      <c r="E2140" s="52"/>
      <c r="F2140" s="52"/>
      <c r="G2140" s="52"/>
      <c r="H2140" s="52"/>
    </row>
    <row r="2141" spans="1:8" ht="15.75">
      <c r="A2141" s="124">
        <v>42520</v>
      </c>
      <c r="B2141" s="125">
        <v>61.113999999999997</v>
      </c>
      <c r="C2141" s="52"/>
      <c r="D2141" s="52"/>
      <c r="E2141" s="52"/>
      <c r="F2141" s="52"/>
      <c r="G2141" s="52"/>
      <c r="H2141" s="52"/>
    </row>
    <row r="2142" spans="1:8" ht="15.75">
      <c r="A2142" s="124">
        <v>42521</v>
      </c>
      <c r="B2142" s="125">
        <v>61.344000000000001</v>
      </c>
      <c r="C2142" s="52"/>
      <c r="D2142" s="52"/>
      <c r="E2142" s="52"/>
      <c r="F2142" s="52"/>
      <c r="G2142" s="52"/>
      <c r="H2142" s="52"/>
    </row>
    <row r="2143" spans="1:8" ht="15.75">
      <c r="A2143" s="124">
        <v>42522</v>
      </c>
      <c r="B2143" s="125">
        <v>58.607999999999997</v>
      </c>
      <c r="C2143" s="52"/>
      <c r="D2143" s="52"/>
      <c r="E2143" s="52"/>
      <c r="F2143" s="52"/>
      <c r="G2143" s="52"/>
      <c r="H2143" s="52"/>
    </row>
    <row r="2144" spans="1:8" ht="15.75">
      <c r="A2144" s="124">
        <v>42523</v>
      </c>
      <c r="B2144" s="125">
        <v>59.084000000000003</v>
      </c>
      <c r="C2144" s="52"/>
      <c r="D2144" s="52"/>
      <c r="E2144" s="52"/>
      <c r="F2144" s="52"/>
      <c r="G2144" s="52"/>
      <c r="H2144" s="52"/>
    </row>
    <row r="2145" spans="1:8" ht="15.75">
      <c r="A2145" s="124">
        <v>42524</v>
      </c>
      <c r="B2145" s="125">
        <v>56.8</v>
      </c>
      <c r="C2145" s="52"/>
      <c r="D2145" s="52"/>
      <c r="E2145" s="52"/>
      <c r="F2145" s="52"/>
      <c r="G2145" s="52"/>
      <c r="H2145" s="52"/>
    </row>
    <row r="2146" spans="1:8" ht="15.75">
      <c r="A2146" s="124">
        <v>42527</v>
      </c>
      <c r="B2146" s="125">
        <v>55.569000000000003</v>
      </c>
      <c r="C2146" s="52"/>
      <c r="D2146" s="52"/>
      <c r="E2146" s="52"/>
      <c r="F2146" s="52"/>
      <c r="G2146" s="52"/>
      <c r="H2146" s="52"/>
    </row>
    <row r="2147" spans="1:8" ht="15.75">
      <c r="A2147" s="124">
        <v>42528</v>
      </c>
      <c r="B2147" s="125">
        <v>56.006</v>
      </c>
      <c r="C2147" s="52"/>
      <c r="D2147" s="52"/>
      <c r="E2147" s="52"/>
      <c r="F2147" s="52"/>
      <c r="G2147" s="52"/>
      <c r="H2147" s="52"/>
    </row>
    <row r="2148" spans="1:8" ht="15.75">
      <c r="A2148" s="124">
        <v>42529</v>
      </c>
      <c r="B2148" s="125">
        <v>55.594000000000001</v>
      </c>
      <c r="C2148" s="52"/>
      <c r="D2148" s="52"/>
      <c r="E2148" s="52"/>
      <c r="F2148" s="52"/>
      <c r="G2148" s="52"/>
      <c r="H2148" s="52"/>
    </row>
    <row r="2149" spans="1:8" ht="15.75">
      <c r="A2149" s="124">
        <v>42530</v>
      </c>
      <c r="B2149" s="125">
        <v>56.335000000000001</v>
      </c>
      <c r="C2149" s="52"/>
      <c r="D2149" s="52"/>
      <c r="E2149" s="52"/>
      <c r="F2149" s="52"/>
      <c r="G2149" s="52"/>
      <c r="H2149" s="52"/>
    </row>
    <row r="2150" spans="1:8" ht="15.75">
      <c r="A2150" s="124">
        <v>42531</v>
      </c>
      <c r="B2150" s="125">
        <v>56.689</v>
      </c>
      <c r="C2150" s="52"/>
      <c r="D2150" s="52"/>
      <c r="E2150" s="52"/>
      <c r="F2150" s="52"/>
      <c r="G2150" s="52"/>
      <c r="H2150" s="52"/>
    </row>
    <row r="2151" spans="1:8" ht="15.75">
      <c r="A2151" s="124">
        <v>42534</v>
      </c>
      <c r="B2151" s="125">
        <v>56.585000000000001</v>
      </c>
      <c r="C2151" s="52"/>
      <c r="D2151" s="52"/>
      <c r="E2151" s="52"/>
      <c r="F2151" s="52"/>
      <c r="G2151" s="52"/>
      <c r="H2151" s="52"/>
    </row>
    <row r="2152" spans="1:8" ht="15.75">
      <c r="A2152" s="124">
        <v>42535</v>
      </c>
      <c r="B2152" s="125">
        <v>57.204000000000001</v>
      </c>
      <c r="C2152" s="52"/>
      <c r="D2152" s="52"/>
      <c r="E2152" s="52"/>
      <c r="F2152" s="52"/>
      <c r="G2152" s="52"/>
      <c r="H2152" s="52"/>
    </row>
    <row r="2153" spans="1:8" ht="15.75">
      <c r="A2153" s="124">
        <v>42536</v>
      </c>
      <c r="B2153" s="125">
        <v>57.533999999999999</v>
      </c>
      <c r="C2153" s="52"/>
      <c r="D2153" s="52"/>
      <c r="E2153" s="52"/>
      <c r="F2153" s="52"/>
      <c r="G2153" s="52"/>
      <c r="H2153" s="52"/>
    </row>
    <row r="2154" spans="1:8" ht="15.75">
      <c r="A2154" s="124">
        <v>42537</v>
      </c>
      <c r="B2154" s="125">
        <v>58.335000000000001</v>
      </c>
      <c r="C2154" s="52"/>
      <c r="D2154" s="52"/>
      <c r="E2154" s="52"/>
      <c r="F2154" s="52"/>
      <c r="G2154" s="52"/>
      <c r="H2154" s="52"/>
    </row>
    <row r="2155" spans="1:8" ht="15.75">
      <c r="A2155" s="124">
        <v>42538</v>
      </c>
      <c r="B2155" s="125">
        <v>58.09</v>
      </c>
      <c r="C2155" s="52"/>
      <c r="D2155" s="52"/>
      <c r="E2155" s="52"/>
      <c r="F2155" s="52"/>
      <c r="G2155" s="52"/>
      <c r="H2155" s="52"/>
    </row>
    <row r="2156" spans="1:8" ht="15.75">
      <c r="A2156" s="124">
        <v>42541</v>
      </c>
      <c r="B2156" s="125">
        <v>58.41</v>
      </c>
      <c r="C2156" s="52"/>
      <c r="D2156" s="52"/>
      <c r="E2156" s="52"/>
      <c r="F2156" s="52"/>
      <c r="G2156" s="52"/>
      <c r="H2156" s="52"/>
    </row>
    <row r="2157" spans="1:8" ht="15.75">
      <c r="A2157" s="124">
        <v>42542</v>
      </c>
      <c r="B2157" s="125">
        <v>58.182000000000002</v>
      </c>
      <c r="C2157" s="52"/>
      <c r="D2157" s="52"/>
      <c r="E2157" s="52"/>
      <c r="F2157" s="52"/>
      <c r="G2157" s="52"/>
      <c r="H2157" s="52"/>
    </row>
    <row r="2158" spans="1:8" ht="15.75">
      <c r="A2158" s="124">
        <v>42543</v>
      </c>
      <c r="B2158" s="125">
        <v>58.402000000000001</v>
      </c>
      <c r="C2158" s="52"/>
      <c r="D2158" s="52"/>
      <c r="E2158" s="52"/>
      <c r="F2158" s="52"/>
      <c r="G2158" s="52"/>
      <c r="H2158" s="52"/>
    </row>
    <row r="2159" spans="1:8" ht="15.75">
      <c r="A2159" s="124">
        <v>42544</v>
      </c>
      <c r="B2159" s="125">
        <v>57.621000000000002</v>
      </c>
      <c r="C2159" s="52"/>
      <c r="D2159" s="52"/>
      <c r="E2159" s="52"/>
      <c r="F2159" s="52"/>
      <c r="G2159" s="52"/>
      <c r="H2159" s="52"/>
    </row>
    <row r="2160" spans="1:8" ht="15.75">
      <c r="A2160" s="124">
        <v>42545</v>
      </c>
      <c r="B2160" s="125">
        <v>58.16</v>
      </c>
      <c r="C2160" s="52"/>
      <c r="D2160" s="52"/>
      <c r="E2160" s="52"/>
      <c r="F2160" s="52"/>
      <c r="G2160" s="52"/>
      <c r="H2160" s="52"/>
    </row>
    <row r="2161" spans="1:8" ht="15.75">
      <c r="A2161" s="124">
        <v>42548</v>
      </c>
      <c r="B2161" s="125">
        <v>59.223999999999997</v>
      </c>
      <c r="C2161" s="52"/>
      <c r="D2161" s="52"/>
      <c r="E2161" s="52"/>
      <c r="F2161" s="52"/>
      <c r="G2161" s="52"/>
      <c r="H2161" s="52"/>
    </row>
    <row r="2162" spans="1:8" ht="15.75">
      <c r="A2162" s="124">
        <v>42549</v>
      </c>
      <c r="B2162" s="125">
        <v>60.564999999999998</v>
      </c>
      <c r="C2162" s="52"/>
      <c r="D2162" s="52"/>
      <c r="E2162" s="52"/>
      <c r="F2162" s="52"/>
      <c r="G2162" s="52"/>
      <c r="H2162" s="52"/>
    </row>
    <row r="2163" spans="1:8" ht="15.75">
      <c r="A2163" s="124">
        <v>42550</v>
      </c>
      <c r="B2163" s="125">
        <v>60.662999999999997</v>
      </c>
      <c r="C2163" s="52"/>
      <c r="D2163" s="52"/>
      <c r="E2163" s="52"/>
      <c r="F2163" s="52"/>
      <c r="G2163" s="52"/>
      <c r="H2163" s="52"/>
    </row>
    <row r="2164" spans="1:8" ht="15.75">
      <c r="A2164" s="124">
        <v>42551</v>
      </c>
      <c r="B2164" s="125">
        <v>61.64</v>
      </c>
      <c r="C2164" s="52"/>
      <c r="D2164" s="52"/>
      <c r="E2164" s="52"/>
      <c r="F2164" s="52"/>
      <c r="G2164" s="52"/>
      <c r="H2164" s="52"/>
    </row>
    <row r="2165" spans="1:8" ht="15.75">
      <c r="A2165" s="124">
        <v>42552</v>
      </c>
      <c r="B2165" s="125">
        <v>61.546999999999997</v>
      </c>
      <c r="C2165" s="52"/>
      <c r="D2165" s="52"/>
      <c r="E2165" s="52"/>
      <c r="F2165" s="52"/>
      <c r="G2165" s="52"/>
      <c r="H2165" s="52"/>
    </row>
    <row r="2166" spans="1:8" ht="15.75">
      <c r="A2166" s="124">
        <v>42555</v>
      </c>
      <c r="B2166" s="125">
        <v>61.281999999999996</v>
      </c>
      <c r="C2166" s="52"/>
      <c r="D2166" s="52"/>
      <c r="E2166" s="52"/>
      <c r="F2166" s="52"/>
      <c r="G2166" s="52"/>
      <c r="H2166" s="52"/>
    </row>
    <row r="2167" spans="1:8" ht="15.75">
      <c r="A2167" s="124">
        <v>42556</v>
      </c>
      <c r="B2167" s="125">
        <v>62.698</v>
      </c>
      <c r="C2167" s="52"/>
      <c r="D2167" s="52"/>
      <c r="E2167" s="52"/>
      <c r="F2167" s="52"/>
      <c r="G2167" s="52"/>
      <c r="H2167" s="52"/>
    </row>
    <row r="2168" spans="1:8" ht="15.75">
      <c r="A2168" s="124">
        <v>42557</v>
      </c>
      <c r="B2168" s="125">
        <v>61.868000000000002</v>
      </c>
      <c r="C2168" s="52"/>
      <c r="D2168" s="52"/>
      <c r="E2168" s="52"/>
      <c r="F2168" s="52"/>
      <c r="G2168" s="52"/>
      <c r="H2168" s="52"/>
    </row>
    <row r="2169" spans="1:8" ht="15.75">
      <c r="A2169" s="124">
        <v>42558</v>
      </c>
      <c r="B2169" s="125">
        <v>62.094000000000001</v>
      </c>
      <c r="C2169" s="52"/>
      <c r="D2169" s="52"/>
      <c r="E2169" s="52"/>
      <c r="F2169" s="52"/>
      <c r="G2169" s="52"/>
      <c r="H2169" s="52"/>
    </row>
    <row r="2170" spans="1:8" ht="15.75">
      <c r="A2170" s="124">
        <v>42559</v>
      </c>
      <c r="B2170" s="125">
        <v>63.075000000000003</v>
      </c>
      <c r="C2170" s="52"/>
      <c r="D2170" s="52"/>
      <c r="E2170" s="52"/>
      <c r="F2170" s="52"/>
      <c r="G2170" s="52"/>
      <c r="H2170" s="52"/>
    </row>
    <row r="2171" spans="1:8" ht="15.75">
      <c r="A2171" s="124">
        <v>42562</v>
      </c>
      <c r="B2171" s="125">
        <v>63.448999999999998</v>
      </c>
      <c r="C2171" s="52"/>
      <c r="D2171" s="52"/>
      <c r="E2171" s="52"/>
      <c r="F2171" s="52"/>
      <c r="G2171" s="52"/>
      <c r="H2171" s="52"/>
    </row>
    <row r="2172" spans="1:8" ht="15.75">
      <c r="A2172" s="124">
        <v>42563</v>
      </c>
      <c r="B2172" s="125">
        <v>63.654000000000003</v>
      </c>
      <c r="C2172" s="52"/>
      <c r="D2172" s="52"/>
      <c r="E2172" s="52"/>
      <c r="F2172" s="52"/>
      <c r="G2172" s="52"/>
      <c r="H2172" s="52"/>
    </row>
    <row r="2173" spans="1:8" ht="15.75">
      <c r="A2173" s="124">
        <v>42564</v>
      </c>
      <c r="B2173" s="125">
        <v>63.326000000000001</v>
      </c>
      <c r="C2173" s="52"/>
      <c r="D2173" s="52"/>
      <c r="E2173" s="52"/>
      <c r="F2173" s="52"/>
      <c r="G2173" s="52"/>
      <c r="H2173" s="52"/>
    </row>
    <row r="2174" spans="1:8" ht="15.75">
      <c r="A2174" s="124">
        <v>42565</v>
      </c>
      <c r="B2174" s="125">
        <v>62.78</v>
      </c>
      <c r="C2174" s="52"/>
      <c r="D2174" s="52"/>
      <c r="E2174" s="52"/>
      <c r="F2174" s="52"/>
      <c r="G2174" s="52"/>
      <c r="H2174" s="52"/>
    </row>
    <row r="2175" spans="1:8" ht="15.75">
      <c r="A2175" s="124">
        <v>42566</v>
      </c>
      <c r="B2175" s="125">
        <v>62.396000000000001</v>
      </c>
      <c r="C2175" s="52"/>
      <c r="D2175" s="52"/>
      <c r="E2175" s="52"/>
      <c r="F2175" s="52"/>
      <c r="G2175" s="52"/>
      <c r="H2175" s="52"/>
    </row>
    <row r="2176" spans="1:8" ht="15.75">
      <c r="A2176" s="124">
        <v>42569</v>
      </c>
      <c r="B2176" s="125">
        <v>62.712000000000003</v>
      </c>
      <c r="C2176" s="52"/>
      <c r="D2176" s="52"/>
      <c r="E2176" s="52"/>
      <c r="F2176" s="52"/>
      <c r="G2176" s="52"/>
      <c r="H2176" s="52"/>
    </row>
    <row r="2177" spans="1:8" ht="15.75">
      <c r="A2177" s="124">
        <v>42570</v>
      </c>
      <c r="B2177" s="125">
        <v>63.573999999999998</v>
      </c>
      <c r="C2177" s="52"/>
      <c r="D2177" s="52"/>
      <c r="E2177" s="52"/>
      <c r="F2177" s="52"/>
      <c r="G2177" s="52"/>
      <c r="H2177" s="52"/>
    </row>
    <row r="2178" spans="1:8" ht="15.75">
      <c r="A2178" s="124">
        <v>42571</v>
      </c>
      <c r="B2178" s="125">
        <v>63.234000000000002</v>
      </c>
      <c r="C2178" s="52"/>
      <c r="D2178" s="52"/>
      <c r="E2178" s="52"/>
      <c r="F2178" s="52"/>
      <c r="G2178" s="52"/>
      <c r="H2178" s="52"/>
    </row>
    <row r="2179" spans="1:8" ht="15.75">
      <c r="A2179" s="124">
        <v>42572</v>
      </c>
      <c r="B2179" s="125">
        <v>63.154000000000003</v>
      </c>
      <c r="C2179" s="52"/>
      <c r="D2179" s="52"/>
      <c r="E2179" s="52"/>
      <c r="F2179" s="52"/>
      <c r="G2179" s="52"/>
      <c r="H2179" s="52"/>
    </row>
    <row r="2180" spans="1:8" ht="15.75">
      <c r="A2180" s="124">
        <v>42573</v>
      </c>
      <c r="B2180" s="125">
        <v>63.786000000000001</v>
      </c>
      <c r="C2180" s="52"/>
      <c r="D2180" s="52"/>
      <c r="E2180" s="52"/>
      <c r="F2180" s="52"/>
      <c r="G2180" s="52"/>
      <c r="H2180" s="52"/>
    </row>
    <row r="2181" spans="1:8" ht="15.75">
      <c r="A2181" s="124">
        <v>42576</v>
      </c>
      <c r="B2181" s="125">
        <v>63.482999999999997</v>
      </c>
      <c r="C2181" s="52"/>
      <c r="D2181" s="52"/>
      <c r="E2181" s="52"/>
      <c r="F2181" s="52"/>
      <c r="G2181" s="52"/>
      <c r="H2181" s="52"/>
    </row>
    <row r="2182" spans="1:8" ht="15.75">
      <c r="A2182" s="124">
        <v>42577</v>
      </c>
      <c r="B2182" s="125">
        <v>62.984999999999999</v>
      </c>
      <c r="C2182" s="52"/>
      <c r="D2182" s="52"/>
      <c r="E2182" s="52"/>
      <c r="F2182" s="52"/>
      <c r="G2182" s="52"/>
      <c r="H2182" s="52"/>
    </row>
    <row r="2183" spans="1:8" ht="15.75">
      <c r="A2183" s="124">
        <v>42578</v>
      </c>
      <c r="B2183" s="125">
        <v>59.435000000000002</v>
      </c>
      <c r="C2183" s="52"/>
      <c r="D2183" s="52"/>
      <c r="E2183" s="52"/>
      <c r="F2183" s="52"/>
      <c r="G2183" s="52"/>
      <c r="H2183" s="52"/>
    </row>
    <row r="2184" spans="1:8" ht="15.75">
      <c r="A2184" s="124">
        <v>42579</v>
      </c>
      <c r="B2184" s="125">
        <v>60.081000000000003</v>
      </c>
      <c r="C2184" s="52"/>
      <c r="D2184" s="52"/>
      <c r="E2184" s="52"/>
      <c r="F2184" s="52"/>
      <c r="G2184" s="52"/>
      <c r="H2184" s="52"/>
    </row>
    <row r="2185" spans="1:8" ht="15.75">
      <c r="A2185" s="124">
        <v>42580</v>
      </c>
      <c r="B2185" s="125">
        <v>60.511000000000003</v>
      </c>
      <c r="C2185" s="52"/>
      <c r="D2185" s="52"/>
      <c r="E2185" s="52"/>
      <c r="F2185" s="52"/>
      <c r="G2185" s="52"/>
      <c r="H2185" s="52"/>
    </row>
    <row r="2186" spans="1:8" ht="15.75">
      <c r="A2186" s="124">
        <v>42583</v>
      </c>
      <c r="B2186" s="125">
        <v>60.566000000000003</v>
      </c>
      <c r="C2186" s="52"/>
      <c r="D2186" s="52"/>
      <c r="E2186" s="52"/>
      <c r="F2186" s="52"/>
      <c r="G2186" s="52"/>
      <c r="H2186" s="52"/>
    </row>
    <row r="2187" spans="1:8" ht="15.75">
      <c r="A2187" s="124">
        <v>42584</v>
      </c>
      <c r="B2187" s="125">
        <v>59.537999999999997</v>
      </c>
      <c r="C2187" s="52"/>
      <c r="D2187" s="52"/>
      <c r="E2187" s="52"/>
      <c r="F2187" s="52"/>
      <c r="G2187" s="52"/>
      <c r="H2187" s="52"/>
    </row>
    <row r="2188" spans="1:8" ht="15.75">
      <c r="A2188" s="124">
        <v>42585</v>
      </c>
      <c r="B2188" s="125">
        <v>58.676000000000002</v>
      </c>
      <c r="C2188" s="52"/>
      <c r="D2188" s="52"/>
      <c r="E2188" s="52"/>
      <c r="F2188" s="52"/>
      <c r="G2188" s="52"/>
      <c r="H2188" s="52"/>
    </row>
    <row r="2189" spans="1:8" ht="15.75">
      <c r="A2189" s="124">
        <v>42586</v>
      </c>
      <c r="B2189" s="125">
        <v>59.182000000000002</v>
      </c>
      <c r="C2189" s="52"/>
      <c r="D2189" s="52"/>
      <c r="E2189" s="52"/>
      <c r="F2189" s="52"/>
      <c r="G2189" s="52"/>
      <c r="H2189" s="52"/>
    </row>
    <row r="2190" spans="1:8" ht="15.75">
      <c r="A2190" s="124">
        <v>42587</v>
      </c>
      <c r="B2190" s="125">
        <v>59.978999999999999</v>
      </c>
      <c r="C2190" s="52"/>
      <c r="D2190" s="52"/>
      <c r="E2190" s="52"/>
      <c r="F2190" s="52"/>
      <c r="G2190" s="52"/>
      <c r="H2190" s="52"/>
    </row>
    <row r="2191" spans="1:8" ht="15.75">
      <c r="A2191" s="124">
        <v>42590</v>
      </c>
      <c r="B2191" s="125">
        <v>61.113</v>
      </c>
      <c r="C2191" s="52"/>
      <c r="D2191" s="52"/>
      <c r="E2191" s="52"/>
      <c r="F2191" s="52"/>
      <c r="G2191" s="52"/>
      <c r="H2191" s="52"/>
    </row>
    <row r="2192" spans="1:8" ht="15.75">
      <c r="A2192" s="124">
        <v>42591</v>
      </c>
      <c r="B2192" s="125">
        <v>61.32</v>
      </c>
      <c r="C2192" s="52"/>
      <c r="D2192" s="52"/>
      <c r="E2192" s="52"/>
      <c r="F2192" s="52"/>
      <c r="G2192" s="52"/>
      <c r="H2192" s="52"/>
    </row>
    <row r="2193" spans="1:8" ht="15.75">
      <c r="A2193" s="124">
        <v>42592</v>
      </c>
      <c r="B2193" s="125">
        <v>59.67</v>
      </c>
      <c r="C2193" s="52"/>
      <c r="D2193" s="52"/>
      <c r="E2193" s="52"/>
      <c r="F2193" s="52"/>
      <c r="G2193" s="52"/>
      <c r="H2193" s="52"/>
    </row>
    <row r="2194" spans="1:8" ht="15.75">
      <c r="A2194" s="124">
        <v>42593</v>
      </c>
      <c r="B2194" s="125">
        <v>58.828000000000003</v>
      </c>
      <c r="C2194" s="52"/>
      <c r="D2194" s="52"/>
      <c r="E2194" s="52"/>
      <c r="F2194" s="52"/>
      <c r="G2194" s="52"/>
      <c r="H2194" s="52"/>
    </row>
    <row r="2195" spans="1:8" ht="15.75">
      <c r="A2195" s="124">
        <v>42594</v>
      </c>
      <c r="B2195" s="125">
        <v>58.765999999999998</v>
      </c>
      <c r="C2195" s="52"/>
      <c r="D2195" s="52"/>
      <c r="E2195" s="52"/>
      <c r="F2195" s="52"/>
      <c r="G2195" s="52"/>
      <c r="H2195" s="52"/>
    </row>
    <row r="2196" spans="1:8" ht="15.75">
      <c r="A2196" s="124">
        <v>42597</v>
      </c>
      <c r="B2196" s="125">
        <v>59.122999999999998</v>
      </c>
      <c r="C2196" s="52"/>
      <c r="D2196" s="52"/>
      <c r="E2196" s="52"/>
      <c r="F2196" s="52"/>
      <c r="G2196" s="52"/>
      <c r="H2196" s="52"/>
    </row>
    <row r="2197" spans="1:8" ht="15.75">
      <c r="A2197" s="124">
        <v>42598</v>
      </c>
      <c r="B2197" s="125">
        <v>58.176000000000002</v>
      </c>
      <c r="C2197" s="52"/>
      <c r="D2197" s="52"/>
      <c r="E2197" s="52"/>
      <c r="F2197" s="52"/>
      <c r="G2197" s="52"/>
      <c r="H2197" s="52"/>
    </row>
    <row r="2198" spans="1:8" ht="15.75">
      <c r="A2198" s="124">
        <v>42599</v>
      </c>
      <c r="B2198" s="125">
        <v>58.024000000000001</v>
      </c>
      <c r="C2198" s="52"/>
      <c r="D2198" s="52"/>
      <c r="E2198" s="52"/>
      <c r="F2198" s="52"/>
      <c r="G2198" s="52"/>
      <c r="H2198" s="52"/>
    </row>
    <row r="2199" spans="1:8" ht="15.75">
      <c r="A2199" s="124">
        <v>42600</v>
      </c>
      <c r="B2199" s="125">
        <v>57.576999999999998</v>
      </c>
      <c r="C2199" s="52"/>
      <c r="D2199" s="52"/>
      <c r="E2199" s="52"/>
      <c r="F2199" s="52"/>
      <c r="G2199" s="52"/>
      <c r="H2199" s="52"/>
    </row>
    <row r="2200" spans="1:8" ht="15.75">
      <c r="A2200" s="124">
        <v>42601</v>
      </c>
      <c r="B2200" s="125">
        <v>57.405999999999999</v>
      </c>
      <c r="C2200" s="52"/>
      <c r="D2200" s="52"/>
      <c r="E2200" s="52"/>
      <c r="F2200" s="52"/>
      <c r="G2200" s="52"/>
      <c r="H2200" s="52"/>
    </row>
    <row r="2201" spans="1:8" ht="15.75">
      <c r="A2201" s="124">
        <v>42604</v>
      </c>
      <c r="B2201" s="125">
        <v>57.354999999999997</v>
      </c>
      <c r="C2201" s="52"/>
      <c r="D2201" s="52"/>
      <c r="E2201" s="52"/>
      <c r="F2201" s="52"/>
      <c r="G2201" s="52"/>
      <c r="H2201" s="52"/>
    </row>
    <row r="2202" spans="1:8" ht="15.75">
      <c r="A2202" s="124">
        <v>42605</v>
      </c>
      <c r="B2202" s="125">
        <v>57.171999999999997</v>
      </c>
      <c r="C2202" s="52"/>
      <c r="D2202" s="52"/>
      <c r="E2202" s="52"/>
      <c r="F2202" s="52"/>
      <c r="G2202" s="52"/>
      <c r="H2202" s="52"/>
    </row>
    <row r="2203" spans="1:8" ht="15.75">
      <c r="A2203" s="124">
        <v>42606</v>
      </c>
      <c r="B2203" s="125">
        <v>56.792000000000002</v>
      </c>
      <c r="C2203" s="52"/>
      <c r="D2203" s="52"/>
      <c r="E2203" s="52"/>
      <c r="F2203" s="52"/>
      <c r="G2203" s="52"/>
      <c r="H2203" s="52"/>
    </row>
    <row r="2204" spans="1:8" ht="15.75">
      <c r="A2204" s="124">
        <v>42607</v>
      </c>
      <c r="B2204" s="125">
        <v>57.826999999999998</v>
      </c>
      <c r="C2204" s="52"/>
      <c r="D2204" s="52"/>
      <c r="E2204" s="52"/>
      <c r="F2204" s="52"/>
      <c r="G2204" s="52"/>
      <c r="H2204" s="52"/>
    </row>
    <row r="2205" spans="1:8" ht="15.75">
      <c r="A2205" s="124">
        <v>42608</v>
      </c>
      <c r="B2205" s="125">
        <v>57.151000000000003</v>
      </c>
      <c r="C2205" s="52"/>
      <c r="D2205" s="52"/>
      <c r="E2205" s="52"/>
      <c r="F2205" s="52"/>
      <c r="G2205" s="52"/>
      <c r="H2205" s="52"/>
    </row>
    <row r="2206" spans="1:8" ht="15.75">
      <c r="A2206" s="124">
        <v>42611</v>
      </c>
      <c r="B2206" s="125">
        <v>57.656999999999996</v>
      </c>
      <c r="C2206" s="52"/>
      <c r="D2206" s="52"/>
      <c r="E2206" s="52"/>
      <c r="F2206" s="52"/>
      <c r="G2206" s="52"/>
      <c r="H2206" s="52"/>
    </row>
    <row r="2207" spans="1:8" ht="15.75">
      <c r="A2207" s="124">
        <v>42612</v>
      </c>
      <c r="B2207" s="125">
        <v>57.392000000000003</v>
      </c>
      <c r="C2207" s="52"/>
      <c r="D2207" s="52"/>
      <c r="E2207" s="52"/>
      <c r="F2207" s="52"/>
      <c r="G2207" s="52"/>
      <c r="H2207" s="52"/>
    </row>
    <row r="2208" spans="1:8" ht="15.75">
      <c r="A2208" s="124">
        <v>42613</v>
      </c>
      <c r="B2208" s="125">
        <v>57.521000000000001</v>
      </c>
      <c r="C2208" s="52"/>
      <c r="D2208" s="52"/>
      <c r="E2208" s="52"/>
      <c r="F2208" s="52"/>
      <c r="G2208" s="52"/>
      <c r="H2208" s="52"/>
    </row>
    <row r="2209" spans="1:8" ht="15.75">
      <c r="A2209" s="124">
        <v>42614</v>
      </c>
      <c r="B2209" s="125">
        <v>57.381999999999998</v>
      </c>
      <c r="C2209" s="52"/>
      <c r="D2209" s="52"/>
      <c r="E2209" s="52"/>
      <c r="F2209" s="52"/>
      <c r="G2209" s="52"/>
      <c r="H2209" s="52"/>
    </row>
    <row r="2210" spans="1:8" ht="15.75">
      <c r="A2210" s="124">
        <v>42615</v>
      </c>
      <c r="B2210" s="125">
        <v>57.2</v>
      </c>
      <c r="C2210" s="52"/>
      <c r="D2210" s="52"/>
      <c r="E2210" s="52"/>
      <c r="F2210" s="52"/>
      <c r="G2210" s="52"/>
      <c r="H2210" s="52"/>
    </row>
    <row r="2211" spans="1:8" ht="15.75">
      <c r="A2211" s="124">
        <v>42618</v>
      </c>
      <c r="B2211" s="125">
        <v>57.36</v>
      </c>
      <c r="C2211" s="52"/>
      <c r="D2211" s="52"/>
      <c r="E2211" s="52"/>
      <c r="F2211" s="52"/>
      <c r="G2211" s="52"/>
      <c r="H2211" s="52"/>
    </row>
    <row r="2212" spans="1:8" ht="15.75">
      <c r="A2212" s="124">
        <v>42619</v>
      </c>
      <c r="B2212" s="125">
        <v>57.161000000000001</v>
      </c>
      <c r="C2212" s="52"/>
      <c r="D2212" s="52"/>
      <c r="E2212" s="52"/>
      <c r="F2212" s="52"/>
      <c r="G2212" s="52"/>
      <c r="H2212" s="52"/>
    </row>
    <row r="2213" spans="1:8" ht="15.75">
      <c r="A2213" s="124">
        <v>42620</v>
      </c>
      <c r="B2213" s="125">
        <v>57.667999999999999</v>
      </c>
      <c r="C2213" s="52"/>
      <c r="D2213" s="52"/>
      <c r="E2213" s="52"/>
      <c r="F2213" s="52"/>
      <c r="G2213" s="52"/>
      <c r="H2213" s="52"/>
    </row>
    <row r="2214" spans="1:8" ht="15.75">
      <c r="A2214" s="124">
        <v>42621</v>
      </c>
      <c r="B2214" s="125">
        <v>56.874000000000002</v>
      </c>
      <c r="C2214" s="52"/>
      <c r="D2214" s="52"/>
      <c r="E2214" s="52"/>
      <c r="F2214" s="52"/>
      <c r="G2214" s="52"/>
      <c r="H2214" s="52"/>
    </row>
    <row r="2215" spans="1:8" ht="15.75">
      <c r="A2215" s="124">
        <v>42622</v>
      </c>
      <c r="B2215" s="125">
        <v>55.338999999999999</v>
      </c>
      <c r="C2215" s="52"/>
      <c r="D2215" s="52"/>
      <c r="E2215" s="52"/>
      <c r="F2215" s="52"/>
      <c r="G2215" s="52"/>
      <c r="H2215" s="52"/>
    </row>
    <row r="2216" spans="1:8" ht="15.75">
      <c r="A2216" s="124">
        <v>42625</v>
      </c>
      <c r="B2216" s="125">
        <v>56.036999999999999</v>
      </c>
      <c r="C2216" s="52"/>
      <c r="D2216" s="52"/>
      <c r="E2216" s="52"/>
      <c r="F2216" s="52"/>
      <c r="G2216" s="52"/>
      <c r="H2216" s="52"/>
    </row>
    <row r="2217" spans="1:8" ht="15.75">
      <c r="A2217" s="124">
        <v>42626</v>
      </c>
      <c r="B2217" s="125">
        <v>55.756</v>
      </c>
      <c r="C2217" s="52"/>
      <c r="D2217" s="52"/>
      <c r="E2217" s="52"/>
      <c r="F2217" s="52"/>
      <c r="G2217" s="52"/>
      <c r="H2217" s="52"/>
    </row>
    <row r="2218" spans="1:8" ht="15.75">
      <c r="A2218" s="124">
        <v>42627</v>
      </c>
      <c r="B2218" s="125">
        <v>55.957000000000001</v>
      </c>
      <c r="C2218" s="52"/>
      <c r="D2218" s="52"/>
      <c r="E2218" s="52"/>
      <c r="F2218" s="52"/>
      <c r="G2218" s="52"/>
      <c r="H2218" s="52"/>
    </row>
    <row r="2219" spans="1:8" ht="15.75">
      <c r="A2219" s="124">
        <v>42628</v>
      </c>
      <c r="B2219" s="125">
        <v>56.56</v>
      </c>
      <c r="C2219" s="52"/>
      <c r="D2219" s="52"/>
      <c r="E2219" s="52"/>
      <c r="F2219" s="52"/>
      <c r="G2219" s="52"/>
      <c r="H2219" s="52"/>
    </row>
    <row r="2220" spans="1:8" ht="15.75">
      <c r="A2220" s="124">
        <v>42629</v>
      </c>
      <c r="B2220" s="125">
        <v>57.158000000000001</v>
      </c>
      <c r="C2220" s="52"/>
      <c r="D2220" s="52"/>
      <c r="E2220" s="52"/>
      <c r="F2220" s="52"/>
      <c r="G2220" s="52"/>
      <c r="H2220" s="52"/>
    </row>
    <row r="2221" spans="1:8" ht="15.75">
      <c r="A2221" s="124">
        <v>42632</v>
      </c>
      <c r="B2221" s="125">
        <v>57.61</v>
      </c>
      <c r="C2221" s="52"/>
      <c r="D2221" s="52"/>
      <c r="E2221" s="52"/>
      <c r="F2221" s="52"/>
      <c r="G2221" s="52"/>
      <c r="H2221" s="52"/>
    </row>
    <row r="2222" spans="1:8" ht="15.75">
      <c r="A2222" s="124">
        <v>42633</v>
      </c>
      <c r="B2222" s="125">
        <v>58.098999999999997</v>
      </c>
      <c r="C2222" s="52"/>
      <c r="D2222" s="52"/>
      <c r="E2222" s="52"/>
      <c r="F2222" s="52"/>
      <c r="G2222" s="52"/>
      <c r="H2222" s="52"/>
    </row>
    <row r="2223" spans="1:8" ht="15.75">
      <c r="A2223" s="124">
        <v>42634</v>
      </c>
      <c r="B2223" s="125">
        <v>57.554000000000002</v>
      </c>
      <c r="C2223" s="52"/>
      <c r="D2223" s="52"/>
      <c r="E2223" s="52"/>
      <c r="F2223" s="52"/>
      <c r="G2223" s="52"/>
      <c r="H2223" s="52"/>
    </row>
    <row r="2224" spans="1:8" ht="15.75">
      <c r="A2224" s="124">
        <v>42635</v>
      </c>
      <c r="B2224" s="125">
        <v>56.615000000000002</v>
      </c>
      <c r="C2224" s="52"/>
      <c r="D2224" s="52"/>
      <c r="E2224" s="52"/>
      <c r="F2224" s="52"/>
      <c r="G2224" s="52"/>
      <c r="H2224" s="52"/>
    </row>
    <row r="2225" spans="1:8" ht="15.75">
      <c r="A2225" s="124">
        <v>42636</v>
      </c>
      <c r="B2225" s="125">
        <v>57.154000000000003</v>
      </c>
      <c r="C2225" s="52"/>
      <c r="D2225" s="52"/>
      <c r="E2225" s="52"/>
      <c r="F2225" s="52"/>
      <c r="G2225" s="52"/>
      <c r="H2225" s="52"/>
    </row>
    <row r="2226" spans="1:8" ht="15.75">
      <c r="A2226" s="124">
        <v>42639</v>
      </c>
      <c r="B2226" s="125">
        <v>57.094999999999999</v>
      </c>
      <c r="C2226" s="52"/>
      <c r="D2226" s="52"/>
      <c r="E2226" s="52"/>
      <c r="F2226" s="52"/>
      <c r="G2226" s="52"/>
      <c r="H2226" s="52"/>
    </row>
    <row r="2227" spans="1:8" ht="15.75">
      <c r="A2227" s="124">
        <v>42640</v>
      </c>
      <c r="B2227" s="125">
        <v>57.325000000000003</v>
      </c>
      <c r="C2227" s="52"/>
      <c r="D2227" s="52"/>
      <c r="E2227" s="52"/>
      <c r="F2227" s="52"/>
      <c r="G2227" s="52"/>
      <c r="H2227" s="52"/>
    </row>
    <row r="2228" spans="1:8" ht="15.75">
      <c r="A2228" s="124">
        <v>42641</v>
      </c>
      <c r="B2228" s="125">
        <v>57.648000000000003</v>
      </c>
      <c r="C2228" s="52"/>
      <c r="D2228" s="52"/>
      <c r="E2228" s="52"/>
      <c r="F2228" s="52"/>
      <c r="G2228" s="52"/>
      <c r="H2228" s="52"/>
    </row>
    <row r="2229" spans="1:8" ht="15.75">
      <c r="A2229" s="124">
        <v>42642</v>
      </c>
      <c r="B2229" s="125">
        <v>57.137999999999998</v>
      </c>
      <c r="C2229" s="52"/>
      <c r="D2229" s="52"/>
      <c r="E2229" s="52"/>
      <c r="F2229" s="52"/>
      <c r="G2229" s="52"/>
      <c r="H2229" s="52"/>
    </row>
    <row r="2230" spans="1:8" ht="15.75">
      <c r="A2230" s="124">
        <v>42643</v>
      </c>
      <c r="B2230" s="125">
        <v>56.929000000000002</v>
      </c>
      <c r="C2230" s="52"/>
      <c r="D2230" s="52"/>
      <c r="E2230" s="52"/>
      <c r="F2230" s="52"/>
      <c r="G2230" s="52"/>
      <c r="H2230" s="52"/>
    </row>
    <row r="2231" spans="1:8" ht="15.75">
      <c r="A2231" s="124">
        <v>42647</v>
      </c>
      <c r="B2231" s="125">
        <v>55.271999999999998</v>
      </c>
      <c r="C2231" s="52"/>
      <c r="D2231" s="52"/>
      <c r="E2231" s="52"/>
      <c r="F2231" s="52"/>
      <c r="G2231" s="52"/>
      <c r="H2231" s="52"/>
    </row>
    <row r="2232" spans="1:8" ht="15.75">
      <c r="A2232" s="124">
        <v>42648</v>
      </c>
      <c r="B2232" s="125">
        <v>54.436</v>
      </c>
      <c r="C2232" s="52"/>
      <c r="D2232" s="52"/>
      <c r="E2232" s="52"/>
      <c r="F2232" s="52"/>
      <c r="G2232" s="52"/>
      <c r="H2232" s="52"/>
    </row>
    <row r="2233" spans="1:8" ht="15.75">
      <c r="A2233" s="124">
        <v>42649</v>
      </c>
      <c r="B2233" s="125">
        <v>54.783000000000001</v>
      </c>
      <c r="C2233" s="52"/>
      <c r="D2233" s="52"/>
      <c r="E2233" s="52"/>
      <c r="F2233" s="52"/>
      <c r="G2233" s="52"/>
      <c r="H2233" s="52"/>
    </row>
    <row r="2234" spans="1:8" ht="15.75">
      <c r="A2234" s="124">
        <v>42650</v>
      </c>
      <c r="B2234" s="125">
        <v>54.143000000000001</v>
      </c>
      <c r="C2234" s="52"/>
      <c r="D2234" s="52"/>
      <c r="E2234" s="52"/>
      <c r="F2234" s="52"/>
      <c r="G2234" s="52"/>
      <c r="H2234" s="52"/>
    </row>
    <row r="2235" spans="1:8" ht="15.75">
      <c r="A2235" s="124">
        <v>42653</v>
      </c>
      <c r="B2235" s="125">
        <v>54.311</v>
      </c>
      <c r="C2235" s="52"/>
      <c r="D2235" s="52"/>
      <c r="E2235" s="52"/>
      <c r="F2235" s="52"/>
      <c r="G2235" s="52"/>
      <c r="H2235" s="52"/>
    </row>
    <row r="2236" spans="1:8" ht="15.75">
      <c r="A2236" s="124">
        <v>42654</v>
      </c>
      <c r="B2236" s="125">
        <v>54.393000000000001</v>
      </c>
      <c r="C2236" s="52"/>
      <c r="D2236" s="52"/>
      <c r="E2236" s="52"/>
      <c r="F2236" s="52"/>
      <c r="G2236" s="52"/>
      <c r="H2236" s="52"/>
    </row>
    <row r="2237" spans="1:8" ht="15.75">
      <c r="A2237" s="124">
        <v>42655</v>
      </c>
      <c r="B2237" s="125">
        <v>54.639000000000003</v>
      </c>
      <c r="C2237" s="52"/>
      <c r="D2237" s="52"/>
      <c r="E2237" s="52"/>
      <c r="F2237" s="52"/>
      <c r="G2237" s="52"/>
      <c r="H2237" s="52"/>
    </row>
    <row r="2238" spans="1:8" ht="15.75">
      <c r="A2238" s="124">
        <v>42656</v>
      </c>
      <c r="B2238" s="125">
        <v>55.051000000000002</v>
      </c>
      <c r="C2238" s="52"/>
      <c r="D2238" s="52"/>
      <c r="E2238" s="52"/>
      <c r="F2238" s="52"/>
      <c r="G2238" s="52"/>
      <c r="H2238" s="52"/>
    </row>
    <row r="2239" spans="1:8" ht="15.75">
      <c r="A2239" s="124">
        <v>42657</v>
      </c>
      <c r="B2239" s="125">
        <v>55.81</v>
      </c>
      <c r="C2239" s="52"/>
      <c r="D2239" s="52"/>
      <c r="E2239" s="52"/>
      <c r="F2239" s="52"/>
      <c r="G2239" s="52"/>
      <c r="H2239" s="52"/>
    </row>
    <row r="2240" spans="1:8" ht="15.75">
      <c r="A2240" s="124">
        <v>42660</v>
      </c>
      <c r="B2240" s="125">
        <v>55.417000000000002</v>
      </c>
      <c r="C2240" s="52"/>
      <c r="D2240" s="52"/>
      <c r="E2240" s="52"/>
      <c r="F2240" s="52"/>
      <c r="G2240" s="52"/>
      <c r="H2240" s="52"/>
    </row>
    <row r="2241" spans="1:8" ht="15.75">
      <c r="A2241" s="124">
        <v>42661</v>
      </c>
      <c r="B2241" s="125">
        <v>55.3</v>
      </c>
      <c r="C2241" s="52"/>
      <c r="D2241" s="52"/>
      <c r="E2241" s="52"/>
      <c r="F2241" s="52"/>
      <c r="G2241" s="52"/>
      <c r="H2241" s="52"/>
    </row>
    <row r="2242" spans="1:8" ht="15.75">
      <c r="A2242" s="124">
        <v>42662</v>
      </c>
      <c r="B2242" s="125">
        <v>55.17</v>
      </c>
      <c r="C2242" s="52"/>
      <c r="D2242" s="52"/>
      <c r="E2242" s="52"/>
      <c r="F2242" s="52"/>
      <c r="G2242" s="52"/>
      <c r="H2242" s="52"/>
    </row>
    <row r="2243" spans="1:8" ht="15.75">
      <c r="A2243" s="124">
        <v>42663</v>
      </c>
      <c r="B2243" s="125">
        <v>55.365000000000002</v>
      </c>
      <c r="C2243" s="52"/>
      <c r="D2243" s="52"/>
      <c r="E2243" s="52"/>
      <c r="F2243" s="52"/>
      <c r="G2243" s="52"/>
      <c r="H2243" s="52"/>
    </row>
    <row r="2244" spans="1:8" ht="15.75">
      <c r="A2244" s="124">
        <v>42664</v>
      </c>
      <c r="B2244" s="125">
        <v>55.76</v>
      </c>
      <c r="C2244" s="52"/>
      <c r="D2244" s="52"/>
      <c r="E2244" s="52"/>
      <c r="F2244" s="52"/>
      <c r="G2244" s="52"/>
      <c r="H2244" s="52"/>
    </row>
    <row r="2245" spans="1:8" ht="15.75">
      <c r="A2245" s="124">
        <v>42667</v>
      </c>
      <c r="B2245" s="125">
        <v>55.503</v>
      </c>
      <c r="C2245" s="52"/>
      <c r="D2245" s="52"/>
      <c r="E2245" s="52"/>
      <c r="F2245" s="52"/>
      <c r="G2245" s="52"/>
      <c r="H2245" s="52"/>
    </row>
    <row r="2246" spans="1:8" ht="15.75">
      <c r="A2246" s="124">
        <v>42668</v>
      </c>
      <c r="B2246" s="125">
        <v>54.85</v>
      </c>
      <c r="C2246" s="52"/>
      <c r="D2246" s="52"/>
      <c r="E2246" s="52"/>
      <c r="F2246" s="52"/>
      <c r="G2246" s="52"/>
      <c r="H2246" s="52"/>
    </row>
    <row r="2247" spans="1:8" ht="15.75">
      <c r="A2247" s="124">
        <v>42669</v>
      </c>
      <c r="B2247" s="125">
        <v>55.430999999999997</v>
      </c>
      <c r="C2247" s="52"/>
      <c r="D2247" s="52"/>
      <c r="E2247" s="52"/>
      <c r="F2247" s="52"/>
      <c r="G2247" s="52"/>
      <c r="H2247" s="52"/>
    </row>
    <row r="2248" spans="1:8" ht="15.75">
      <c r="A2248" s="124">
        <v>42670</v>
      </c>
      <c r="B2248" s="125">
        <v>54.320999999999998</v>
      </c>
      <c r="C2248" s="52"/>
      <c r="D2248" s="52"/>
      <c r="E2248" s="52"/>
      <c r="F2248" s="52"/>
      <c r="G2248" s="52"/>
      <c r="H2248" s="52"/>
    </row>
    <row r="2249" spans="1:8" ht="15.75">
      <c r="A2249" s="124">
        <v>42671</v>
      </c>
      <c r="B2249" s="125">
        <v>54.5</v>
      </c>
      <c r="C2249" s="52"/>
      <c r="D2249" s="52"/>
      <c r="E2249" s="52"/>
      <c r="F2249" s="52"/>
      <c r="G2249" s="52"/>
      <c r="H2249" s="52"/>
    </row>
    <row r="2250" spans="1:8" ht="15.75">
      <c r="A2250" s="124">
        <v>42674</v>
      </c>
      <c r="B2250" s="125">
        <v>55.884</v>
      </c>
      <c r="C2250" s="52"/>
      <c r="D2250" s="52"/>
      <c r="E2250" s="52"/>
      <c r="F2250" s="52"/>
      <c r="G2250" s="52"/>
      <c r="H2250" s="52"/>
    </row>
    <row r="2251" spans="1:8" ht="15.75">
      <c r="A2251" s="124">
        <v>42675</v>
      </c>
      <c r="B2251" s="125">
        <v>54.779000000000003</v>
      </c>
      <c r="C2251" s="52"/>
      <c r="D2251" s="52"/>
      <c r="E2251" s="52"/>
      <c r="F2251" s="52"/>
      <c r="G2251" s="52"/>
      <c r="H2251" s="52"/>
    </row>
    <row r="2252" spans="1:8" ht="15.75">
      <c r="A2252" s="124">
        <v>42676</v>
      </c>
      <c r="B2252" s="125">
        <v>54.48</v>
      </c>
      <c r="C2252" s="52"/>
      <c r="D2252" s="52"/>
      <c r="E2252" s="52"/>
      <c r="F2252" s="52"/>
      <c r="G2252" s="52"/>
      <c r="H2252" s="52"/>
    </row>
    <row r="2253" spans="1:8" ht="15.75">
      <c r="A2253" s="124">
        <v>42677</v>
      </c>
      <c r="B2253" s="125">
        <v>54.8</v>
      </c>
      <c r="C2253" s="52"/>
      <c r="D2253" s="52"/>
      <c r="E2253" s="52"/>
      <c r="F2253" s="52"/>
      <c r="G2253" s="52"/>
      <c r="H2253" s="52"/>
    </row>
    <row r="2254" spans="1:8" ht="15.75">
      <c r="A2254" s="124">
        <v>42678</v>
      </c>
      <c r="B2254" s="125">
        <v>55.258000000000003</v>
      </c>
      <c r="C2254" s="52"/>
      <c r="D2254" s="52"/>
      <c r="E2254" s="52"/>
      <c r="F2254" s="52"/>
      <c r="G2254" s="52"/>
      <c r="H2254" s="52"/>
    </row>
    <row r="2255" spans="1:8" ht="15.75">
      <c r="A2255" s="124">
        <v>42681</v>
      </c>
      <c r="B2255" s="125">
        <v>55.408999999999999</v>
      </c>
      <c r="C2255" s="52"/>
      <c r="D2255" s="52"/>
      <c r="E2255" s="52"/>
      <c r="F2255" s="52"/>
      <c r="G2255" s="52"/>
      <c r="H2255" s="52"/>
    </row>
    <row r="2256" spans="1:8" ht="15.75">
      <c r="A2256" s="124">
        <v>42682</v>
      </c>
      <c r="B2256" s="125">
        <v>56.048999999999999</v>
      </c>
      <c r="C2256" s="52"/>
      <c r="D2256" s="52"/>
      <c r="E2256" s="52"/>
      <c r="F2256" s="52"/>
      <c r="G2256" s="52"/>
      <c r="H2256" s="52"/>
    </row>
    <row r="2257" spans="1:8" ht="15.75">
      <c r="A2257" s="124">
        <v>42683</v>
      </c>
      <c r="B2257" s="125">
        <v>55.372</v>
      </c>
      <c r="C2257" s="52"/>
      <c r="D2257" s="52"/>
      <c r="E2257" s="52"/>
      <c r="F2257" s="52"/>
      <c r="G2257" s="52"/>
      <c r="H2257" s="52"/>
    </row>
    <row r="2258" spans="1:8" ht="15.75">
      <c r="A2258" s="124">
        <v>42684</v>
      </c>
      <c r="B2258" s="125">
        <v>55.037999999999997</v>
      </c>
      <c r="C2258" s="52"/>
      <c r="D2258" s="52"/>
      <c r="E2258" s="52"/>
      <c r="F2258" s="52"/>
      <c r="G2258" s="52"/>
      <c r="H2258" s="52"/>
    </row>
    <row r="2259" spans="1:8" ht="15.75">
      <c r="A2259" s="124">
        <v>42685</v>
      </c>
      <c r="B2259" s="125">
        <v>55.363999999999997</v>
      </c>
      <c r="C2259" s="52"/>
      <c r="D2259" s="52"/>
      <c r="E2259" s="52"/>
      <c r="F2259" s="52"/>
      <c r="G2259" s="52"/>
      <c r="H2259" s="52"/>
    </row>
    <row r="2260" spans="1:8" ht="15.75">
      <c r="A2260" s="124">
        <v>42688</v>
      </c>
      <c r="B2260" s="125">
        <v>56.265000000000001</v>
      </c>
      <c r="C2260" s="52"/>
      <c r="D2260" s="52"/>
      <c r="E2260" s="52"/>
      <c r="F2260" s="52"/>
      <c r="G2260" s="52"/>
      <c r="H2260" s="52"/>
    </row>
    <row r="2261" spans="1:8" ht="15.75">
      <c r="A2261" s="124">
        <v>42689</v>
      </c>
      <c r="B2261" s="125">
        <v>54.8</v>
      </c>
      <c r="C2261" s="52"/>
      <c r="D2261" s="52"/>
      <c r="E2261" s="52"/>
      <c r="F2261" s="52"/>
      <c r="G2261" s="52"/>
      <c r="H2261" s="52"/>
    </row>
    <row r="2262" spans="1:8" ht="15.75">
      <c r="A2262" s="124">
        <v>42690</v>
      </c>
      <c r="B2262" s="125">
        <v>55.581000000000003</v>
      </c>
      <c r="C2262" s="52"/>
      <c r="D2262" s="52"/>
      <c r="E2262" s="52"/>
      <c r="F2262" s="52"/>
      <c r="G2262" s="52"/>
      <c r="H2262" s="52"/>
    </row>
    <row r="2263" spans="1:8" ht="15.75">
      <c r="A2263" s="124">
        <v>42691</v>
      </c>
      <c r="B2263" s="125">
        <v>55.459000000000003</v>
      </c>
      <c r="C2263" s="52"/>
      <c r="D2263" s="52"/>
      <c r="E2263" s="52"/>
      <c r="F2263" s="52"/>
      <c r="G2263" s="52"/>
      <c r="H2263" s="52"/>
    </row>
    <row r="2264" spans="1:8" ht="15.75">
      <c r="A2264" s="124">
        <v>42692</v>
      </c>
      <c r="B2264" s="125">
        <v>55.29</v>
      </c>
      <c r="C2264" s="52"/>
      <c r="D2264" s="52"/>
      <c r="E2264" s="52"/>
      <c r="F2264" s="52"/>
      <c r="G2264" s="52"/>
      <c r="H2264" s="52"/>
    </row>
    <row r="2265" spans="1:8" ht="15.75">
      <c r="A2265" s="124">
        <v>42695</v>
      </c>
      <c r="B2265" s="125">
        <v>55.331000000000003</v>
      </c>
      <c r="C2265" s="52"/>
      <c r="D2265" s="52"/>
      <c r="E2265" s="52"/>
      <c r="F2265" s="52"/>
      <c r="G2265" s="52"/>
      <c r="H2265" s="52"/>
    </row>
    <row r="2266" spans="1:8" ht="15.75">
      <c r="A2266" s="124">
        <v>42696</v>
      </c>
      <c r="B2266" s="125">
        <v>56.162999999999997</v>
      </c>
      <c r="C2266" s="52"/>
      <c r="D2266" s="52"/>
      <c r="E2266" s="52"/>
      <c r="F2266" s="52"/>
      <c r="G2266" s="52"/>
      <c r="H2266" s="52"/>
    </row>
    <row r="2267" spans="1:8" ht="15.75">
      <c r="A2267" s="124">
        <v>42697</v>
      </c>
      <c r="B2267" s="125">
        <v>55.552</v>
      </c>
      <c r="C2267" s="52"/>
      <c r="D2267" s="52"/>
      <c r="E2267" s="52"/>
      <c r="F2267" s="52"/>
      <c r="G2267" s="52"/>
      <c r="H2267" s="52"/>
    </row>
    <row r="2268" spans="1:8" ht="15.75">
      <c r="A2268" s="124">
        <v>42698</v>
      </c>
      <c r="B2268" s="125">
        <v>55.536000000000001</v>
      </c>
      <c r="C2268" s="52"/>
      <c r="D2268" s="52"/>
      <c r="E2268" s="52"/>
      <c r="F2268" s="52"/>
      <c r="G2268" s="52"/>
      <c r="H2268" s="52"/>
    </row>
    <row r="2269" spans="1:8" ht="15.75">
      <c r="A2269" s="124">
        <v>42699</v>
      </c>
      <c r="B2269" s="125">
        <v>55.618000000000002</v>
      </c>
      <c r="C2269" s="52"/>
      <c r="D2269" s="52"/>
      <c r="E2269" s="52"/>
      <c r="F2269" s="52"/>
      <c r="G2269" s="52"/>
      <c r="H2269" s="52"/>
    </row>
    <row r="2270" spans="1:8" ht="15.75">
      <c r="A2270" s="124">
        <v>42702</v>
      </c>
      <c r="B2270" s="125">
        <v>56.34</v>
      </c>
      <c r="C2270" s="52"/>
      <c r="D2270" s="52"/>
      <c r="E2270" s="52"/>
      <c r="F2270" s="52"/>
      <c r="G2270" s="52"/>
      <c r="H2270" s="52"/>
    </row>
    <row r="2271" spans="1:8" ht="15.75">
      <c r="A2271" s="124">
        <v>42703</v>
      </c>
      <c r="B2271" s="125">
        <v>56.5</v>
      </c>
      <c r="C2271" s="52"/>
      <c r="D2271" s="52"/>
      <c r="E2271" s="52"/>
      <c r="F2271" s="52"/>
      <c r="G2271" s="52"/>
      <c r="H2271" s="52"/>
    </row>
    <row r="2272" spans="1:8" ht="15.75">
      <c r="A2272" s="124">
        <v>42704</v>
      </c>
      <c r="B2272" s="125">
        <v>56.5</v>
      </c>
      <c r="C2272" s="52"/>
      <c r="D2272" s="52"/>
      <c r="E2272" s="52"/>
      <c r="F2272" s="52"/>
      <c r="G2272" s="52"/>
      <c r="H2272" s="52"/>
    </row>
    <row r="2273" spans="1:8" ht="15.75">
      <c r="A2273" s="124">
        <v>42705</v>
      </c>
      <c r="B2273" s="125">
        <v>55.92</v>
      </c>
      <c r="C2273" s="52"/>
      <c r="D2273" s="52"/>
      <c r="E2273" s="52"/>
      <c r="F2273" s="52"/>
      <c r="G2273" s="52"/>
      <c r="H2273" s="52"/>
    </row>
    <row r="2274" spans="1:8" ht="15.75">
      <c r="A2274" s="124">
        <v>42706</v>
      </c>
      <c r="B2274" s="125">
        <v>56.091000000000001</v>
      </c>
      <c r="C2274" s="52"/>
      <c r="D2274" s="52"/>
      <c r="E2274" s="52"/>
      <c r="F2274" s="52"/>
      <c r="G2274" s="52"/>
      <c r="H2274" s="52"/>
    </row>
    <row r="2275" spans="1:8" ht="15.75">
      <c r="A2275" s="124">
        <v>42709</v>
      </c>
      <c r="B2275" s="125">
        <v>56.021000000000001</v>
      </c>
      <c r="C2275" s="52"/>
      <c r="D2275" s="52"/>
      <c r="E2275" s="52"/>
      <c r="F2275" s="52"/>
      <c r="G2275" s="52"/>
      <c r="H2275" s="52"/>
    </row>
    <row r="2276" spans="1:8" ht="15.75">
      <c r="A2276" s="124">
        <v>42710</v>
      </c>
      <c r="B2276" s="125">
        <v>57.488</v>
      </c>
      <c r="C2276" s="52"/>
      <c r="D2276" s="52"/>
      <c r="E2276" s="52"/>
      <c r="F2276" s="52"/>
      <c r="G2276" s="52"/>
      <c r="H2276" s="52"/>
    </row>
    <row r="2277" spans="1:8" ht="15.75">
      <c r="A2277" s="124">
        <v>42711</v>
      </c>
      <c r="B2277" s="125">
        <v>57.253</v>
      </c>
      <c r="C2277" s="52"/>
      <c r="D2277" s="52"/>
      <c r="E2277" s="52"/>
      <c r="F2277" s="52"/>
      <c r="G2277" s="52"/>
      <c r="H2277" s="52"/>
    </row>
    <row r="2278" spans="1:8" ht="15.75">
      <c r="A2278" s="124">
        <v>42712</v>
      </c>
      <c r="B2278" s="125">
        <v>57.843000000000004</v>
      </c>
      <c r="C2278" s="52"/>
      <c r="D2278" s="52"/>
      <c r="E2278" s="52"/>
      <c r="F2278" s="52"/>
      <c r="G2278" s="52"/>
      <c r="H2278" s="52"/>
    </row>
    <row r="2279" spans="1:8" ht="15.75">
      <c r="A2279" s="124">
        <v>42713</v>
      </c>
      <c r="B2279" s="125">
        <v>59.094000000000001</v>
      </c>
      <c r="C2279" s="52"/>
      <c r="D2279" s="52"/>
      <c r="E2279" s="52"/>
      <c r="F2279" s="52"/>
      <c r="G2279" s="52"/>
      <c r="H2279" s="52"/>
    </row>
    <row r="2280" spans="1:8" ht="15.75">
      <c r="A2280" s="124">
        <v>42716</v>
      </c>
      <c r="B2280" s="125">
        <v>58.718000000000004</v>
      </c>
      <c r="C2280" s="52"/>
      <c r="D2280" s="52"/>
      <c r="E2280" s="52"/>
      <c r="F2280" s="52"/>
      <c r="G2280" s="52"/>
      <c r="H2280" s="52"/>
    </row>
    <row r="2281" spans="1:8" ht="15.75">
      <c r="A2281" s="124">
        <v>42717</v>
      </c>
      <c r="B2281" s="125">
        <v>58.716000000000001</v>
      </c>
      <c r="C2281" s="52"/>
      <c r="D2281" s="52"/>
      <c r="E2281" s="52"/>
      <c r="F2281" s="52"/>
      <c r="G2281" s="52"/>
      <c r="H2281" s="52"/>
    </row>
    <row r="2282" spans="1:8" ht="15.75">
      <c r="A2282" s="124">
        <v>42718</v>
      </c>
      <c r="B2282" s="125">
        <v>58.959000000000003</v>
      </c>
      <c r="C2282" s="52"/>
      <c r="D2282" s="52"/>
      <c r="E2282" s="52"/>
      <c r="F2282" s="52"/>
      <c r="G2282" s="52"/>
      <c r="H2282" s="52"/>
    </row>
    <row r="2283" spans="1:8" ht="15.75">
      <c r="A2283" s="124">
        <v>42719</v>
      </c>
      <c r="B2283" s="125">
        <v>59.960999999999999</v>
      </c>
      <c r="C2283" s="52"/>
      <c r="D2283" s="52"/>
      <c r="E2283" s="52"/>
      <c r="F2283" s="52"/>
      <c r="G2283" s="52"/>
      <c r="H2283" s="52"/>
    </row>
    <row r="2284" spans="1:8" ht="15.75">
      <c r="A2284" s="124">
        <v>42720</v>
      </c>
      <c r="B2284" s="125">
        <v>60.756999999999998</v>
      </c>
      <c r="C2284" s="52"/>
      <c r="D2284" s="52"/>
      <c r="E2284" s="52"/>
      <c r="F2284" s="52"/>
      <c r="G2284" s="52"/>
      <c r="H2284" s="52"/>
    </row>
    <row r="2285" spans="1:8" ht="15.75">
      <c r="A2285" s="124">
        <v>42723</v>
      </c>
      <c r="B2285" s="125">
        <v>61.131999999999998</v>
      </c>
      <c r="C2285" s="52"/>
      <c r="D2285" s="52"/>
      <c r="E2285" s="52"/>
      <c r="F2285" s="52"/>
      <c r="G2285" s="52"/>
      <c r="H2285" s="52"/>
    </row>
    <row r="2286" spans="1:8" ht="15.75">
      <c r="A2286" s="124">
        <v>42724</v>
      </c>
      <c r="B2286" s="125">
        <v>61.384999999999998</v>
      </c>
      <c r="C2286" s="52"/>
      <c r="D2286" s="52"/>
      <c r="E2286" s="52"/>
      <c r="F2286" s="52"/>
      <c r="G2286" s="52"/>
      <c r="H2286" s="52"/>
    </row>
    <row r="2287" spans="1:8" ht="15.75">
      <c r="A2287" s="124">
        <v>42725</v>
      </c>
      <c r="B2287" s="125">
        <v>60.643000000000001</v>
      </c>
      <c r="C2287" s="52"/>
      <c r="D2287" s="52"/>
      <c r="E2287" s="52"/>
      <c r="F2287" s="52"/>
      <c r="G2287" s="52"/>
      <c r="H2287" s="52"/>
    </row>
    <row r="2288" spans="1:8" ht="15.75">
      <c r="A2288" s="124">
        <v>42726</v>
      </c>
      <c r="B2288" s="125">
        <v>59.82</v>
      </c>
      <c r="C2288" s="52"/>
      <c r="D2288" s="52"/>
      <c r="E2288" s="52"/>
      <c r="F2288" s="52"/>
      <c r="G2288" s="52"/>
      <c r="H2288" s="52"/>
    </row>
    <row r="2289" spans="1:8" ht="15.75">
      <c r="A2289" s="124">
        <v>42727</v>
      </c>
      <c r="B2289" s="125">
        <v>59.82</v>
      </c>
      <c r="C2289" s="52"/>
      <c r="D2289" s="52"/>
      <c r="E2289" s="52"/>
      <c r="F2289" s="52"/>
      <c r="G2289" s="52"/>
      <c r="H2289" s="52"/>
    </row>
    <row r="2290" spans="1:8" ht="15.75">
      <c r="A2290" s="124">
        <v>42731</v>
      </c>
      <c r="B2290" s="125">
        <v>60.304000000000002</v>
      </c>
      <c r="C2290" s="52"/>
      <c r="D2290" s="52"/>
      <c r="E2290" s="52"/>
      <c r="F2290" s="52"/>
      <c r="G2290" s="52"/>
      <c r="H2290" s="52"/>
    </row>
    <row r="2291" spans="1:8" ht="15.75">
      <c r="A2291" s="124">
        <v>42732</v>
      </c>
      <c r="B2291" s="125">
        <v>60.174999999999997</v>
      </c>
      <c r="C2291" s="52"/>
      <c r="D2291" s="52"/>
      <c r="E2291" s="52"/>
      <c r="F2291" s="52"/>
      <c r="G2291" s="52"/>
      <c r="H2291" s="52"/>
    </row>
    <row r="2292" spans="1:8" ht="15.75">
      <c r="A2292" s="124">
        <v>42733</v>
      </c>
      <c r="B2292" s="125">
        <v>60.335999999999999</v>
      </c>
      <c r="C2292" s="52"/>
      <c r="D2292" s="52"/>
      <c r="E2292" s="52"/>
      <c r="F2292" s="52"/>
      <c r="G2292" s="52"/>
      <c r="H2292" s="52"/>
    </row>
    <row r="2293" spans="1:8" ht="15.75">
      <c r="A2293" s="124">
        <v>42734</v>
      </c>
      <c r="B2293" s="125">
        <v>59.896000000000001</v>
      </c>
      <c r="C2293" s="52"/>
      <c r="D2293" s="52"/>
      <c r="E2293" s="52"/>
      <c r="F2293" s="52"/>
      <c r="G2293" s="52"/>
      <c r="H2293" s="52"/>
    </row>
    <row r="2294" spans="1:8" ht="15.75">
      <c r="A2294" s="124">
        <v>42737</v>
      </c>
      <c r="B2294" s="125">
        <v>60.805999999999997</v>
      </c>
      <c r="C2294" s="52"/>
      <c r="D2294" s="52"/>
      <c r="E2294" s="52"/>
      <c r="F2294" s="52"/>
      <c r="G2294" s="52"/>
      <c r="H2294" s="52"/>
    </row>
    <row r="2295" spans="1:8" ht="15.75">
      <c r="A2295" s="124">
        <v>42738</v>
      </c>
      <c r="B2295" s="125">
        <v>60.398000000000003</v>
      </c>
      <c r="C2295" s="52"/>
      <c r="D2295" s="52"/>
      <c r="E2295" s="52"/>
      <c r="F2295" s="52"/>
      <c r="G2295" s="52"/>
      <c r="H2295" s="52"/>
    </row>
    <row r="2296" spans="1:8" ht="15.75">
      <c r="A2296" s="124">
        <v>42739</v>
      </c>
      <c r="B2296" s="125">
        <v>60.847000000000001</v>
      </c>
      <c r="C2296" s="52"/>
      <c r="D2296" s="52"/>
      <c r="E2296" s="52"/>
      <c r="F2296" s="52"/>
      <c r="G2296" s="52"/>
      <c r="H2296" s="52"/>
    </row>
    <row r="2297" spans="1:8" ht="15.75">
      <c r="A2297" s="124">
        <v>42740</v>
      </c>
      <c r="B2297" s="125">
        <v>60.920999999999999</v>
      </c>
      <c r="C2297" s="52"/>
      <c r="D2297" s="52"/>
      <c r="E2297" s="52"/>
      <c r="F2297" s="52"/>
      <c r="G2297" s="52"/>
      <c r="H2297" s="52"/>
    </row>
    <row r="2298" spans="1:8" ht="15.75">
      <c r="A2298" s="124">
        <v>42741</v>
      </c>
      <c r="B2298" s="125">
        <v>61.784999999999997</v>
      </c>
      <c r="C2298" s="52"/>
      <c r="D2298" s="52"/>
      <c r="E2298" s="52"/>
      <c r="F2298" s="52"/>
      <c r="G2298" s="52"/>
      <c r="H2298" s="52"/>
    </row>
    <row r="2299" spans="1:8" ht="15.75">
      <c r="A2299" s="124">
        <v>42744</v>
      </c>
      <c r="B2299" s="125">
        <v>60.863999999999997</v>
      </c>
      <c r="C2299" s="52"/>
      <c r="D2299" s="52"/>
      <c r="E2299" s="52"/>
      <c r="F2299" s="52"/>
      <c r="G2299" s="52"/>
      <c r="H2299" s="52"/>
    </row>
    <row r="2300" spans="1:8" ht="15.75">
      <c r="A2300" s="124">
        <v>42745</v>
      </c>
      <c r="B2300" s="125">
        <v>60.066000000000003</v>
      </c>
      <c r="C2300" s="52"/>
      <c r="D2300" s="52"/>
      <c r="E2300" s="52"/>
      <c r="F2300" s="52"/>
      <c r="G2300" s="52"/>
      <c r="H2300" s="52"/>
    </row>
    <row r="2301" spans="1:8" ht="15.75">
      <c r="A2301" s="124">
        <v>42746</v>
      </c>
      <c r="B2301" s="125">
        <v>59.588000000000001</v>
      </c>
      <c r="C2301" s="52"/>
      <c r="D2301" s="52"/>
      <c r="E2301" s="52"/>
      <c r="F2301" s="52"/>
      <c r="G2301" s="52"/>
      <c r="H2301" s="52"/>
    </row>
    <row r="2302" spans="1:8" ht="15.75">
      <c r="A2302" s="124">
        <v>42747</v>
      </c>
      <c r="B2302" s="125">
        <v>59.951000000000001</v>
      </c>
      <c r="C2302" s="52"/>
      <c r="D2302" s="52"/>
      <c r="E2302" s="52"/>
      <c r="F2302" s="52"/>
      <c r="G2302" s="52"/>
      <c r="H2302" s="52"/>
    </row>
    <row r="2303" spans="1:8" ht="15.75">
      <c r="A2303" s="124">
        <v>42748</v>
      </c>
      <c r="B2303" s="125">
        <v>59.225999999999999</v>
      </c>
      <c r="C2303" s="52"/>
      <c r="D2303" s="52"/>
      <c r="E2303" s="52"/>
      <c r="F2303" s="52"/>
      <c r="G2303" s="52"/>
      <c r="H2303" s="52"/>
    </row>
    <row r="2304" spans="1:8" ht="15.75">
      <c r="A2304" s="124">
        <v>42751</v>
      </c>
      <c r="B2304" s="125">
        <v>59.162999999999997</v>
      </c>
      <c r="C2304" s="52"/>
      <c r="D2304" s="52"/>
      <c r="E2304" s="52"/>
      <c r="F2304" s="52"/>
      <c r="G2304" s="52"/>
      <c r="H2304" s="52"/>
    </row>
    <row r="2305" spans="1:8" ht="15.75">
      <c r="A2305" s="124">
        <v>42752</v>
      </c>
      <c r="B2305" s="125">
        <v>58.656999999999996</v>
      </c>
      <c r="C2305" s="52"/>
      <c r="D2305" s="52"/>
      <c r="E2305" s="52"/>
      <c r="F2305" s="52"/>
      <c r="G2305" s="52"/>
      <c r="H2305" s="52"/>
    </row>
    <row r="2306" spans="1:8" ht="15.75">
      <c r="A2306" s="124">
        <v>42753</v>
      </c>
      <c r="B2306" s="125">
        <v>59.564999999999998</v>
      </c>
      <c r="C2306" s="52"/>
      <c r="D2306" s="52"/>
      <c r="E2306" s="52"/>
      <c r="F2306" s="52"/>
      <c r="G2306" s="52"/>
      <c r="H2306" s="52"/>
    </row>
    <row r="2307" spans="1:8" ht="15.75">
      <c r="A2307" s="124">
        <v>42754</v>
      </c>
      <c r="B2307" s="125">
        <v>58.851999999999997</v>
      </c>
      <c r="C2307" s="52"/>
      <c r="D2307" s="52"/>
      <c r="E2307" s="52"/>
      <c r="F2307" s="52"/>
      <c r="G2307" s="52"/>
      <c r="H2307" s="52"/>
    </row>
    <row r="2308" spans="1:8" ht="15.75">
      <c r="A2308" s="124">
        <v>42755</v>
      </c>
      <c r="B2308" s="125">
        <v>59.079000000000001</v>
      </c>
      <c r="C2308" s="52"/>
      <c r="D2308" s="52"/>
      <c r="E2308" s="52"/>
      <c r="F2308" s="52"/>
      <c r="G2308" s="52"/>
      <c r="H2308" s="52"/>
    </row>
    <row r="2309" spans="1:8" ht="15.75">
      <c r="A2309" s="124">
        <v>42758</v>
      </c>
      <c r="B2309" s="125">
        <v>58.222999999999999</v>
      </c>
      <c r="C2309" s="52"/>
      <c r="D2309" s="52"/>
      <c r="E2309" s="52"/>
      <c r="F2309" s="52"/>
      <c r="G2309" s="52"/>
      <c r="H2309" s="52"/>
    </row>
    <row r="2310" spans="1:8" ht="15.75">
      <c r="A2310" s="124">
        <v>42759</v>
      </c>
      <c r="B2310" s="125">
        <v>57.496000000000002</v>
      </c>
      <c r="C2310" s="52"/>
      <c r="D2310" s="52"/>
      <c r="E2310" s="52"/>
      <c r="F2310" s="52"/>
      <c r="G2310" s="52"/>
      <c r="H2310" s="52"/>
    </row>
    <row r="2311" spans="1:8" ht="15.75">
      <c r="A2311" s="124">
        <v>42760</v>
      </c>
      <c r="B2311" s="125">
        <v>57.228000000000002</v>
      </c>
      <c r="C2311" s="52"/>
      <c r="D2311" s="52"/>
      <c r="E2311" s="52"/>
      <c r="F2311" s="52"/>
      <c r="G2311" s="52"/>
      <c r="H2311" s="52"/>
    </row>
    <row r="2312" spans="1:8" ht="15.75">
      <c r="A2312" s="124">
        <v>42761</v>
      </c>
      <c r="B2312" s="125">
        <v>57.076999999999998</v>
      </c>
      <c r="C2312" s="52"/>
      <c r="D2312" s="52"/>
      <c r="E2312" s="52"/>
      <c r="F2312" s="52"/>
      <c r="G2312" s="52"/>
      <c r="H2312" s="52"/>
    </row>
    <row r="2313" spans="1:8" ht="15.75">
      <c r="A2313" s="124">
        <v>42762</v>
      </c>
      <c r="B2313" s="125">
        <v>56.606999999999999</v>
      </c>
      <c r="C2313" s="52"/>
      <c r="D2313" s="52"/>
      <c r="E2313" s="52"/>
      <c r="F2313" s="52"/>
      <c r="G2313" s="52"/>
      <c r="H2313" s="52"/>
    </row>
    <row r="2314" spans="1:8" ht="15.75">
      <c r="A2314" s="124">
        <v>42765</v>
      </c>
      <c r="B2314" s="125">
        <v>56.143000000000001</v>
      </c>
      <c r="C2314" s="52"/>
      <c r="D2314" s="52"/>
      <c r="E2314" s="52"/>
      <c r="F2314" s="52"/>
      <c r="G2314" s="52"/>
      <c r="H2314" s="52"/>
    </row>
    <row r="2315" spans="1:8" ht="15.75">
      <c r="A2315" s="124">
        <v>42766</v>
      </c>
      <c r="B2315" s="125">
        <v>56.457000000000001</v>
      </c>
      <c r="C2315" s="52"/>
      <c r="D2315" s="52"/>
      <c r="E2315" s="52"/>
      <c r="F2315" s="52"/>
      <c r="G2315" s="52"/>
      <c r="H2315" s="52"/>
    </row>
    <row r="2316" spans="1:8" ht="15.75">
      <c r="A2316" s="124">
        <v>42767</v>
      </c>
      <c r="B2316" s="125">
        <v>55.466999999999999</v>
      </c>
      <c r="C2316" s="52"/>
      <c r="D2316" s="52"/>
      <c r="E2316" s="52"/>
      <c r="F2316" s="52"/>
      <c r="G2316" s="52"/>
      <c r="H2316" s="52"/>
    </row>
    <row r="2317" spans="1:8" ht="15.75">
      <c r="A2317" s="124">
        <v>42768</v>
      </c>
      <c r="B2317" s="125">
        <v>55.89</v>
      </c>
      <c r="C2317" s="52"/>
      <c r="D2317" s="52"/>
      <c r="E2317" s="52"/>
      <c r="F2317" s="52"/>
      <c r="G2317" s="52"/>
      <c r="H2317" s="52"/>
    </row>
    <row r="2318" spans="1:8" ht="15.75">
      <c r="A2318" s="124">
        <v>42769</v>
      </c>
      <c r="B2318" s="125">
        <v>55.247999999999998</v>
      </c>
      <c r="C2318" s="52"/>
      <c r="D2318" s="52"/>
      <c r="E2318" s="52"/>
      <c r="F2318" s="52"/>
      <c r="G2318" s="52"/>
      <c r="H2318" s="52"/>
    </row>
    <row r="2319" spans="1:8" ht="15.75">
      <c r="A2319" s="124">
        <v>42772</v>
      </c>
      <c r="B2319" s="125">
        <v>56.064999999999998</v>
      </c>
      <c r="C2319" s="52"/>
      <c r="D2319" s="52"/>
      <c r="E2319" s="52"/>
      <c r="F2319" s="52"/>
      <c r="G2319" s="52"/>
      <c r="H2319" s="52"/>
    </row>
    <row r="2320" spans="1:8" ht="15.75">
      <c r="A2320" s="124">
        <v>42773</v>
      </c>
      <c r="B2320" s="125">
        <v>56.466999999999999</v>
      </c>
      <c r="C2320" s="52"/>
      <c r="D2320" s="52"/>
      <c r="E2320" s="52"/>
      <c r="F2320" s="52"/>
      <c r="G2320" s="52"/>
      <c r="H2320" s="52"/>
    </row>
    <row r="2321" spans="1:8" ht="15.75">
      <c r="A2321" s="124">
        <v>42774</v>
      </c>
      <c r="B2321" s="125">
        <v>57.264000000000003</v>
      </c>
      <c r="C2321" s="52"/>
      <c r="D2321" s="52"/>
      <c r="E2321" s="52"/>
      <c r="F2321" s="52"/>
      <c r="G2321" s="52"/>
      <c r="H2321" s="52"/>
    </row>
    <row r="2322" spans="1:8" ht="15.75">
      <c r="A2322" s="124">
        <v>42775</v>
      </c>
      <c r="B2322" s="125">
        <v>57.101999999999997</v>
      </c>
      <c r="C2322" s="52"/>
      <c r="D2322" s="52"/>
      <c r="E2322" s="52"/>
      <c r="F2322" s="52"/>
      <c r="G2322" s="52"/>
      <c r="H2322" s="52"/>
    </row>
    <row r="2323" spans="1:8" ht="15.75">
      <c r="A2323" s="124">
        <v>42776</v>
      </c>
      <c r="B2323" s="125">
        <v>57.491</v>
      </c>
      <c r="C2323" s="52"/>
      <c r="D2323" s="52"/>
      <c r="E2323" s="52"/>
      <c r="F2323" s="52"/>
      <c r="G2323" s="52"/>
      <c r="H2323" s="52"/>
    </row>
    <row r="2324" spans="1:8" ht="15.75">
      <c r="A2324" s="124">
        <v>42779</v>
      </c>
      <c r="B2324" s="125">
        <v>58.21</v>
      </c>
      <c r="C2324" s="52"/>
      <c r="D2324" s="52"/>
      <c r="E2324" s="52"/>
      <c r="F2324" s="52"/>
      <c r="G2324" s="52"/>
      <c r="H2324" s="52"/>
    </row>
    <row r="2325" spans="1:8" ht="15.75">
      <c r="A2325" s="124">
        <v>42780</v>
      </c>
      <c r="B2325" s="125">
        <v>58.054000000000002</v>
      </c>
      <c r="C2325" s="52"/>
      <c r="D2325" s="52"/>
      <c r="E2325" s="52"/>
      <c r="F2325" s="52"/>
      <c r="G2325" s="52"/>
      <c r="H2325" s="52"/>
    </row>
    <row r="2326" spans="1:8" ht="15.75">
      <c r="A2326" s="124">
        <v>42781</v>
      </c>
      <c r="B2326" s="125">
        <v>57.954000000000001</v>
      </c>
      <c r="C2326" s="52"/>
      <c r="D2326" s="52"/>
      <c r="E2326" s="52"/>
      <c r="F2326" s="52"/>
      <c r="G2326" s="52"/>
      <c r="H2326" s="52"/>
    </row>
    <row r="2327" spans="1:8" ht="15.75">
      <c r="A2327" s="124">
        <v>42782</v>
      </c>
      <c r="B2327" s="125">
        <v>58.055999999999997</v>
      </c>
      <c r="C2327" s="52"/>
      <c r="D2327" s="52"/>
      <c r="E2327" s="52"/>
      <c r="F2327" s="52"/>
      <c r="G2327" s="52"/>
      <c r="H2327" s="52"/>
    </row>
    <row r="2328" spans="1:8" ht="15.75">
      <c r="A2328" s="124">
        <v>42783</v>
      </c>
      <c r="B2328" s="125">
        <v>57.656999999999996</v>
      </c>
      <c r="C2328" s="52"/>
      <c r="D2328" s="52"/>
      <c r="E2328" s="52"/>
      <c r="F2328" s="52"/>
      <c r="G2328" s="52"/>
      <c r="H2328" s="52"/>
    </row>
    <row r="2329" spans="1:8" ht="15.75">
      <c r="A2329" s="124">
        <v>42786</v>
      </c>
      <c r="B2329" s="125">
        <v>57.72</v>
      </c>
      <c r="C2329" s="52"/>
      <c r="D2329" s="52"/>
      <c r="E2329" s="52"/>
      <c r="F2329" s="52"/>
      <c r="G2329" s="52"/>
      <c r="H2329" s="52"/>
    </row>
    <row r="2330" spans="1:8" ht="15.75">
      <c r="A2330" s="124">
        <v>42787</v>
      </c>
      <c r="B2330" s="125">
        <v>58.784999999999997</v>
      </c>
      <c r="C2330" s="52"/>
      <c r="D2330" s="52"/>
      <c r="E2330" s="52"/>
      <c r="F2330" s="52"/>
      <c r="G2330" s="52"/>
      <c r="H2330" s="52"/>
    </row>
    <row r="2331" spans="1:8" ht="15.75">
      <c r="A2331" s="124">
        <v>42788</v>
      </c>
      <c r="B2331" s="125">
        <v>58.463999999999999</v>
      </c>
      <c r="C2331" s="52"/>
      <c r="D2331" s="52"/>
      <c r="E2331" s="52"/>
      <c r="F2331" s="52"/>
      <c r="G2331" s="52"/>
      <c r="H2331" s="52"/>
    </row>
    <row r="2332" spans="1:8" ht="15.75">
      <c r="A2332" s="124">
        <v>42789</v>
      </c>
      <c r="B2332" s="125">
        <v>59.02</v>
      </c>
      <c r="C2332" s="52"/>
      <c r="D2332" s="52"/>
      <c r="E2332" s="52"/>
      <c r="F2332" s="52"/>
      <c r="G2332" s="52"/>
      <c r="H2332" s="52"/>
    </row>
    <row r="2333" spans="1:8" ht="15.75">
      <c r="A2333" s="124">
        <v>42790</v>
      </c>
      <c r="B2333" s="125">
        <v>59.076999999999998</v>
      </c>
      <c r="C2333" s="52"/>
      <c r="D2333" s="52"/>
      <c r="E2333" s="52"/>
      <c r="F2333" s="52"/>
      <c r="G2333" s="52"/>
      <c r="H2333" s="52"/>
    </row>
    <row r="2334" spans="1:8" ht="15.75">
      <c r="A2334" s="124">
        <v>42793</v>
      </c>
      <c r="B2334" s="125">
        <v>59.768000000000001</v>
      </c>
      <c r="C2334" s="52"/>
      <c r="D2334" s="52"/>
      <c r="E2334" s="52"/>
      <c r="F2334" s="52"/>
      <c r="G2334" s="52"/>
      <c r="H2334" s="52"/>
    </row>
    <row r="2335" spans="1:8" ht="15.75">
      <c r="A2335" s="124">
        <v>42794</v>
      </c>
      <c r="B2335" s="125">
        <v>59.381999999999998</v>
      </c>
      <c r="C2335" s="52"/>
      <c r="D2335" s="52"/>
      <c r="E2335" s="52"/>
      <c r="F2335" s="52"/>
      <c r="G2335" s="52"/>
      <c r="H2335" s="52"/>
    </row>
    <row r="2336" spans="1:8" ht="15.75">
      <c r="A2336" s="124">
        <v>42795</v>
      </c>
      <c r="B2336" s="125">
        <v>59.938000000000002</v>
      </c>
      <c r="C2336" s="52"/>
      <c r="D2336" s="52"/>
      <c r="E2336" s="52"/>
      <c r="F2336" s="52"/>
      <c r="G2336" s="52"/>
      <c r="H2336" s="52"/>
    </row>
    <row r="2337" spans="1:8" ht="15.75">
      <c r="A2337" s="124">
        <v>42796</v>
      </c>
      <c r="B2337" s="125">
        <v>60.206000000000003</v>
      </c>
      <c r="C2337" s="52"/>
      <c r="D2337" s="52"/>
      <c r="E2337" s="52"/>
      <c r="F2337" s="52"/>
      <c r="G2337" s="52"/>
      <c r="H2337" s="52"/>
    </row>
    <row r="2338" spans="1:8" ht="15.75">
      <c r="A2338" s="124">
        <v>42797</v>
      </c>
      <c r="B2338" s="125">
        <v>58.465000000000003</v>
      </c>
      <c r="C2338" s="52"/>
      <c r="D2338" s="52"/>
      <c r="E2338" s="52"/>
      <c r="F2338" s="52"/>
      <c r="G2338" s="52"/>
      <c r="H2338" s="52"/>
    </row>
    <row r="2339" spans="1:8" ht="15.75">
      <c r="A2339" s="124">
        <v>42800</v>
      </c>
      <c r="B2339" s="125">
        <v>58.883000000000003</v>
      </c>
      <c r="C2339" s="52"/>
      <c r="D2339" s="52"/>
      <c r="E2339" s="52"/>
      <c r="F2339" s="52"/>
      <c r="G2339" s="52"/>
      <c r="H2339" s="52"/>
    </row>
    <row r="2340" spans="1:8" ht="15.75">
      <c r="A2340" s="124">
        <v>42801</v>
      </c>
      <c r="B2340" s="125">
        <v>58.975999999999999</v>
      </c>
      <c r="C2340" s="52"/>
      <c r="D2340" s="52"/>
      <c r="E2340" s="52"/>
      <c r="F2340" s="52"/>
      <c r="G2340" s="52"/>
      <c r="H2340" s="52"/>
    </row>
    <row r="2341" spans="1:8" ht="15.75">
      <c r="A2341" s="124">
        <v>42802</v>
      </c>
      <c r="B2341" s="125">
        <v>59.334000000000003</v>
      </c>
      <c r="C2341" s="52"/>
      <c r="D2341" s="52"/>
      <c r="E2341" s="52"/>
      <c r="F2341" s="52"/>
      <c r="G2341" s="52"/>
      <c r="H2341" s="52"/>
    </row>
    <row r="2342" spans="1:8" ht="15.75">
      <c r="A2342" s="124">
        <v>42803</v>
      </c>
      <c r="B2342" s="125">
        <v>58.841000000000001</v>
      </c>
      <c r="C2342" s="52"/>
      <c r="D2342" s="52"/>
      <c r="E2342" s="52"/>
      <c r="F2342" s="52"/>
      <c r="G2342" s="52"/>
      <c r="H2342" s="52"/>
    </row>
    <row r="2343" spans="1:8" ht="15.75">
      <c r="A2343" s="124">
        <v>42804</v>
      </c>
      <c r="B2343" s="125">
        <v>57.393000000000001</v>
      </c>
      <c r="C2343" s="52"/>
      <c r="D2343" s="52"/>
      <c r="E2343" s="52"/>
      <c r="F2343" s="52"/>
      <c r="G2343" s="52"/>
      <c r="H2343" s="52"/>
    </row>
    <row r="2344" spans="1:8" ht="15.75">
      <c r="A2344" s="124">
        <v>42807</v>
      </c>
      <c r="B2344" s="125">
        <v>58.442999999999998</v>
      </c>
      <c r="C2344" s="52"/>
      <c r="D2344" s="52"/>
      <c r="E2344" s="52"/>
      <c r="F2344" s="52"/>
      <c r="G2344" s="52"/>
      <c r="H2344" s="52"/>
    </row>
    <row r="2345" spans="1:8" ht="15.75">
      <c r="A2345" s="124">
        <v>42808</v>
      </c>
      <c r="B2345" s="125">
        <v>58.843000000000004</v>
      </c>
      <c r="C2345" s="52"/>
      <c r="D2345" s="52"/>
      <c r="E2345" s="52"/>
      <c r="F2345" s="52"/>
      <c r="G2345" s="52"/>
      <c r="H2345" s="52"/>
    </row>
    <row r="2346" spans="1:8" ht="15.75">
      <c r="A2346" s="124">
        <v>42809</v>
      </c>
      <c r="B2346" s="125">
        <v>59.173999999999999</v>
      </c>
      <c r="C2346" s="52"/>
      <c r="D2346" s="52"/>
      <c r="E2346" s="52"/>
      <c r="F2346" s="52"/>
      <c r="G2346" s="52"/>
      <c r="H2346" s="52"/>
    </row>
    <row r="2347" spans="1:8" ht="15.75">
      <c r="A2347" s="124">
        <v>42810</v>
      </c>
      <c r="B2347" s="125">
        <v>58.948</v>
      </c>
      <c r="C2347" s="52"/>
      <c r="D2347" s="52"/>
      <c r="E2347" s="52"/>
      <c r="F2347" s="52"/>
      <c r="G2347" s="52"/>
      <c r="H2347" s="52"/>
    </row>
    <row r="2348" spans="1:8" ht="15.75">
      <c r="A2348" s="124">
        <v>42811</v>
      </c>
      <c r="B2348" s="125">
        <v>58.966000000000001</v>
      </c>
      <c r="C2348" s="52"/>
      <c r="D2348" s="52"/>
      <c r="E2348" s="52"/>
      <c r="F2348" s="52"/>
      <c r="G2348" s="52"/>
      <c r="H2348" s="52"/>
    </row>
    <row r="2349" spans="1:8" ht="15.75">
      <c r="A2349" s="124">
        <v>42814</v>
      </c>
      <c r="B2349" s="125">
        <v>58.783000000000001</v>
      </c>
      <c r="C2349" s="52"/>
      <c r="D2349" s="52"/>
      <c r="E2349" s="52"/>
      <c r="F2349" s="52"/>
      <c r="G2349" s="52"/>
      <c r="H2349" s="52"/>
    </row>
    <row r="2350" spans="1:8" ht="15.75">
      <c r="A2350" s="124">
        <v>42815</v>
      </c>
      <c r="B2350" s="125">
        <v>58.345999999999997</v>
      </c>
      <c r="C2350" s="52"/>
      <c r="D2350" s="52"/>
      <c r="E2350" s="52"/>
      <c r="F2350" s="52"/>
      <c r="G2350" s="52"/>
      <c r="H2350" s="52"/>
    </row>
    <row r="2351" spans="1:8" ht="15.75">
      <c r="A2351" s="124">
        <v>42816</v>
      </c>
      <c r="B2351" s="125">
        <v>58.435000000000002</v>
      </c>
      <c r="C2351" s="52"/>
      <c r="D2351" s="52"/>
      <c r="E2351" s="52"/>
      <c r="F2351" s="52"/>
      <c r="G2351" s="52"/>
      <c r="H2351" s="52"/>
    </row>
    <row r="2352" spans="1:8" ht="15.75">
      <c r="A2352" s="124">
        <v>42817</v>
      </c>
      <c r="B2352" s="125">
        <v>58.755000000000003</v>
      </c>
      <c r="C2352" s="52"/>
      <c r="D2352" s="52"/>
      <c r="E2352" s="52"/>
      <c r="F2352" s="52"/>
      <c r="G2352" s="52"/>
      <c r="H2352" s="52"/>
    </row>
    <row r="2353" spans="1:8" ht="15.75">
      <c r="A2353" s="124">
        <v>42818</v>
      </c>
      <c r="B2353" s="125">
        <v>58.357999999999997</v>
      </c>
      <c r="C2353" s="52"/>
      <c r="D2353" s="52"/>
      <c r="E2353" s="52"/>
      <c r="F2353" s="52"/>
      <c r="G2353" s="52"/>
      <c r="H2353" s="52"/>
    </row>
    <row r="2354" spans="1:8" ht="15.75">
      <c r="A2354" s="124">
        <v>42821</v>
      </c>
      <c r="B2354" s="125">
        <v>57.110999999999997</v>
      </c>
      <c r="C2354" s="52"/>
      <c r="D2354" s="52"/>
      <c r="E2354" s="52"/>
      <c r="F2354" s="52"/>
      <c r="G2354" s="52"/>
      <c r="H2354" s="52"/>
    </row>
    <row r="2355" spans="1:8" ht="15.75">
      <c r="A2355" s="124">
        <v>42822</v>
      </c>
      <c r="B2355" s="125">
        <v>57.524999999999999</v>
      </c>
      <c r="C2355" s="52"/>
      <c r="D2355" s="52"/>
      <c r="E2355" s="52"/>
      <c r="F2355" s="52"/>
      <c r="G2355" s="52"/>
      <c r="H2355" s="52"/>
    </row>
    <row r="2356" spans="1:8" ht="15.75">
      <c r="A2356" s="124">
        <v>42823</v>
      </c>
      <c r="B2356" s="125">
        <v>57.5</v>
      </c>
      <c r="C2356" s="52"/>
      <c r="D2356" s="52"/>
      <c r="E2356" s="52"/>
      <c r="F2356" s="52"/>
      <c r="G2356" s="52"/>
      <c r="H2356" s="52"/>
    </row>
    <row r="2357" spans="1:8" ht="15.75">
      <c r="A2357" s="124">
        <v>42824</v>
      </c>
      <c r="B2357" s="125">
        <v>58.036000000000001</v>
      </c>
      <c r="C2357" s="52"/>
      <c r="D2357" s="52"/>
      <c r="E2357" s="52"/>
      <c r="F2357" s="52"/>
      <c r="G2357" s="52"/>
      <c r="H2357" s="52"/>
    </row>
    <row r="2358" spans="1:8" ht="15.75">
      <c r="A2358" s="124">
        <v>42825</v>
      </c>
      <c r="B2358" s="125">
        <v>58.198</v>
      </c>
      <c r="C2358" s="52"/>
      <c r="D2358" s="52"/>
      <c r="E2358" s="52"/>
      <c r="F2358" s="52"/>
      <c r="G2358" s="52"/>
      <c r="H2358" s="52"/>
    </row>
    <row r="2359" spans="1:8" ht="15.75">
      <c r="A2359" s="124">
        <v>42828</v>
      </c>
      <c r="B2359" s="125">
        <v>57.960999999999999</v>
      </c>
      <c r="C2359" s="52"/>
      <c r="D2359" s="52"/>
      <c r="E2359" s="52"/>
      <c r="F2359" s="52"/>
      <c r="G2359" s="52"/>
      <c r="H2359" s="52"/>
    </row>
    <row r="2360" spans="1:8" ht="15.75">
      <c r="A2360" s="124">
        <v>42829</v>
      </c>
      <c r="B2360" s="125">
        <v>58.656999999999996</v>
      </c>
      <c r="C2360" s="52"/>
      <c r="D2360" s="52"/>
      <c r="E2360" s="52"/>
      <c r="F2360" s="52"/>
      <c r="G2360" s="52"/>
      <c r="H2360" s="52"/>
    </row>
    <row r="2361" spans="1:8" ht="15.75">
      <c r="A2361" s="124">
        <v>42830</v>
      </c>
      <c r="B2361" s="125">
        <v>59.218000000000004</v>
      </c>
      <c r="C2361" s="52"/>
      <c r="D2361" s="52"/>
      <c r="E2361" s="52"/>
      <c r="F2361" s="52"/>
      <c r="G2361" s="52"/>
      <c r="H2361" s="52"/>
    </row>
    <row r="2362" spans="1:8" ht="15.75">
      <c r="A2362" s="124">
        <v>42831</v>
      </c>
      <c r="B2362" s="125">
        <v>59.076999999999998</v>
      </c>
      <c r="C2362" s="52"/>
      <c r="D2362" s="52"/>
      <c r="E2362" s="52"/>
      <c r="F2362" s="52"/>
      <c r="G2362" s="52"/>
      <c r="H2362" s="52"/>
    </row>
    <row r="2363" spans="1:8" ht="15.75">
      <c r="A2363" s="124">
        <v>42832</v>
      </c>
      <c r="B2363" s="125">
        <v>59.529000000000003</v>
      </c>
      <c r="C2363" s="52"/>
      <c r="D2363" s="52"/>
      <c r="E2363" s="52"/>
      <c r="F2363" s="52"/>
      <c r="G2363" s="52"/>
      <c r="H2363" s="52"/>
    </row>
    <row r="2364" spans="1:8" ht="15.75">
      <c r="A2364" s="124">
        <v>42835</v>
      </c>
      <c r="B2364" s="125">
        <v>59.728999999999999</v>
      </c>
      <c r="C2364" s="52"/>
      <c r="D2364" s="52"/>
      <c r="E2364" s="52"/>
      <c r="F2364" s="52"/>
      <c r="G2364" s="52"/>
      <c r="H2364" s="52"/>
    </row>
    <row r="2365" spans="1:8" ht="15.75">
      <c r="A2365" s="124">
        <v>42836</v>
      </c>
      <c r="B2365" s="125">
        <v>60.183999999999997</v>
      </c>
      <c r="C2365" s="52"/>
      <c r="D2365" s="52"/>
      <c r="E2365" s="52"/>
      <c r="F2365" s="52"/>
      <c r="G2365" s="52"/>
      <c r="H2365" s="52"/>
    </row>
    <row r="2366" spans="1:8" ht="15.75">
      <c r="A2366" s="124">
        <v>42837</v>
      </c>
      <c r="B2366" s="125">
        <v>59.87</v>
      </c>
      <c r="C2366" s="52"/>
      <c r="D2366" s="52"/>
      <c r="E2366" s="52"/>
      <c r="F2366" s="52"/>
      <c r="G2366" s="52"/>
      <c r="H2366" s="52"/>
    </row>
    <row r="2367" spans="1:8" ht="15.75">
      <c r="A2367" s="124">
        <v>42838</v>
      </c>
      <c r="B2367" s="125">
        <v>59.649000000000001</v>
      </c>
      <c r="C2367" s="52"/>
      <c r="D2367" s="52"/>
      <c r="E2367" s="52"/>
      <c r="F2367" s="52"/>
      <c r="G2367" s="52"/>
      <c r="H2367" s="52"/>
    </row>
    <row r="2368" spans="1:8" ht="15.75">
      <c r="A2368" s="124">
        <v>42843</v>
      </c>
      <c r="B2368" s="125">
        <v>59.844999999999999</v>
      </c>
      <c r="C2368" s="52"/>
      <c r="D2368" s="52"/>
      <c r="E2368" s="52"/>
      <c r="F2368" s="52"/>
      <c r="G2368" s="52"/>
      <c r="H2368" s="52"/>
    </row>
    <row r="2369" spans="1:8" ht="15.75">
      <c r="A2369" s="124">
        <v>42844</v>
      </c>
      <c r="B2369" s="125">
        <v>60.073999999999998</v>
      </c>
      <c r="C2369" s="52"/>
      <c r="D2369" s="52"/>
      <c r="E2369" s="52"/>
      <c r="F2369" s="52"/>
      <c r="G2369" s="52"/>
      <c r="H2369" s="52"/>
    </row>
    <row r="2370" spans="1:8" ht="15.75">
      <c r="A2370" s="124">
        <v>42845</v>
      </c>
      <c r="B2370" s="125">
        <v>59.747</v>
      </c>
      <c r="C2370" s="52"/>
      <c r="D2370" s="52"/>
      <c r="E2370" s="52"/>
      <c r="F2370" s="52"/>
      <c r="G2370" s="52"/>
      <c r="H2370" s="52"/>
    </row>
    <row r="2371" spans="1:8" ht="15.75">
      <c r="A2371" s="124">
        <v>42846</v>
      </c>
      <c r="B2371" s="125">
        <v>59.960999999999999</v>
      </c>
      <c r="C2371" s="52"/>
      <c r="D2371" s="52"/>
      <c r="E2371" s="52"/>
      <c r="F2371" s="52"/>
      <c r="G2371" s="52"/>
      <c r="H2371" s="52"/>
    </row>
    <row r="2372" spans="1:8" ht="15.75">
      <c r="A2372" s="124">
        <v>42849</v>
      </c>
      <c r="B2372" s="125">
        <v>58.837000000000003</v>
      </c>
      <c r="C2372" s="52"/>
      <c r="D2372" s="52"/>
      <c r="E2372" s="52"/>
      <c r="F2372" s="52"/>
      <c r="G2372" s="52"/>
      <c r="H2372" s="52"/>
    </row>
    <row r="2373" spans="1:8" ht="15.75">
      <c r="A2373" s="124">
        <v>42850</v>
      </c>
      <c r="B2373" s="125">
        <v>59.192999999999998</v>
      </c>
      <c r="C2373" s="52"/>
      <c r="D2373" s="52"/>
      <c r="E2373" s="52"/>
      <c r="F2373" s="52"/>
      <c r="G2373" s="52"/>
      <c r="H2373" s="52"/>
    </row>
    <row r="2374" spans="1:8" ht="15.75">
      <c r="A2374" s="124">
        <v>42851</v>
      </c>
      <c r="B2374" s="125">
        <v>59.87</v>
      </c>
      <c r="C2374" s="52"/>
      <c r="D2374" s="52"/>
      <c r="E2374" s="52"/>
      <c r="F2374" s="52"/>
      <c r="G2374" s="52"/>
      <c r="H2374" s="52"/>
    </row>
    <row r="2375" spans="1:8" ht="15.75">
      <c r="A2375" s="124">
        <v>42852</v>
      </c>
      <c r="B2375" s="125">
        <v>59.795000000000002</v>
      </c>
      <c r="C2375" s="52"/>
      <c r="D2375" s="52"/>
      <c r="E2375" s="52"/>
      <c r="F2375" s="52"/>
      <c r="G2375" s="52"/>
      <c r="H2375" s="52"/>
    </row>
    <row r="2376" spans="1:8" ht="15.75">
      <c r="A2376" s="124">
        <v>42853</v>
      </c>
      <c r="B2376" s="125">
        <v>59.164000000000001</v>
      </c>
      <c r="C2376" s="52"/>
      <c r="D2376" s="52"/>
      <c r="E2376" s="52"/>
      <c r="F2376" s="52"/>
      <c r="G2376" s="52"/>
      <c r="H2376" s="52"/>
    </row>
    <row r="2377" spans="1:8" ht="15.75">
      <c r="A2377" s="124">
        <v>42857</v>
      </c>
      <c r="B2377" s="125">
        <v>59.241999999999997</v>
      </c>
      <c r="C2377" s="52"/>
      <c r="D2377" s="52"/>
      <c r="E2377" s="52"/>
      <c r="F2377" s="52"/>
      <c r="G2377" s="52"/>
      <c r="H2377" s="52"/>
    </row>
    <row r="2378" spans="1:8" ht="15.75">
      <c r="A2378" s="124">
        <v>42858</v>
      </c>
      <c r="B2378" s="125">
        <v>58.753</v>
      </c>
      <c r="C2378" s="52"/>
      <c r="D2378" s="52"/>
      <c r="E2378" s="52"/>
      <c r="F2378" s="52"/>
      <c r="G2378" s="52"/>
      <c r="H2378" s="52"/>
    </row>
    <row r="2379" spans="1:8" ht="15.75">
      <c r="A2379" s="124">
        <v>42859</v>
      </c>
      <c r="B2379" s="125">
        <v>58.347000000000001</v>
      </c>
      <c r="C2379" s="52"/>
      <c r="D2379" s="52"/>
      <c r="E2379" s="52"/>
      <c r="F2379" s="52"/>
      <c r="G2379" s="52"/>
      <c r="H2379" s="52"/>
    </row>
    <row r="2380" spans="1:8" ht="15.75">
      <c r="A2380" s="124">
        <v>42860</v>
      </c>
      <c r="B2380" s="125">
        <v>59.311999999999998</v>
      </c>
      <c r="C2380" s="52"/>
      <c r="D2380" s="52"/>
      <c r="E2380" s="52"/>
      <c r="F2380" s="52"/>
      <c r="G2380" s="52"/>
      <c r="H2380" s="52"/>
    </row>
    <row r="2381" spans="1:8" ht="15.75">
      <c r="A2381" s="124">
        <v>42863</v>
      </c>
      <c r="B2381" s="125">
        <v>59.402000000000001</v>
      </c>
      <c r="C2381" s="52"/>
      <c r="D2381" s="52"/>
      <c r="E2381" s="52"/>
      <c r="F2381" s="52"/>
      <c r="G2381" s="52"/>
      <c r="H2381" s="52"/>
    </row>
    <row r="2382" spans="1:8" ht="15.75">
      <c r="A2382" s="124">
        <v>42864</v>
      </c>
      <c r="B2382" s="125">
        <v>59.241999999999997</v>
      </c>
      <c r="C2382" s="52"/>
      <c r="D2382" s="52"/>
      <c r="E2382" s="52"/>
      <c r="F2382" s="52"/>
      <c r="G2382" s="52"/>
      <c r="H2382" s="52"/>
    </row>
    <row r="2383" spans="1:8" ht="15.75">
      <c r="A2383" s="124">
        <v>42865</v>
      </c>
      <c r="B2383" s="125">
        <v>60.158000000000001</v>
      </c>
      <c r="C2383" s="52"/>
      <c r="D2383" s="52"/>
      <c r="E2383" s="52"/>
      <c r="F2383" s="52"/>
      <c r="G2383" s="52"/>
      <c r="H2383" s="52"/>
    </row>
    <row r="2384" spans="1:8" ht="15.75">
      <c r="A2384" s="124">
        <v>42866</v>
      </c>
      <c r="B2384" s="125">
        <v>59.351999999999997</v>
      </c>
      <c r="C2384" s="52"/>
      <c r="D2384" s="52"/>
      <c r="E2384" s="52"/>
      <c r="F2384" s="52"/>
      <c r="G2384" s="52"/>
      <c r="H2384" s="52"/>
    </row>
    <row r="2385" spans="1:8" ht="15.75">
      <c r="A2385" s="124">
        <v>42867</v>
      </c>
      <c r="B2385" s="125">
        <v>59.551000000000002</v>
      </c>
      <c r="C2385" s="52"/>
      <c r="D2385" s="52"/>
      <c r="E2385" s="52"/>
      <c r="F2385" s="52"/>
      <c r="G2385" s="52"/>
      <c r="H2385" s="52"/>
    </row>
    <row r="2386" spans="1:8" ht="15.75">
      <c r="A2386" s="124">
        <v>42870</v>
      </c>
      <c r="B2386" s="125">
        <v>59.164000000000001</v>
      </c>
      <c r="C2386" s="52"/>
      <c r="D2386" s="52"/>
      <c r="E2386" s="52"/>
      <c r="F2386" s="52"/>
      <c r="G2386" s="52"/>
      <c r="H2386" s="52"/>
    </row>
    <row r="2387" spans="1:8" ht="15.75">
      <c r="A2387" s="124">
        <v>42871</v>
      </c>
      <c r="B2387" s="125">
        <v>58.31</v>
      </c>
      <c r="C2387" s="52"/>
      <c r="D2387" s="52"/>
      <c r="E2387" s="52"/>
      <c r="F2387" s="52"/>
      <c r="G2387" s="52"/>
      <c r="H2387" s="52"/>
    </row>
    <row r="2388" spans="1:8" ht="15.75">
      <c r="A2388" s="124">
        <v>42872</v>
      </c>
      <c r="B2388" s="125">
        <v>57.904000000000003</v>
      </c>
      <c r="C2388" s="52"/>
      <c r="D2388" s="52"/>
      <c r="E2388" s="52"/>
      <c r="F2388" s="52"/>
      <c r="G2388" s="52"/>
      <c r="H2388" s="52"/>
    </row>
    <row r="2389" spans="1:8" ht="15.75">
      <c r="A2389" s="124">
        <v>42873</v>
      </c>
      <c r="B2389" s="125">
        <v>58.625999999999998</v>
      </c>
      <c r="C2389" s="52"/>
      <c r="D2389" s="52"/>
      <c r="E2389" s="52"/>
      <c r="F2389" s="52"/>
      <c r="G2389" s="52"/>
      <c r="H2389" s="52"/>
    </row>
    <row r="2390" spans="1:8" ht="15.75">
      <c r="A2390" s="124">
        <v>42874</v>
      </c>
      <c r="B2390" s="125">
        <v>58.341000000000001</v>
      </c>
      <c r="C2390" s="52"/>
      <c r="D2390" s="52"/>
      <c r="E2390" s="52"/>
      <c r="F2390" s="52"/>
      <c r="G2390" s="52"/>
      <c r="H2390" s="52"/>
    </row>
    <row r="2391" spans="1:8" ht="15.75">
      <c r="A2391" s="124">
        <v>42877</v>
      </c>
      <c r="B2391" s="125">
        <v>58.136000000000003</v>
      </c>
      <c r="C2391" s="52"/>
      <c r="D2391" s="52"/>
      <c r="E2391" s="52"/>
      <c r="F2391" s="52"/>
      <c r="G2391" s="52"/>
      <c r="H2391" s="52"/>
    </row>
    <row r="2392" spans="1:8" ht="15.75">
      <c r="A2392" s="124">
        <v>42878</v>
      </c>
      <c r="B2392" s="125">
        <v>58.07</v>
      </c>
      <c r="C2392" s="52"/>
      <c r="D2392" s="52"/>
      <c r="E2392" s="52"/>
      <c r="F2392" s="52"/>
      <c r="G2392" s="52"/>
      <c r="H2392" s="52"/>
    </row>
    <row r="2393" spans="1:8" ht="15.75">
      <c r="A2393" s="124">
        <v>42879</v>
      </c>
      <c r="B2393" s="125">
        <v>58.149000000000001</v>
      </c>
      <c r="C2393" s="52"/>
      <c r="D2393" s="52"/>
      <c r="E2393" s="52"/>
      <c r="F2393" s="52"/>
      <c r="G2393" s="52"/>
      <c r="H2393" s="52"/>
    </row>
    <row r="2394" spans="1:8" ht="15.75">
      <c r="A2394" s="124">
        <v>42880</v>
      </c>
      <c r="B2394" s="125">
        <v>58.246000000000002</v>
      </c>
      <c r="C2394" s="52"/>
      <c r="D2394" s="52"/>
      <c r="E2394" s="52"/>
      <c r="F2394" s="52"/>
      <c r="G2394" s="52"/>
      <c r="H2394" s="52"/>
    </row>
    <row r="2395" spans="1:8" ht="15.75">
      <c r="A2395" s="124">
        <v>42881</v>
      </c>
      <c r="B2395" s="125">
        <v>58.134999999999998</v>
      </c>
      <c r="C2395" s="52"/>
      <c r="D2395" s="52"/>
      <c r="E2395" s="52"/>
      <c r="F2395" s="52"/>
      <c r="G2395" s="52"/>
      <c r="H2395" s="52"/>
    </row>
    <row r="2396" spans="1:8" ht="15.75">
      <c r="A2396" s="124">
        <v>42884</v>
      </c>
      <c r="B2396" s="125">
        <v>58.04</v>
      </c>
      <c r="C2396" s="52"/>
      <c r="D2396" s="52"/>
      <c r="E2396" s="52"/>
      <c r="F2396" s="52"/>
      <c r="G2396" s="52"/>
      <c r="H2396" s="52"/>
    </row>
    <row r="2397" spans="1:8" ht="15.75">
      <c r="A2397" s="124">
        <v>42885</v>
      </c>
      <c r="B2397" s="125">
        <v>58.503999999999998</v>
      </c>
      <c r="C2397" s="52"/>
      <c r="D2397" s="52"/>
      <c r="E2397" s="52"/>
      <c r="F2397" s="52"/>
      <c r="G2397" s="52"/>
      <c r="H2397" s="52"/>
    </row>
    <row r="2398" spans="1:8" ht="15.75">
      <c r="A2398" s="124">
        <v>42886</v>
      </c>
      <c r="B2398" s="125">
        <v>58.097999999999999</v>
      </c>
      <c r="C2398" s="52"/>
      <c r="D2398" s="52"/>
      <c r="E2398" s="52"/>
      <c r="F2398" s="52"/>
      <c r="G2398" s="52"/>
      <c r="H2398" s="52"/>
    </row>
    <row r="2399" spans="1:8" ht="15.75">
      <c r="A2399" s="124">
        <v>42887</v>
      </c>
      <c r="B2399" s="125">
        <v>57.843000000000004</v>
      </c>
      <c r="C2399" s="52"/>
      <c r="D2399" s="52"/>
      <c r="E2399" s="52"/>
      <c r="F2399" s="52"/>
      <c r="G2399" s="52"/>
      <c r="H2399" s="52"/>
    </row>
    <row r="2400" spans="1:8" ht="15.75">
      <c r="A2400" s="124">
        <v>42888</v>
      </c>
      <c r="B2400" s="125">
        <v>58.747</v>
      </c>
      <c r="C2400" s="52"/>
      <c r="D2400" s="52"/>
      <c r="E2400" s="52"/>
      <c r="F2400" s="52"/>
      <c r="G2400" s="52"/>
      <c r="H2400" s="52"/>
    </row>
    <row r="2401" spans="1:8" ht="15.75">
      <c r="A2401" s="124">
        <v>42892</v>
      </c>
      <c r="B2401" s="125">
        <v>59.487000000000002</v>
      </c>
      <c r="C2401" s="52"/>
      <c r="D2401" s="52"/>
      <c r="E2401" s="52"/>
      <c r="F2401" s="52"/>
      <c r="G2401" s="52"/>
      <c r="H2401" s="52"/>
    </row>
    <row r="2402" spans="1:8" ht="15.75">
      <c r="A2402" s="124">
        <v>42893</v>
      </c>
      <c r="B2402" s="125">
        <v>59.603000000000002</v>
      </c>
      <c r="C2402" s="52"/>
      <c r="D2402" s="52"/>
      <c r="E2402" s="52"/>
      <c r="F2402" s="52"/>
      <c r="G2402" s="52"/>
      <c r="H2402" s="52"/>
    </row>
    <row r="2403" spans="1:8" ht="15.75">
      <c r="A2403" s="124">
        <v>42894</v>
      </c>
      <c r="B2403" s="125">
        <v>59.506999999999998</v>
      </c>
      <c r="C2403" s="52"/>
      <c r="D2403" s="52"/>
      <c r="E2403" s="52"/>
      <c r="F2403" s="52"/>
      <c r="G2403" s="52"/>
      <c r="H2403" s="52"/>
    </row>
    <row r="2404" spans="1:8" ht="15.75">
      <c r="A2404" s="124">
        <v>42895</v>
      </c>
      <c r="B2404" s="125">
        <v>60.262</v>
      </c>
      <c r="C2404" s="52"/>
      <c r="D2404" s="52"/>
      <c r="E2404" s="52"/>
      <c r="F2404" s="52"/>
      <c r="G2404" s="52"/>
      <c r="H2404" s="52"/>
    </row>
    <row r="2405" spans="1:8" ht="15.75">
      <c r="A2405" s="124">
        <v>42898</v>
      </c>
      <c r="B2405" s="125">
        <v>59.591000000000001</v>
      </c>
      <c r="C2405" s="52"/>
      <c r="D2405" s="52"/>
      <c r="E2405" s="52"/>
      <c r="F2405" s="52"/>
      <c r="G2405" s="52"/>
      <c r="H2405" s="52"/>
    </row>
    <row r="2406" spans="1:8" ht="15.75">
      <c r="A2406" s="124">
        <v>42899</v>
      </c>
      <c r="B2406" s="125">
        <v>59.585999999999999</v>
      </c>
      <c r="C2406" s="52"/>
      <c r="D2406" s="52"/>
      <c r="E2406" s="52"/>
      <c r="F2406" s="52"/>
      <c r="G2406" s="52"/>
      <c r="H2406" s="52"/>
    </row>
    <row r="2407" spans="1:8" ht="15.75">
      <c r="A2407" s="124">
        <v>42900</v>
      </c>
      <c r="B2407" s="125">
        <v>59.600999999999999</v>
      </c>
      <c r="C2407" s="52"/>
      <c r="D2407" s="52"/>
      <c r="E2407" s="52"/>
      <c r="F2407" s="52"/>
      <c r="G2407" s="52"/>
      <c r="H2407" s="52"/>
    </row>
    <row r="2408" spans="1:8" ht="15.75">
      <c r="A2408" s="124">
        <v>42901</v>
      </c>
      <c r="B2408" s="125">
        <v>60.860999999999997</v>
      </c>
      <c r="C2408" s="52"/>
      <c r="D2408" s="52"/>
      <c r="E2408" s="52"/>
      <c r="F2408" s="52"/>
      <c r="G2408" s="52"/>
      <c r="H2408" s="52"/>
    </row>
    <row r="2409" spans="1:8" ht="15.75">
      <c r="A2409" s="124">
        <v>42902</v>
      </c>
      <c r="B2409" s="125">
        <v>61.302</v>
      </c>
      <c r="C2409" s="52"/>
      <c r="D2409" s="52"/>
      <c r="E2409" s="52"/>
      <c r="F2409" s="52"/>
      <c r="G2409" s="52"/>
      <c r="H2409" s="52"/>
    </row>
    <row r="2410" spans="1:8" ht="15.75">
      <c r="A2410" s="124">
        <v>42905</v>
      </c>
      <c r="B2410" s="125">
        <v>61.017000000000003</v>
      </c>
      <c r="C2410" s="52"/>
      <c r="D2410" s="52"/>
      <c r="E2410" s="52"/>
      <c r="F2410" s="52"/>
      <c r="G2410" s="52"/>
      <c r="H2410" s="52"/>
    </row>
    <row r="2411" spans="1:8" ht="15.75">
      <c r="A2411" s="124">
        <v>42906</v>
      </c>
      <c r="B2411" s="125">
        <v>60.88</v>
      </c>
      <c r="C2411" s="52"/>
      <c r="D2411" s="52"/>
      <c r="E2411" s="52"/>
      <c r="F2411" s="52"/>
      <c r="G2411" s="52"/>
      <c r="H2411" s="52"/>
    </row>
    <row r="2412" spans="1:8" ht="15.75">
      <c r="A2412" s="124">
        <v>42907</v>
      </c>
      <c r="B2412" s="125">
        <v>60.582000000000001</v>
      </c>
      <c r="C2412" s="52"/>
      <c r="D2412" s="52"/>
      <c r="E2412" s="52"/>
      <c r="F2412" s="52"/>
      <c r="G2412" s="52"/>
      <c r="H2412" s="52"/>
    </row>
    <row r="2413" spans="1:8" ht="15.75">
      <c r="A2413" s="124">
        <v>42908</v>
      </c>
      <c r="B2413" s="125">
        <v>59.887999999999998</v>
      </c>
      <c r="C2413" s="52"/>
      <c r="D2413" s="52"/>
      <c r="E2413" s="52"/>
      <c r="F2413" s="52"/>
      <c r="G2413" s="52"/>
      <c r="H2413" s="52"/>
    </row>
    <row r="2414" spans="1:8" ht="15.75">
      <c r="A2414" s="124">
        <v>42909</v>
      </c>
      <c r="B2414" s="125">
        <v>60.006</v>
      </c>
      <c r="C2414" s="52"/>
      <c r="D2414" s="52"/>
      <c r="E2414" s="52"/>
      <c r="F2414" s="52"/>
      <c r="G2414" s="52"/>
      <c r="H2414" s="52"/>
    </row>
    <row r="2415" spans="1:8" ht="15.75">
      <c r="A2415" s="124">
        <v>42912</v>
      </c>
      <c r="B2415" s="125">
        <v>59.936999999999998</v>
      </c>
      <c r="C2415" s="52"/>
      <c r="D2415" s="52"/>
      <c r="E2415" s="52"/>
      <c r="F2415" s="52"/>
      <c r="G2415" s="52"/>
      <c r="H2415" s="52"/>
    </row>
    <row r="2416" spans="1:8" ht="15.75">
      <c r="A2416" s="124">
        <v>42913</v>
      </c>
      <c r="B2416" s="125">
        <v>58.636000000000003</v>
      </c>
      <c r="C2416" s="52"/>
      <c r="D2416" s="52"/>
      <c r="E2416" s="52"/>
      <c r="F2416" s="52"/>
      <c r="G2416" s="52"/>
      <c r="H2416" s="52"/>
    </row>
    <row r="2417" spans="1:8" ht="15.75">
      <c r="A2417" s="124">
        <v>42914</v>
      </c>
      <c r="B2417" s="125">
        <v>58.09</v>
      </c>
      <c r="C2417" s="52"/>
      <c r="D2417" s="52"/>
      <c r="E2417" s="52"/>
      <c r="F2417" s="52"/>
      <c r="G2417" s="52"/>
      <c r="H2417" s="52"/>
    </row>
    <row r="2418" spans="1:8" ht="15.75">
      <c r="A2418" s="124">
        <v>42915</v>
      </c>
      <c r="B2418" s="125">
        <v>57.929000000000002</v>
      </c>
      <c r="C2418" s="52"/>
      <c r="D2418" s="52"/>
      <c r="E2418" s="52"/>
      <c r="F2418" s="52"/>
      <c r="G2418" s="52"/>
      <c r="H2418" s="52"/>
    </row>
    <row r="2419" spans="1:8" ht="15.75">
      <c r="A2419" s="124">
        <v>42916</v>
      </c>
      <c r="B2419" s="125">
        <v>57.951000000000001</v>
      </c>
      <c r="C2419" s="52"/>
      <c r="D2419" s="52"/>
      <c r="E2419" s="52"/>
      <c r="F2419" s="52"/>
      <c r="G2419" s="52"/>
      <c r="H2419" s="52"/>
    </row>
    <row r="2420" spans="1:8" ht="15.75">
      <c r="A2420" s="124">
        <v>42919</v>
      </c>
      <c r="B2420" s="125">
        <v>58.005000000000003</v>
      </c>
      <c r="C2420" s="52"/>
      <c r="D2420" s="52"/>
      <c r="E2420" s="52"/>
      <c r="F2420" s="52"/>
      <c r="G2420" s="52"/>
      <c r="H2420" s="52"/>
    </row>
    <row r="2421" spans="1:8" ht="15.75">
      <c r="A2421" s="124">
        <v>42920</v>
      </c>
      <c r="B2421" s="125">
        <v>58.47</v>
      </c>
      <c r="C2421" s="52"/>
      <c r="D2421" s="52"/>
      <c r="E2421" s="52"/>
      <c r="F2421" s="52"/>
      <c r="G2421" s="52"/>
      <c r="H2421" s="52"/>
    </row>
    <row r="2422" spans="1:8" ht="15.75">
      <c r="A2422" s="124">
        <v>42921</v>
      </c>
      <c r="B2422" s="125">
        <v>58.808999999999997</v>
      </c>
      <c r="C2422" s="52"/>
      <c r="D2422" s="52"/>
      <c r="E2422" s="52"/>
      <c r="F2422" s="52"/>
      <c r="G2422" s="52"/>
      <c r="H2422" s="52"/>
    </row>
    <row r="2423" spans="1:8" ht="15.75">
      <c r="A2423" s="124">
        <v>42922</v>
      </c>
      <c r="B2423" s="125">
        <v>56.865000000000002</v>
      </c>
      <c r="C2423" s="52"/>
      <c r="D2423" s="52"/>
      <c r="E2423" s="52"/>
      <c r="F2423" s="52"/>
      <c r="G2423" s="52"/>
      <c r="H2423" s="52"/>
    </row>
    <row r="2424" spans="1:8" ht="15.75">
      <c r="A2424" s="124">
        <v>42923</v>
      </c>
      <c r="B2424" s="125">
        <v>57.16</v>
      </c>
      <c r="C2424" s="52"/>
      <c r="D2424" s="52"/>
      <c r="E2424" s="52"/>
      <c r="F2424" s="52"/>
      <c r="G2424" s="52"/>
      <c r="H2424" s="52"/>
    </row>
    <row r="2425" spans="1:8" ht="15.75">
      <c r="A2425" s="124">
        <v>42926</v>
      </c>
      <c r="B2425" s="125">
        <v>56.843000000000004</v>
      </c>
      <c r="C2425" s="52"/>
      <c r="D2425" s="52"/>
      <c r="E2425" s="52"/>
      <c r="F2425" s="52"/>
      <c r="G2425" s="52"/>
      <c r="H2425" s="52"/>
    </row>
    <row r="2426" spans="1:8" ht="15.75">
      <c r="A2426" s="124">
        <v>42927</v>
      </c>
      <c r="B2426" s="125">
        <v>56.12</v>
      </c>
      <c r="C2426" s="52"/>
      <c r="D2426" s="52"/>
      <c r="E2426" s="52"/>
      <c r="F2426" s="52"/>
      <c r="G2426" s="52"/>
      <c r="H2426" s="52"/>
    </row>
    <row r="2427" spans="1:8" ht="15.75">
      <c r="A2427" s="124">
        <v>42928</v>
      </c>
      <c r="B2427" s="125">
        <v>56.746000000000002</v>
      </c>
      <c r="C2427" s="52"/>
      <c r="D2427" s="52"/>
      <c r="E2427" s="52"/>
      <c r="F2427" s="52"/>
      <c r="G2427" s="52"/>
      <c r="H2427" s="52"/>
    </row>
    <row r="2428" spans="1:8" ht="15.75">
      <c r="A2428" s="124">
        <v>42929</v>
      </c>
      <c r="B2428" s="125">
        <v>56.887</v>
      </c>
      <c r="C2428" s="52"/>
      <c r="D2428" s="52"/>
      <c r="E2428" s="52"/>
      <c r="F2428" s="52"/>
      <c r="G2428" s="52"/>
      <c r="H2428" s="52"/>
    </row>
    <row r="2429" spans="1:8" ht="15.75">
      <c r="A2429" s="124">
        <v>42930</v>
      </c>
      <c r="B2429" s="125">
        <v>57.034999999999997</v>
      </c>
      <c r="C2429" s="52"/>
      <c r="D2429" s="52"/>
      <c r="E2429" s="52"/>
      <c r="F2429" s="52"/>
      <c r="G2429" s="52"/>
      <c r="H2429" s="52"/>
    </row>
    <row r="2430" spans="1:8" ht="15.75">
      <c r="A2430" s="124">
        <v>42933</v>
      </c>
      <c r="B2430" s="125">
        <v>57.759</v>
      </c>
      <c r="C2430" s="52"/>
      <c r="D2430" s="52"/>
      <c r="E2430" s="52"/>
      <c r="F2430" s="52"/>
      <c r="G2430" s="52"/>
      <c r="H2430" s="52"/>
    </row>
    <row r="2431" spans="1:8" ht="15.75">
      <c r="A2431" s="124">
        <v>42934</v>
      </c>
      <c r="B2431" s="125">
        <v>57.286999999999999</v>
      </c>
      <c r="C2431" s="52"/>
      <c r="D2431" s="52"/>
      <c r="E2431" s="52"/>
      <c r="F2431" s="52"/>
      <c r="G2431" s="52"/>
      <c r="H2431" s="52"/>
    </row>
    <row r="2432" spans="1:8" ht="15.75">
      <c r="A2432" s="124">
        <v>42935</v>
      </c>
      <c r="B2432" s="125">
        <v>58.037999999999997</v>
      </c>
      <c r="C2432" s="52"/>
      <c r="D2432" s="52"/>
      <c r="E2432" s="52"/>
      <c r="F2432" s="52"/>
      <c r="G2432" s="52"/>
      <c r="H2432" s="52"/>
    </row>
    <row r="2433" spans="1:8" ht="15.75">
      <c r="A2433" s="124">
        <v>42936</v>
      </c>
      <c r="B2433" s="125">
        <v>57.951000000000001</v>
      </c>
      <c r="C2433" s="52"/>
      <c r="D2433" s="52"/>
      <c r="E2433" s="52"/>
      <c r="F2433" s="52"/>
      <c r="G2433" s="52"/>
      <c r="H2433" s="52"/>
    </row>
    <row r="2434" spans="1:8" ht="15.75">
      <c r="A2434" s="124">
        <v>42937</v>
      </c>
      <c r="B2434" s="125">
        <v>57.268999999999998</v>
      </c>
      <c r="C2434" s="52"/>
      <c r="D2434" s="52"/>
      <c r="E2434" s="52"/>
      <c r="F2434" s="52"/>
      <c r="G2434" s="52"/>
      <c r="H2434" s="52"/>
    </row>
    <row r="2435" spans="1:8" ht="15.75">
      <c r="A2435" s="124">
        <v>42940</v>
      </c>
      <c r="B2435" s="125">
        <v>57.164999999999999</v>
      </c>
      <c r="C2435" s="52"/>
      <c r="D2435" s="52"/>
      <c r="E2435" s="52"/>
      <c r="F2435" s="52"/>
      <c r="G2435" s="52"/>
      <c r="H2435" s="52"/>
    </row>
    <row r="2436" spans="1:8" ht="15.75">
      <c r="A2436" s="124">
        <v>42941</v>
      </c>
      <c r="B2436" s="125">
        <v>56.301000000000002</v>
      </c>
      <c r="C2436" s="52"/>
      <c r="D2436" s="52"/>
      <c r="E2436" s="52"/>
      <c r="F2436" s="52"/>
      <c r="G2436" s="52"/>
      <c r="H2436" s="52"/>
    </row>
    <row r="2437" spans="1:8" ht="15.75">
      <c r="A2437" s="124">
        <v>42942</v>
      </c>
      <c r="B2437" s="125">
        <v>57.61</v>
      </c>
      <c r="C2437" s="52"/>
      <c r="D2437" s="52"/>
      <c r="E2437" s="52"/>
      <c r="F2437" s="52"/>
      <c r="G2437" s="52"/>
      <c r="H2437" s="52"/>
    </row>
    <row r="2438" spans="1:8" ht="15.75">
      <c r="A2438" s="124">
        <v>42943</v>
      </c>
      <c r="B2438" s="125">
        <v>57.643999999999998</v>
      </c>
      <c r="C2438" s="52"/>
      <c r="D2438" s="52"/>
      <c r="E2438" s="52"/>
      <c r="F2438" s="52"/>
      <c r="G2438" s="52"/>
      <c r="H2438" s="52"/>
    </row>
    <row r="2439" spans="1:8" ht="15.75">
      <c r="A2439" s="124">
        <v>42944</v>
      </c>
      <c r="B2439" s="125">
        <v>57.411999999999999</v>
      </c>
      <c r="C2439" s="52"/>
      <c r="D2439" s="52"/>
      <c r="E2439" s="52"/>
      <c r="F2439" s="52"/>
      <c r="G2439" s="52"/>
      <c r="H2439" s="52"/>
    </row>
    <row r="2440" spans="1:8" ht="15.75">
      <c r="A2440" s="124">
        <v>42947</v>
      </c>
      <c r="B2440" s="125">
        <v>57.311</v>
      </c>
      <c r="C2440" s="52"/>
      <c r="D2440" s="52"/>
      <c r="E2440" s="52"/>
      <c r="F2440" s="52"/>
      <c r="G2440" s="52"/>
      <c r="H2440" s="52"/>
    </row>
    <row r="2441" spans="1:8" ht="15.75">
      <c r="A2441" s="124">
        <v>42948</v>
      </c>
      <c r="B2441" s="125">
        <v>57.386000000000003</v>
      </c>
      <c r="C2441" s="52"/>
      <c r="D2441" s="52"/>
      <c r="E2441" s="52"/>
      <c r="F2441" s="52"/>
      <c r="G2441" s="52"/>
      <c r="H2441" s="52"/>
    </row>
    <row r="2442" spans="1:8" ht="15.75">
      <c r="A2442" s="124">
        <v>42949</v>
      </c>
      <c r="B2442" s="125">
        <v>57.078000000000003</v>
      </c>
      <c r="C2442" s="52"/>
      <c r="D2442" s="52"/>
      <c r="E2442" s="52"/>
      <c r="F2442" s="52"/>
      <c r="G2442" s="52"/>
      <c r="H2442" s="52"/>
    </row>
    <row r="2443" spans="1:8" ht="15.75">
      <c r="A2443" s="124">
        <v>42950</v>
      </c>
      <c r="B2443" s="125">
        <v>56.73</v>
      </c>
      <c r="C2443" s="52"/>
      <c r="D2443" s="52"/>
      <c r="E2443" s="52"/>
      <c r="F2443" s="52"/>
      <c r="G2443" s="52"/>
      <c r="H2443" s="52"/>
    </row>
    <row r="2444" spans="1:8" ht="15.75">
      <c r="A2444" s="124">
        <v>42951</v>
      </c>
      <c r="B2444" s="125">
        <v>57.148000000000003</v>
      </c>
      <c r="C2444" s="52"/>
      <c r="D2444" s="52"/>
      <c r="E2444" s="52"/>
      <c r="F2444" s="52"/>
      <c r="G2444" s="52"/>
      <c r="H2444" s="52"/>
    </row>
    <row r="2445" spans="1:8" ht="15.75">
      <c r="A2445" s="124">
        <v>42954</v>
      </c>
      <c r="B2445" s="125">
        <v>57.015000000000001</v>
      </c>
      <c r="C2445" s="52"/>
      <c r="D2445" s="52"/>
      <c r="E2445" s="52"/>
      <c r="F2445" s="52"/>
      <c r="G2445" s="52"/>
      <c r="H2445" s="52"/>
    </row>
    <row r="2446" spans="1:8" ht="15.75">
      <c r="A2446" s="124">
        <v>42955</v>
      </c>
      <c r="B2446" s="125">
        <v>56.802999999999997</v>
      </c>
      <c r="C2446" s="52"/>
      <c r="D2446" s="52"/>
      <c r="E2446" s="52"/>
      <c r="F2446" s="52"/>
      <c r="G2446" s="52"/>
      <c r="H2446" s="52"/>
    </row>
    <row r="2447" spans="1:8" ht="15.75">
      <c r="A2447" s="124">
        <v>42956</v>
      </c>
      <c r="B2447" s="125">
        <v>57.107999999999997</v>
      </c>
      <c r="C2447" s="52"/>
      <c r="D2447" s="52"/>
      <c r="E2447" s="52"/>
      <c r="F2447" s="52"/>
      <c r="G2447" s="52"/>
      <c r="H2447" s="52"/>
    </row>
    <row r="2448" spans="1:8" ht="15.75">
      <c r="A2448" s="124">
        <v>42957</v>
      </c>
      <c r="B2448" s="125">
        <v>57.031999999999996</v>
      </c>
      <c r="C2448" s="52"/>
      <c r="D2448" s="52"/>
      <c r="E2448" s="52"/>
      <c r="F2448" s="52"/>
      <c r="G2448" s="52"/>
      <c r="H2448" s="52"/>
    </row>
    <row r="2449" spans="1:8" ht="15.75">
      <c r="A2449" s="124">
        <v>42958</v>
      </c>
      <c r="B2449" s="125">
        <v>56.274999999999999</v>
      </c>
      <c r="C2449" s="52"/>
      <c r="D2449" s="52"/>
      <c r="E2449" s="52"/>
      <c r="F2449" s="52"/>
      <c r="G2449" s="52"/>
      <c r="H2449" s="52"/>
    </row>
    <row r="2450" spans="1:8" ht="15.75">
      <c r="A2450" s="124">
        <v>42961</v>
      </c>
      <c r="B2450" s="125">
        <v>57.515000000000001</v>
      </c>
      <c r="C2450" s="52"/>
      <c r="D2450" s="52"/>
      <c r="E2450" s="52"/>
      <c r="F2450" s="52"/>
      <c r="G2450" s="52"/>
      <c r="H2450" s="52"/>
    </row>
    <row r="2451" spans="1:8" ht="15.75">
      <c r="A2451" s="124">
        <v>42962</v>
      </c>
      <c r="B2451" s="125">
        <v>57.576999999999998</v>
      </c>
      <c r="C2451" s="52"/>
      <c r="D2451" s="52"/>
      <c r="E2451" s="52"/>
      <c r="F2451" s="52"/>
      <c r="G2451" s="52"/>
      <c r="H2451" s="52"/>
    </row>
    <row r="2452" spans="1:8" ht="15.75">
      <c r="A2452" s="124">
        <v>42963</v>
      </c>
      <c r="B2452" s="125">
        <v>57.850999999999999</v>
      </c>
      <c r="C2452" s="52"/>
      <c r="D2452" s="52"/>
      <c r="E2452" s="52"/>
      <c r="F2452" s="52"/>
      <c r="G2452" s="52"/>
      <c r="H2452" s="52"/>
    </row>
    <row r="2453" spans="1:8" ht="15.75">
      <c r="A2453" s="124">
        <v>42964</v>
      </c>
      <c r="B2453" s="125">
        <v>57.667999999999999</v>
      </c>
      <c r="C2453" s="52"/>
      <c r="D2453" s="52"/>
      <c r="E2453" s="52"/>
      <c r="F2453" s="52"/>
      <c r="G2453" s="52"/>
      <c r="H2453" s="52"/>
    </row>
    <row r="2454" spans="1:8" ht="15.75">
      <c r="A2454" s="124">
        <v>42965</v>
      </c>
      <c r="B2454" s="125">
        <v>57.064999999999998</v>
      </c>
      <c r="C2454" s="52"/>
      <c r="D2454" s="52"/>
      <c r="E2454" s="52"/>
      <c r="F2454" s="52"/>
      <c r="G2454" s="52"/>
      <c r="H2454" s="52"/>
    </row>
    <row r="2455" spans="1:8" ht="15.75">
      <c r="A2455" s="124">
        <v>42968</v>
      </c>
      <c r="B2455" s="125">
        <v>57.402999999999999</v>
      </c>
      <c r="C2455" s="52"/>
      <c r="D2455" s="52"/>
      <c r="E2455" s="52"/>
      <c r="F2455" s="52"/>
      <c r="G2455" s="52"/>
      <c r="H2455" s="52"/>
    </row>
    <row r="2456" spans="1:8" ht="15.75">
      <c r="A2456" s="124">
        <v>42969</v>
      </c>
      <c r="B2456" s="125">
        <v>57.518000000000001</v>
      </c>
      <c r="C2456" s="52"/>
      <c r="D2456" s="52"/>
      <c r="E2456" s="52"/>
      <c r="F2456" s="52"/>
      <c r="G2456" s="52"/>
      <c r="H2456" s="52"/>
    </row>
    <row r="2457" spans="1:8" ht="15.75">
      <c r="A2457" s="124">
        <v>42970</v>
      </c>
      <c r="B2457" s="125">
        <v>57.488999999999997</v>
      </c>
      <c r="C2457" s="52"/>
      <c r="D2457" s="52"/>
      <c r="E2457" s="52"/>
      <c r="F2457" s="52"/>
      <c r="G2457" s="52"/>
      <c r="H2457" s="52"/>
    </row>
    <row r="2458" spans="1:8" ht="15.75">
      <c r="A2458" s="124">
        <v>42971</v>
      </c>
      <c r="B2458" s="125">
        <v>57.755000000000003</v>
      </c>
      <c r="C2458" s="52"/>
      <c r="D2458" s="52"/>
      <c r="E2458" s="52"/>
      <c r="F2458" s="52"/>
      <c r="G2458" s="52"/>
      <c r="H2458" s="52"/>
    </row>
    <row r="2459" spans="1:8" ht="15.75">
      <c r="A2459" s="124">
        <v>42972</v>
      </c>
      <c r="B2459" s="125">
        <v>57.271999999999998</v>
      </c>
      <c r="C2459" s="52"/>
      <c r="D2459" s="52"/>
      <c r="E2459" s="52"/>
      <c r="F2459" s="52"/>
      <c r="G2459" s="52"/>
      <c r="H2459" s="52"/>
    </row>
    <row r="2460" spans="1:8" ht="15.75">
      <c r="A2460" s="124">
        <v>42975</v>
      </c>
      <c r="B2460" s="125">
        <v>56.017000000000003</v>
      </c>
      <c r="C2460" s="52"/>
      <c r="D2460" s="52"/>
      <c r="E2460" s="52"/>
      <c r="F2460" s="52"/>
      <c r="G2460" s="52"/>
      <c r="H2460" s="52"/>
    </row>
    <row r="2461" spans="1:8" ht="15.75">
      <c r="A2461" s="124">
        <v>42976</v>
      </c>
      <c r="B2461" s="125">
        <v>56.015000000000001</v>
      </c>
      <c r="C2461" s="52"/>
      <c r="D2461" s="52"/>
      <c r="E2461" s="52"/>
      <c r="F2461" s="52"/>
      <c r="G2461" s="52"/>
      <c r="H2461" s="52"/>
    </row>
    <row r="2462" spans="1:8" ht="15.75">
      <c r="A2462" s="124">
        <v>42977</v>
      </c>
      <c r="B2462" s="125">
        <v>56.381999999999998</v>
      </c>
      <c r="C2462" s="52"/>
      <c r="D2462" s="52"/>
      <c r="E2462" s="52"/>
      <c r="F2462" s="52"/>
      <c r="G2462" s="52"/>
      <c r="H2462" s="52"/>
    </row>
    <row r="2463" spans="1:8" ht="15.75">
      <c r="A2463" s="124">
        <v>42978</v>
      </c>
      <c r="B2463" s="125">
        <v>56.256999999999998</v>
      </c>
      <c r="C2463" s="52"/>
      <c r="D2463" s="52"/>
      <c r="E2463" s="52"/>
      <c r="F2463" s="52"/>
      <c r="G2463" s="52"/>
      <c r="H2463" s="52"/>
    </row>
    <row r="2464" spans="1:8" ht="15.75">
      <c r="A2464" s="124">
        <v>42979</v>
      </c>
      <c r="B2464" s="125">
        <v>56.613</v>
      </c>
      <c r="C2464" s="52"/>
      <c r="D2464" s="52"/>
      <c r="E2464" s="52"/>
      <c r="F2464" s="52"/>
      <c r="G2464" s="52"/>
      <c r="H2464" s="52"/>
    </row>
    <row r="2465" spans="1:8" ht="15.75">
      <c r="A2465" s="124">
        <v>42982</v>
      </c>
      <c r="B2465" s="125">
        <v>55.837000000000003</v>
      </c>
      <c r="C2465" s="52"/>
      <c r="D2465" s="52"/>
      <c r="E2465" s="52"/>
      <c r="F2465" s="52"/>
      <c r="G2465" s="52"/>
      <c r="H2465" s="52"/>
    </row>
    <row r="2466" spans="1:8" ht="15.75">
      <c r="A2466" s="124">
        <v>42983</v>
      </c>
      <c r="B2466" s="125">
        <v>56.027000000000001</v>
      </c>
      <c r="C2466" s="52"/>
      <c r="D2466" s="52"/>
      <c r="E2466" s="52"/>
      <c r="F2466" s="52"/>
      <c r="G2466" s="52"/>
      <c r="H2466" s="52"/>
    </row>
    <row r="2467" spans="1:8" ht="15.75">
      <c r="A2467" s="124">
        <v>42984</v>
      </c>
      <c r="B2467" s="125">
        <v>56.328000000000003</v>
      </c>
      <c r="C2467" s="52"/>
      <c r="D2467" s="52"/>
      <c r="E2467" s="52"/>
      <c r="F2467" s="52"/>
      <c r="G2467" s="52"/>
      <c r="H2467" s="52"/>
    </row>
    <row r="2468" spans="1:8" ht="15.75">
      <c r="A2468" s="124">
        <v>42985</v>
      </c>
      <c r="B2468" s="125">
        <v>56.276000000000003</v>
      </c>
      <c r="C2468" s="52"/>
      <c r="D2468" s="52"/>
      <c r="E2468" s="52"/>
      <c r="F2468" s="52"/>
      <c r="G2468" s="52"/>
      <c r="H2468" s="52"/>
    </row>
    <row r="2469" spans="1:8" ht="15.75">
      <c r="A2469" s="124">
        <v>42986</v>
      </c>
      <c r="B2469" s="125">
        <v>56.732999999999997</v>
      </c>
      <c r="C2469" s="52"/>
      <c r="D2469" s="52"/>
      <c r="E2469" s="52"/>
      <c r="F2469" s="52"/>
      <c r="G2469" s="52"/>
      <c r="H2469" s="52"/>
    </row>
    <row r="2470" spans="1:8" ht="15.75">
      <c r="A2470" s="124">
        <v>42989</v>
      </c>
      <c r="B2470" s="125">
        <v>57.396000000000001</v>
      </c>
      <c r="C2470" s="52"/>
      <c r="D2470" s="52"/>
      <c r="E2470" s="52"/>
      <c r="F2470" s="52"/>
      <c r="G2470" s="52"/>
      <c r="H2470" s="52"/>
    </row>
    <row r="2471" spans="1:8" ht="15.75">
      <c r="A2471" s="124">
        <v>42990</v>
      </c>
      <c r="B2471" s="125">
        <v>56.124000000000002</v>
      </c>
      <c r="C2471" s="52"/>
      <c r="D2471" s="52"/>
      <c r="E2471" s="52"/>
      <c r="F2471" s="52"/>
      <c r="G2471" s="52"/>
      <c r="H2471" s="52"/>
    </row>
    <row r="2472" spans="1:8" ht="15.75">
      <c r="A2472" s="124">
        <v>42991</v>
      </c>
      <c r="B2472" s="125">
        <v>56.567</v>
      </c>
      <c r="C2472" s="52"/>
      <c r="D2472" s="52"/>
      <c r="E2472" s="52"/>
      <c r="F2472" s="52"/>
      <c r="G2472" s="52"/>
      <c r="H2472" s="52"/>
    </row>
    <row r="2473" spans="1:8" ht="15.75">
      <c r="A2473" s="124">
        <v>42992</v>
      </c>
      <c r="B2473" s="125">
        <v>56.567999999999998</v>
      </c>
      <c r="C2473" s="52"/>
      <c r="D2473" s="52"/>
      <c r="E2473" s="52"/>
      <c r="F2473" s="52"/>
      <c r="G2473" s="52"/>
      <c r="H2473" s="52"/>
    </row>
    <row r="2474" spans="1:8" ht="15.75">
      <c r="A2474" s="124">
        <v>42993</v>
      </c>
      <c r="B2474" s="125">
        <v>56.508000000000003</v>
      </c>
      <c r="C2474" s="52"/>
      <c r="D2474" s="52"/>
      <c r="E2474" s="52"/>
      <c r="F2474" s="52"/>
      <c r="G2474" s="52"/>
      <c r="H2474" s="52"/>
    </row>
    <row r="2475" spans="1:8" ht="15.75">
      <c r="A2475" s="124">
        <v>42996</v>
      </c>
      <c r="B2475" s="125">
        <v>56.505000000000003</v>
      </c>
      <c r="C2475" s="52"/>
      <c r="D2475" s="52"/>
      <c r="E2475" s="52"/>
      <c r="F2475" s="52"/>
      <c r="G2475" s="52"/>
      <c r="H2475" s="52"/>
    </row>
    <row r="2476" spans="1:8" ht="15.75">
      <c r="A2476" s="124">
        <v>42997</v>
      </c>
      <c r="B2476" s="125">
        <v>55.613999999999997</v>
      </c>
      <c r="C2476" s="52"/>
      <c r="D2476" s="52"/>
      <c r="E2476" s="52"/>
      <c r="F2476" s="52"/>
      <c r="G2476" s="52"/>
      <c r="H2476" s="52"/>
    </row>
    <row r="2477" spans="1:8" ht="15.75">
      <c r="A2477" s="124">
        <v>42998</v>
      </c>
      <c r="B2477" s="125">
        <v>55.575000000000003</v>
      </c>
      <c r="C2477" s="52"/>
      <c r="D2477" s="52"/>
      <c r="E2477" s="52"/>
      <c r="F2477" s="52"/>
      <c r="G2477" s="52"/>
      <c r="H2477" s="52"/>
    </row>
    <row r="2478" spans="1:8" ht="15.75">
      <c r="A2478" s="124">
        <v>42999</v>
      </c>
      <c r="B2478" s="125">
        <v>55.691000000000003</v>
      </c>
      <c r="C2478" s="52"/>
      <c r="D2478" s="52"/>
      <c r="E2478" s="52"/>
      <c r="F2478" s="52"/>
      <c r="G2478" s="52"/>
      <c r="H2478" s="52"/>
    </row>
    <row r="2479" spans="1:8" ht="15.75">
      <c r="A2479" s="124">
        <v>43000</v>
      </c>
      <c r="B2479" s="125">
        <v>55.036000000000001</v>
      </c>
      <c r="C2479" s="52"/>
      <c r="D2479" s="52"/>
      <c r="E2479" s="52"/>
      <c r="F2479" s="52"/>
      <c r="G2479" s="52"/>
      <c r="H2479" s="52"/>
    </row>
    <row r="2480" spans="1:8" ht="15.75">
      <c r="A2480" s="124">
        <v>43003</v>
      </c>
      <c r="B2480" s="125">
        <v>55.898000000000003</v>
      </c>
      <c r="C2480" s="52"/>
      <c r="D2480" s="52"/>
      <c r="E2480" s="52"/>
      <c r="F2480" s="52"/>
      <c r="G2480" s="52"/>
      <c r="H2480" s="52"/>
    </row>
    <row r="2481" spans="1:8" ht="15.75">
      <c r="A2481" s="124">
        <v>43004</v>
      </c>
      <c r="B2481" s="125">
        <v>55.963999999999999</v>
      </c>
      <c r="C2481" s="52"/>
      <c r="D2481" s="52"/>
      <c r="E2481" s="52"/>
      <c r="F2481" s="52"/>
      <c r="G2481" s="52"/>
      <c r="H2481" s="52"/>
    </row>
    <row r="2482" spans="1:8" ht="15.75">
      <c r="A2482" s="124">
        <v>43005</v>
      </c>
      <c r="B2482" s="125">
        <v>55.680999999999997</v>
      </c>
      <c r="C2482" s="52"/>
      <c r="D2482" s="52"/>
      <c r="E2482" s="52"/>
      <c r="F2482" s="52"/>
      <c r="G2482" s="52"/>
      <c r="H2482" s="52"/>
    </row>
    <row r="2483" spans="1:8" ht="15.75">
      <c r="A2483" s="124">
        <v>43006</v>
      </c>
      <c r="B2483" s="125">
        <v>55.701000000000001</v>
      </c>
      <c r="C2483" s="52"/>
      <c r="D2483" s="52"/>
      <c r="E2483" s="52"/>
      <c r="F2483" s="52"/>
      <c r="G2483" s="52"/>
      <c r="H2483" s="52"/>
    </row>
    <row r="2484" spans="1:8" ht="15.75">
      <c r="A2484" s="124">
        <v>43007</v>
      </c>
      <c r="B2484" s="125">
        <v>55.591000000000001</v>
      </c>
      <c r="C2484" s="52"/>
      <c r="D2484" s="52"/>
      <c r="E2484" s="52"/>
      <c r="F2484" s="52"/>
      <c r="G2484" s="52"/>
      <c r="H2484" s="52"/>
    </row>
    <row r="2485" spans="1:8" ht="15.75">
      <c r="A2485" s="124">
        <v>43010</v>
      </c>
      <c r="B2485" s="125">
        <v>55.99</v>
      </c>
      <c r="C2485" s="52"/>
      <c r="D2485" s="52"/>
      <c r="E2485" s="52"/>
      <c r="F2485" s="52"/>
      <c r="G2485" s="52"/>
      <c r="H2485" s="52"/>
    </row>
    <row r="2486" spans="1:8" ht="15.75">
      <c r="A2486" s="124">
        <v>43012</v>
      </c>
      <c r="B2486" s="125">
        <v>56.137</v>
      </c>
      <c r="C2486" s="52"/>
      <c r="D2486" s="52"/>
      <c r="E2486" s="52"/>
      <c r="F2486" s="52"/>
      <c r="G2486" s="52"/>
      <c r="H2486" s="52"/>
    </row>
    <row r="2487" spans="1:8" ht="15.75">
      <c r="A2487" s="124">
        <v>43013</v>
      </c>
      <c r="B2487" s="125">
        <v>56.796999999999997</v>
      </c>
      <c r="C2487" s="52"/>
      <c r="D2487" s="52"/>
      <c r="E2487" s="52"/>
      <c r="F2487" s="52"/>
      <c r="G2487" s="52"/>
      <c r="H2487" s="52"/>
    </row>
    <row r="2488" spans="1:8" ht="15.75">
      <c r="A2488" s="124">
        <v>43014</v>
      </c>
      <c r="B2488" s="125">
        <v>56.423000000000002</v>
      </c>
      <c r="C2488" s="52"/>
      <c r="D2488" s="52"/>
      <c r="E2488" s="52"/>
      <c r="F2488" s="52"/>
      <c r="G2488" s="52"/>
      <c r="H2488" s="52"/>
    </row>
    <row r="2489" spans="1:8" ht="15.75">
      <c r="A2489" s="124">
        <v>43017</v>
      </c>
      <c r="B2489" s="125">
        <v>56.552999999999997</v>
      </c>
      <c r="C2489" s="52"/>
      <c r="D2489" s="52"/>
      <c r="E2489" s="52"/>
      <c r="F2489" s="52"/>
      <c r="G2489" s="52"/>
      <c r="H2489" s="52"/>
    </row>
    <row r="2490" spans="1:8" ht="15.75">
      <c r="A2490" s="124">
        <v>43018</v>
      </c>
      <c r="B2490" s="125">
        <v>56.13</v>
      </c>
      <c r="C2490" s="52"/>
      <c r="D2490" s="52"/>
      <c r="E2490" s="52"/>
      <c r="F2490" s="52"/>
      <c r="G2490" s="52"/>
      <c r="H2490" s="52"/>
    </row>
    <row r="2491" spans="1:8" ht="15.75">
      <c r="A2491" s="124">
        <v>43019</v>
      </c>
      <c r="B2491" s="125">
        <v>56.244999999999997</v>
      </c>
      <c r="C2491" s="52"/>
      <c r="D2491" s="52"/>
      <c r="E2491" s="52"/>
      <c r="F2491" s="52"/>
      <c r="G2491" s="52"/>
      <c r="H2491" s="52"/>
    </row>
    <row r="2492" spans="1:8" ht="15.75">
      <c r="A2492" s="124">
        <v>43020</v>
      </c>
      <c r="B2492" s="125">
        <v>56.720999999999997</v>
      </c>
      <c r="C2492" s="52"/>
      <c r="D2492" s="52"/>
      <c r="E2492" s="52"/>
      <c r="F2492" s="52"/>
      <c r="G2492" s="52"/>
      <c r="H2492" s="52"/>
    </row>
    <row r="2493" spans="1:8" ht="15.75">
      <c r="A2493" s="124">
        <v>43021</v>
      </c>
      <c r="B2493" s="125">
        <v>57.051000000000002</v>
      </c>
      <c r="C2493" s="52"/>
      <c r="D2493" s="52"/>
      <c r="E2493" s="52"/>
      <c r="F2493" s="52"/>
      <c r="G2493" s="52"/>
      <c r="H2493" s="52"/>
    </row>
    <row r="2494" spans="1:8" ht="15.75">
      <c r="A2494" s="124">
        <v>43024</v>
      </c>
      <c r="B2494" s="125">
        <v>56.834000000000003</v>
      </c>
      <c r="C2494" s="52"/>
      <c r="D2494" s="52"/>
      <c r="E2494" s="52"/>
      <c r="F2494" s="52"/>
      <c r="G2494" s="52"/>
      <c r="H2494" s="52"/>
    </row>
    <row r="2495" spans="1:8" ht="15.75">
      <c r="A2495" s="124">
        <v>43025</v>
      </c>
      <c r="B2495" s="125">
        <v>56.674999999999997</v>
      </c>
      <c r="C2495" s="52"/>
      <c r="D2495" s="52"/>
      <c r="E2495" s="52"/>
      <c r="F2495" s="52"/>
      <c r="G2495" s="52"/>
      <c r="H2495" s="52"/>
    </row>
    <row r="2496" spans="1:8" ht="15.75">
      <c r="A2496" s="124">
        <v>43026</v>
      </c>
      <c r="B2496" s="125">
        <v>56.624000000000002</v>
      </c>
      <c r="C2496" s="52"/>
      <c r="D2496" s="52"/>
      <c r="E2496" s="52"/>
      <c r="F2496" s="52"/>
      <c r="G2496" s="52"/>
      <c r="H2496" s="52"/>
    </row>
    <row r="2497" spans="1:8" ht="15.75">
      <c r="A2497" s="124">
        <v>43027</v>
      </c>
      <c r="B2497" s="125">
        <v>55.784999999999997</v>
      </c>
      <c r="C2497" s="52"/>
      <c r="D2497" s="52"/>
      <c r="E2497" s="52"/>
      <c r="F2497" s="52"/>
      <c r="G2497" s="52"/>
      <c r="H2497" s="52"/>
    </row>
    <row r="2498" spans="1:8" ht="15.75">
      <c r="A2498" s="124">
        <v>43028</v>
      </c>
      <c r="B2498" s="125">
        <v>55.811999999999998</v>
      </c>
      <c r="C2498" s="52"/>
      <c r="D2498" s="52"/>
      <c r="E2498" s="52"/>
      <c r="F2498" s="52"/>
      <c r="G2498" s="52"/>
      <c r="H2498" s="52"/>
    </row>
    <row r="2499" spans="1:8" ht="15.75">
      <c r="A2499" s="124">
        <v>43031</v>
      </c>
      <c r="B2499" s="125">
        <v>56.595999999999997</v>
      </c>
      <c r="C2499" s="52"/>
      <c r="D2499" s="52"/>
      <c r="E2499" s="52"/>
      <c r="F2499" s="52"/>
      <c r="G2499" s="52"/>
      <c r="H2499" s="52"/>
    </row>
    <row r="2500" spans="1:8" ht="15.75">
      <c r="A2500" s="124">
        <v>43032</v>
      </c>
      <c r="B2500" s="125">
        <v>55.613</v>
      </c>
      <c r="C2500" s="52"/>
      <c r="D2500" s="52"/>
      <c r="E2500" s="52"/>
      <c r="F2500" s="52"/>
      <c r="G2500" s="52"/>
      <c r="H2500" s="52"/>
    </row>
    <row r="2501" spans="1:8" ht="15.75">
      <c r="A2501" s="124">
        <v>43033</v>
      </c>
      <c r="B2501" s="125">
        <v>56.603999999999999</v>
      </c>
      <c r="C2501" s="52"/>
      <c r="D2501" s="52"/>
      <c r="E2501" s="52"/>
      <c r="F2501" s="52"/>
      <c r="G2501" s="52"/>
      <c r="H2501" s="52"/>
    </row>
    <row r="2502" spans="1:8" ht="15.75">
      <c r="A2502" s="124">
        <v>43034</v>
      </c>
      <c r="B2502" s="125">
        <v>57.149000000000001</v>
      </c>
      <c r="C2502" s="52"/>
      <c r="D2502" s="52"/>
      <c r="E2502" s="52"/>
      <c r="F2502" s="52"/>
      <c r="G2502" s="52"/>
      <c r="H2502" s="52"/>
    </row>
    <row r="2503" spans="1:8" ht="15.75">
      <c r="A2503" s="124">
        <v>43035</v>
      </c>
      <c r="B2503" s="125">
        <v>58.204000000000001</v>
      </c>
      <c r="C2503" s="52"/>
      <c r="D2503" s="52"/>
      <c r="E2503" s="52"/>
      <c r="F2503" s="52"/>
      <c r="G2503" s="52"/>
      <c r="H2503" s="52"/>
    </row>
    <row r="2504" spans="1:8" ht="15.75">
      <c r="A2504" s="124">
        <v>43038</v>
      </c>
      <c r="B2504" s="125">
        <v>57.661000000000001</v>
      </c>
      <c r="C2504" s="52"/>
      <c r="D2504" s="52"/>
      <c r="E2504" s="52"/>
      <c r="F2504" s="52"/>
      <c r="G2504" s="52"/>
      <c r="H2504" s="52"/>
    </row>
    <row r="2505" spans="1:8" ht="15.75">
      <c r="A2505" s="124">
        <v>43040</v>
      </c>
      <c r="B2505" s="125">
        <v>58.267000000000003</v>
      </c>
      <c r="C2505" s="52"/>
      <c r="D2505" s="52"/>
      <c r="E2505" s="52"/>
      <c r="F2505" s="52"/>
      <c r="G2505" s="52"/>
      <c r="H2505" s="52"/>
    </row>
    <row r="2506" spans="1:8" ht="15.75">
      <c r="A2506" s="124">
        <v>43041</v>
      </c>
      <c r="B2506" s="125">
        <v>57.101999999999997</v>
      </c>
      <c r="C2506" s="52"/>
      <c r="D2506" s="52"/>
      <c r="E2506" s="52"/>
      <c r="F2506" s="52"/>
      <c r="G2506" s="52"/>
      <c r="H2506" s="52"/>
    </row>
    <row r="2507" spans="1:8" ht="15.75">
      <c r="A2507" s="124">
        <v>43042</v>
      </c>
      <c r="B2507" s="125">
        <v>58.552999999999997</v>
      </c>
      <c r="C2507" s="52"/>
      <c r="D2507" s="52"/>
      <c r="E2507" s="52"/>
      <c r="F2507" s="52"/>
      <c r="G2507" s="52"/>
      <c r="H2507" s="52"/>
    </row>
    <row r="2508" spans="1:8" ht="15.75">
      <c r="A2508" s="124">
        <v>43045</v>
      </c>
      <c r="B2508" s="125">
        <v>59.621000000000002</v>
      </c>
      <c r="C2508" s="52"/>
      <c r="D2508" s="52"/>
      <c r="E2508" s="52"/>
      <c r="F2508" s="52"/>
      <c r="G2508" s="52"/>
      <c r="H2508" s="52"/>
    </row>
    <row r="2509" spans="1:8" ht="15.75">
      <c r="A2509" s="124">
        <v>43046</v>
      </c>
      <c r="B2509" s="125">
        <v>59.948</v>
      </c>
      <c r="C2509" s="52"/>
      <c r="D2509" s="52"/>
      <c r="E2509" s="52"/>
      <c r="F2509" s="52"/>
      <c r="G2509" s="52"/>
      <c r="H2509" s="52"/>
    </row>
    <row r="2510" spans="1:8" ht="15.75">
      <c r="A2510" s="124">
        <v>43047</v>
      </c>
      <c r="B2510" s="125">
        <v>60.570999999999998</v>
      </c>
      <c r="C2510" s="52"/>
      <c r="D2510" s="52"/>
      <c r="E2510" s="52"/>
      <c r="F2510" s="52"/>
      <c r="G2510" s="52"/>
      <c r="H2510" s="52"/>
    </row>
    <row r="2511" spans="1:8" ht="15.75">
      <c r="A2511" s="124">
        <v>43048</v>
      </c>
      <c r="B2511" s="125">
        <v>60.268000000000001</v>
      </c>
      <c r="C2511" s="52"/>
      <c r="D2511" s="52"/>
      <c r="E2511" s="52"/>
      <c r="F2511" s="52"/>
      <c r="G2511" s="52"/>
      <c r="H2511" s="52"/>
    </row>
    <row r="2512" spans="1:8" ht="15.75">
      <c r="A2512" s="124">
        <v>43049</v>
      </c>
      <c r="B2512" s="125">
        <v>59.48</v>
      </c>
      <c r="C2512" s="52"/>
      <c r="D2512" s="52"/>
      <c r="E2512" s="52"/>
      <c r="F2512" s="52"/>
      <c r="G2512" s="52"/>
      <c r="H2512" s="52"/>
    </row>
    <row r="2513" spans="1:8" ht="15.75">
      <c r="A2513" s="124">
        <v>43052</v>
      </c>
      <c r="B2513" s="125">
        <v>60.036999999999999</v>
      </c>
      <c r="C2513" s="52"/>
      <c r="D2513" s="52"/>
      <c r="E2513" s="52"/>
      <c r="F2513" s="52"/>
      <c r="G2513" s="52"/>
      <c r="H2513" s="52"/>
    </row>
    <row r="2514" spans="1:8" ht="15.75">
      <c r="A2514" s="124">
        <v>43053</v>
      </c>
      <c r="B2514" s="125">
        <v>59.351999999999997</v>
      </c>
      <c r="C2514" s="52"/>
      <c r="D2514" s="52"/>
      <c r="E2514" s="52"/>
      <c r="F2514" s="52"/>
      <c r="G2514" s="52"/>
      <c r="H2514" s="52"/>
    </row>
    <row r="2515" spans="1:8" ht="15.75">
      <c r="A2515" s="124">
        <v>43054</v>
      </c>
      <c r="B2515" s="125">
        <v>58.664999999999999</v>
      </c>
      <c r="C2515" s="52"/>
      <c r="D2515" s="52"/>
      <c r="E2515" s="52"/>
      <c r="F2515" s="52"/>
      <c r="G2515" s="52"/>
      <c r="H2515" s="52"/>
    </row>
    <row r="2516" spans="1:8" ht="15.75">
      <c r="A2516" s="124">
        <v>43055</v>
      </c>
      <c r="B2516" s="125">
        <v>58.780999999999999</v>
      </c>
      <c r="C2516" s="52"/>
      <c r="D2516" s="52"/>
      <c r="E2516" s="52"/>
      <c r="F2516" s="52"/>
      <c r="G2516" s="52"/>
      <c r="H2516" s="52"/>
    </row>
    <row r="2517" spans="1:8" ht="15.75">
      <c r="A2517" s="124">
        <v>43056</v>
      </c>
      <c r="B2517" s="125">
        <v>57.965000000000003</v>
      </c>
      <c r="C2517" s="52"/>
      <c r="D2517" s="52"/>
      <c r="E2517" s="52"/>
      <c r="F2517" s="52"/>
      <c r="G2517" s="52"/>
      <c r="H2517" s="52"/>
    </row>
    <row r="2518" spans="1:8" ht="15.75">
      <c r="A2518" s="124">
        <v>43059</v>
      </c>
      <c r="B2518" s="125">
        <v>57.905999999999999</v>
      </c>
      <c r="C2518" s="52"/>
      <c r="D2518" s="52"/>
      <c r="E2518" s="52"/>
      <c r="F2518" s="52"/>
      <c r="G2518" s="52"/>
      <c r="H2518" s="52"/>
    </row>
    <row r="2519" spans="1:8" ht="15.75">
      <c r="A2519" s="124">
        <v>43060</v>
      </c>
      <c r="B2519" s="125">
        <v>58.259</v>
      </c>
      <c r="C2519" s="52"/>
      <c r="D2519" s="52"/>
      <c r="E2519" s="52"/>
      <c r="F2519" s="52"/>
      <c r="G2519" s="52"/>
      <c r="H2519" s="52"/>
    </row>
    <row r="2520" spans="1:8" ht="15.75">
      <c r="A2520" s="124">
        <v>43061</v>
      </c>
      <c r="B2520" s="125">
        <v>57.783999999999999</v>
      </c>
      <c r="C2520" s="52"/>
      <c r="D2520" s="52"/>
      <c r="E2520" s="52"/>
      <c r="F2520" s="52"/>
      <c r="G2520" s="52"/>
      <c r="H2520" s="52"/>
    </row>
    <row r="2521" spans="1:8" ht="15.75">
      <c r="A2521" s="124">
        <v>43062</v>
      </c>
      <c r="B2521" s="125">
        <v>57.2</v>
      </c>
      <c r="C2521" s="52"/>
      <c r="D2521" s="52"/>
      <c r="E2521" s="52"/>
      <c r="F2521" s="52"/>
      <c r="G2521" s="52"/>
      <c r="H2521" s="52"/>
    </row>
    <row r="2522" spans="1:8" ht="15.75">
      <c r="A2522" s="124">
        <v>43063</v>
      </c>
      <c r="B2522" s="125">
        <v>57.039000000000001</v>
      </c>
      <c r="C2522" s="52"/>
      <c r="D2522" s="52"/>
      <c r="E2522" s="52"/>
      <c r="F2522" s="52"/>
      <c r="G2522" s="52"/>
      <c r="H2522" s="52"/>
    </row>
    <row r="2523" spans="1:8" ht="15.75">
      <c r="A2523" s="124">
        <v>43066</v>
      </c>
      <c r="B2523" s="125">
        <v>56.953000000000003</v>
      </c>
      <c r="C2523" s="52"/>
      <c r="D2523" s="52"/>
      <c r="E2523" s="52"/>
      <c r="F2523" s="52"/>
      <c r="G2523" s="52"/>
      <c r="H2523" s="52"/>
    </row>
    <row r="2524" spans="1:8" ht="15.75">
      <c r="A2524" s="124">
        <v>43067</v>
      </c>
      <c r="B2524" s="125">
        <v>56.264000000000003</v>
      </c>
      <c r="C2524" s="52"/>
      <c r="D2524" s="52"/>
      <c r="E2524" s="52"/>
      <c r="F2524" s="52"/>
      <c r="G2524" s="52"/>
      <c r="H2524" s="52"/>
    </row>
    <row r="2525" spans="1:8" ht="15.75">
      <c r="A2525" s="124">
        <v>43068</v>
      </c>
      <c r="B2525" s="125">
        <v>56.09</v>
      </c>
      <c r="C2525" s="52"/>
      <c r="D2525" s="52"/>
      <c r="E2525" s="52"/>
      <c r="F2525" s="52"/>
      <c r="G2525" s="52"/>
      <c r="H2525" s="52"/>
    </row>
    <row r="2526" spans="1:8" ht="15.75">
      <c r="A2526" s="124">
        <v>43069</v>
      </c>
      <c r="B2526" s="125">
        <v>55.933</v>
      </c>
      <c r="C2526" s="52"/>
      <c r="D2526" s="52"/>
      <c r="E2526" s="52"/>
      <c r="F2526" s="52"/>
      <c r="G2526" s="52"/>
      <c r="H2526" s="52"/>
    </row>
    <row r="2527" spans="1:8" ht="15.75">
      <c r="A2527" s="124">
        <v>43070</v>
      </c>
      <c r="B2527" s="125">
        <v>55.887999999999998</v>
      </c>
      <c r="C2527" s="52"/>
      <c r="D2527" s="52"/>
      <c r="E2527" s="52"/>
      <c r="F2527" s="52"/>
      <c r="G2527" s="52"/>
      <c r="H2527" s="52"/>
    </row>
    <row r="2528" spans="1:8" ht="15.75">
      <c r="A2528" s="124">
        <v>43073</v>
      </c>
      <c r="B2528" s="125">
        <v>55.8</v>
      </c>
      <c r="C2528" s="52"/>
      <c r="D2528" s="52"/>
      <c r="E2528" s="52"/>
      <c r="F2528" s="52"/>
      <c r="G2528" s="52"/>
      <c r="H2528" s="52"/>
    </row>
    <row r="2529" spans="1:8" ht="15.75">
      <c r="A2529" s="124">
        <v>43074</v>
      </c>
      <c r="B2529" s="125">
        <v>55.448</v>
      </c>
      <c r="C2529" s="52"/>
      <c r="D2529" s="52"/>
      <c r="E2529" s="52"/>
      <c r="F2529" s="52"/>
      <c r="G2529" s="52"/>
      <c r="H2529" s="52"/>
    </row>
    <row r="2530" spans="1:8" ht="15.75">
      <c r="A2530" s="124">
        <v>43075</v>
      </c>
      <c r="B2530" s="125">
        <v>55.378999999999998</v>
      </c>
      <c r="C2530" s="52"/>
      <c r="D2530" s="52"/>
      <c r="E2530" s="52"/>
      <c r="F2530" s="52"/>
      <c r="G2530" s="52"/>
      <c r="H2530" s="52"/>
    </row>
    <row r="2531" spans="1:8" ht="15.75">
      <c r="A2531" s="124">
        <v>43076</v>
      </c>
      <c r="B2531" s="125">
        <v>55.195999999999998</v>
      </c>
      <c r="C2531" s="52"/>
      <c r="D2531" s="52"/>
      <c r="E2531" s="52"/>
      <c r="F2531" s="52"/>
      <c r="G2531" s="52"/>
      <c r="H2531" s="52"/>
    </row>
    <row r="2532" spans="1:8" ht="15.75">
      <c r="A2532" s="124">
        <v>43077</v>
      </c>
      <c r="B2532" s="125">
        <v>55.743000000000002</v>
      </c>
      <c r="C2532" s="52"/>
      <c r="D2532" s="52"/>
      <c r="E2532" s="52"/>
      <c r="F2532" s="52"/>
      <c r="G2532" s="52"/>
      <c r="H2532" s="52"/>
    </row>
    <row r="2533" spans="1:8" ht="15.75">
      <c r="A2533" s="124">
        <v>43080</v>
      </c>
      <c r="B2533" s="125">
        <v>55.764000000000003</v>
      </c>
      <c r="C2533" s="52"/>
      <c r="D2533" s="52"/>
      <c r="E2533" s="52"/>
      <c r="F2533" s="52"/>
      <c r="G2533" s="52"/>
      <c r="H2533" s="52"/>
    </row>
    <row r="2534" spans="1:8" ht="15.75">
      <c r="A2534" s="124">
        <v>43081</v>
      </c>
      <c r="B2534" s="125">
        <v>56.468000000000004</v>
      </c>
      <c r="C2534" s="52"/>
      <c r="D2534" s="52"/>
      <c r="E2534" s="52"/>
      <c r="F2534" s="52"/>
      <c r="G2534" s="52"/>
      <c r="H2534" s="52"/>
    </row>
    <row r="2535" spans="1:8" ht="15.75">
      <c r="A2535" s="124">
        <v>43082</v>
      </c>
      <c r="B2535" s="125">
        <v>55.656999999999996</v>
      </c>
      <c r="C2535" s="52"/>
      <c r="D2535" s="52"/>
      <c r="E2535" s="52"/>
      <c r="F2535" s="52"/>
      <c r="G2535" s="52"/>
      <c r="H2535" s="52"/>
    </row>
    <row r="2536" spans="1:8" ht="15.75">
      <c r="A2536" s="124">
        <v>43083</v>
      </c>
      <c r="B2536" s="125">
        <v>55.475000000000001</v>
      </c>
      <c r="C2536" s="52"/>
      <c r="D2536" s="52"/>
      <c r="E2536" s="52"/>
      <c r="F2536" s="52"/>
      <c r="G2536" s="52"/>
      <c r="H2536" s="52"/>
    </row>
    <row r="2537" spans="1:8" ht="15.75">
      <c r="A2537" s="124">
        <v>43084</v>
      </c>
      <c r="B2537" s="125">
        <v>55.93</v>
      </c>
      <c r="C2537" s="52"/>
      <c r="D2537" s="52"/>
      <c r="E2537" s="52"/>
      <c r="F2537" s="52"/>
      <c r="G2537" s="52"/>
      <c r="H2537" s="52"/>
    </row>
    <row r="2538" spans="1:8" ht="15.75">
      <c r="A2538" s="124">
        <v>43087</v>
      </c>
      <c r="B2538" s="125">
        <v>55.674999999999997</v>
      </c>
      <c r="C2538" s="52"/>
      <c r="D2538" s="52"/>
      <c r="E2538" s="52"/>
      <c r="F2538" s="52"/>
      <c r="G2538" s="52"/>
      <c r="H2538" s="52"/>
    </row>
    <row r="2539" spans="1:8" ht="15.75">
      <c r="A2539" s="124">
        <v>43088</v>
      </c>
      <c r="B2539" s="125">
        <v>53.932000000000002</v>
      </c>
      <c r="C2539" s="52"/>
      <c r="D2539" s="52"/>
      <c r="E2539" s="52"/>
      <c r="F2539" s="52"/>
      <c r="G2539" s="52"/>
      <c r="H2539" s="52"/>
    </row>
    <row r="2540" spans="1:8" ht="15.75">
      <c r="A2540" s="124">
        <v>43089</v>
      </c>
      <c r="B2540" s="125">
        <v>53.731000000000002</v>
      </c>
      <c r="C2540" s="52"/>
      <c r="D2540" s="52"/>
      <c r="E2540" s="52"/>
      <c r="F2540" s="52"/>
      <c r="G2540" s="52"/>
      <c r="H2540" s="52"/>
    </row>
    <row r="2541" spans="1:8" ht="15.75">
      <c r="A2541" s="124">
        <v>43090</v>
      </c>
      <c r="B2541" s="125">
        <v>53.250999999999998</v>
      </c>
      <c r="C2541" s="52"/>
      <c r="D2541" s="52"/>
      <c r="E2541" s="52"/>
      <c r="F2541" s="52"/>
      <c r="G2541" s="52"/>
      <c r="H2541" s="52"/>
    </row>
    <row r="2542" spans="1:8" ht="15.75">
      <c r="A2542" s="124">
        <v>43091</v>
      </c>
      <c r="B2542" s="125">
        <v>53.793999999999997</v>
      </c>
      <c r="C2542" s="52"/>
      <c r="D2542" s="52"/>
      <c r="E2542" s="52"/>
      <c r="F2542" s="52"/>
      <c r="G2542" s="52"/>
      <c r="H2542" s="52"/>
    </row>
    <row r="2543" spans="1:8" ht="15.75">
      <c r="A2543" s="124">
        <v>43096</v>
      </c>
      <c r="B2543" s="125">
        <v>53.781999999999996</v>
      </c>
      <c r="C2543" s="52"/>
      <c r="D2543" s="52"/>
      <c r="E2543" s="52"/>
      <c r="F2543" s="52"/>
      <c r="G2543" s="52"/>
      <c r="H2543" s="52"/>
    </row>
    <row r="2544" spans="1:8" ht="15.75">
      <c r="A2544" s="124">
        <v>43097</v>
      </c>
      <c r="B2544" s="125">
        <v>53.625999999999998</v>
      </c>
      <c r="C2544" s="52"/>
      <c r="D2544" s="52"/>
      <c r="E2544" s="52"/>
      <c r="F2544" s="52"/>
      <c r="G2544" s="52"/>
      <c r="H2544" s="52"/>
    </row>
    <row r="2545" spans="1:8" ht="15.75">
      <c r="A2545" s="124">
        <v>43098</v>
      </c>
      <c r="B2545" s="125">
        <v>52.805999999999997</v>
      </c>
      <c r="C2545" s="52"/>
      <c r="D2545" s="52"/>
      <c r="E2545" s="52"/>
      <c r="F2545" s="52"/>
      <c r="G2545" s="52"/>
      <c r="H2545" s="52"/>
    </row>
    <row r="2546" spans="1:8" ht="15.75">
      <c r="A2546" s="124">
        <v>43102</v>
      </c>
      <c r="B2546" s="125">
        <v>53</v>
      </c>
      <c r="C2546" s="52"/>
      <c r="D2546" s="52"/>
      <c r="E2546" s="52"/>
      <c r="F2546" s="52"/>
      <c r="G2546" s="52"/>
      <c r="H2546" s="52"/>
    </row>
    <row r="2547" spans="1:8" ht="15.75">
      <c r="A2547" s="124">
        <v>43103</v>
      </c>
      <c r="B2547" s="125">
        <v>52.5</v>
      </c>
      <c r="C2547" s="52"/>
      <c r="D2547" s="52"/>
      <c r="E2547" s="52"/>
      <c r="F2547" s="52"/>
      <c r="G2547" s="52"/>
      <c r="H2547" s="52"/>
    </row>
    <row r="2548" spans="1:8" ht="15.75">
      <c r="A2548" s="124">
        <v>43104</v>
      </c>
      <c r="B2548" s="125">
        <v>52</v>
      </c>
      <c r="C2548" s="52"/>
      <c r="D2548" s="52"/>
      <c r="E2548" s="52"/>
      <c r="F2548" s="52"/>
      <c r="G2548" s="52"/>
      <c r="H2548" s="52"/>
    </row>
    <row r="2549" spans="1:8" ht="15.75">
      <c r="A2549" s="124">
        <v>43105</v>
      </c>
      <c r="B2549" s="125">
        <v>51.5</v>
      </c>
      <c r="C2549" s="52"/>
      <c r="D2549" s="52"/>
      <c r="E2549" s="52"/>
      <c r="F2549" s="52"/>
      <c r="G2549" s="52"/>
      <c r="H2549" s="52"/>
    </row>
    <row r="2550" spans="1:8" ht="15.75">
      <c r="A2550" s="124">
        <v>43108</v>
      </c>
      <c r="B2550" s="125">
        <v>52.5</v>
      </c>
      <c r="C2550" s="52"/>
      <c r="D2550" s="52"/>
      <c r="E2550" s="52"/>
      <c r="F2550" s="52"/>
      <c r="G2550" s="52"/>
      <c r="H2550" s="52"/>
    </row>
    <row r="2551" spans="1:8" ht="15.75">
      <c r="A2551" s="124">
        <v>43109</v>
      </c>
      <c r="B2551" s="125">
        <v>52</v>
      </c>
      <c r="C2551" s="52"/>
      <c r="D2551" s="52"/>
      <c r="E2551" s="52"/>
      <c r="F2551" s="52"/>
      <c r="G2551" s="52"/>
      <c r="H2551" s="52"/>
    </row>
    <row r="2552" spans="1:8" ht="15.75">
      <c r="A2552" s="124">
        <v>43110</v>
      </c>
      <c r="B2552" s="125">
        <v>51</v>
      </c>
      <c r="C2552" s="52"/>
      <c r="D2552" s="52"/>
      <c r="E2552" s="52"/>
      <c r="F2552" s="52"/>
      <c r="G2552" s="52"/>
      <c r="H2552" s="52"/>
    </row>
    <row r="2553" spans="1:8" ht="15.75">
      <c r="A2553" s="124">
        <v>43111</v>
      </c>
      <c r="B2553" s="125">
        <v>50.5</v>
      </c>
      <c r="C2553" s="52"/>
      <c r="D2553" s="52"/>
      <c r="E2553" s="52"/>
      <c r="F2553" s="52"/>
      <c r="G2553" s="52"/>
      <c r="H2553" s="52"/>
    </row>
    <row r="2554" spans="1:8" ht="15.75">
      <c r="A2554" s="124">
        <v>43112</v>
      </c>
      <c r="B2554" s="125">
        <v>49.4</v>
      </c>
      <c r="C2554" s="52"/>
      <c r="D2554" s="52"/>
      <c r="E2554" s="52"/>
      <c r="F2554" s="52"/>
      <c r="G2554" s="52"/>
      <c r="H2554" s="52"/>
    </row>
    <row r="2555" spans="1:8" ht="15.75">
      <c r="A2555" s="124">
        <v>43115</v>
      </c>
      <c r="B2555" s="125">
        <v>49.2</v>
      </c>
      <c r="C2555" s="52"/>
      <c r="D2555" s="52"/>
      <c r="E2555" s="52"/>
      <c r="F2555" s="52"/>
      <c r="G2555" s="52"/>
      <c r="H2555" s="52"/>
    </row>
    <row r="2556" spans="1:8" ht="15.75">
      <c r="A2556" s="124">
        <v>43116</v>
      </c>
      <c r="B2556" s="125">
        <v>49.4</v>
      </c>
      <c r="C2556" s="52"/>
      <c r="D2556" s="52"/>
      <c r="E2556" s="52"/>
      <c r="F2556" s="52"/>
      <c r="G2556" s="52"/>
      <c r="H2556" s="52"/>
    </row>
    <row r="2557" spans="1:8" ht="15.75">
      <c r="A2557" s="124">
        <v>43117</v>
      </c>
      <c r="B2557" s="125">
        <v>49.4</v>
      </c>
      <c r="C2557" s="52"/>
      <c r="D2557" s="52"/>
      <c r="E2557" s="52"/>
      <c r="F2557" s="52"/>
      <c r="G2557" s="52"/>
      <c r="H2557" s="52"/>
    </row>
    <row r="2558" spans="1:8" ht="15.75">
      <c r="A2558" s="124">
        <v>43118</v>
      </c>
      <c r="B2558" s="125">
        <v>49.2</v>
      </c>
      <c r="C2558" s="52"/>
      <c r="D2558" s="52"/>
      <c r="E2558" s="52"/>
      <c r="F2558" s="52"/>
      <c r="G2558" s="52"/>
      <c r="H2558" s="52"/>
    </row>
    <row r="2559" spans="1:8" ht="15.75">
      <c r="A2559" s="124">
        <v>43119</v>
      </c>
      <c r="B2559" s="125">
        <v>49.2</v>
      </c>
      <c r="C2559" s="52"/>
      <c r="D2559" s="52"/>
      <c r="E2559" s="52"/>
      <c r="F2559" s="52"/>
      <c r="G2559" s="52"/>
      <c r="H2559" s="52"/>
    </row>
    <row r="2560" spans="1:8" ht="15.75">
      <c r="A2560" s="124">
        <v>43122</v>
      </c>
      <c r="B2560" s="125">
        <v>49.8</v>
      </c>
      <c r="C2560" s="52"/>
      <c r="D2560" s="52"/>
      <c r="E2560" s="52"/>
      <c r="F2560" s="52"/>
      <c r="G2560" s="52"/>
      <c r="H2560" s="52"/>
    </row>
    <row r="2561" spans="1:8" ht="15.75">
      <c r="A2561" s="124">
        <v>43123</v>
      </c>
      <c r="B2561" s="125">
        <v>50</v>
      </c>
      <c r="C2561" s="52"/>
      <c r="D2561" s="52"/>
      <c r="E2561" s="52"/>
      <c r="F2561" s="52"/>
      <c r="G2561" s="52"/>
      <c r="H2561" s="52"/>
    </row>
    <row r="2562" spans="1:8" ht="15.75">
      <c r="A2562" s="124">
        <v>43124</v>
      </c>
      <c r="B2562" s="125">
        <v>49.6</v>
      </c>
      <c r="C2562" s="52"/>
      <c r="D2562" s="52"/>
      <c r="E2562" s="52"/>
      <c r="F2562" s="52"/>
      <c r="G2562" s="52"/>
      <c r="H2562" s="52"/>
    </row>
    <row r="2563" spans="1:8" ht="15.75">
      <c r="A2563" s="124">
        <v>43125</v>
      </c>
      <c r="B2563" s="125">
        <v>48.8</v>
      </c>
      <c r="C2563" s="52"/>
      <c r="D2563" s="52"/>
      <c r="E2563" s="52"/>
      <c r="F2563" s="52"/>
      <c r="G2563" s="52"/>
      <c r="H2563" s="52"/>
    </row>
    <row r="2564" spans="1:8" ht="15.75">
      <c r="A2564" s="124">
        <v>43126</v>
      </c>
      <c r="B2564" s="125">
        <v>49</v>
      </c>
      <c r="C2564" s="52"/>
      <c r="D2564" s="52"/>
      <c r="E2564" s="52"/>
      <c r="F2564" s="52"/>
      <c r="G2564" s="52"/>
      <c r="H2564" s="52"/>
    </row>
    <row r="2565" spans="1:8" ht="15.75">
      <c r="A2565" s="124">
        <v>43129</v>
      </c>
      <c r="B2565" s="125">
        <v>49.4</v>
      </c>
      <c r="C2565" s="52"/>
      <c r="D2565" s="52"/>
      <c r="E2565" s="52"/>
      <c r="F2565" s="52"/>
      <c r="G2565" s="52"/>
      <c r="H2565" s="52"/>
    </row>
    <row r="2566" spans="1:8" ht="15.75">
      <c r="A2566" s="124">
        <v>43130</v>
      </c>
      <c r="B2566" s="125">
        <v>49.11</v>
      </c>
      <c r="C2566" s="52"/>
      <c r="D2566" s="52"/>
      <c r="E2566" s="52"/>
      <c r="F2566" s="52"/>
      <c r="G2566" s="52"/>
      <c r="H2566" s="52"/>
    </row>
    <row r="2567" spans="1:8" ht="15.75">
      <c r="A2567" s="124">
        <v>43131</v>
      </c>
      <c r="B2567" s="125">
        <v>48.83</v>
      </c>
      <c r="C2567" s="52"/>
      <c r="D2567" s="52"/>
      <c r="E2567" s="52"/>
      <c r="F2567" s="52"/>
      <c r="G2567" s="52"/>
      <c r="H2567" s="52"/>
    </row>
    <row r="2568" spans="1:8" ht="15.75">
      <c r="A2568" s="124">
        <v>43132</v>
      </c>
      <c r="B2568" s="125">
        <v>48.5</v>
      </c>
      <c r="C2568" s="52"/>
      <c r="D2568" s="52"/>
      <c r="E2568" s="52"/>
      <c r="F2568" s="52"/>
      <c r="G2568" s="52"/>
      <c r="H2568" s="52"/>
    </row>
    <row r="2569" spans="1:8" ht="15.75">
      <c r="A2569" s="124">
        <v>43133</v>
      </c>
      <c r="B2569" s="125">
        <v>47.83</v>
      </c>
      <c r="C2569" s="52"/>
      <c r="D2569" s="52"/>
      <c r="E2569" s="52"/>
      <c r="F2569" s="52"/>
      <c r="G2569" s="52"/>
      <c r="H2569" s="52"/>
    </row>
    <row r="2570" spans="1:8" ht="15.75">
      <c r="A2570" s="124">
        <v>43136</v>
      </c>
      <c r="B2570" s="125">
        <v>47.27</v>
      </c>
      <c r="C2570" s="52"/>
      <c r="D2570" s="52"/>
      <c r="E2570" s="52"/>
      <c r="F2570" s="52"/>
      <c r="G2570" s="52"/>
      <c r="H2570" s="52"/>
    </row>
    <row r="2571" spans="1:8" ht="15.75">
      <c r="A2571" s="124">
        <v>43137</v>
      </c>
      <c r="B2571" s="125">
        <v>46.58</v>
      </c>
      <c r="C2571" s="52"/>
      <c r="D2571" s="52"/>
      <c r="E2571" s="52"/>
      <c r="F2571" s="52"/>
      <c r="G2571" s="52"/>
      <c r="H2571" s="52"/>
    </row>
    <row r="2572" spans="1:8" ht="15.75">
      <c r="A2572" s="124">
        <v>43138</v>
      </c>
      <c r="B2572" s="125">
        <v>46.81</v>
      </c>
      <c r="C2572" s="52"/>
      <c r="D2572" s="52"/>
      <c r="E2572" s="52"/>
      <c r="F2572" s="52"/>
      <c r="G2572" s="52"/>
      <c r="H2572" s="52"/>
    </row>
    <row r="2573" spans="1:8" ht="15.75">
      <c r="A2573" s="124">
        <v>43139</v>
      </c>
      <c r="B2573" s="125">
        <v>46.1</v>
      </c>
      <c r="C2573" s="52"/>
      <c r="D2573" s="52"/>
      <c r="E2573" s="52"/>
      <c r="F2573" s="52"/>
      <c r="G2573" s="52"/>
      <c r="H2573" s="52"/>
    </row>
    <row r="2574" spans="1:8" ht="15.75">
      <c r="A2574" s="124">
        <v>43140</v>
      </c>
      <c r="B2574" s="125">
        <v>45.32</v>
      </c>
      <c r="C2574" s="52"/>
      <c r="D2574" s="52"/>
      <c r="E2574" s="52"/>
      <c r="F2574" s="52"/>
      <c r="G2574" s="52"/>
      <c r="H2574" s="52"/>
    </row>
    <row r="2575" spans="1:8" ht="15.75">
      <c r="A2575" s="124">
        <v>43143</v>
      </c>
      <c r="B2575" s="125">
        <v>45.57</v>
      </c>
      <c r="C2575" s="52"/>
      <c r="D2575" s="52"/>
      <c r="E2575" s="52"/>
      <c r="F2575" s="52"/>
      <c r="G2575" s="52"/>
      <c r="H2575" s="52"/>
    </row>
    <row r="2576" spans="1:8" ht="15.75">
      <c r="A2576" s="124">
        <v>43144</v>
      </c>
      <c r="B2576" s="125">
        <v>45.99</v>
      </c>
      <c r="C2576" s="52"/>
      <c r="D2576" s="52"/>
      <c r="E2576" s="52"/>
      <c r="F2576" s="52"/>
      <c r="G2576" s="52"/>
      <c r="H2576" s="52"/>
    </row>
    <row r="2577" spans="1:8" ht="15.75">
      <c r="A2577" s="124">
        <v>43145</v>
      </c>
      <c r="B2577" s="125">
        <v>45.32</v>
      </c>
      <c r="C2577" s="52"/>
      <c r="D2577" s="52"/>
      <c r="E2577" s="52"/>
      <c r="F2577" s="52"/>
      <c r="G2577" s="52"/>
      <c r="H2577" s="52"/>
    </row>
    <row r="2578" spans="1:8" ht="15.75">
      <c r="A2578" s="124">
        <v>43146</v>
      </c>
      <c r="B2578" s="125">
        <v>46.17</v>
      </c>
      <c r="C2578" s="52"/>
      <c r="D2578" s="52"/>
      <c r="E2578" s="52"/>
      <c r="F2578" s="52"/>
      <c r="G2578" s="52"/>
      <c r="H2578" s="52"/>
    </row>
    <row r="2579" spans="1:8" ht="15.75">
      <c r="A2579" s="124">
        <v>43147</v>
      </c>
      <c r="B2579" s="125">
        <v>46.7</v>
      </c>
      <c r="C2579" s="52"/>
      <c r="D2579" s="52"/>
      <c r="E2579" s="52"/>
      <c r="F2579" s="52"/>
      <c r="G2579" s="52"/>
      <c r="H2579" s="52"/>
    </row>
    <row r="2580" spans="1:8" ht="15.75">
      <c r="A2580" s="124">
        <v>43150</v>
      </c>
      <c r="B2580" s="125">
        <v>46.48</v>
      </c>
      <c r="C2580" s="52"/>
      <c r="D2580" s="52"/>
      <c r="E2580" s="52"/>
      <c r="F2580" s="52"/>
      <c r="G2580" s="52"/>
      <c r="H2580" s="52"/>
    </row>
    <row r="2581" spans="1:8" ht="15.75">
      <c r="A2581" s="124">
        <v>43151</v>
      </c>
      <c r="B2581" s="125">
        <v>46.9</v>
      </c>
      <c r="C2581" s="52"/>
      <c r="D2581" s="52"/>
      <c r="E2581" s="52"/>
      <c r="F2581" s="52"/>
      <c r="G2581" s="52"/>
      <c r="H2581" s="52"/>
    </row>
    <row r="2582" spans="1:8" ht="15.75">
      <c r="A2582" s="124">
        <v>43152</v>
      </c>
      <c r="B2582" s="125">
        <v>45.75</v>
      </c>
      <c r="C2582" s="52"/>
      <c r="D2582" s="52"/>
      <c r="E2582" s="52"/>
      <c r="F2582" s="52"/>
      <c r="G2582" s="52"/>
      <c r="H2582" s="52"/>
    </row>
    <row r="2583" spans="1:8" ht="15.75">
      <c r="A2583" s="124">
        <v>43153</v>
      </c>
      <c r="B2583" s="125">
        <v>45.74</v>
      </c>
      <c r="C2583" s="52"/>
      <c r="D2583" s="52"/>
      <c r="E2583" s="52"/>
      <c r="F2583" s="52"/>
      <c r="G2583" s="52"/>
      <c r="H2583" s="52"/>
    </row>
    <row r="2584" spans="1:8" ht="15.75">
      <c r="A2584" s="124">
        <v>43154</v>
      </c>
      <c r="B2584" s="125">
        <v>46.2</v>
      </c>
      <c r="C2584" s="52"/>
      <c r="D2584" s="52"/>
      <c r="E2584" s="52"/>
      <c r="F2584" s="52"/>
      <c r="G2584" s="52"/>
      <c r="H2584" s="52"/>
    </row>
    <row r="2585" spans="1:8" ht="15.75">
      <c r="A2585" s="124">
        <v>43157</v>
      </c>
      <c r="B2585" s="125">
        <v>46.06</v>
      </c>
      <c r="C2585" s="52"/>
      <c r="D2585" s="52"/>
      <c r="E2585" s="52"/>
      <c r="F2585" s="52"/>
      <c r="G2585" s="52"/>
      <c r="H2585" s="52"/>
    </row>
    <row r="2586" spans="1:8" ht="15.75">
      <c r="A2586" s="124">
        <v>43158</v>
      </c>
      <c r="B2586" s="125">
        <v>45.81</v>
      </c>
      <c r="C2586" s="52"/>
      <c r="D2586" s="52"/>
      <c r="E2586" s="52"/>
      <c r="F2586" s="52"/>
      <c r="G2586" s="52"/>
      <c r="H2586" s="52"/>
    </row>
    <row r="2587" spans="1:8" ht="15.75">
      <c r="A2587" s="124">
        <v>43159</v>
      </c>
      <c r="B2587" s="125">
        <v>46.49</v>
      </c>
      <c r="C2587" s="52"/>
      <c r="D2587" s="52"/>
      <c r="E2587" s="52"/>
      <c r="F2587" s="52"/>
      <c r="G2587" s="52"/>
      <c r="H2587" s="52"/>
    </row>
    <row r="2588" spans="1:8" ht="15.75">
      <c r="A2588" s="124">
        <v>43160</v>
      </c>
      <c r="B2588" s="125">
        <v>46.06</v>
      </c>
      <c r="C2588" s="52"/>
      <c r="D2588" s="52"/>
      <c r="E2588" s="52"/>
      <c r="F2588" s="52"/>
      <c r="G2588" s="52"/>
      <c r="H2588" s="52"/>
    </row>
    <row r="2589" spans="1:8" ht="15.75">
      <c r="A2589" s="124">
        <v>43161</v>
      </c>
      <c r="B2589" s="125">
        <v>45.04</v>
      </c>
      <c r="C2589" s="52"/>
      <c r="D2589" s="52"/>
      <c r="E2589" s="52"/>
      <c r="F2589" s="52"/>
      <c r="G2589" s="52"/>
      <c r="H2589" s="52"/>
    </row>
    <row r="2590" spans="1:8" ht="15.75">
      <c r="A2590" s="124">
        <v>43164</v>
      </c>
      <c r="B2590" s="125">
        <v>45.54</v>
      </c>
      <c r="C2590" s="52"/>
      <c r="D2590" s="52"/>
      <c r="E2590" s="52"/>
      <c r="F2590" s="52"/>
      <c r="G2590" s="52"/>
      <c r="H2590" s="52"/>
    </row>
    <row r="2591" spans="1:8" ht="15.75">
      <c r="A2591" s="124">
        <v>43165</v>
      </c>
      <c r="B2591" s="125">
        <v>45.72</v>
      </c>
      <c r="C2591" s="52"/>
      <c r="D2591" s="52"/>
      <c r="E2591" s="52"/>
      <c r="F2591" s="52"/>
      <c r="G2591" s="52"/>
      <c r="H2591" s="52"/>
    </row>
    <row r="2592" spans="1:8" ht="15.75">
      <c r="A2592" s="124">
        <v>43166</v>
      </c>
      <c r="B2592" s="125">
        <v>46.55</v>
      </c>
      <c r="C2592" s="52"/>
      <c r="D2592" s="52"/>
      <c r="E2592" s="52"/>
      <c r="F2592" s="52"/>
      <c r="G2592" s="52"/>
      <c r="H2592" s="52"/>
    </row>
    <row r="2593" spans="1:8" ht="15.75">
      <c r="A2593" s="124">
        <v>43167</v>
      </c>
      <c r="B2593" s="125">
        <v>47.22</v>
      </c>
      <c r="C2593" s="52"/>
      <c r="D2593" s="52"/>
      <c r="E2593" s="52"/>
      <c r="F2593" s="52"/>
      <c r="G2593" s="52"/>
      <c r="H2593" s="52"/>
    </row>
    <row r="2594" spans="1:8" ht="15.75">
      <c r="A2594" s="124">
        <v>43168</v>
      </c>
      <c r="B2594" s="125">
        <v>47.84</v>
      </c>
      <c r="C2594" s="52"/>
      <c r="D2594" s="52"/>
      <c r="E2594" s="52"/>
      <c r="F2594" s="52"/>
      <c r="G2594" s="52"/>
      <c r="H2594" s="52"/>
    </row>
    <row r="2595" spans="1:8" ht="15.75">
      <c r="A2595" s="124">
        <v>43171</v>
      </c>
      <c r="B2595" s="125">
        <v>47.98</v>
      </c>
      <c r="C2595" s="52"/>
      <c r="D2595" s="52"/>
      <c r="E2595" s="52"/>
      <c r="F2595" s="52"/>
      <c r="G2595" s="52"/>
      <c r="H2595" s="52"/>
    </row>
    <row r="2596" spans="1:8" ht="15.75">
      <c r="A2596" s="124">
        <v>43172</v>
      </c>
      <c r="B2596" s="125">
        <v>47.78</v>
      </c>
      <c r="C2596" s="52"/>
      <c r="D2596" s="52"/>
      <c r="E2596" s="52"/>
      <c r="F2596" s="52"/>
      <c r="G2596" s="52"/>
      <c r="H2596" s="52"/>
    </row>
    <row r="2597" spans="1:8" ht="15.75">
      <c r="A2597" s="124">
        <v>43173</v>
      </c>
      <c r="B2597" s="125">
        <v>47.95</v>
      </c>
      <c r="C2597" s="52"/>
      <c r="D2597" s="52"/>
      <c r="E2597" s="52"/>
      <c r="F2597" s="52"/>
      <c r="G2597" s="52"/>
      <c r="H2597" s="52"/>
    </row>
    <row r="2598" spans="1:8" ht="15.75">
      <c r="A2598" s="124">
        <v>43174</v>
      </c>
      <c r="B2598" s="125">
        <v>48.16</v>
      </c>
      <c r="C2598" s="52"/>
      <c r="D2598" s="52"/>
      <c r="E2598" s="52"/>
      <c r="F2598" s="52"/>
      <c r="G2598" s="52"/>
      <c r="H2598" s="52"/>
    </row>
    <row r="2599" spans="1:8" ht="15.75">
      <c r="A2599" s="124">
        <v>43175</v>
      </c>
      <c r="B2599" s="125">
        <v>48.92</v>
      </c>
      <c r="C2599" s="52"/>
      <c r="D2599" s="52"/>
      <c r="E2599" s="52"/>
      <c r="F2599" s="52"/>
      <c r="G2599" s="52"/>
      <c r="H2599" s="52"/>
    </row>
    <row r="2600" spans="1:8" ht="15.75">
      <c r="A2600" s="124">
        <v>43178</v>
      </c>
      <c r="B2600" s="125">
        <v>48.49</v>
      </c>
      <c r="C2600" s="52"/>
      <c r="D2600" s="52"/>
      <c r="E2600" s="52"/>
      <c r="F2600" s="52"/>
      <c r="G2600" s="52"/>
      <c r="H2600" s="52"/>
    </row>
    <row r="2601" spans="1:8" ht="15.75">
      <c r="A2601" s="124">
        <v>43179</v>
      </c>
      <c r="B2601" s="125">
        <v>48.97</v>
      </c>
      <c r="C2601" s="52"/>
      <c r="D2601" s="52"/>
      <c r="E2601" s="52"/>
      <c r="F2601" s="52"/>
      <c r="G2601" s="52"/>
      <c r="H2601" s="52"/>
    </row>
    <row r="2602" spans="1:8" ht="15.75">
      <c r="A2602" s="124">
        <v>43180</v>
      </c>
      <c r="B2602" s="125">
        <v>48.39</v>
      </c>
      <c r="C2602" s="52"/>
      <c r="D2602" s="52"/>
      <c r="E2602" s="52"/>
      <c r="F2602" s="52"/>
      <c r="G2602" s="52"/>
      <c r="H2602" s="52"/>
    </row>
    <row r="2603" spans="1:8" ht="15.75">
      <c r="A2603" s="124">
        <v>43181</v>
      </c>
      <c r="B2603" s="125">
        <v>48.76</v>
      </c>
      <c r="C2603" s="52"/>
      <c r="D2603" s="52"/>
      <c r="E2603" s="52"/>
      <c r="F2603" s="52"/>
      <c r="G2603" s="52"/>
      <c r="H2603" s="52"/>
    </row>
    <row r="2604" spans="1:8" ht="15.75">
      <c r="A2604" s="124">
        <v>43182</v>
      </c>
      <c r="B2604" s="125">
        <v>47.56</v>
      </c>
      <c r="C2604" s="52"/>
      <c r="D2604" s="52"/>
      <c r="E2604" s="52"/>
      <c r="F2604" s="52"/>
      <c r="G2604" s="52"/>
      <c r="H2604" s="52"/>
    </row>
    <row r="2605" spans="1:8" ht="15.75">
      <c r="A2605" s="124">
        <v>43185</v>
      </c>
      <c r="B2605" s="125">
        <v>46.83</v>
      </c>
      <c r="C2605" s="52"/>
      <c r="D2605" s="52"/>
      <c r="E2605" s="52"/>
      <c r="F2605" s="52"/>
      <c r="G2605" s="52"/>
      <c r="H2605" s="52"/>
    </row>
    <row r="2606" spans="1:8" ht="15.75">
      <c r="A2606" s="124">
        <v>43186</v>
      </c>
      <c r="B2606" s="125">
        <v>48.16</v>
      </c>
      <c r="C2606" s="52"/>
      <c r="D2606" s="52"/>
      <c r="E2606" s="52"/>
      <c r="F2606" s="52"/>
      <c r="G2606" s="52"/>
      <c r="H2606" s="52"/>
    </row>
    <row r="2607" spans="1:8" ht="15.75">
      <c r="A2607" s="124">
        <v>43187</v>
      </c>
      <c r="B2607" s="125">
        <v>49.56</v>
      </c>
      <c r="C2607" s="52"/>
      <c r="D2607" s="52"/>
      <c r="E2607" s="52"/>
      <c r="F2607" s="52"/>
      <c r="G2607" s="52"/>
      <c r="H2607" s="52"/>
    </row>
    <row r="2608" spans="1:8" ht="15.75">
      <c r="A2608" s="124">
        <v>43188</v>
      </c>
      <c r="B2608" s="125">
        <v>49.95</v>
      </c>
      <c r="C2608" s="52"/>
      <c r="D2608" s="52"/>
      <c r="E2608" s="52"/>
      <c r="F2608" s="52"/>
      <c r="G2608" s="52"/>
      <c r="H2608" s="52"/>
    </row>
    <row r="2609" spans="1:8" ht="15.75">
      <c r="A2609" s="124">
        <v>43193</v>
      </c>
      <c r="B2609" s="125">
        <v>50.36</v>
      </c>
      <c r="C2609" s="52"/>
      <c r="D2609" s="52"/>
      <c r="E2609" s="52"/>
      <c r="F2609" s="52"/>
      <c r="G2609" s="52"/>
      <c r="H2609" s="52"/>
    </row>
    <row r="2610" spans="1:8" ht="15.75">
      <c r="A2610" s="124">
        <v>43194</v>
      </c>
      <c r="B2610" s="125">
        <v>50.93</v>
      </c>
      <c r="C2610" s="52"/>
      <c r="D2610" s="52"/>
      <c r="E2610" s="52"/>
      <c r="F2610" s="52"/>
      <c r="G2610" s="52"/>
      <c r="H2610" s="52"/>
    </row>
    <row r="2611" spans="1:8" ht="15.75">
      <c r="A2611" s="124">
        <v>43195</v>
      </c>
      <c r="B2611" s="125">
        <v>51.43</v>
      </c>
      <c r="C2611" s="52"/>
      <c r="D2611" s="52"/>
      <c r="E2611" s="52"/>
      <c r="F2611" s="52"/>
      <c r="G2611" s="52"/>
      <c r="H2611" s="52"/>
    </row>
    <row r="2612" spans="1:8" ht="15.75">
      <c r="A2612" s="124">
        <v>43196</v>
      </c>
      <c r="B2612" s="125">
        <v>51.37</v>
      </c>
      <c r="C2612" s="52"/>
      <c r="D2612" s="52"/>
      <c r="E2612" s="52"/>
      <c r="F2612" s="52"/>
      <c r="G2612" s="52"/>
      <c r="H2612" s="52"/>
    </row>
    <row r="2613" spans="1:8" ht="15.75">
      <c r="A2613" s="124">
        <v>43199</v>
      </c>
      <c r="B2613" s="125">
        <v>50.81</v>
      </c>
      <c r="C2613" s="52"/>
      <c r="D2613" s="52"/>
      <c r="E2613" s="52"/>
      <c r="F2613" s="52"/>
      <c r="G2613" s="52"/>
      <c r="H2613" s="52"/>
    </row>
    <row r="2614" spans="1:8" ht="15.75">
      <c r="A2614" s="124">
        <v>43200</v>
      </c>
      <c r="B2614" s="125">
        <v>50.66</v>
      </c>
      <c r="C2614" s="52"/>
      <c r="D2614" s="52"/>
      <c r="E2614" s="52"/>
      <c r="F2614" s="52"/>
      <c r="G2614" s="52"/>
      <c r="H2614" s="52"/>
    </row>
    <row r="2615" spans="1:8" ht="15.75">
      <c r="A2615" s="124">
        <v>43201</v>
      </c>
      <c r="B2615" s="125">
        <v>50.59</v>
      </c>
      <c r="C2615" s="52"/>
      <c r="D2615" s="52"/>
      <c r="E2615" s="52"/>
      <c r="F2615" s="52"/>
      <c r="G2615" s="52"/>
      <c r="H2615" s="52"/>
    </row>
    <row r="2616" spans="1:8" ht="15.75">
      <c r="A2616" s="124">
        <v>43202</v>
      </c>
      <c r="B2616" s="125">
        <v>49.68</v>
      </c>
      <c r="C2616" s="52"/>
      <c r="D2616" s="52"/>
      <c r="E2616" s="52"/>
      <c r="F2616" s="52"/>
      <c r="G2616" s="52"/>
      <c r="H2616" s="52"/>
    </row>
    <row r="2617" spans="1:8" ht="15.75">
      <c r="A2617" s="124">
        <v>43203</v>
      </c>
      <c r="B2617" s="125">
        <v>49.95</v>
      </c>
      <c r="C2617" s="52"/>
      <c r="D2617" s="52"/>
      <c r="E2617" s="52"/>
      <c r="F2617" s="52"/>
      <c r="G2617" s="52"/>
      <c r="H2617" s="52"/>
    </row>
    <row r="2618" spans="1:8" ht="15.75">
      <c r="A2618" s="124">
        <v>43206</v>
      </c>
      <c r="B2618" s="125">
        <v>49.96</v>
      </c>
      <c r="C2618" s="52"/>
      <c r="D2618" s="52"/>
      <c r="E2618" s="52"/>
      <c r="F2618" s="52"/>
      <c r="G2618" s="52"/>
      <c r="H2618" s="52"/>
    </row>
    <row r="2619" spans="1:8" ht="15.75">
      <c r="A2619" s="124">
        <v>43207</v>
      </c>
      <c r="B2619" s="125">
        <v>50.34</v>
      </c>
      <c r="C2619" s="52"/>
      <c r="D2619" s="52"/>
      <c r="E2619" s="52"/>
      <c r="F2619" s="52"/>
      <c r="G2619" s="52"/>
      <c r="H2619" s="52"/>
    </row>
    <row r="2620" spans="1:8" ht="15.75">
      <c r="A2620" s="124">
        <v>43208</v>
      </c>
      <c r="B2620" s="125">
        <v>50.14</v>
      </c>
      <c r="C2620" s="52"/>
      <c r="D2620" s="52"/>
      <c r="E2620" s="52"/>
      <c r="F2620" s="52"/>
      <c r="G2620" s="52"/>
      <c r="H2620" s="52"/>
    </row>
    <row r="2621" spans="1:8" ht="15.75">
      <c r="A2621" s="124">
        <v>43209</v>
      </c>
      <c r="B2621" s="125">
        <v>48.94</v>
      </c>
      <c r="C2621" s="52"/>
      <c r="D2621" s="52"/>
      <c r="E2621" s="52"/>
      <c r="F2621" s="52"/>
      <c r="G2621" s="52"/>
      <c r="H2621" s="52"/>
    </row>
    <row r="2622" spans="1:8" ht="15.75">
      <c r="A2622" s="124">
        <v>43210</v>
      </c>
      <c r="B2622" s="125">
        <v>49.08</v>
      </c>
      <c r="C2622" s="52"/>
      <c r="D2622" s="52"/>
      <c r="E2622" s="52"/>
      <c r="F2622" s="52"/>
      <c r="G2622" s="52"/>
      <c r="H2622" s="52"/>
    </row>
    <row r="2623" spans="1:8" ht="15.75">
      <c r="A2623" s="124">
        <v>43213</v>
      </c>
      <c r="B2623" s="125">
        <v>49.21</v>
      </c>
      <c r="C2623" s="52"/>
      <c r="D2623" s="52"/>
      <c r="E2623" s="52"/>
      <c r="F2623" s="52"/>
      <c r="G2623" s="52"/>
      <c r="H2623" s="52"/>
    </row>
    <row r="2624" spans="1:8" ht="15.75">
      <c r="A2624" s="124">
        <v>43214</v>
      </c>
      <c r="B2624" s="125">
        <v>49.5</v>
      </c>
      <c r="C2624" s="52"/>
      <c r="D2624" s="52"/>
      <c r="E2624" s="52"/>
      <c r="F2624" s="52"/>
      <c r="G2624" s="52"/>
      <c r="H2624" s="52"/>
    </row>
    <row r="2625" spans="1:8" ht="15.75">
      <c r="A2625" s="124">
        <v>43215</v>
      </c>
      <c r="B2625" s="125">
        <v>49.39</v>
      </c>
      <c r="C2625" s="52"/>
      <c r="D2625" s="52"/>
      <c r="E2625" s="52"/>
      <c r="F2625" s="52"/>
      <c r="G2625" s="52"/>
      <c r="H2625" s="52"/>
    </row>
    <row r="2626" spans="1:8" ht="15.75">
      <c r="A2626" s="124">
        <v>43216</v>
      </c>
      <c r="B2626" s="125">
        <v>50.54</v>
      </c>
      <c r="C2626" s="52"/>
      <c r="D2626" s="52"/>
      <c r="E2626" s="52"/>
      <c r="F2626" s="52"/>
      <c r="G2626" s="52"/>
      <c r="H2626" s="52"/>
    </row>
    <row r="2627" spans="1:8" ht="15.75">
      <c r="A2627" s="124">
        <v>43217</v>
      </c>
      <c r="B2627" s="125">
        <v>51.19</v>
      </c>
      <c r="C2627" s="52"/>
      <c r="D2627" s="52"/>
      <c r="E2627" s="52"/>
      <c r="F2627" s="52"/>
      <c r="G2627" s="52"/>
      <c r="H2627" s="52"/>
    </row>
    <row r="2628" spans="1:8" ht="15.75">
      <c r="A2628" s="124">
        <v>43220</v>
      </c>
      <c r="B2628" s="125">
        <v>51.14</v>
      </c>
      <c r="C2628" s="52"/>
      <c r="D2628" s="52"/>
      <c r="E2628" s="52"/>
      <c r="F2628" s="52"/>
      <c r="G2628" s="52"/>
      <c r="H2628" s="52"/>
    </row>
    <row r="2629" spans="1:8" ht="15.75">
      <c r="A2629" s="124">
        <v>43222</v>
      </c>
      <c r="B2629" s="125">
        <v>51.41</v>
      </c>
      <c r="C2629" s="52"/>
      <c r="D2629" s="52"/>
      <c r="E2629" s="52"/>
      <c r="F2629" s="52"/>
      <c r="G2629" s="52"/>
      <c r="H2629" s="52"/>
    </row>
    <row r="2630" spans="1:8" ht="15.75">
      <c r="A2630" s="124">
        <v>43223</v>
      </c>
      <c r="B2630" s="125">
        <v>51.45</v>
      </c>
      <c r="C2630" s="52"/>
      <c r="D2630" s="52"/>
      <c r="E2630" s="52"/>
      <c r="F2630" s="52"/>
      <c r="G2630" s="52"/>
      <c r="H2630" s="52"/>
    </row>
    <row r="2631" spans="1:8" ht="15.75">
      <c r="A2631" s="124">
        <v>43224</v>
      </c>
      <c r="B2631" s="125">
        <v>51.63</v>
      </c>
      <c r="C2631" s="52"/>
      <c r="D2631" s="52"/>
      <c r="E2631" s="52"/>
      <c r="F2631" s="52"/>
      <c r="G2631" s="52"/>
      <c r="H2631" s="52"/>
    </row>
    <row r="2632" spans="1:8" ht="15.75">
      <c r="A2632" s="124">
        <v>43227</v>
      </c>
      <c r="B2632" s="125">
        <v>52.16</v>
      </c>
      <c r="C2632" s="52"/>
      <c r="D2632" s="52"/>
      <c r="E2632" s="52"/>
      <c r="F2632" s="52"/>
      <c r="G2632" s="52"/>
      <c r="H2632" s="52"/>
    </row>
    <row r="2633" spans="1:8" ht="15.75">
      <c r="A2633" s="124">
        <v>43228</v>
      </c>
      <c r="B2633" s="125">
        <v>52.25</v>
      </c>
      <c r="C2633" s="52"/>
      <c r="D2633" s="52"/>
      <c r="E2633" s="52"/>
      <c r="F2633" s="52"/>
      <c r="G2633" s="52"/>
      <c r="H2633" s="52"/>
    </row>
    <row r="2634" spans="1:8" ht="15.75">
      <c r="A2634" s="124">
        <v>43229</v>
      </c>
      <c r="B2634" s="125">
        <v>52.46</v>
      </c>
      <c r="C2634" s="52"/>
      <c r="D2634" s="52"/>
      <c r="E2634" s="52"/>
      <c r="F2634" s="52"/>
      <c r="G2634" s="52"/>
      <c r="H2634" s="52"/>
    </row>
    <row r="2635" spans="1:8" ht="15.75">
      <c r="A2635" s="124">
        <v>43230</v>
      </c>
      <c r="B2635" s="125">
        <v>52.55</v>
      </c>
      <c r="C2635" s="52"/>
      <c r="D2635" s="52"/>
      <c r="E2635" s="52"/>
      <c r="F2635" s="52"/>
      <c r="G2635" s="52"/>
      <c r="H2635" s="52"/>
    </row>
    <row r="2636" spans="1:8" ht="15.75">
      <c r="A2636" s="124">
        <v>43231</v>
      </c>
      <c r="B2636" s="125">
        <v>52.45</v>
      </c>
      <c r="C2636" s="52"/>
      <c r="D2636" s="52"/>
      <c r="E2636" s="52"/>
      <c r="F2636" s="52"/>
      <c r="G2636" s="52"/>
      <c r="H2636" s="52"/>
    </row>
    <row r="2637" spans="1:8" ht="15.75">
      <c r="A2637" s="124">
        <v>43234</v>
      </c>
      <c r="B2637" s="125">
        <v>51.69</v>
      </c>
      <c r="C2637" s="52"/>
      <c r="D2637" s="52"/>
      <c r="E2637" s="52"/>
      <c r="F2637" s="52"/>
      <c r="G2637" s="52"/>
      <c r="H2637" s="52"/>
    </row>
    <row r="2638" spans="1:8" ht="15.75">
      <c r="A2638" s="124">
        <v>43235</v>
      </c>
      <c r="B2638" s="125">
        <v>51.42</v>
      </c>
      <c r="C2638" s="52"/>
      <c r="D2638" s="52"/>
      <c r="E2638" s="52"/>
      <c r="F2638" s="52"/>
      <c r="G2638" s="52"/>
      <c r="H2638" s="52"/>
    </row>
    <row r="2639" spans="1:8" ht="15.75">
      <c r="A2639" s="124">
        <v>43236</v>
      </c>
      <c r="B2639" s="125">
        <v>51.04</v>
      </c>
      <c r="C2639" s="52"/>
      <c r="D2639" s="52"/>
      <c r="E2639" s="52"/>
      <c r="F2639" s="52"/>
      <c r="G2639" s="52"/>
      <c r="H2639" s="52"/>
    </row>
    <row r="2640" spans="1:8" ht="15.75">
      <c r="A2640" s="124">
        <v>43237</v>
      </c>
      <c r="B2640" s="125">
        <v>50.66</v>
      </c>
      <c r="C2640" s="52"/>
      <c r="D2640" s="52"/>
      <c r="E2640" s="52"/>
      <c r="F2640" s="52"/>
      <c r="G2640" s="52"/>
      <c r="H2640" s="52"/>
    </row>
    <row r="2641" spans="1:8" ht="15.75">
      <c r="A2641" s="124">
        <v>43238</v>
      </c>
      <c r="B2641" s="125">
        <v>50.33</v>
      </c>
      <c r="C2641" s="52"/>
      <c r="D2641" s="52"/>
      <c r="E2641" s="52"/>
      <c r="F2641" s="52"/>
      <c r="G2641" s="52"/>
      <c r="H2641" s="52"/>
    </row>
    <row r="2642" spans="1:8" ht="15.75">
      <c r="A2642" s="124">
        <v>43242</v>
      </c>
      <c r="B2642" s="125">
        <v>51.11</v>
      </c>
      <c r="C2642" s="52"/>
      <c r="D2642" s="52"/>
      <c r="E2642" s="52"/>
      <c r="F2642" s="52"/>
      <c r="G2642" s="52"/>
      <c r="H2642" s="52"/>
    </row>
    <row r="2643" spans="1:8" ht="15.75">
      <c r="A2643" s="124">
        <v>43243</v>
      </c>
      <c r="B2643" s="125">
        <v>52.62</v>
      </c>
      <c r="C2643" s="52"/>
      <c r="D2643" s="52"/>
      <c r="E2643" s="52"/>
      <c r="F2643" s="52"/>
      <c r="G2643" s="52"/>
      <c r="H2643" s="52"/>
    </row>
    <row r="2644" spans="1:8" ht="15.75">
      <c r="A2644" s="124">
        <v>43244</v>
      </c>
      <c r="B2644" s="125">
        <v>51.9</v>
      </c>
      <c r="C2644" s="52"/>
      <c r="D2644" s="52"/>
      <c r="E2644" s="52"/>
      <c r="F2644" s="52"/>
      <c r="G2644" s="52"/>
      <c r="H2644" s="52"/>
    </row>
    <row r="2645" spans="1:8" ht="15.75">
      <c r="A2645" s="124">
        <v>43245</v>
      </c>
      <c r="B2645" s="125">
        <v>52.73</v>
      </c>
      <c r="C2645" s="52"/>
      <c r="D2645" s="52"/>
      <c r="E2645" s="52"/>
      <c r="F2645" s="52"/>
      <c r="G2645" s="52"/>
      <c r="H2645" s="52"/>
    </row>
    <row r="2646" spans="1:8" ht="15.75">
      <c r="A2646" s="124">
        <v>43248</v>
      </c>
      <c r="B2646" s="125">
        <v>52.85</v>
      </c>
      <c r="C2646" s="52"/>
      <c r="D2646" s="52"/>
      <c r="E2646" s="52"/>
      <c r="F2646" s="52"/>
      <c r="G2646" s="52"/>
      <c r="H2646" s="52"/>
    </row>
    <row r="2647" spans="1:8" ht="15.75">
      <c r="A2647" s="124">
        <v>43249</v>
      </c>
      <c r="B2647" s="125">
        <v>53.61</v>
      </c>
      <c r="C2647" s="52"/>
      <c r="D2647" s="52"/>
      <c r="E2647" s="52"/>
      <c r="F2647" s="52"/>
      <c r="G2647" s="52"/>
      <c r="H2647" s="52"/>
    </row>
    <row r="2648" spans="1:8" ht="15.75">
      <c r="A2648" s="124">
        <v>43250</v>
      </c>
      <c r="B2648" s="125">
        <v>54.66</v>
      </c>
      <c r="C2648" s="52"/>
      <c r="D2648" s="52"/>
      <c r="E2648" s="52"/>
      <c r="F2648" s="52"/>
      <c r="G2648" s="52"/>
      <c r="H2648" s="52"/>
    </row>
    <row r="2649" spans="1:8" ht="15.75">
      <c r="A2649" s="124">
        <v>43251</v>
      </c>
      <c r="B2649" s="125">
        <v>54.75</v>
      </c>
      <c r="C2649" s="52"/>
      <c r="D2649" s="52"/>
      <c r="E2649" s="52"/>
      <c r="F2649" s="52"/>
      <c r="G2649" s="52"/>
      <c r="H2649" s="52"/>
    </row>
    <row r="2650" spans="1:8" ht="15.75">
      <c r="A2650" s="124">
        <v>43252</v>
      </c>
      <c r="B2650" s="125">
        <v>54.7</v>
      </c>
      <c r="C2650" s="52"/>
      <c r="D2650" s="52"/>
      <c r="E2650" s="52"/>
      <c r="F2650" s="52"/>
      <c r="G2650" s="52"/>
      <c r="H2650" s="52"/>
    </row>
    <row r="2651" spans="1:8" ht="15.75">
      <c r="A2651" s="124">
        <v>43255</v>
      </c>
      <c r="B2651" s="125">
        <v>54.68</v>
      </c>
      <c r="C2651" s="52"/>
      <c r="D2651" s="52"/>
      <c r="E2651" s="52"/>
      <c r="F2651" s="52"/>
      <c r="G2651" s="52"/>
      <c r="H2651" s="52"/>
    </row>
    <row r="2652" spans="1:8" ht="15.75">
      <c r="A2652" s="124">
        <v>43256</v>
      </c>
      <c r="B2652" s="125">
        <v>54.72</v>
      </c>
      <c r="C2652" s="52"/>
      <c r="D2652" s="52"/>
      <c r="E2652" s="52"/>
      <c r="F2652" s="52"/>
      <c r="G2652" s="52"/>
      <c r="H2652" s="52"/>
    </row>
    <row r="2653" spans="1:8" ht="15.75">
      <c r="A2653" s="124">
        <v>43257</v>
      </c>
      <c r="B2653" s="125">
        <v>54.5</v>
      </c>
      <c r="C2653" s="52"/>
      <c r="D2653" s="52"/>
      <c r="E2653" s="52"/>
      <c r="F2653" s="52"/>
      <c r="G2653" s="52"/>
      <c r="H2653" s="52"/>
    </row>
    <row r="2654" spans="1:8" ht="15.75">
      <c r="A2654" s="124">
        <v>43258</v>
      </c>
      <c r="B2654" s="125">
        <v>54.31</v>
      </c>
      <c r="C2654" s="52"/>
      <c r="D2654" s="52"/>
      <c r="E2654" s="52"/>
      <c r="F2654" s="52"/>
      <c r="G2654" s="52"/>
      <c r="H2654" s="52"/>
    </row>
    <row r="2655" spans="1:8" ht="15.75">
      <c r="A2655" s="124">
        <v>43259</v>
      </c>
      <c r="B2655" s="125">
        <v>54.8</v>
      </c>
      <c r="C2655" s="52"/>
      <c r="D2655" s="52"/>
      <c r="E2655" s="52"/>
      <c r="F2655" s="52"/>
      <c r="G2655" s="52"/>
      <c r="H2655" s="52"/>
    </row>
    <row r="2656" spans="1:8" ht="15.75">
      <c r="A2656" s="124">
        <v>43262</v>
      </c>
      <c r="B2656" s="125">
        <v>54.49</v>
      </c>
      <c r="C2656" s="52"/>
      <c r="D2656" s="52"/>
      <c r="E2656" s="52"/>
      <c r="F2656" s="52"/>
      <c r="G2656" s="52"/>
      <c r="H2656" s="52"/>
    </row>
    <row r="2657" spans="1:8" ht="15.75">
      <c r="A2657" s="124">
        <v>43263</v>
      </c>
      <c r="B2657" s="125">
        <v>54.78</v>
      </c>
      <c r="C2657" s="52"/>
      <c r="D2657" s="52"/>
      <c r="E2657" s="52"/>
      <c r="F2657" s="52"/>
      <c r="G2657" s="52"/>
      <c r="H2657" s="52"/>
    </row>
    <row r="2658" spans="1:8" ht="15.75">
      <c r="A2658" s="124">
        <v>43264</v>
      </c>
      <c r="B2658" s="125">
        <v>53.89</v>
      </c>
      <c r="C2658" s="52"/>
      <c r="D2658" s="52"/>
      <c r="E2658" s="52"/>
      <c r="F2658" s="52"/>
      <c r="G2658" s="52"/>
      <c r="H2658" s="52"/>
    </row>
    <row r="2659" spans="1:8" ht="15.75">
      <c r="A2659" s="124">
        <v>43265</v>
      </c>
      <c r="B2659" s="125">
        <v>55.03</v>
      </c>
      <c r="C2659" s="52"/>
      <c r="D2659" s="52"/>
      <c r="E2659" s="52"/>
      <c r="F2659" s="52"/>
      <c r="G2659" s="52"/>
      <c r="H2659" s="52"/>
    </row>
    <row r="2660" spans="1:8" ht="15.75">
      <c r="A2660" s="124">
        <v>43266</v>
      </c>
      <c r="B2660" s="125">
        <v>54.73</v>
      </c>
      <c r="C2660" s="52"/>
      <c r="D2660" s="52"/>
      <c r="E2660" s="52"/>
      <c r="F2660" s="52"/>
      <c r="G2660" s="52"/>
      <c r="H2660" s="52"/>
    </row>
    <row r="2661" spans="1:8" ht="15.75">
      <c r="A2661" s="124">
        <v>43269</v>
      </c>
      <c r="B2661" s="125">
        <v>53.72</v>
      </c>
      <c r="C2661" s="52"/>
      <c r="D2661" s="52"/>
      <c r="E2661" s="52"/>
      <c r="F2661" s="52"/>
      <c r="G2661" s="52"/>
      <c r="H2661" s="52"/>
    </row>
    <row r="2662" spans="1:8" ht="15.75">
      <c r="A2662" s="124">
        <v>43270</v>
      </c>
      <c r="B2662" s="125">
        <v>53.49</v>
      </c>
      <c r="C2662" s="52"/>
      <c r="D2662" s="52"/>
      <c r="E2662" s="52"/>
      <c r="F2662" s="52"/>
      <c r="G2662" s="52"/>
      <c r="H2662" s="52"/>
    </row>
    <row r="2663" spans="1:8" ht="15.75">
      <c r="A2663" s="124">
        <v>43271</v>
      </c>
      <c r="B2663" s="125">
        <v>53.87</v>
      </c>
      <c r="C2663" s="52"/>
      <c r="D2663" s="52"/>
      <c r="E2663" s="52"/>
      <c r="F2663" s="52"/>
      <c r="G2663" s="52"/>
      <c r="H2663" s="52"/>
    </row>
    <row r="2664" spans="1:8" ht="15.75">
      <c r="A2664" s="124">
        <v>43272</v>
      </c>
      <c r="B2664" s="125">
        <v>53.94</v>
      </c>
      <c r="C2664" s="52"/>
      <c r="D2664" s="52"/>
      <c r="E2664" s="52"/>
      <c r="F2664" s="52"/>
      <c r="G2664" s="52"/>
      <c r="H2664" s="52"/>
    </row>
    <row r="2665" spans="1:8" ht="15.75">
      <c r="A2665" s="124">
        <v>43273</v>
      </c>
      <c r="B2665" s="125">
        <v>53.91</v>
      </c>
      <c r="C2665" s="52"/>
      <c r="D2665" s="52"/>
      <c r="E2665" s="52"/>
      <c r="F2665" s="52"/>
      <c r="G2665" s="52"/>
      <c r="H2665" s="52"/>
    </row>
    <row r="2666" spans="1:8" ht="15.75">
      <c r="A2666" s="124">
        <v>43276</v>
      </c>
      <c r="B2666" s="125">
        <v>54.26</v>
      </c>
      <c r="C2666" s="52"/>
      <c r="D2666" s="52"/>
      <c r="E2666" s="52"/>
      <c r="F2666" s="52"/>
      <c r="G2666" s="52"/>
      <c r="H2666" s="52"/>
    </row>
    <row r="2667" spans="1:8" ht="15.75">
      <c r="A2667" s="124">
        <v>43277</v>
      </c>
      <c r="B2667" s="125">
        <v>54.43</v>
      </c>
      <c r="C2667" s="52"/>
      <c r="D2667" s="52"/>
      <c r="E2667" s="52"/>
      <c r="F2667" s="52"/>
      <c r="G2667" s="52"/>
      <c r="H2667" s="52"/>
    </row>
    <row r="2668" spans="1:8" ht="15.75">
      <c r="A2668" s="124">
        <v>43278</v>
      </c>
      <c r="B2668" s="125">
        <v>54.38</v>
      </c>
      <c r="C2668" s="52"/>
      <c r="D2668" s="52"/>
      <c r="E2668" s="52"/>
      <c r="F2668" s="52"/>
      <c r="G2668" s="52"/>
      <c r="H2668" s="52"/>
    </row>
    <row r="2669" spans="1:8" ht="15.75">
      <c r="A2669" s="124">
        <v>43279</v>
      </c>
      <c r="B2669" s="125">
        <v>54.27</v>
      </c>
      <c r="C2669" s="52"/>
      <c r="D2669" s="52"/>
      <c r="E2669" s="52"/>
      <c r="F2669" s="52"/>
      <c r="G2669" s="52"/>
      <c r="H2669" s="52"/>
    </row>
    <row r="2670" spans="1:8" ht="15.75">
      <c r="A2670" s="124">
        <v>43280</v>
      </c>
      <c r="B2670" s="125">
        <v>54.56</v>
      </c>
      <c r="C2670" s="52"/>
      <c r="D2670" s="52"/>
      <c r="E2670" s="52"/>
      <c r="F2670" s="52"/>
      <c r="G2670" s="52"/>
      <c r="H2670" s="52"/>
    </row>
    <row r="2671" spans="1:8" ht="15.75">
      <c r="A2671" s="124">
        <v>43283</v>
      </c>
      <c r="B2671" s="125">
        <v>54.06</v>
      </c>
      <c r="C2671" s="52"/>
      <c r="D2671" s="52"/>
      <c r="E2671" s="52"/>
      <c r="F2671" s="52"/>
      <c r="G2671" s="52"/>
      <c r="H2671" s="52"/>
    </row>
    <row r="2672" spans="1:8" ht="15.75">
      <c r="A2672" s="124">
        <v>43284</v>
      </c>
      <c r="B2672" s="125">
        <v>54.38</v>
      </c>
      <c r="C2672" s="52"/>
      <c r="D2672" s="52"/>
      <c r="E2672" s="52"/>
      <c r="F2672" s="52"/>
      <c r="G2672" s="52"/>
      <c r="H2672" s="52"/>
    </row>
    <row r="2673" spans="1:8" ht="15.75">
      <c r="A2673" s="124">
        <v>43285</v>
      </c>
      <c r="B2673" s="125">
        <v>54.33</v>
      </c>
      <c r="C2673" s="52"/>
      <c r="D2673" s="52"/>
      <c r="E2673" s="52"/>
      <c r="F2673" s="52"/>
      <c r="G2673" s="52"/>
      <c r="H2673" s="52"/>
    </row>
    <row r="2674" spans="1:8" ht="15.75">
      <c r="A2674" s="124">
        <v>43286</v>
      </c>
      <c r="B2674" s="125">
        <v>54.68</v>
      </c>
      <c r="C2674" s="52"/>
      <c r="D2674" s="52"/>
      <c r="E2674" s="52"/>
      <c r="F2674" s="52"/>
      <c r="G2674" s="52"/>
      <c r="H2674" s="52"/>
    </row>
    <row r="2675" spans="1:8" ht="15.75">
      <c r="A2675" s="124">
        <v>43287</v>
      </c>
      <c r="B2675" s="125">
        <v>54.99</v>
      </c>
      <c r="C2675" s="52"/>
      <c r="D2675" s="52"/>
      <c r="E2675" s="52"/>
      <c r="F2675" s="52"/>
      <c r="G2675" s="52"/>
      <c r="H2675" s="52"/>
    </row>
    <row r="2676" spans="1:8" ht="15.75">
      <c r="A2676" s="124">
        <v>43290</v>
      </c>
      <c r="B2676" s="125">
        <v>54.76</v>
      </c>
      <c r="C2676" s="52"/>
      <c r="D2676" s="52"/>
      <c r="E2676" s="52"/>
      <c r="F2676" s="52"/>
      <c r="G2676" s="52"/>
      <c r="H2676" s="52"/>
    </row>
    <row r="2677" spans="1:8" ht="15.75">
      <c r="A2677" s="124">
        <v>43291</v>
      </c>
      <c r="B2677" s="125">
        <v>55.12</v>
      </c>
      <c r="C2677" s="52"/>
      <c r="D2677" s="52"/>
      <c r="E2677" s="52"/>
      <c r="F2677" s="52"/>
      <c r="G2677" s="52"/>
      <c r="H2677" s="52"/>
    </row>
    <row r="2678" spans="1:8" ht="15.75">
      <c r="A2678" s="124">
        <v>43292</v>
      </c>
      <c r="B2678" s="125">
        <v>55.7</v>
      </c>
      <c r="C2678" s="52"/>
      <c r="D2678" s="52"/>
      <c r="E2678" s="52"/>
      <c r="F2678" s="52"/>
      <c r="G2678" s="52"/>
      <c r="H2678" s="52"/>
    </row>
    <row r="2679" spans="1:8" ht="15.75">
      <c r="A2679" s="124">
        <v>43293</v>
      </c>
      <c r="B2679" s="125">
        <v>55.83</v>
      </c>
      <c r="C2679" s="52"/>
      <c r="D2679" s="52"/>
      <c r="E2679" s="52"/>
      <c r="F2679" s="52"/>
      <c r="G2679" s="52"/>
      <c r="H2679" s="52"/>
    </row>
    <row r="2680" spans="1:8" ht="15.75">
      <c r="A2680" s="124">
        <v>43294</v>
      </c>
      <c r="B2680" s="125">
        <v>55.36</v>
      </c>
      <c r="C2680" s="52"/>
      <c r="D2680" s="52"/>
      <c r="E2680" s="52"/>
      <c r="F2680" s="52"/>
      <c r="G2680" s="52"/>
      <c r="H2680" s="52"/>
    </row>
    <row r="2681" spans="1:8" ht="15.75">
      <c r="A2681" s="124">
        <v>43297</v>
      </c>
      <c r="B2681" s="125">
        <v>54.88</v>
      </c>
      <c r="C2681" s="52"/>
      <c r="D2681" s="52"/>
      <c r="E2681" s="52"/>
      <c r="F2681" s="52"/>
      <c r="G2681" s="52"/>
      <c r="H2681" s="52"/>
    </row>
    <row r="2682" spans="1:8" ht="15.75">
      <c r="A2682" s="124">
        <v>43298</v>
      </c>
      <c r="B2682" s="125">
        <v>54.68</v>
      </c>
      <c r="C2682" s="52"/>
      <c r="D2682" s="52"/>
      <c r="E2682" s="52"/>
      <c r="F2682" s="52"/>
      <c r="G2682" s="52"/>
      <c r="H2682" s="52"/>
    </row>
    <row r="2683" spans="1:8" ht="15.75">
      <c r="A2683" s="124">
        <v>43299</v>
      </c>
      <c r="B2683" s="125">
        <v>54.73</v>
      </c>
      <c r="C2683" s="52"/>
      <c r="D2683" s="52"/>
      <c r="E2683" s="52"/>
      <c r="F2683" s="52"/>
      <c r="G2683" s="52"/>
      <c r="H2683" s="52"/>
    </row>
    <row r="2684" spans="1:8" ht="15.75">
      <c r="A2684" s="124">
        <v>43300</v>
      </c>
      <c r="B2684" s="125">
        <v>55.23</v>
      </c>
      <c r="C2684" s="52"/>
      <c r="D2684" s="52"/>
      <c r="E2684" s="52"/>
      <c r="F2684" s="52"/>
      <c r="G2684" s="52"/>
      <c r="H2684" s="52"/>
    </row>
    <row r="2685" spans="1:8" ht="15.75">
      <c r="A2685" s="124">
        <v>43301</v>
      </c>
      <c r="B2685" s="125">
        <v>53.82</v>
      </c>
      <c r="C2685" s="52"/>
      <c r="D2685" s="52"/>
      <c r="E2685" s="52"/>
      <c r="F2685" s="52"/>
      <c r="G2685" s="52"/>
      <c r="H2685" s="52"/>
    </row>
    <row r="2686" spans="1:8" ht="15.75">
      <c r="A2686" s="124">
        <v>43304</v>
      </c>
      <c r="B2686" s="125">
        <v>53.82</v>
      </c>
      <c r="C2686" s="52"/>
      <c r="D2686" s="52"/>
      <c r="E2686" s="52"/>
      <c r="F2686" s="52"/>
      <c r="G2686" s="52"/>
      <c r="H2686" s="52"/>
    </row>
    <row r="2687" spans="1:8" ht="15.75">
      <c r="A2687" s="124">
        <v>43305</v>
      </c>
      <c r="B2687" s="125">
        <v>54.08</v>
      </c>
      <c r="C2687" s="52"/>
      <c r="D2687" s="52"/>
      <c r="E2687" s="52"/>
      <c r="F2687" s="52"/>
      <c r="G2687" s="52"/>
      <c r="H2687" s="52"/>
    </row>
    <row r="2688" spans="1:8" ht="15.75">
      <c r="A2688" s="124">
        <v>43306</v>
      </c>
      <c r="B2688" s="125">
        <v>55.17</v>
      </c>
      <c r="C2688" s="52"/>
      <c r="D2688" s="52"/>
      <c r="E2688" s="52"/>
      <c r="F2688" s="52"/>
      <c r="G2688" s="52"/>
      <c r="H2688" s="52"/>
    </row>
    <row r="2689" spans="1:8" ht="15.75">
      <c r="A2689" s="124">
        <v>43307</v>
      </c>
      <c r="B2689" s="125">
        <v>55.24</v>
      </c>
      <c r="C2689" s="52"/>
      <c r="D2689" s="52"/>
      <c r="E2689" s="52"/>
      <c r="F2689" s="52"/>
      <c r="G2689" s="52"/>
      <c r="H2689" s="52"/>
    </row>
    <row r="2690" spans="1:8" ht="15.75">
      <c r="A2690" s="124">
        <v>43308</v>
      </c>
      <c r="B2690" s="125">
        <v>54.94</v>
      </c>
      <c r="C2690" s="52"/>
      <c r="D2690" s="52"/>
      <c r="E2690" s="52"/>
      <c r="F2690" s="52"/>
      <c r="G2690" s="52"/>
      <c r="H2690" s="52"/>
    </row>
    <row r="2691" spans="1:8" ht="15.75">
      <c r="A2691" s="124">
        <v>43311</v>
      </c>
      <c r="B2691" s="125">
        <v>54.19</v>
      </c>
      <c r="C2691" s="52"/>
      <c r="D2691" s="52"/>
      <c r="E2691" s="52"/>
      <c r="F2691" s="52"/>
      <c r="G2691" s="52"/>
      <c r="H2691" s="52"/>
    </row>
    <row r="2692" spans="1:8" ht="15.75">
      <c r="A2692" s="124">
        <v>43312</v>
      </c>
      <c r="B2692" s="125">
        <v>55.89</v>
      </c>
      <c r="C2692" s="52"/>
      <c r="D2692" s="52"/>
      <c r="E2692" s="52"/>
      <c r="F2692" s="52"/>
      <c r="G2692" s="52"/>
      <c r="H2692" s="52"/>
    </row>
    <row r="2693" spans="1:8" ht="15.75">
      <c r="A2693" s="124">
        <v>43313</v>
      </c>
      <c r="B2693" s="125">
        <v>56.15</v>
      </c>
      <c r="C2693" s="52"/>
      <c r="D2693" s="52"/>
      <c r="E2693" s="52"/>
      <c r="F2693" s="52"/>
      <c r="G2693" s="52"/>
      <c r="H2693" s="52"/>
    </row>
    <row r="2694" spans="1:8" ht="15.75">
      <c r="A2694" s="124">
        <v>43314</v>
      </c>
      <c r="B2694" s="125">
        <v>57.1</v>
      </c>
      <c r="C2694" s="52"/>
      <c r="D2694" s="52"/>
      <c r="E2694" s="52"/>
      <c r="F2694" s="52"/>
      <c r="G2694" s="52"/>
      <c r="H2694" s="52"/>
    </row>
    <row r="2695" spans="1:8" ht="15.75">
      <c r="A2695" s="124">
        <v>43315</v>
      </c>
      <c r="B2695" s="125">
        <v>57.36</v>
      </c>
      <c r="C2695" s="52"/>
      <c r="D2695" s="52"/>
      <c r="E2695" s="52"/>
      <c r="F2695" s="52"/>
      <c r="G2695" s="52"/>
      <c r="H2695" s="52"/>
    </row>
    <row r="2696" spans="1:8" ht="15.75">
      <c r="A2696" s="124">
        <v>43318</v>
      </c>
      <c r="B2696" s="125">
        <v>57.95</v>
      </c>
      <c r="C2696" s="52"/>
      <c r="D2696" s="52"/>
      <c r="E2696" s="52"/>
      <c r="F2696" s="52"/>
      <c r="G2696" s="52"/>
      <c r="H2696" s="52"/>
    </row>
    <row r="2697" spans="1:8" ht="15.75">
      <c r="A2697" s="124">
        <v>43319</v>
      </c>
      <c r="B2697" s="125">
        <v>57.6</v>
      </c>
      <c r="C2697" s="52"/>
      <c r="D2697" s="52"/>
      <c r="E2697" s="52"/>
      <c r="F2697" s="52"/>
      <c r="G2697" s="52"/>
      <c r="H2697" s="52"/>
    </row>
    <row r="2698" spans="1:8" ht="15.75">
      <c r="A2698" s="124">
        <v>43320</v>
      </c>
      <c r="B2698" s="125">
        <v>57.38</v>
      </c>
      <c r="C2698" s="52"/>
      <c r="D2698" s="52"/>
      <c r="E2698" s="52"/>
      <c r="F2698" s="52"/>
      <c r="G2698" s="52"/>
      <c r="H2698" s="52"/>
    </row>
    <row r="2699" spans="1:8" ht="15.75">
      <c r="A2699" s="124">
        <v>43321</v>
      </c>
      <c r="B2699" s="125">
        <v>57.67</v>
      </c>
      <c r="C2699" s="52"/>
      <c r="D2699" s="52"/>
      <c r="E2699" s="52"/>
      <c r="F2699" s="52"/>
      <c r="G2699" s="52"/>
      <c r="H2699" s="52"/>
    </row>
    <row r="2700" spans="1:8" ht="15.75">
      <c r="A2700" s="124">
        <v>43322</v>
      </c>
      <c r="B2700" s="125">
        <v>58.02</v>
      </c>
      <c r="C2700" s="52"/>
      <c r="D2700" s="52"/>
      <c r="E2700" s="52"/>
      <c r="F2700" s="52"/>
      <c r="G2700" s="52"/>
      <c r="H2700" s="52"/>
    </row>
    <row r="2701" spans="1:8" ht="15.75">
      <c r="A2701" s="124">
        <v>43325</v>
      </c>
      <c r="B2701" s="125">
        <v>58.04</v>
      </c>
      <c r="C2701" s="52"/>
      <c r="D2701" s="52"/>
      <c r="E2701" s="52"/>
      <c r="F2701" s="52"/>
      <c r="G2701" s="52"/>
      <c r="H2701" s="52"/>
    </row>
    <row r="2702" spans="1:8" ht="15.75">
      <c r="A2702" s="124">
        <v>43326</v>
      </c>
      <c r="B2702" s="125">
        <v>58.76</v>
      </c>
      <c r="C2702" s="52"/>
      <c r="D2702" s="52"/>
      <c r="E2702" s="52"/>
      <c r="F2702" s="52"/>
      <c r="G2702" s="52"/>
      <c r="H2702" s="52"/>
    </row>
    <row r="2703" spans="1:8" ht="15.75">
      <c r="A2703" s="124">
        <v>43327</v>
      </c>
      <c r="B2703" s="125">
        <v>59.21</v>
      </c>
      <c r="C2703" s="52"/>
      <c r="D2703" s="52"/>
      <c r="E2703" s="52"/>
      <c r="F2703" s="52"/>
      <c r="G2703" s="52"/>
      <c r="H2703" s="52"/>
    </row>
    <row r="2704" spans="1:8" ht="15.75">
      <c r="A2704" s="124">
        <v>43328</v>
      </c>
      <c r="B2704" s="125">
        <v>59.25</v>
      </c>
      <c r="C2704" s="52"/>
      <c r="D2704" s="52"/>
      <c r="E2704" s="52"/>
      <c r="F2704" s="52"/>
      <c r="G2704" s="52"/>
      <c r="H2704" s="52"/>
    </row>
    <row r="2705" spans="1:8" ht="15.75">
      <c r="A2705" s="124">
        <v>43329</v>
      </c>
      <c r="B2705" s="125">
        <v>59.32</v>
      </c>
      <c r="C2705" s="52"/>
      <c r="D2705" s="52"/>
      <c r="E2705" s="52"/>
      <c r="F2705" s="52"/>
      <c r="G2705" s="52"/>
      <c r="H2705" s="52"/>
    </row>
    <row r="2706" spans="1:8" ht="15.75">
      <c r="A2706" s="124">
        <v>43332</v>
      </c>
      <c r="B2706" s="125">
        <v>59.29</v>
      </c>
      <c r="C2706" s="52"/>
      <c r="D2706" s="52"/>
      <c r="E2706" s="52"/>
      <c r="F2706" s="52"/>
      <c r="G2706" s="52"/>
      <c r="H2706" s="52"/>
    </row>
    <row r="2707" spans="1:8" ht="15.75">
      <c r="A2707" s="124">
        <v>43333</v>
      </c>
      <c r="B2707" s="125">
        <v>57.77</v>
      </c>
      <c r="C2707" s="52"/>
      <c r="D2707" s="52"/>
      <c r="E2707" s="52"/>
      <c r="F2707" s="52"/>
      <c r="G2707" s="52"/>
      <c r="H2707" s="52"/>
    </row>
    <row r="2708" spans="1:8" ht="15.75">
      <c r="A2708" s="124">
        <v>43334</v>
      </c>
      <c r="B2708" s="125">
        <v>57.55</v>
      </c>
      <c r="C2708" s="52"/>
      <c r="D2708" s="52"/>
      <c r="E2708" s="52"/>
      <c r="F2708" s="52"/>
      <c r="G2708" s="52"/>
      <c r="H2708" s="52"/>
    </row>
    <row r="2709" spans="1:8" ht="15.75">
      <c r="A2709" s="124">
        <v>43335</v>
      </c>
      <c r="B2709" s="125">
        <v>57.92</v>
      </c>
      <c r="C2709" s="52"/>
      <c r="D2709" s="52"/>
      <c r="E2709" s="52"/>
      <c r="F2709" s="52"/>
      <c r="G2709" s="52"/>
      <c r="H2709" s="52"/>
    </row>
    <row r="2710" spans="1:8" ht="15.75">
      <c r="A2710" s="124">
        <v>43336</v>
      </c>
      <c r="B2710" s="125">
        <v>57.84</v>
      </c>
      <c r="C2710" s="52"/>
      <c r="D2710" s="52"/>
      <c r="E2710" s="52"/>
      <c r="F2710" s="52"/>
      <c r="G2710" s="52"/>
      <c r="H2710" s="52"/>
    </row>
    <row r="2711" spans="1:8" ht="15.75">
      <c r="A2711" s="124">
        <v>43339</v>
      </c>
      <c r="B2711" s="125">
        <v>57.42</v>
      </c>
      <c r="C2711" s="52"/>
      <c r="D2711" s="52"/>
      <c r="E2711" s="52"/>
      <c r="F2711" s="52"/>
      <c r="G2711" s="52"/>
      <c r="H2711" s="52"/>
    </row>
    <row r="2712" spans="1:8" ht="15.75">
      <c r="A2712" s="124">
        <v>43340</v>
      </c>
      <c r="B2712" s="125">
        <v>57.53</v>
      </c>
      <c r="C2712" s="52"/>
      <c r="D2712" s="52"/>
      <c r="E2712" s="52"/>
      <c r="F2712" s="52"/>
      <c r="G2712" s="52"/>
      <c r="H2712" s="52"/>
    </row>
    <row r="2713" spans="1:8" ht="15.75">
      <c r="A2713" s="124">
        <v>43341</v>
      </c>
      <c r="B2713" s="125">
        <v>58</v>
      </c>
      <c r="C2713" s="52"/>
      <c r="D2713" s="52"/>
      <c r="E2713" s="52"/>
      <c r="F2713" s="52"/>
      <c r="G2713" s="52"/>
      <c r="H2713" s="52"/>
    </row>
    <row r="2714" spans="1:8" ht="15.75">
      <c r="A2714" s="124">
        <v>43342</v>
      </c>
      <c r="B2714" s="125">
        <v>58.02</v>
      </c>
      <c r="C2714" s="52"/>
      <c r="D2714" s="52"/>
      <c r="E2714" s="52"/>
      <c r="F2714" s="52"/>
      <c r="G2714" s="52"/>
      <c r="H2714" s="52"/>
    </row>
    <row r="2715" spans="1:8" ht="15.75">
      <c r="A2715" s="124">
        <v>43343</v>
      </c>
      <c r="B2715" s="125">
        <v>58.01</v>
      </c>
      <c r="C2715" s="52"/>
      <c r="D2715" s="52"/>
      <c r="E2715" s="52"/>
      <c r="F2715" s="52"/>
      <c r="G2715" s="52"/>
      <c r="H2715" s="52"/>
    </row>
    <row r="2716" spans="1:8" ht="15.75">
      <c r="A2716" s="124">
        <v>43346</v>
      </c>
      <c r="B2716" s="125">
        <v>58.01</v>
      </c>
      <c r="C2716" s="52"/>
      <c r="D2716" s="52"/>
      <c r="E2716" s="52"/>
      <c r="F2716" s="52"/>
      <c r="G2716" s="52"/>
      <c r="H2716" s="52"/>
    </row>
    <row r="2717" spans="1:8" ht="15.75">
      <c r="A2717" s="124">
        <v>43347</v>
      </c>
      <c r="B2717" s="125">
        <v>57.73</v>
      </c>
      <c r="C2717" s="52"/>
      <c r="D2717" s="52"/>
      <c r="E2717" s="52"/>
      <c r="F2717" s="52"/>
      <c r="G2717" s="52"/>
      <c r="H2717" s="52"/>
    </row>
    <row r="2718" spans="1:8" ht="15.75">
      <c r="A2718" s="124">
        <v>43348</v>
      </c>
      <c r="B2718" s="125">
        <v>58.17</v>
      </c>
      <c r="C2718" s="52"/>
      <c r="D2718" s="52"/>
      <c r="E2718" s="52"/>
      <c r="F2718" s="52"/>
      <c r="G2718" s="52"/>
      <c r="H2718" s="52"/>
    </row>
    <row r="2719" spans="1:8" ht="15.75">
      <c r="A2719" s="124">
        <v>43349</v>
      </c>
      <c r="B2719" s="125">
        <v>58.52</v>
      </c>
      <c r="C2719" s="52"/>
      <c r="D2719" s="52"/>
      <c r="E2719" s="52"/>
      <c r="F2719" s="52"/>
      <c r="G2719" s="52"/>
      <c r="H2719" s="52"/>
    </row>
    <row r="2720" spans="1:8" ht="15.75">
      <c r="A2720" s="124">
        <v>43350</v>
      </c>
      <c r="B2720" s="125">
        <v>57.94</v>
      </c>
      <c r="C2720" s="52"/>
      <c r="D2720" s="52"/>
      <c r="E2720" s="52"/>
      <c r="F2720" s="52"/>
      <c r="G2720" s="52"/>
      <c r="H2720" s="52"/>
    </row>
    <row r="2721" spans="1:8" ht="15.75">
      <c r="A2721" s="124">
        <v>43353</v>
      </c>
      <c r="B2721" s="125">
        <v>58.54</v>
      </c>
      <c r="C2721" s="52"/>
      <c r="D2721" s="52"/>
      <c r="E2721" s="52"/>
      <c r="F2721" s="52"/>
      <c r="G2721" s="52"/>
      <c r="H2721" s="52"/>
    </row>
    <row r="2722" spans="1:8" ht="15.75">
      <c r="A2722" s="124">
        <v>43354</v>
      </c>
      <c r="B2722" s="125">
        <v>58.61</v>
      </c>
      <c r="C2722" s="52"/>
      <c r="D2722" s="52"/>
      <c r="E2722" s="52"/>
      <c r="F2722" s="52"/>
      <c r="G2722" s="52"/>
      <c r="H2722" s="52"/>
    </row>
    <row r="2723" spans="1:8" ht="15.75">
      <c r="A2723" s="124">
        <v>43355</v>
      </c>
      <c r="B2723" s="125">
        <v>58.21</v>
      </c>
      <c r="C2723" s="52"/>
      <c r="D2723" s="52"/>
      <c r="E2723" s="52"/>
      <c r="F2723" s="52"/>
      <c r="G2723" s="52"/>
      <c r="H2723" s="52"/>
    </row>
    <row r="2724" spans="1:8" ht="15.75">
      <c r="A2724" s="124">
        <v>43356</v>
      </c>
      <c r="B2724" s="125">
        <v>58.23</v>
      </c>
      <c r="C2724" s="52"/>
      <c r="D2724" s="52"/>
      <c r="E2724" s="52"/>
      <c r="F2724" s="52"/>
      <c r="G2724" s="52"/>
      <c r="H2724" s="52"/>
    </row>
    <row r="2725" spans="1:8" ht="15.75">
      <c r="A2725" s="124">
        <v>43357</v>
      </c>
      <c r="B2725" s="125">
        <v>57.96</v>
      </c>
      <c r="C2725" s="52"/>
      <c r="D2725" s="52"/>
      <c r="E2725" s="52"/>
      <c r="F2725" s="52"/>
      <c r="G2725" s="52"/>
      <c r="H2725" s="52"/>
    </row>
    <row r="2726" spans="1:8" ht="15.75">
      <c r="A2726" s="124">
        <v>43360</v>
      </c>
      <c r="B2726" s="125">
        <v>58.45</v>
      </c>
      <c r="C2726" s="52"/>
      <c r="D2726" s="52"/>
      <c r="E2726" s="52"/>
      <c r="F2726" s="52"/>
      <c r="G2726" s="52"/>
      <c r="H2726" s="52"/>
    </row>
    <row r="2727" spans="1:8" ht="15.75">
      <c r="A2727" s="124">
        <v>43361</v>
      </c>
      <c r="B2727" s="125">
        <v>57.92</v>
      </c>
      <c r="C2727" s="52"/>
      <c r="D2727" s="52"/>
      <c r="E2727" s="52"/>
      <c r="F2727" s="52"/>
      <c r="G2727" s="52"/>
      <c r="H2727" s="52"/>
    </row>
    <row r="2728" spans="1:8" ht="15.75">
      <c r="A2728" s="124">
        <v>43362</v>
      </c>
      <c r="B2728" s="125">
        <v>57.5</v>
      </c>
      <c r="C2728" s="52"/>
      <c r="D2728" s="52"/>
      <c r="E2728" s="52"/>
      <c r="F2728" s="52"/>
      <c r="G2728" s="52"/>
      <c r="H2728" s="52"/>
    </row>
    <row r="2729" spans="1:8" ht="15.75">
      <c r="A2729" s="124">
        <v>43363</v>
      </c>
      <c r="B2729" s="125">
        <v>57.31</v>
      </c>
      <c r="C2729" s="52"/>
      <c r="D2729" s="52"/>
      <c r="E2729" s="52"/>
      <c r="F2729" s="52"/>
      <c r="G2729" s="52"/>
      <c r="H2729" s="52"/>
    </row>
    <row r="2730" spans="1:8" ht="15.75">
      <c r="A2730" s="124">
        <v>43364</v>
      </c>
      <c r="B2730" s="125">
        <v>58.01</v>
      </c>
      <c r="C2730" s="52"/>
      <c r="D2730" s="52"/>
      <c r="E2730" s="52"/>
      <c r="F2730" s="52"/>
      <c r="G2730" s="52"/>
      <c r="H2730" s="52"/>
    </row>
    <row r="2731" spans="1:8" ht="15.75">
      <c r="A2731" s="124">
        <v>43367</v>
      </c>
      <c r="B2731" s="125">
        <v>56.17</v>
      </c>
      <c r="C2731" s="52"/>
      <c r="D2731" s="52"/>
      <c r="E2731" s="52"/>
      <c r="F2731" s="52"/>
      <c r="G2731" s="52"/>
      <c r="H2731" s="52"/>
    </row>
    <row r="2732" spans="1:8" ht="15.75">
      <c r="A2732" s="124">
        <v>43368</v>
      </c>
      <c r="B2732" s="125">
        <v>56.22</v>
      </c>
      <c r="C2732" s="52"/>
      <c r="D2732" s="52"/>
      <c r="E2732" s="52"/>
      <c r="F2732" s="52"/>
      <c r="G2732" s="52"/>
      <c r="H2732" s="52"/>
    </row>
    <row r="2733" spans="1:8" ht="15.75">
      <c r="A2733" s="124">
        <v>43369</v>
      </c>
      <c r="B2733" s="125">
        <v>55.94</v>
      </c>
      <c r="C2733" s="52"/>
      <c r="D2733" s="52"/>
      <c r="E2733" s="52"/>
      <c r="F2733" s="52"/>
      <c r="G2733" s="52"/>
      <c r="H2733" s="52"/>
    </row>
    <row r="2734" spans="1:8" ht="15.75">
      <c r="A2734" s="124">
        <v>43370</v>
      </c>
      <c r="B2734" s="125">
        <v>55.82</v>
      </c>
      <c r="C2734" s="52"/>
      <c r="D2734" s="52"/>
      <c r="E2734" s="52"/>
      <c r="F2734" s="52"/>
      <c r="G2734" s="52"/>
      <c r="H2734" s="52"/>
    </row>
    <row r="2735" spans="1:8" ht="15.75">
      <c r="A2735" s="124">
        <v>43371</v>
      </c>
      <c r="B2735" s="125">
        <v>56.48</v>
      </c>
      <c r="C2735" s="52"/>
      <c r="D2735" s="52"/>
      <c r="E2735" s="52"/>
      <c r="F2735" s="52"/>
      <c r="G2735" s="52"/>
      <c r="H2735" s="52"/>
    </row>
    <row r="2736" spans="1:8" ht="15.75">
      <c r="A2736" s="124">
        <v>43374</v>
      </c>
      <c r="B2736" s="125">
        <v>57.06</v>
      </c>
      <c r="C2736" s="52"/>
      <c r="D2736" s="52"/>
      <c r="E2736" s="52"/>
      <c r="F2736" s="52"/>
      <c r="G2736" s="52"/>
      <c r="H2736" s="52"/>
    </row>
    <row r="2737" spans="1:8" ht="15.75">
      <c r="A2737" s="124">
        <v>43375</v>
      </c>
      <c r="B2737" s="125">
        <v>57.53</v>
      </c>
      <c r="C2737" s="52"/>
      <c r="D2737" s="52"/>
      <c r="E2737" s="52"/>
      <c r="F2737" s="52"/>
      <c r="G2737" s="52"/>
      <c r="H2737" s="52"/>
    </row>
    <row r="2738" spans="1:8" ht="15.75">
      <c r="A2738" s="124">
        <v>43377</v>
      </c>
      <c r="B2738" s="125">
        <v>56.43</v>
      </c>
      <c r="C2738" s="52"/>
      <c r="D2738" s="52"/>
      <c r="E2738" s="52"/>
      <c r="F2738" s="52"/>
      <c r="G2738" s="52"/>
      <c r="H2738" s="52"/>
    </row>
    <row r="2739" spans="1:8" ht="15.75">
      <c r="A2739" s="124">
        <v>43378</v>
      </c>
      <c r="B2739" s="125">
        <v>56.5</v>
      </c>
      <c r="C2739" s="52"/>
      <c r="D2739" s="52"/>
      <c r="E2739" s="52"/>
      <c r="F2739" s="52"/>
      <c r="G2739" s="52"/>
      <c r="H2739" s="52"/>
    </row>
    <row r="2740" spans="1:8" ht="15.75">
      <c r="A2740" s="124">
        <v>43381</v>
      </c>
      <c r="B2740" s="125">
        <v>57.07</v>
      </c>
      <c r="C2740" s="52"/>
      <c r="D2740" s="52"/>
      <c r="E2740" s="52"/>
      <c r="F2740" s="52"/>
      <c r="G2740" s="52"/>
      <c r="H2740" s="52"/>
    </row>
    <row r="2741" spans="1:8" ht="15.75">
      <c r="A2741" s="124">
        <v>43382</v>
      </c>
      <c r="B2741" s="125">
        <v>56.91</v>
      </c>
      <c r="C2741" s="52"/>
      <c r="D2741" s="52"/>
      <c r="E2741" s="52"/>
      <c r="F2741" s="52"/>
      <c r="G2741" s="52"/>
      <c r="H2741" s="52"/>
    </row>
    <row r="2742" spans="1:8" ht="15.75">
      <c r="A2742" s="124">
        <v>43383</v>
      </c>
      <c r="B2742" s="125">
        <v>56.75</v>
      </c>
      <c r="C2742" s="52"/>
      <c r="D2742" s="52"/>
      <c r="E2742" s="52"/>
      <c r="F2742" s="52"/>
      <c r="G2742" s="52"/>
      <c r="H2742" s="52"/>
    </row>
    <row r="2743" spans="1:8" ht="15.75">
      <c r="A2743" s="124">
        <v>43384</v>
      </c>
      <c r="B2743" s="125">
        <v>55.01</v>
      </c>
      <c r="C2743" s="52"/>
      <c r="D2743" s="52"/>
      <c r="E2743" s="52"/>
      <c r="F2743" s="52"/>
      <c r="G2743" s="52"/>
      <c r="H2743" s="52"/>
    </row>
    <row r="2744" spans="1:8" ht="15.75">
      <c r="A2744" s="124">
        <v>43385</v>
      </c>
      <c r="B2744" s="125">
        <v>54.18</v>
      </c>
      <c r="C2744" s="52"/>
      <c r="D2744" s="52"/>
      <c r="E2744" s="52"/>
      <c r="F2744" s="52"/>
      <c r="G2744" s="52"/>
      <c r="H2744" s="52"/>
    </row>
    <row r="2745" spans="1:8" ht="15.75">
      <c r="A2745" s="124">
        <v>43388</v>
      </c>
      <c r="B2745" s="125">
        <v>54.81</v>
      </c>
      <c r="C2745" s="52"/>
      <c r="D2745" s="52"/>
      <c r="E2745" s="52"/>
      <c r="F2745" s="52"/>
      <c r="G2745" s="52"/>
      <c r="H2745" s="52"/>
    </row>
    <row r="2746" spans="1:8" ht="15.75">
      <c r="A2746" s="124">
        <v>43389</v>
      </c>
      <c r="B2746" s="125">
        <v>55.15</v>
      </c>
      <c r="C2746" s="52"/>
      <c r="D2746" s="52"/>
      <c r="E2746" s="52"/>
      <c r="F2746" s="52"/>
      <c r="G2746" s="52"/>
      <c r="H2746" s="52"/>
    </row>
    <row r="2747" spans="1:8" ht="15.75">
      <c r="A2747" s="124">
        <v>43390</v>
      </c>
      <c r="B2747" s="125">
        <v>55.8</v>
      </c>
      <c r="C2747" s="52"/>
      <c r="D2747" s="52"/>
      <c r="E2747" s="52"/>
      <c r="F2747" s="52"/>
      <c r="G2747" s="52"/>
      <c r="H2747" s="52"/>
    </row>
    <row r="2748" spans="1:8" ht="15.75">
      <c r="A2748" s="124">
        <v>43391</v>
      </c>
      <c r="B2748" s="125">
        <v>55.89</v>
      </c>
      <c r="C2748" s="52"/>
      <c r="D2748" s="52"/>
      <c r="E2748" s="52"/>
      <c r="F2748" s="52"/>
      <c r="G2748" s="52"/>
      <c r="H2748" s="52"/>
    </row>
    <row r="2749" spans="1:8" ht="15.75">
      <c r="A2749" s="124">
        <v>43392</v>
      </c>
      <c r="B2749" s="125">
        <v>56.16</v>
      </c>
      <c r="C2749" s="52"/>
      <c r="D2749" s="52"/>
      <c r="E2749" s="52"/>
      <c r="F2749" s="52"/>
      <c r="G2749" s="52"/>
      <c r="H2749" s="52"/>
    </row>
    <row r="2750" spans="1:8" ht="15.75">
      <c r="A2750" s="124">
        <v>43395</v>
      </c>
      <c r="B2750" s="125">
        <v>55.75</v>
      </c>
      <c r="C2750" s="52"/>
      <c r="D2750" s="52"/>
      <c r="E2750" s="52"/>
      <c r="F2750" s="52"/>
      <c r="G2750" s="52"/>
      <c r="H2750" s="52"/>
    </row>
    <row r="2751" spans="1:8" ht="15.75">
      <c r="A2751" s="124">
        <v>43396</v>
      </c>
      <c r="B2751" s="125">
        <v>55.13</v>
      </c>
      <c r="C2751" s="52"/>
      <c r="D2751" s="52"/>
      <c r="E2751" s="52"/>
      <c r="F2751" s="52"/>
      <c r="G2751" s="52"/>
      <c r="H2751" s="52"/>
    </row>
    <row r="2752" spans="1:8" ht="15.75">
      <c r="A2752" s="124">
        <v>43397</v>
      </c>
      <c r="B2752" s="125">
        <v>57.63</v>
      </c>
      <c r="C2752" s="52"/>
      <c r="D2752" s="52"/>
      <c r="E2752" s="52"/>
      <c r="F2752" s="52"/>
      <c r="G2752" s="52"/>
      <c r="H2752" s="52"/>
    </row>
    <row r="2753" spans="1:8" ht="15.75">
      <c r="A2753" s="124">
        <v>43398</v>
      </c>
      <c r="B2753" s="125">
        <v>57.87</v>
      </c>
      <c r="C2753" s="52"/>
      <c r="D2753" s="52"/>
      <c r="E2753" s="52"/>
      <c r="F2753" s="52"/>
      <c r="G2753" s="52"/>
      <c r="H2753" s="52"/>
    </row>
    <row r="2754" spans="1:8" ht="15.75">
      <c r="A2754" s="124">
        <v>43399</v>
      </c>
      <c r="B2754" s="125">
        <v>57.2</v>
      </c>
      <c r="C2754" s="52"/>
      <c r="D2754" s="52"/>
      <c r="E2754" s="52"/>
      <c r="F2754" s="52"/>
      <c r="G2754" s="52"/>
      <c r="H2754" s="52"/>
    </row>
    <row r="2755" spans="1:8" ht="15.75">
      <c r="A2755" s="124">
        <v>43402</v>
      </c>
      <c r="B2755" s="125">
        <v>57.9</v>
      </c>
      <c r="C2755" s="52"/>
      <c r="D2755" s="52"/>
      <c r="E2755" s="52"/>
      <c r="F2755" s="52"/>
      <c r="G2755" s="52"/>
      <c r="H2755" s="52"/>
    </row>
    <row r="2756" spans="1:8" ht="15.75">
      <c r="A2756" s="124">
        <v>43403</v>
      </c>
      <c r="B2756" s="125">
        <v>58.01</v>
      </c>
      <c r="C2756" s="52"/>
      <c r="D2756" s="52"/>
      <c r="E2756" s="52"/>
      <c r="F2756" s="52"/>
      <c r="G2756" s="52"/>
      <c r="H2756" s="52"/>
    </row>
    <row r="2757" spans="1:8" ht="15.75">
      <c r="A2757" s="124">
        <v>43404</v>
      </c>
      <c r="B2757" s="125">
        <v>58.08</v>
      </c>
      <c r="C2757" s="52"/>
      <c r="D2757" s="52"/>
      <c r="E2757" s="52"/>
      <c r="F2757" s="52"/>
      <c r="G2757" s="52"/>
      <c r="H2757" s="52"/>
    </row>
    <row r="2758" spans="1:8" ht="15.75">
      <c r="A2758" s="124">
        <v>43405</v>
      </c>
      <c r="B2758" s="125">
        <v>56.55</v>
      </c>
      <c r="C2758" s="52"/>
      <c r="D2758" s="52"/>
      <c r="E2758" s="52"/>
      <c r="F2758" s="52"/>
      <c r="G2758" s="52"/>
      <c r="H2758" s="52"/>
    </row>
    <row r="2759" spans="1:8" ht="15.75">
      <c r="A2759" s="124">
        <v>43406</v>
      </c>
      <c r="B2759" s="125">
        <v>56.34</v>
      </c>
      <c r="C2759" s="52"/>
      <c r="D2759" s="52"/>
      <c r="E2759" s="52"/>
      <c r="F2759" s="52"/>
      <c r="G2759" s="52"/>
      <c r="H2759" s="52"/>
    </row>
    <row r="2760" spans="1:8" ht="15.75">
      <c r="A2760" s="124">
        <v>43409</v>
      </c>
      <c r="B2760" s="125">
        <v>57.43</v>
      </c>
      <c r="C2760" s="52"/>
      <c r="D2760" s="52"/>
      <c r="E2760" s="52"/>
      <c r="F2760" s="52"/>
      <c r="G2760" s="52"/>
      <c r="H2760" s="52"/>
    </row>
    <row r="2761" spans="1:8" ht="15.75">
      <c r="A2761" s="124">
        <v>43410</v>
      </c>
      <c r="B2761" s="125">
        <v>58.42</v>
      </c>
      <c r="C2761" s="52"/>
      <c r="D2761" s="52"/>
      <c r="E2761" s="52"/>
      <c r="F2761" s="52"/>
      <c r="G2761" s="52"/>
      <c r="H2761" s="52"/>
    </row>
    <row r="2762" spans="1:8" ht="15.75">
      <c r="A2762" s="124">
        <v>43411</v>
      </c>
      <c r="B2762" s="125">
        <v>58.83</v>
      </c>
      <c r="C2762" s="52"/>
      <c r="D2762" s="52"/>
      <c r="E2762" s="52"/>
      <c r="F2762" s="52"/>
      <c r="G2762" s="52"/>
      <c r="H2762" s="52"/>
    </row>
    <row r="2763" spans="1:8" ht="15.75">
      <c r="A2763" s="124">
        <v>43412</v>
      </c>
      <c r="B2763" s="125">
        <v>58.66</v>
      </c>
      <c r="C2763" s="52"/>
      <c r="D2763" s="52"/>
      <c r="E2763" s="52"/>
      <c r="F2763" s="52"/>
      <c r="G2763" s="52"/>
      <c r="H2763" s="52"/>
    </row>
    <row r="2764" spans="1:8" ht="15.75">
      <c r="A2764" s="124">
        <v>43413</v>
      </c>
      <c r="B2764" s="125">
        <v>59.11</v>
      </c>
      <c r="C2764" s="52"/>
      <c r="D2764" s="52"/>
      <c r="E2764" s="52"/>
      <c r="F2764" s="52"/>
      <c r="G2764" s="52"/>
      <c r="H2764" s="52"/>
    </row>
    <row r="2765" spans="1:8" ht="15.75">
      <c r="A2765" s="124">
        <v>43416</v>
      </c>
      <c r="B2765" s="125">
        <v>60.55</v>
      </c>
      <c r="C2765" s="52"/>
      <c r="D2765" s="52"/>
      <c r="E2765" s="52"/>
      <c r="F2765" s="52"/>
      <c r="G2765" s="52"/>
      <c r="H2765" s="52"/>
    </row>
    <row r="2766" spans="1:8" ht="15.75">
      <c r="A2766" s="124">
        <v>43417</v>
      </c>
      <c r="B2766" s="125">
        <v>60.26</v>
      </c>
      <c r="C2766" s="52"/>
      <c r="D2766" s="52"/>
      <c r="E2766" s="52"/>
      <c r="F2766" s="52"/>
      <c r="G2766" s="52"/>
      <c r="H2766" s="52"/>
    </row>
    <row r="2767" spans="1:8" ht="15.75">
      <c r="A2767" s="124">
        <v>43418</v>
      </c>
      <c r="B2767" s="125">
        <v>60.29</v>
      </c>
      <c r="C2767" s="52"/>
      <c r="D2767" s="52"/>
      <c r="E2767" s="52"/>
      <c r="F2767" s="52"/>
      <c r="G2767" s="52"/>
      <c r="H2767" s="52"/>
    </row>
    <row r="2768" spans="1:8" ht="15.75">
      <c r="A2768" s="124">
        <v>43419</v>
      </c>
      <c r="B2768" s="125">
        <v>59.8</v>
      </c>
      <c r="C2768" s="52"/>
      <c r="D2768" s="52"/>
      <c r="E2768" s="52"/>
      <c r="F2768" s="52"/>
      <c r="G2768" s="52"/>
      <c r="H2768" s="52"/>
    </row>
    <row r="2769" spans="1:8" ht="15.75">
      <c r="A2769" s="124">
        <v>43420</v>
      </c>
      <c r="B2769" s="125">
        <v>60.34</v>
      </c>
      <c r="C2769" s="52"/>
      <c r="D2769" s="52"/>
      <c r="E2769" s="52"/>
      <c r="F2769" s="52"/>
      <c r="G2769" s="52"/>
      <c r="H2769" s="52"/>
    </row>
    <row r="2770" spans="1:8" ht="15.75">
      <c r="A2770" s="124">
        <v>43423</v>
      </c>
      <c r="B2770" s="125">
        <v>59.98</v>
      </c>
      <c r="C2770" s="52"/>
      <c r="D2770" s="52"/>
      <c r="E2770" s="52"/>
      <c r="F2770" s="52"/>
      <c r="G2770" s="52"/>
      <c r="H2770" s="52"/>
    </row>
    <row r="2771" spans="1:8" ht="15.75">
      <c r="A2771" s="124">
        <v>43424</v>
      </c>
      <c r="B2771" s="125">
        <v>60.93</v>
      </c>
      <c r="C2771" s="52"/>
      <c r="D2771" s="52"/>
      <c r="E2771" s="52"/>
      <c r="F2771" s="52"/>
      <c r="G2771" s="52"/>
      <c r="H2771" s="52"/>
    </row>
    <row r="2772" spans="1:8" ht="15.75">
      <c r="A2772" s="124">
        <v>43425</v>
      </c>
      <c r="B2772" s="125">
        <v>61.31</v>
      </c>
      <c r="C2772" s="52"/>
      <c r="D2772" s="52"/>
      <c r="E2772" s="52"/>
      <c r="F2772" s="52"/>
      <c r="G2772" s="52"/>
      <c r="H2772" s="52"/>
    </row>
    <row r="2773" spans="1:8" ht="15.75">
      <c r="A2773" s="124">
        <v>43426</v>
      </c>
      <c r="B2773" s="125">
        <v>60.63</v>
      </c>
      <c r="C2773" s="52"/>
      <c r="D2773" s="52"/>
      <c r="E2773" s="52"/>
      <c r="F2773" s="52"/>
      <c r="G2773" s="52"/>
      <c r="H2773" s="52"/>
    </row>
    <row r="2774" spans="1:8" ht="15.75">
      <c r="A2774" s="124">
        <v>43427</v>
      </c>
      <c r="B2774" s="125">
        <v>60.79</v>
      </c>
      <c r="C2774" s="52"/>
      <c r="D2774" s="52"/>
      <c r="E2774" s="52"/>
      <c r="F2774" s="52"/>
      <c r="G2774" s="52"/>
      <c r="H2774" s="52"/>
    </row>
    <row r="2775" spans="1:8" ht="15.75">
      <c r="A2775" s="124">
        <v>43430</v>
      </c>
      <c r="B2775" s="125">
        <v>60.95</v>
      </c>
      <c r="C2775" s="52"/>
      <c r="D2775" s="52"/>
      <c r="E2775" s="52"/>
      <c r="F2775" s="52"/>
      <c r="G2775" s="52"/>
      <c r="H2775" s="52"/>
    </row>
    <row r="2776" spans="1:8" ht="15.75">
      <c r="A2776" s="124">
        <v>43431</v>
      </c>
      <c r="B2776" s="125">
        <v>61.58</v>
      </c>
      <c r="C2776" s="52"/>
      <c r="D2776" s="52"/>
      <c r="E2776" s="52"/>
      <c r="F2776" s="52"/>
      <c r="G2776" s="52"/>
      <c r="H2776" s="52"/>
    </row>
    <row r="2777" spans="1:8" ht="15.75">
      <c r="A2777" s="124">
        <v>43432</v>
      </c>
      <c r="B2777" s="125">
        <v>61.53</v>
      </c>
      <c r="C2777" s="52"/>
      <c r="D2777" s="52"/>
      <c r="E2777" s="52"/>
      <c r="F2777" s="52"/>
      <c r="G2777" s="52"/>
      <c r="H2777" s="52"/>
    </row>
    <row r="2778" spans="1:8" ht="15.75">
      <c r="A2778" s="124">
        <v>43433</v>
      </c>
      <c r="B2778" s="125">
        <v>61.72</v>
      </c>
      <c r="C2778" s="52"/>
      <c r="D2778" s="52"/>
      <c r="E2778" s="52"/>
      <c r="F2778" s="52"/>
      <c r="G2778" s="52"/>
      <c r="H2778" s="52"/>
    </row>
    <row r="2779" spans="1:8" ht="15.75">
      <c r="A2779" s="124">
        <v>43434</v>
      </c>
      <c r="B2779" s="125">
        <v>62.47</v>
      </c>
      <c r="C2779" s="52"/>
      <c r="D2779" s="52"/>
      <c r="E2779" s="52"/>
      <c r="F2779" s="52"/>
      <c r="G2779" s="52"/>
      <c r="H2779" s="52"/>
    </row>
    <row r="2780" spans="1:8" ht="15.75">
      <c r="A2780" s="124">
        <v>43437</v>
      </c>
      <c r="B2780" s="125">
        <v>62.83</v>
      </c>
      <c r="C2780" s="52"/>
      <c r="D2780" s="52"/>
      <c r="E2780" s="52"/>
      <c r="F2780" s="52"/>
      <c r="G2780" s="52"/>
      <c r="H2780" s="52"/>
    </row>
    <row r="2781" spans="1:8" ht="15.75">
      <c r="A2781" s="124">
        <v>43438</v>
      </c>
      <c r="B2781" s="125">
        <v>62.79</v>
      </c>
      <c r="C2781" s="52"/>
      <c r="D2781" s="52"/>
      <c r="E2781" s="52"/>
      <c r="F2781" s="52"/>
      <c r="G2781" s="52"/>
      <c r="H2781" s="52"/>
    </row>
    <row r="2782" spans="1:8" ht="15.75">
      <c r="A2782" s="124">
        <v>43439</v>
      </c>
      <c r="B2782" s="125">
        <v>62.03</v>
      </c>
      <c r="C2782" s="52"/>
      <c r="D2782" s="52"/>
      <c r="E2782" s="52"/>
      <c r="F2782" s="52"/>
      <c r="G2782" s="52"/>
      <c r="H2782" s="52"/>
    </row>
    <row r="2783" spans="1:8" ht="15.75">
      <c r="A2783" s="124">
        <v>43440</v>
      </c>
      <c r="B2783" s="125">
        <v>61.72</v>
      </c>
      <c r="C2783" s="52"/>
      <c r="D2783" s="52"/>
      <c r="E2783" s="52"/>
      <c r="F2783" s="52"/>
      <c r="G2783" s="52"/>
      <c r="H2783" s="52"/>
    </row>
    <row r="2784" spans="1:8" ht="15.75">
      <c r="A2784" s="124">
        <v>43441</v>
      </c>
      <c r="B2784" s="125">
        <v>62.8</v>
      </c>
      <c r="C2784" s="52"/>
      <c r="D2784" s="52"/>
      <c r="E2784" s="52"/>
      <c r="F2784" s="52"/>
      <c r="G2784" s="52"/>
      <c r="H2784" s="52"/>
    </row>
    <row r="2785" spans="1:8" ht="15.75">
      <c r="A2785" s="124">
        <v>43444</v>
      </c>
      <c r="B2785" s="125">
        <v>62.82</v>
      </c>
      <c r="C2785" s="52"/>
      <c r="D2785" s="52"/>
      <c r="E2785" s="52"/>
      <c r="F2785" s="52"/>
      <c r="G2785" s="52"/>
      <c r="H2785" s="52"/>
    </row>
    <row r="2786" spans="1:8" ht="15.75">
      <c r="A2786" s="124">
        <v>43445</v>
      </c>
      <c r="B2786" s="125">
        <v>63.07</v>
      </c>
      <c r="C2786" s="52"/>
      <c r="D2786" s="52"/>
      <c r="E2786" s="52"/>
      <c r="F2786" s="52"/>
      <c r="G2786" s="52"/>
      <c r="H2786" s="52"/>
    </row>
    <row r="2787" spans="1:8" ht="15.75">
      <c r="A2787" s="124">
        <v>43446</v>
      </c>
      <c r="B2787" s="125">
        <v>61.29</v>
      </c>
      <c r="C2787" s="52"/>
      <c r="D2787" s="52"/>
      <c r="E2787" s="52"/>
      <c r="F2787" s="52"/>
      <c r="G2787" s="52"/>
      <c r="H2787" s="52"/>
    </row>
    <row r="2788" spans="1:8" ht="15.75">
      <c r="A2788" s="124">
        <v>43447</v>
      </c>
      <c r="B2788" s="125">
        <v>61.73</v>
      </c>
      <c r="C2788" s="52"/>
      <c r="D2788" s="52"/>
      <c r="E2788" s="52"/>
      <c r="F2788" s="52"/>
      <c r="G2788" s="52"/>
      <c r="H2788" s="52"/>
    </row>
    <row r="2789" spans="1:8" ht="15.75">
      <c r="A2789" s="124">
        <v>43448</v>
      </c>
      <c r="B2789" s="125">
        <v>61.76</v>
      </c>
      <c r="C2789" s="52"/>
      <c r="D2789" s="52"/>
      <c r="E2789" s="52"/>
      <c r="F2789" s="52"/>
      <c r="G2789" s="52"/>
      <c r="H2789" s="52"/>
    </row>
    <row r="2790" spans="1:8" ht="15.75">
      <c r="A2790" s="124">
        <v>43451</v>
      </c>
      <c r="B2790" s="125">
        <v>60.21</v>
      </c>
      <c r="C2790" s="52"/>
      <c r="D2790" s="52"/>
      <c r="E2790" s="52"/>
      <c r="F2790" s="52"/>
      <c r="G2790" s="52"/>
      <c r="H2790" s="52"/>
    </row>
    <row r="2791" spans="1:8" ht="15.75">
      <c r="A2791" s="124">
        <v>43452</v>
      </c>
      <c r="B2791" s="125">
        <v>60.12</v>
      </c>
      <c r="C2791" s="52"/>
      <c r="D2791" s="52"/>
      <c r="E2791" s="52"/>
      <c r="F2791" s="52"/>
      <c r="G2791" s="52"/>
      <c r="H2791" s="52"/>
    </row>
    <row r="2792" spans="1:8" ht="15.75">
      <c r="A2792" s="124">
        <v>43453</v>
      </c>
      <c r="B2792" s="125">
        <v>60.14</v>
      </c>
      <c r="C2792" s="52"/>
      <c r="D2792" s="52"/>
      <c r="E2792" s="52"/>
      <c r="F2792" s="52"/>
      <c r="G2792" s="52"/>
      <c r="H2792" s="52"/>
    </row>
    <row r="2793" spans="1:8" ht="15.75">
      <c r="A2793" s="124">
        <v>43454</v>
      </c>
      <c r="B2793" s="125">
        <v>59.36</v>
      </c>
      <c r="C2793" s="52"/>
      <c r="D2793" s="52"/>
      <c r="E2793" s="52"/>
      <c r="F2793" s="52"/>
      <c r="G2793" s="52"/>
      <c r="H2793" s="52"/>
    </row>
    <row r="2794" spans="1:8" ht="15.75">
      <c r="A2794" s="124">
        <v>43455</v>
      </c>
      <c r="B2794" s="125">
        <v>60.29</v>
      </c>
      <c r="C2794" s="52"/>
      <c r="D2794" s="52"/>
      <c r="E2794" s="52"/>
      <c r="F2794" s="52"/>
      <c r="G2794" s="52"/>
      <c r="H2794" s="52"/>
    </row>
    <row r="2795" spans="1:8" ht="15.75">
      <c r="A2795" s="124">
        <v>43461</v>
      </c>
      <c r="B2795" s="125">
        <v>56</v>
      </c>
      <c r="C2795" s="52"/>
      <c r="D2795" s="52"/>
      <c r="E2795" s="52"/>
      <c r="F2795" s="52"/>
      <c r="G2795" s="52"/>
      <c r="H2795" s="52"/>
    </row>
    <row r="2796" spans="1:8" ht="15.75">
      <c r="A2796" s="124">
        <v>43462</v>
      </c>
      <c r="B2796" s="125">
        <v>57.08</v>
      </c>
      <c r="C2796" s="52"/>
      <c r="D2796" s="52"/>
      <c r="E2796" s="52"/>
      <c r="F2796" s="52"/>
      <c r="G2796" s="52"/>
      <c r="H2796" s="52"/>
    </row>
    <row r="2797" spans="1:8" ht="15.75">
      <c r="A2797" s="124">
        <v>43467</v>
      </c>
      <c r="B2797" s="125">
        <v>56.42</v>
      </c>
      <c r="C2797" s="52"/>
      <c r="D2797" s="52"/>
      <c r="E2797" s="52"/>
      <c r="F2797" s="52"/>
      <c r="G2797" s="52"/>
      <c r="H2797" s="52"/>
    </row>
    <row r="2798" spans="1:8" ht="15.75">
      <c r="A2798" s="124">
        <v>43468</v>
      </c>
      <c r="B2798" s="125">
        <v>56.39</v>
      </c>
      <c r="C2798" s="52"/>
      <c r="D2798" s="52"/>
      <c r="E2798" s="52"/>
      <c r="F2798" s="52"/>
      <c r="G2798" s="52"/>
      <c r="H2798" s="52"/>
    </row>
    <row r="2799" spans="1:8" ht="15.75">
      <c r="A2799" s="124">
        <v>43469</v>
      </c>
      <c r="B2799" s="125">
        <v>56.32</v>
      </c>
      <c r="C2799" s="52"/>
      <c r="D2799" s="52"/>
      <c r="E2799" s="52"/>
      <c r="F2799" s="52"/>
      <c r="G2799" s="52"/>
      <c r="H2799" s="52"/>
    </row>
    <row r="2800" spans="1:8" ht="15.75">
      <c r="A2800" s="124">
        <v>43472</v>
      </c>
      <c r="B2800" s="125">
        <v>56.88</v>
      </c>
      <c r="C2800" s="52"/>
      <c r="D2800" s="52"/>
      <c r="E2800" s="52"/>
      <c r="F2800" s="52"/>
      <c r="G2800" s="52"/>
      <c r="H2800" s="52"/>
    </row>
    <row r="2801" spans="1:8" ht="15.75">
      <c r="A2801" s="124">
        <v>43473</v>
      </c>
      <c r="B2801" s="125">
        <v>57.49</v>
      </c>
      <c r="C2801" s="52"/>
      <c r="D2801" s="52"/>
      <c r="E2801" s="52"/>
      <c r="F2801" s="52"/>
      <c r="G2801" s="52"/>
      <c r="H2801" s="52"/>
    </row>
    <row r="2802" spans="1:8" ht="15.75">
      <c r="A2802" s="124">
        <v>43474</v>
      </c>
      <c r="B2802" s="125">
        <v>57.15</v>
      </c>
      <c r="C2802" s="52"/>
      <c r="D2802" s="52"/>
      <c r="E2802" s="52"/>
      <c r="F2802" s="52"/>
      <c r="G2802" s="52"/>
      <c r="H2802" s="52"/>
    </row>
    <row r="2803" spans="1:8" ht="15.75">
      <c r="A2803" s="124">
        <v>43475</v>
      </c>
      <c r="B2803" s="125">
        <v>58.08</v>
      </c>
      <c r="C2803" s="52"/>
      <c r="D2803" s="52"/>
      <c r="E2803" s="52"/>
      <c r="F2803" s="52"/>
      <c r="G2803" s="52"/>
      <c r="H2803" s="52"/>
    </row>
    <row r="2804" spans="1:8" ht="15.75">
      <c r="A2804" s="124">
        <v>43476</v>
      </c>
      <c r="B2804" s="125">
        <v>58.66</v>
      </c>
      <c r="C2804" s="52"/>
      <c r="D2804" s="52"/>
      <c r="E2804" s="52"/>
      <c r="F2804" s="52"/>
      <c r="G2804" s="52"/>
      <c r="H2804" s="52"/>
    </row>
    <row r="2805" spans="1:8" ht="15.75">
      <c r="A2805" s="124">
        <v>43479</v>
      </c>
      <c r="B2805" s="125">
        <v>58.8</v>
      </c>
      <c r="C2805" s="52"/>
      <c r="D2805" s="52"/>
      <c r="E2805" s="52"/>
      <c r="F2805" s="52"/>
      <c r="G2805" s="52"/>
      <c r="H2805" s="52"/>
    </row>
    <row r="2806" spans="1:8" ht="15.75">
      <c r="A2806" s="124">
        <v>43480</v>
      </c>
      <c r="B2806" s="125">
        <v>59.99</v>
      </c>
      <c r="C2806" s="52"/>
      <c r="D2806" s="52"/>
      <c r="E2806" s="52"/>
      <c r="F2806" s="52"/>
      <c r="G2806" s="52"/>
      <c r="H2806" s="52"/>
    </row>
    <row r="2807" spans="1:8" ht="15.75">
      <c r="A2807" s="124">
        <v>43481</v>
      </c>
      <c r="B2807" s="125">
        <v>60.3</v>
      </c>
      <c r="C2807" s="52"/>
      <c r="D2807" s="52"/>
      <c r="E2807" s="52"/>
      <c r="F2807" s="52"/>
      <c r="G2807" s="52"/>
      <c r="H2807" s="52"/>
    </row>
    <row r="2808" spans="1:8" ht="15.75">
      <c r="A2808" s="124">
        <v>43482</v>
      </c>
      <c r="B2808" s="125">
        <v>61.09</v>
      </c>
      <c r="C2808" s="52"/>
      <c r="D2808" s="52"/>
      <c r="E2808" s="52"/>
      <c r="F2808" s="52"/>
      <c r="G2808" s="52"/>
      <c r="H2808" s="52"/>
    </row>
    <row r="2809" spans="1:8" ht="15.75">
      <c r="A2809" s="124">
        <v>43483</v>
      </c>
      <c r="B2809" s="125">
        <v>61.32</v>
      </c>
      <c r="C2809" s="52"/>
      <c r="D2809" s="52"/>
      <c r="E2809" s="52"/>
      <c r="F2809" s="52"/>
      <c r="G2809" s="52"/>
      <c r="H2809" s="52"/>
    </row>
    <row r="2810" spans="1:8" ht="15.75">
      <c r="A2810" s="124">
        <v>43486</v>
      </c>
      <c r="B2810" s="125">
        <v>61.38</v>
      </c>
      <c r="C2810" s="52"/>
      <c r="D2810" s="52"/>
      <c r="E2810" s="52"/>
      <c r="F2810" s="52"/>
      <c r="G2810" s="52"/>
      <c r="H2810" s="52"/>
    </row>
    <row r="2811" spans="1:8" ht="15.75">
      <c r="A2811" s="124">
        <v>43487</v>
      </c>
      <c r="B2811" s="125">
        <v>61.76</v>
      </c>
      <c r="C2811" s="52"/>
      <c r="D2811" s="52"/>
      <c r="E2811" s="52"/>
      <c r="F2811" s="52"/>
      <c r="G2811" s="52"/>
      <c r="H2811" s="52"/>
    </row>
    <row r="2812" spans="1:8" ht="15.75">
      <c r="A2812" s="124">
        <v>43488</v>
      </c>
      <c r="B2812" s="125">
        <v>61.49</v>
      </c>
      <c r="C2812" s="52"/>
      <c r="D2812" s="52"/>
      <c r="E2812" s="52"/>
      <c r="F2812" s="52"/>
      <c r="G2812" s="52"/>
      <c r="H2812" s="52"/>
    </row>
    <row r="2813" spans="1:8" ht="15.75">
      <c r="A2813" s="124">
        <v>43489</v>
      </c>
      <c r="B2813" s="125">
        <v>62.1</v>
      </c>
      <c r="C2813" s="52"/>
      <c r="D2813" s="52"/>
      <c r="E2813" s="52"/>
      <c r="F2813" s="52"/>
      <c r="G2813" s="52"/>
      <c r="H2813" s="52"/>
    </row>
    <row r="2814" spans="1:8" ht="15.75">
      <c r="A2814" s="124">
        <v>43490</v>
      </c>
      <c r="B2814" s="125">
        <v>61.71</v>
      </c>
      <c r="C2814" s="52"/>
      <c r="D2814" s="52"/>
      <c r="E2814" s="52"/>
      <c r="F2814" s="52"/>
      <c r="G2814" s="52"/>
      <c r="H2814" s="52"/>
    </row>
    <row r="2815" spans="1:8" ht="15.75">
      <c r="A2815" s="124">
        <v>43493</v>
      </c>
      <c r="B2815" s="125">
        <v>62.34</v>
      </c>
      <c r="C2815" s="52"/>
      <c r="D2815" s="52"/>
      <c r="E2815" s="52"/>
      <c r="F2815" s="52"/>
      <c r="G2815" s="52"/>
      <c r="H2815" s="52"/>
    </row>
    <row r="2816" spans="1:8" ht="15.75">
      <c r="A2816" s="124">
        <v>43494</v>
      </c>
      <c r="B2816" s="125">
        <v>62.9</v>
      </c>
      <c r="C2816" s="52"/>
      <c r="D2816" s="52"/>
      <c r="E2816" s="52"/>
      <c r="F2816" s="52"/>
      <c r="G2816" s="52"/>
      <c r="H2816" s="52"/>
    </row>
    <row r="2817" spans="1:8" ht="15.75">
      <c r="A2817" s="124">
        <v>43495</v>
      </c>
      <c r="B2817" s="125">
        <v>62.84</v>
      </c>
      <c r="C2817" s="52"/>
      <c r="D2817" s="52"/>
      <c r="E2817" s="52"/>
      <c r="F2817" s="52"/>
      <c r="G2817" s="52"/>
      <c r="H2817" s="52"/>
    </row>
    <row r="2818" spans="1:8" ht="15.75">
      <c r="A2818" s="124">
        <v>43496</v>
      </c>
      <c r="B2818" s="125">
        <v>63.15</v>
      </c>
      <c r="C2818" s="52"/>
      <c r="D2818" s="52"/>
      <c r="E2818" s="52"/>
      <c r="F2818" s="52"/>
      <c r="G2818" s="52"/>
      <c r="H2818" s="52"/>
    </row>
    <row r="2819" spans="1:8" ht="15.75">
      <c r="A2819" s="124">
        <v>43497</v>
      </c>
      <c r="B2819" s="125">
        <v>62.09</v>
      </c>
      <c r="C2819" s="52"/>
      <c r="D2819" s="52"/>
      <c r="E2819" s="52"/>
      <c r="F2819" s="52"/>
      <c r="G2819" s="52"/>
      <c r="H2819" s="52"/>
    </row>
    <row r="2820" spans="1:8" ht="15.75">
      <c r="A2820" s="124">
        <v>43500</v>
      </c>
      <c r="B2820" s="125">
        <v>63.24</v>
      </c>
      <c r="C2820" s="52"/>
      <c r="D2820" s="52"/>
      <c r="E2820" s="52"/>
      <c r="F2820" s="52"/>
      <c r="G2820" s="52"/>
      <c r="H2820" s="52"/>
    </row>
    <row r="2821" spans="1:8" ht="15.75">
      <c r="A2821" s="124">
        <v>43501</v>
      </c>
      <c r="B2821" s="125">
        <v>63.36</v>
      </c>
      <c r="C2821" s="52"/>
      <c r="D2821" s="52"/>
      <c r="E2821" s="52"/>
      <c r="F2821" s="52"/>
      <c r="G2821" s="52"/>
      <c r="H2821" s="52"/>
    </row>
    <row r="2822" spans="1:8" ht="15.75">
      <c r="A2822" s="124">
        <v>43502</v>
      </c>
      <c r="B2822" s="125">
        <v>63.82</v>
      </c>
      <c r="C2822" s="52"/>
      <c r="D2822" s="52"/>
      <c r="E2822" s="52"/>
      <c r="F2822" s="52"/>
      <c r="G2822" s="52"/>
      <c r="H2822" s="52"/>
    </row>
    <row r="2823" spans="1:8" ht="15.75">
      <c r="A2823" s="124">
        <v>43503</v>
      </c>
      <c r="B2823" s="125">
        <v>64.400000000000006</v>
      </c>
      <c r="C2823" s="52"/>
      <c r="D2823" s="52"/>
      <c r="E2823" s="52"/>
      <c r="F2823" s="52"/>
      <c r="G2823" s="52"/>
      <c r="H2823" s="52"/>
    </row>
    <row r="2824" spans="1:8" ht="15.75">
      <c r="A2824" s="124">
        <v>43504</v>
      </c>
      <c r="B2824" s="125">
        <v>64.75</v>
      </c>
      <c r="C2824" s="52"/>
      <c r="D2824" s="52"/>
      <c r="E2824" s="52"/>
      <c r="F2824" s="52"/>
      <c r="G2824" s="52"/>
      <c r="H2824" s="52"/>
    </row>
    <row r="2825" spans="1:8" ht="15.75">
      <c r="A2825" s="124">
        <v>43507</v>
      </c>
      <c r="B2825" s="125">
        <v>65.06</v>
      </c>
      <c r="C2825" s="52"/>
      <c r="D2825" s="52"/>
      <c r="E2825" s="52"/>
      <c r="F2825" s="52"/>
      <c r="G2825" s="52"/>
      <c r="H2825" s="52"/>
    </row>
    <row r="2826" spans="1:8" ht="15.75">
      <c r="A2826" s="124">
        <v>43508</v>
      </c>
      <c r="B2826" s="125">
        <v>64.12</v>
      </c>
      <c r="C2826" s="52"/>
      <c r="D2826" s="52"/>
      <c r="E2826" s="52"/>
      <c r="F2826" s="52"/>
      <c r="G2826" s="52"/>
      <c r="H2826" s="52"/>
    </row>
    <row r="2827" spans="1:8" ht="15.75">
      <c r="A2827" s="124">
        <v>43509</v>
      </c>
      <c r="B2827" s="125">
        <v>64.63</v>
      </c>
      <c r="C2827" s="52"/>
      <c r="D2827" s="52"/>
      <c r="E2827" s="52"/>
      <c r="F2827" s="52"/>
      <c r="G2827" s="52"/>
      <c r="H2827" s="52"/>
    </row>
    <row r="2828" spans="1:8" ht="15.75">
      <c r="A2828" s="124">
        <v>43510</v>
      </c>
      <c r="B2828" s="125">
        <v>64.81</v>
      </c>
      <c r="C2828" s="52"/>
      <c r="D2828" s="52"/>
      <c r="E2828" s="52"/>
      <c r="F2828" s="52"/>
      <c r="G2828" s="52"/>
      <c r="H2828" s="52"/>
    </row>
    <row r="2829" spans="1:8" ht="15.75">
      <c r="A2829" s="124">
        <v>43511</v>
      </c>
      <c r="B2829" s="125">
        <v>64.900000000000006</v>
      </c>
      <c r="C2829" s="52"/>
      <c r="D2829" s="52"/>
      <c r="E2829" s="52"/>
      <c r="F2829" s="52"/>
      <c r="G2829" s="52"/>
      <c r="H2829" s="52"/>
    </row>
    <row r="2830" spans="1:8" ht="15.75">
      <c r="A2830" s="124">
        <v>43514</v>
      </c>
      <c r="B2830" s="125">
        <v>64.400000000000006</v>
      </c>
      <c r="C2830" s="52"/>
      <c r="D2830" s="52"/>
      <c r="E2830" s="52"/>
      <c r="F2830" s="52"/>
      <c r="G2830" s="52"/>
      <c r="H2830" s="52"/>
    </row>
    <row r="2831" spans="1:8" ht="15.75">
      <c r="A2831" s="124">
        <v>43515</v>
      </c>
      <c r="B2831" s="125">
        <v>64.36</v>
      </c>
      <c r="C2831" s="52"/>
      <c r="D2831" s="52"/>
      <c r="E2831" s="52"/>
      <c r="F2831" s="52"/>
      <c r="G2831" s="52"/>
      <c r="H2831" s="52"/>
    </row>
    <row r="2832" spans="1:8" ht="15.75">
      <c r="A2832" s="124">
        <v>43516</v>
      </c>
      <c r="B2832" s="125">
        <v>63.85</v>
      </c>
      <c r="C2832" s="52"/>
      <c r="D2832" s="52"/>
      <c r="E2832" s="52"/>
      <c r="F2832" s="52"/>
      <c r="G2832" s="52"/>
      <c r="H2832" s="52"/>
    </row>
    <row r="2833" spans="1:8" ht="15.75">
      <c r="A2833" s="124">
        <v>43517</v>
      </c>
      <c r="B2833" s="125">
        <v>64.58</v>
      </c>
      <c r="C2833" s="52"/>
      <c r="D2833" s="52"/>
      <c r="E2833" s="52"/>
      <c r="F2833" s="52"/>
      <c r="G2833" s="52"/>
      <c r="H2833" s="52"/>
    </row>
    <row r="2834" spans="1:8" ht="15.75">
      <c r="A2834" s="124">
        <v>43518</v>
      </c>
      <c r="B2834" s="125">
        <v>65.45</v>
      </c>
      <c r="C2834" s="52"/>
      <c r="D2834" s="52"/>
      <c r="E2834" s="52"/>
      <c r="F2834" s="52"/>
      <c r="G2834" s="52"/>
      <c r="H2834" s="52"/>
    </row>
    <row r="2835" spans="1:8" ht="15.75">
      <c r="A2835" s="124">
        <v>43521</v>
      </c>
      <c r="B2835" s="125">
        <v>64.8</v>
      </c>
      <c r="C2835" s="52"/>
      <c r="D2835" s="52"/>
      <c r="E2835" s="52"/>
      <c r="F2835" s="52"/>
      <c r="G2835" s="52"/>
      <c r="H2835" s="52"/>
    </row>
    <row r="2836" spans="1:8" ht="15.75">
      <c r="A2836" s="124">
        <v>43522</v>
      </c>
      <c r="B2836" s="125">
        <v>64.63</v>
      </c>
      <c r="C2836" s="52"/>
      <c r="D2836" s="52"/>
      <c r="E2836" s="52"/>
      <c r="F2836" s="52"/>
      <c r="G2836" s="52"/>
      <c r="H2836" s="52"/>
    </row>
    <row r="2837" spans="1:8" ht="15.75">
      <c r="A2837" s="124">
        <v>43523</v>
      </c>
      <c r="B2837" s="125">
        <v>64.52</v>
      </c>
      <c r="C2837" s="52"/>
      <c r="D2837" s="52"/>
      <c r="E2837" s="52"/>
      <c r="F2837" s="52"/>
      <c r="G2837" s="52"/>
      <c r="H2837" s="52"/>
    </row>
    <row r="2838" spans="1:8" ht="15.75">
      <c r="A2838" s="124">
        <v>43524</v>
      </c>
      <c r="B2838" s="125">
        <v>65.150000000000006</v>
      </c>
      <c r="C2838" s="52"/>
      <c r="D2838" s="52"/>
      <c r="E2838" s="52"/>
      <c r="F2838" s="52"/>
      <c r="G2838" s="52"/>
      <c r="H2838" s="52"/>
    </row>
    <row r="2839" spans="1:8" ht="15.75">
      <c r="A2839" s="124">
        <v>43525</v>
      </c>
      <c r="B2839" s="125">
        <v>64.22</v>
      </c>
      <c r="C2839" s="52"/>
      <c r="D2839" s="52"/>
      <c r="E2839" s="52"/>
      <c r="F2839" s="52"/>
      <c r="G2839" s="52"/>
      <c r="H2839" s="52"/>
    </row>
    <row r="2840" spans="1:8" ht="15.75">
      <c r="A2840" s="124">
        <v>43528</v>
      </c>
      <c r="B2840" s="125">
        <v>64.709999999999994</v>
      </c>
      <c r="C2840" s="52"/>
      <c r="D2840" s="52"/>
      <c r="E2840" s="52"/>
      <c r="F2840" s="52"/>
      <c r="G2840" s="52"/>
      <c r="H2840" s="52"/>
    </row>
    <row r="2841" spans="1:8" ht="15.75">
      <c r="A2841" s="124">
        <v>43529</v>
      </c>
      <c r="B2841" s="125">
        <v>65.3</v>
      </c>
      <c r="C2841" s="52"/>
      <c r="D2841" s="52"/>
      <c r="E2841" s="52"/>
      <c r="F2841" s="52"/>
      <c r="G2841" s="52"/>
      <c r="H2841" s="52"/>
    </row>
    <row r="2842" spans="1:8" ht="15.75">
      <c r="A2842" s="124">
        <v>43530</v>
      </c>
      <c r="B2842" s="125">
        <v>65.03</v>
      </c>
      <c r="C2842" s="52"/>
      <c r="D2842" s="52"/>
      <c r="E2842" s="52"/>
      <c r="F2842" s="52"/>
      <c r="G2842" s="52"/>
      <c r="H2842" s="52"/>
    </row>
    <row r="2843" spans="1:8" ht="15.75">
      <c r="A2843" s="124">
        <v>43531</v>
      </c>
      <c r="B2843" s="125">
        <v>65.89</v>
      </c>
      <c r="C2843" s="52"/>
      <c r="D2843" s="52"/>
      <c r="E2843" s="52"/>
      <c r="F2843" s="52"/>
      <c r="G2843" s="52"/>
      <c r="H2843" s="52"/>
    </row>
    <row r="2844" spans="1:8" ht="15.75">
      <c r="A2844" s="124">
        <v>43532</v>
      </c>
      <c r="B2844" s="125">
        <v>65.150000000000006</v>
      </c>
      <c r="C2844" s="52"/>
      <c r="D2844" s="52"/>
      <c r="E2844" s="52"/>
      <c r="F2844" s="52"/>
      <c r="G2844" s="52"/>
      <c r="H2844" s="52"/>
    </row>
    <row r="2845" spans="1:8" ht="15.75">
      <c r="A2845" s="124">
        <v>43535</v>
      </c>
      <c r="B2845" s="125">
        <v>65.900000000000006</v>
      </c>
      <c r="C2845" s="52"/>
      <c r="D2845" s="52"/>
      <c r="E2845" s="52"/>
      <c r="F2845" s="52"/>
      <c r="G2845" s="52"/>
      <c r="H2845" s="52"/>
    </row>
    <row r="2846" spans="1:8" ht="15.75">
      <c r="A2846" s="124">
        <v>43536</v>
      </c>
      <c r="B2846" s="125">
        <v>66.180000000000007</v>
      </c>
      <c r="C2846" s="52"/>
      <c r="D2846" s="52"/>
      <c r="E2846" s="52"/>
      <c r="F2846" s="52"/>
      <c r="G2846" s="52"/>
      <c r="H2846" s="52"/>
    </row>
    <row r="2847" spans="1:8" ht="15.75">
      <c r="A2847" s="124">
        <v>43537</v>
      </c>
      <c r="B2847" s="125">
        <v>66.14</v>
      </c>
      <c r="C2847" s="52"/>
      <c r="D2847" s="52"/>
      <c r="E2847" s="52"/>
      <c r="F2847" s="52"/>
      <c r="G2847" s="52"/>
      <c r="H2847" s="52"/>
    </row>
    <row r="2848" spans="1:8" ht="15.75">
      <c r="A2848" s="124">
        <v>43538</v>
      </c>
      <c r="B2848" s="125">
        <v>66.069999999999993</v>
      </c>
      <c r="C2848" s="52"/>
      <c r="D2848" s="52"/>
      <c r="E2848" s="52"/>
      <c r="F2848" s="52"/>
      <c r="G2848" s="52"/>
      <c r="H2848" s="52"/>
    </row>
    <row r="2849" spans="1:8" ht="15.75">
      <c r="A2849" s="124">
        <v>43539</v>
      </c>
      <c r="B2849" s="125">
        <v>66.12</v>
      </c>
      <c r="C2849" s="52"/>
      <c r="D2849" s="52"/>
      <c r="E2849" s="52"/>
      <c r="F2849" s="52"/>
      <c r="G2849" s="52"/>
      <c r="H2849" s="52"/>
    </row>
    <row r="2850" spans="1:8" ht="15.75">
      <c r="A2850" s="124">
        <v>43542</v>
      </c>
      <c r="B2850" s="125">
        <v>65.010000000000005</v>
      </c>
      <c r="C2850" s="52"/>
      <c r="D2850" s="52"/>
      <c r="E2850" s="52"/>
      <c r="F2850" s="52"/>
      <c r="G2850" s="52"/>
      <c r="H2850" s="52"/>
    </row>
    <row r="2851" spans="1:8" ht="15.75">
      <c r="A2851" s="124">
        <v>43543</v>
      </c>
      <c r="B2851" s="125">
        <v>64.709999999999994</v>
      </c>
      <c r="C2851" s="52"/>
      <c r="D2851" s="52"/>
      <c r="E2851" s="52"/>
      <c r="F2851" s="52"/>
      <c r="G2851" s="52"/>
      <c r="H2851" s="52"/>
    </row>
    <row r="2852" spans="1:8" ht="15.75">
      <c r="A2852" s="124">
        <v>43544</v>
      </c>
      <c r="B2852" s="125">
        <v>64.540000000000006</v>
      </c>
      <c r="C2852" s="52"/>
      <c r="D2852" s="52"/>
      <c r="E2852" s="52"/>
      <c r="F2852" s="52"/>
      <c r="G2852" s="52"/>
      <c r="H2852" s="52"/>
    </row>
    <row r="2853" spans="1:8" ht="15.75">
      <c r="A2853" s="124">
        <v>43545</v>
      </c>
      <c r="B2853" s="125">
        <v>65.84</v>
      </c>
      <c r="C2853" s="52"/>
      <c r="D2853" s="52"/>
      <c r="E2853" s="52"/>
      <c r="F2853" s="52"/>
      <c r="G2853" s="52"/>
      <c r="H2853" s="52"/>
    </row>
    <row r="2854" spans="1:8" ht="15.75">
      <c r="A2854" s="124">
        <v>43546</v>
      </c>
      <c r="B2854" s="125">
        <v>66.319999999999993</v>
      </c>
      <c r="C2854" s="52"/>
      <c r="D2854" s="52"/>
      <c r="E2854" s="52"/>
      <c r="F2854" s="52"/>
      <c r="G2854" s="52"/>
      <c r="H2854" s="52"/>
    </row>
    <row r="2855" spans="1:8" ht="15.75">
      <c r="A2855" s="124">
        <v>43549</v>
      </c>
      <c r="B2855" s="125">
        <v>66</v>
      </c>
      <c r="C2855" s="52"/>
      <c r="D2855" s="52"/>
      <c r="E2855" s="52"/>
      <c r="F2855" s="52"/>
      <c r="G2855" s="52"/>
      <c r="H2855" s="52"/>
    </row>
    <row r="2856" spans="1:8" ht="15.75">
      <c r="A2856" s="124">
        <v>43550</v>
      </c>
      <c r="B2856" s="125">
        <v>66.17</v>
      </c>
      <c r="C2856" s="52"/>
      <c r="D2856" s="52"/>
      <c r="E2856" s="52"/>
      <c r="F2856" s="52"/>
      <c r="G2856" s="52"/>
      <c r="H2856" s="52"/>
    </row>
    <row r="2857" spans="1:8" ht="15.75">
      <c r="A2857" s="124">
        <v>43551</v>
      </c>
      <c r="B2857" s="125">
        <v>66.48</v>
      </c>
      <c r="C2857" s="52"/>
      <c r="D2857" s="52"/>
      <c r="E2857" s="52"/>
      <c r="F2857" s="52"/>
      <c r="G2857" s="52"/>
      <c r="H2857" s="52"/>
    </row>
    <row r="2858" spans="1:8" ht="15.75">
      <c r="A2858" s="124">
        <v>43552</v>
      </c>
      <c r="B2858" s="125">
        <v>66.790000000000006</v>
      </c>
      <c r="C2858" s="52"/>
      <c r="D2858" s="52"/>
      <c r="E2858" s="52"/>
      <c r="F2858" s="52"/>
      <c r="G2858" s="52"/>
      <c r="H2858" s="52"/>
    </row>
    <row r="2859" spans="1:8" ht="15.75">
      <c r="A2859" s="124">
        <v>43553</v>
      </c>
      <c r="B2859" s="125">
        <v>67.06</v>
      </c>
      <c r="C2859" s="52"/>
      <c r="D2859" s="52"/>
      <c r="E2859" s="52"/>
      <c r="F2859" s="52"/>
      <c r="G2859" s="52"/>
      <c r="H2859" s="52"/>
    </row>
    <row r="2860" spans="1:8" ht="15.75">
      <c r="A2860" s="124">
        <v>43556</v>
      </c>
      <c r="B2860" s="125">
        <v>66.13</v>
      </c>
      <c r="C2860" s="52"/>
      <c r="D2860" s="52"/>
      <c r="E2860" s="52"/>
      <c r="F2860" s="52"/>
      <c r="G2860" s="52"/>
      <c r="H2860" s="52"/>
    </row>
    <row r="2861" spans="1:8" ht="15.75">
      <c r="A2861" s="124">
        <v>43557</v>
      </c>
      <c r="B2861" s="125">
        <v>67.099999999999994</v>
      </c>
      <c r="C2861" s="52"/>
      <c r="D2861" s="52"/>
      <c r="E2861" s="52"/>
      <c r="F2861" s="52"/>
      <c r="G2861" s="52"/>
      <c r="H2861" s="52"/>
    </row>
    <row r="2862" spans="1:8" ht="15.75">
      <c r="A2862" s="124">
        <v>43558</v>
      </c>
      <c r="B2862" s="125">
        <v>67.08</v>
      </c>
      <c r="C2862" s="52"/>
      <c r="D2862" s="52"/>
      <c r="E2862" s="52"/>
      <c r="F2862" s="52"/>
      <c r="G2862" s="52"/>
      <c r="H2862" s="52"/>
    </row>
    <row r="2863" spans="1:8" ht="15.75">
      <c r="A2863" s="124">
        <v>43559</v>
      </c>
      <c r="B2863" s="125">
        <v>66.7</v>
      </c>
      <c r="C2863" s="52"/>
      <c r="D2863" s="52"/>
      <c r="E2863" s="52"/>
      <c r="F2863" s="52"/>
      <c r="G2863" s="52"/>
      <c r="H2863" s="52"/>
    </row>
    <row r="2864" spans="1:8" ht="15.75">
      <c r="A2864" s="124">
        <v>43560</v>
      </c>
      <c r="B2864" s="125">
        <v>66.98</v>
      </c>
      <c r="C2864" s="52"/>
      <c r="D2864" s="52"/>
      <c r="E2864" s="52"/>
      <c r="F2864" s="52"/>
      <c r="G2864" s="52"/>
      <c r="H2864" s="52"/>
    </row>
    <row r="2865" spans="1:8" ht="15.75">
      <c r="A2865" s="124">
        <v>43563</v>
      </c>
      <c r="B2865" s="125">
        <v>66.95</v>
      </c>
      <c r="C2865" s="52"/>
      <c r="D2865" s="52"/>
      <c r="E2865" s="52"/>
      <c r="F2865" s="52"/>
      <c r="G2865" s="52"/>
      <c r="H2865" s="52"/>
    </row>
    <row r="2866" spans="1:8" ht="15.75">
      <c r="A2866" s="124">
        <v>43564</v>
      </c>
      <c r="B2866" s="125">
        <v>66.81</v>
      </c>
      <c r="C2866" s="52"/>
      <c r="D2866" s="52"/>
      <c r="E2866" s="52"/>
      <c r="F2866" s="52"/>
      <c r="G2866" s="52"/>
      <c r="H2866" s="52"/>
    </row>
    <row r="2867" spans="1:8" ht="15.75">
      <c r="A2867" s="124">
        <v>43565</v>
      </c>
      <c r="B2867" s="125">
        <v>67.36</v>
      </c>
      <c r="C2867" s="52"/>
      <c r="D2867" s="52"/>
      <c r="E2867" s="52"/>
      <c r="F2867" s="52"/>
      <c r="G2867" s="52"/>
      <c r="H2867" s="52"/>
    </row>
    <row r="2868" spans="1:8" ht="15.75">
      <c r="A2868" s="124">
        <v>43566</v>
      </c>
      <c r="B2868" s="125">
        <v>67.89</v>
      </c>
      <c r="C2868" s="52"/>
      <c r="D2868" s="52"/>
      <c r="E2868" s="52"/>
      <c r="F2868" s="52"/>
      <c r="G2868" s="52"/>
      <c r="H2868" s="52"/>
    </row>
    <row r="2869" spans="1:8" ht="15.75">
      <c r="A2869" s="124">
        <v>43567</v>
      </c>
      <c r="B2869" s="125">
        <v>68.06</v>
      </c>
      <c r="C2869" s="52"/>
      <c r="D2869" s="52"/>
      <c r="E2869" s="52"/>
      <c r="F2869" s="52"/>
      <c r="G2869" s="52"/>
      <c r="H2869" s="52"/>
    </row>
    <row r="2870" spans="1:8" ht="15.75">
      <c r="A2870" s="124">
        <v>43570</v>
      </c>
      <c r="B2870" s="125">
        <v>68.459999999999994</v>
      </c>
      <c r="C2870" s="52"/>
      <c r="D2870" s="52"/>
      <c r="E2870" s="52"/>
      <c r="F2870" s="52"/>
      <c r="G2870" s="52"/>
      <c r="H2870" s="52"/>
    </row>
    <row r="2871" spans="1:8" ht="15.75">
      <c r="A2871" s="124">
        <v>43571</v>
      </c>
      <c r="B2871" s="125">
        <v>66.98</v>
      </c>
      <c r="C2871" s="52"/>
      <c r="D2871" s="52"/>
      <c r="E2871" s="52"/>
      <c r="F2871" s="52"/>
      <c r="G2871" s="52"/>
      <c r="H2871" s="52"/>
    </row>
    <row r="2872" spans="1:8" ht="15.75">
      <c r="A2872" s="124">
        <v>43572</v>
      </c>
      <c r="B2872" s="125">
        <v>65.760000000000005</v>
      </c>
      <c r="C2872" s="52"/>
      <c r="D2872" s="52"/>
      <c r="E2872" s="52"/>
      <c r="F2872" s="52"/>
      <c r="G2872" s="52"/>
      <c r="H2872" s="52"/>
    </row>
    <row r="2873" spans="1:8" ht="15.75">
      <c r="A2873" s="124">
        <v>43573</v>
      </c>
      <c r="B2873" s="125">
        <v>66.760000000000005</v>
      </c>
      <c r="C2873" s="52"/>
      <c r="D2873" s="52"/>
      <c r="E2873" s="52"/>
      <c r="F2873" s="52"/>
      <c r="G2873" s="52"/>
      <c r="H2873" s="52"/>
    </row>
    <row r="2874" spans="1:8" ht="15.75">
      <c r="A2874" s="124">
        <v>43578</v>
      </c>
      <c r="B2874" s="125">
        <v>66.59</v>
      </c>
      <c r="C2874" s="52"/>
      <c r="D2874" s="52"/>
      <c r="E2874" s="52"/>
      <c r="F2874" s="52"/>
      <c r="G2874" s="52"/>
      <c r="H2874" s="52"/>
    </row>
    <row r="2875" spans="1:8" ht="15.75">
      <c r="A2875" s="124">
        <v>43579</v>
      </c>
      <c r="B2875" s="125">
        <v>67.3</v>
      </c>
      <c r="C2875" s="52"/>
      <c r="D2875" s="52"/>
      <c r="E2875" s="52"/>
      <c r="F2875" s="52"/>
      <c r="G2875" s="52"/>
      <c r="H2875" s="52"/>
    </row>
    <row r="2876" spans="1:8" ht="15.75">
      <c r="A2876" s="124">
        <v>43580</v>
      </c>
      <c r="B2876" s="125">
        <v>68.13</v>
      </c>
      <c r="C2876" s="52"/>
      <c r="D2876" s="52"/>
      <c r="E2876" s="52"/>
      <c r="F2876" s="52"/>
      <c r="G2876" s="52"/>
      <c r="H2876" s="52"/>
    </row>
    <row r="2877" spans="1:8" ht="15.75">
      <c r="A2877" s="124">
        <v>43581</v>
      </c>
      <c r="B2877" s="125">
        <v>68.16</v>
      </c>
      <c r="C2877" s="52"/>
      <c r="D2877" s="52"/>
      <c r="E2877" s="52"/>
      <c r="F2877" s="52"/>
      <c r="G2877" s="52"/>
      <c r="H2877" s="52"/>
    </row>
    <row r="2878" spans="1:8" ht="15.75">
      <c r="A2878" s="124">
        <v>43584</v>
      </c>
      <c r="B2878" s="125">
        <v>67.59</v>
      </c>
      <c r="C2878" s="52"/>
      <c r="D2878" s="52"/>
      <c r="E2878" s="52"/>
      <c r="F2878" s="52"/>
      <c r="G2878" s="52"/>
      <c r="H2878" s="52"/>
    </row>
    <row r="2879" spans="1:8" ht="15.75">
      <c r="A2879" s="124">
        <v>43585</v>
      </c>
      <c r="B2879" s="125">
        <v>68.03</v>
      </c>
      <c r="C2879" s="52"/>
      <c r="D2879" s="52"/>
      <c r="E2879" s="52"/>
      <c r="F2879" s="52"/>
      <c r="G2879" s="52"/>
      <c r="H2879" s="52"/>
    </row>
    <row r="2880" spans="1:8" ht="15.75">
      <c r="A2880" s="124">
        <v>43587</v>
      </c>
      <c r="B2880" s="125">
        <v>68.48</v>
      </c>
      <c r="C2880" s="52"/>
      <c r="D2880" s="52"/>
      <c r="E2880" s="52"/>
      <c r="F2880" s="52"/>
      <c r="G2880" s="52"/>
      <c r="H2880" s="52"/>
    </row>
    <row r="2881" spans="1:8" ht="15.75">
      <c r="A2881" s="124">
        <v>43588</v>
      </c>
      <c r="B2881" s="125">
        <v>68.319999999999993</v>
      </c>
      <c r="C2881" s="52"/>
      <c r="D2881" s="52"/>
      <c r="E2881" s="52"/>
      <c r="F2881" s="52"/>
      <c r="G2881" s="52"/>
      <c r="H2881" s="52"/>
    </row>
    <row r="2882" spans="1:8" ht="15.75">
      <c r="A2882" s="124">
        <v>43591</v>
      </c>
      <c r="B2882" s="125">
        <v>67.89</v>
      </c>
      <c r="C2882" s="52"/>
      <c r="D2882" s="52"/>
      <c r="E2882" s="52"/>
      <c r="F2882" s="52"/>
      <c r="G2882" s="52"/>
      <c r="H2882" s="52"/>
    </row>
    <row r="2883" spans="1:8" ht="15.75">
      <c r="A2883" s="124">
        <v>43592</v>
      </c>
      <c r="B2883" s="125">
        <v>67.3</v>
      </c>
      <c r="C2883" s="52"/>
      <c r="D2883" s="52"/>
      <c r="E2883" s="52"/>
      <c r="F2883" s="52"/>
      <c r="G2883" s="52"/>
      <c r="H2883" s="52"/>
    </row>
    <row r="2884" spans="1:8" ht="15.75">
      <c r="A2884" s="124">
        <v>43593</v>
      </c>
      <c r="B2884" s="125">
        <v>66.84</v>
      </c>
      <c r="C2884" s="52"/>
      <c r="D2884" s="52"/>
      <c r="E2884" s="52"/>
      <c r="F2884" s="52"/>
      <c r="G2884" s="52"/>
      <c r="H2884" s="52"/>
    </row>
    <row r="2885" spans="1:8" ht="15.75">
      <c r="A2885" s="124">
        <v>43594</v>
      </c>
      <c r="B2885" s="125">
        <v>66.3</v>
      </c>
      <c r="C2885" s="52"/>
      <c r="D2885" s="52"/>
      <c r="E2885" s="52"/>
      <c r="F2885" s="52"/>
      <c r="G2885" s="52"/>
      <c r="H2885" s="52"/>
    </row>
    <row r="2886" spans="1:8" ht="15.75">
      <c r="A2886" s="124">
        <v>43595</v>
      </c>
      <c r="B2886" s="125">
        <v>67.14</v>
      </c>
      <c r="C2886" s="52"/>
      <c r="D2886" s="52"/>
      <c r="E2886" s="52"/>
      <c r="F2886" s="52"/>
      <c r="G2886" s="52"/>
      <c r="H2886" s="52"/>
    </row>
    <row r="2887" spans="1:8" ht="15.75">
      <c r="A2887" s="124">
        <v>43598</v>
      </c>
      <c r="B2887" s="125">
        <v>67.209999999999994</v>
      </c>
      <c r="C2887" s="52"/>
      <c r="D2887" s="52"/>
      <c r="E2887" s="52"/>
      <c r="F2887" s="52"/>
      <c r="G2887" s="52"/>
      <c r="H2887" s="52"/>
    </row>
    <row r="2888" spans="1:8" ht="15.75">
      <c r="A2888" s="124">
        <v>43599</v>
      </c>
      <c r="B2888" s="125">
        <v>67.650000000000006</v>
      </c>
      <c r="C2888" s="52"/>
      <c r="D2888" s="52"/>
      <c r="E2888" s="52"/>
      <c r="F2888" s="52"/>
      <c r="G2888" s="52"/>
      <c r="H2888" s="52"/>
    </row>
    <row r="2889" spans="1:8" ht="15.75">
      <c r="A2889" s="124">
        <v>43600</v>
      </c>
      <c r="B2889" s="125">
        <v>68.099999999999994</v>
      </c>
      <c r="C2889" s="52"/>
      <c r="D2889" s="52"/>
      <c r="E2889" s="52"/>
      <c r="F2889" s="52"/>
      <c r="G2889" s="52"/>
      <c r="H2889" s="52"/>
    </row>
    <row r="2890" spans="1:8" ht="15.75">
      <c r="A2890" s="124">
        <v>43601</v>
      </c>
      <c r="B2890" s="125">
        <v>68.709999999999994</v>
      </c>
      <c r="C2890" s="52"/>
      <c r="D2890" s="52"/>
      <c r="E2890" s="52"/>
      <c r="F2890" s="52"/>
      <c r="G2890" s="52"/>
      <c r="H2890" s="52"/>
    </row>
    <row r="2891" spans="1:8" ht="15.75">
      <c r="A2891" s="124">
        <v>43602</v>
      </c>
      <c r="B2891" s="125">
        <v>68.69</v>
      </c>
      <c r="C2891" s="52"/>
      <c r="D2891" s="52"/>
      <c r="E2891" s="52"/>
      <c r="F2891" s="52"/>
      <c r="G2891" s="52"/>
      <c r="H2891" s="52"/>
    </row>
    <row r="2892" spans="1:8" ht="15.75">
      <c r="A2892" s="124">
        <v>43605</v>
      </c>
      <c r="B2892" s="125">
        <v>67.790000000000006</v>
      </c>
      <c r="C2892" s="52"/>
      <c r="D2892" s="52"/>
      <c r="E2892" s="52"/>
      <c r="F2892" s="52"/>
      <c r="G2892" s="52"/>
      <c r="H2892" s="52"/>
    </row>
    <row r="2893" spans="1:8" ht="15.75">
      <c r="A2893" s="124">
        <v>43606</v>
      </c>
      <c r="B2893" s="125">
        <v>68.39</v>
      </c>
      <c r="C2893" s="52"/>
      <c r="D2893" s="52"/>
      <c r="E2893" s="52"/>
      <c r="F2893" s="52"/>
      <c r="G2893" s="52"/>
      <c r="H2893" s="52"/>
    </row>
    <row r="2894" spans="1:8" ht="15.75">
      <c r="A2894" s="124">
        <v>43607</v>
      </c>
      <c r="B2894" s="125">
        <v>68.52</v>
      </c>
      <c r="C2894" s="52"/>
      <c r="D2894" s="52"/>
      <c r="E2894" s="52"/>
      <c r="F2894" s="52"/>
      <c r="G2894" s="52"/>
      <c r="H2894" s="52"/>
    </row>
    <row r="2895" spans="1:8" ht="15.75">
      <c r="A2895" s="124">
        <v>43608</v>
      </c>
      <c r="B2895" s="125">
        <v>68.47</v>
      </c>
      <c r="C2895" s="52"/>
      <c r="D2895" s="52"/>
      <c r="E2895" s="52"/>
      <c r="F2895" s="52"/>
      <c r="G2895" s="52"/>
      <c r="H2895" s="52"/>
    </row>
    <row r="2896" spans="1:8" ht="15.75">
      <c r="A2896" s="124">
        <v>43609</v>
      </c>
      <c r="B2896" s="125">
        <v>68.819999999999993</v>
      </c>
      <c r="C2896" s="52"/>
      <c r="D2896" s="52"/>
      <c r="E2896" s="52"/>
      <c r="F2896" s="52"/>
      <c r="G2896" s="52"/>
      <c r="H2896" s="52"/>
    </row>
    <row r="2897" spans="1:8" ht="15.75">
      <c r="A2897" s="124">
        <v>43612</v>
      </c>
      <c r="B2897" s="125">
        <v>68.61</v>
      </c>
      <c r="C2897" s="52"/>
      <c r="D2897" s="52"/>
      <c r="E2897" s="52"/>
      <c r="F2897" s="52"/>
      <c r="G2897" s="52"/>
      <c r="H2897" s="52"/>
    </row>
    <row r="2898" spans="1:8" ht="15.75">
      <c r="A2898" s="124">
        <v>43613</v>
      </c>
      <c r="B2898" s="125">
        <v>69</v>
      </c>
      <c r="C2898" s="52"/>
      <c r="D2898" s="52"/>
      <c r="E2898" s="52"/>
      <c r="F2898" s="52"/>
      <c r="G2898" s="52"/>
      <c r="H2898" s="52"/>
    </row>
    <row r="2899" spans="1:8" ht="15.75">
      <c r="A2899" s="124">
        <v>43614</v>
      </c>
      <c r="B2899" s="125">
        <v>67.88</v>
      </c>
      <c r="C2899" s="52"/>
      <c r="D2899" s="52"/>
      <c r="E2899" s="52"/>
      <c r="F2899" s="52"/>
      <c r="G2899" s="52"/>
      <c r="H2899" s="52"/>
    </row>
    <row r="2900" spans="1:8" ht="15.75">
      <c r="A2900" s="124">
        <v>43615</v>
      </c>
      <c r="B2900" s="125">
        <v>67.81</v>
      </c>
      <c r="C2900" s="52"/>
      <c r="D2900" s="52"/>
      <c r="E2900" s="52"/>
      <c r="F2900" s="52"/>
      <c r="G2900" s="52"/>
      <c r="H2900" s="52"/>
    </row>
    <row r="2901" spans="1:8" ht="15.75">
      <c r="A2901" s="124">
        <v>43616</v>
      </c>
      <c r="B2901" s="125">
        <v>68.63</v>
      </c>
      <c r="C2901" s="52"/>
      <c r="D2901" s="52"/>
      <c r="E2901" s="52"/>
      <c r="F2901" s="52"/>
      <c r="G2901" s="52"/>
      <c r="H2901" s="52"/>
    </row>
    <row r="2902" spans="1:8" ht="15.75">
      <c r="A2902" s="124">
        <v>43619</v>
      </c>
      <c r="B2902" s="125">
        <v>67.37</v>
      </c>
      <c r="C2902" s="52"/>
      <c r="D2902" s="52"/>
      <c r="E2902" s="52"/>
      <c r="F2902" s="52"/>
      <c r="G2902" s="52"/>
      <c r="H2902" s="52"/>
    </row>
    <row r="2903" spans="1:8" ht="15.75">
      <c r="A2903" s="124">
        <v>43620</v>
      </c>
      <c r="B2903" s="125">
        <v>66.709999999999994</v>
      </c>
      <c r="C2903" s="52"/>
      <c r="D2903" s="52"/>
      <c r="E2903" s="52"/>
      <c r="F2903" s="52"/>
      <c r="G2903" s="52"/>
      <c r="H2903" s="52"/>
    </row>
    <row r="2904" spans="1:8" ht="15.75">
      <c r="A2904" s="124">
        <v>43621</v>
      </c>
      <c r="B2904" s="125">
        <v>68.08</v>
      </c>
      <c r="C2904" s="52"/>
      <c r="D2904" s="52"/>
      <c r="E2904" s="52"/>
      <c r="F2904" s="52"/>
      <c r="G2904" s="52"/>
      <c r="H2904" s="52"/>
    </row>
    <row r="2905" spans="1:8" ht="15.75">
      <c r="A2905" s="124">
        <v>43622</v>
      </c>
      <c r="B2905" s="125">
        <v>68.3</v>
      </c>
      <c r="C2905" s="52"/>
      <c r="D2905" s="52"/>
      <c r="E2905" s="52"/>
      <c r="F2905" s="52"/>
      <c r="G2905" s="52"/>
      <c r="H2905" s="52"/>
    </row>
    <row r="2906" spans="1:8" ht="15.75">
      <c r="A2906" s="124">
        <v>43623</v>
      </c>
      <c r="B2906" s="125">
        <v>68.66</v>
      </c>
      <c r="C2906" s="52"/>
      <c r="D2906" s="52"/>
      <c r="E2906" s="52"/>
      <c r="F2906" s="52"/>
      <c r="G2906" s="52"/>
      <c r="H2906" s="52"/>
    </row>
    <row r="2907" spans="1:8" ht="15.75">
      <c r="A2907" s="124">
        <v>43627</v>
      </c>
      <c r="B2907" s="125">
        <v>68.010000000000005</v>
      </c>
      <c r="C2907" s="52"/>
      <c r="D2907" s="52"/>
      <c r="E2907" s="52"/>
      <c r="F2907" s="52"/>
      <c r="G2907" s="52"/>
      <c r="H2907" s="52"/>
    </row>
    <row r="2908" spans="1:8" ht="15.75">
      <c r="A2908" s="124">
        <v>43628</v>
      </c>
      <c r="B2908" s="125">
        <v>68.55</v>
      </c>
      <c r="C2908" s="52"/>
      <c r="D2908" s="52"/>
      <c r="E2908" s="52"/>
      <c r="F2908" s="52"/>
      <c r="G2908" s="52"/>
      <c r="H2908" s="52"/>
    </row>
    <row r="2909" spans="1:8" ht="15.75">
      <c r="A2909" s="124">
        <v>43629</v>
      </c>
      <c r="B2909" s="125">
        <v>68.819999999999993</v>
      </c>
      <c r="C2909" s="52"/>
      <c r="D2909" s="52"/>
      <c r="E2909" s="52"/>
      <c r="F2909" s="52"/>
      <c r="G2909" s="52"/>
      <c r="H2909" s="52"/>
    </row>
    <row r="2910" spans="1:8" ht="15.75">
      <c r="A2910" s="124">
        <v>43630</v>
      </c>
      <c r="B2910" s="125">
        <v>69.47</v>
      </c>
      <c r="C2910" s="52"/>
      <c r="D2910" s="52"/>
      <c r="E2910" s="52"/>
      <c r="F2910" s="52"/>
      <c r="G2910" s="52"/>
      <c r="H2910" s="52"/>
    </row>
    <row r="2911" spans="1:8" ht="15.75">
      <c r="A2911" s="124">
        <v>43633</v>
      </c>
      <c r="B2911" s="125">
        <v>70.12</v>
      </c>
      <c r="C2911" s="52"/>
      <c r="D2911" s="52"/>
      <c r="E2911" s="52"/>
      <c r="F2911" s="52"/>
      <c r="G2911" s="52"/>
      <c r="H2911" s="52"/>
    </row>
    <row r="2912" spans="1:8" ht="15.75">
      <c r="A2912" s="124">
        <v>43634</v>
      </c>
      <c r="B2912" s="125">
        <v>69.53</v>
      </c>
      <c r="C2912" s="52"/>
      <c r="D2912" s="52"/>
      <c r="E2912" s="52"/>
      <c r="F2912" s="52"/>
      <c r="G2912" s="52"/>
      <c r="H2912" s="52"/>
    </row>
    <row r="2913" spans="1:8" ht="15.75">
      <c r="A2913" s="124">
        <v>43635</v>
      </c>
      <c r="B2913" s="125">
        <v>69.16</v>
      </c>
      <c r="C2913" s="52"/>
      <c r="D2913" s="52"/>
      <c r="E2913" s="52"/>
      <c r="F2913" s="52"/>
      <c r="G2913" s="52"/>
      <c r="H2913" s="52"/>
    </row>
    <row r="2914" spans="1:8" ht="15.75">
      <c r="A2914" s="124">
        <v>43636</v>
      </c>
      <c r="B2914" s="125">
        <v>70.25</v>
      </c>
      <c r="C2914" s="52"/>
      <c r="D2914" s="52"/>
      <c r="E2914" s="52"/>
      <c r="F2914" s="52"/>
      <c r="G2914" s="52"/>
      <c r="H2914" s="52"/>
    </row>
    <row r="2915" spans="1:8" ht="15.75">
      <c r="A2915" s="124">
        <v>43637</v>
      </c>
      <c r="B2915" s="125">
        <v>68.33</v>
      </c>
      <c r="C2915" s="52"/>
      <c r="D2915" s="52"/>
      <c r="E2915" s="52"/>
      <c r="F2915" s="52"/>
      <c r="G2915" s="52"/>
      <c r="H2915" s="52"/>
    </row>
    <row r="2916" spans="1:8" ht="15.75">
      <c r="A2916" s="124">
        <v>43640</v>
      </c>
      <c r="B2916" s="125">
        <v>68.3</v>
      </c>
      <c r="C2916" s="52"/>
      <c r="D2916" s="52"/>
      <c r="E2916" s="52"/>
      <c r="F2916" s="52"/>
      <c r="G2916" s="52"/>
      <c r="H2916" s="52"/>
    </row>
    <row r="2917" spans="1:8" ht="15.75">
      <c r="A2917" s="124">
        <v>43641</v>
      </c>
      <c r="B2917" s="125">
        <v>68.5</v>
      </c>
      <c r="C2917" s="52"/>
      <c r="D2917" s="52"/>
      <c r="E2917" s="52"/>
      <c r="F2917" s="52"/>
      <c r="G2917" s="52"/>
      <c r="H2917" s="52"/>
    </row>
    <row r="2918" spans="1:8" ht="15.75">
      <c r="A2918" s="124">
        <v>43642</v>
      </c>
      <c r="B2918" s="125">
        <v>67.06</v>
      </c>
      <c r="C2918" s="52"/>
      <c r="D2918" s="52"/>
      <c r="E2918" s="52"/>
      <c r="F2918" s="52"/>
      <c r="G2918" s="52"/>
      <c r="H2918" s="52"/>
    </row>
    <row r="2919" spans="1:8" ht="15.75">
      <c r="A2919" s="124">
        <v>43643</v>
      </c>
      <c r="B2919" s="125">
        <v>66.239999999999995</v>
      </c>
      <c r="C2919" s="52"/>
      <c r="D2919" s="52"/>
      <c r="E2919" s="52"/>
      <c r="F2919" s="52"/>
      <c r="G2919" s="52"/>
      <c r="H2919" s="52"/>
    </row>
    <row r="2920" spans="1:8" ht="15.75">
      <c r="A2920" s="124">
        <v>43644</v>
      </c>
      <c r="B2920" s="125">
        <v>67.19</v>
      </c>
      <c r="C2920" s="52"/>
      <c r="D2920" s="52"/>
      <c r="E2920" s="52"/>
      <c r="F2920" s="52"/>
      <c r="G2920" s="52"/>
      <c r="H2920" s="52"/>
    </row>
    <row r="2921" spans="1:8" ht="15.75">
      <c r="A2921" s="124">
        <v>43647</v>
      </c>
      <c r="B2921" s="125">
        <v>67.16</v>
      </c>
      <c r="C2921" s="52"/>
      <c r="D2921" s="52"/>
      <c r="E2921" s="52"/>
      <c r="F2921" s="52"/>
      <c r="G2921" s="52"/>
      <c r="H2921" s="52"/>
    </row>
    <row r="2922" spans="1:8" ht="15.75">
      <c r="A2922" s="124">
        <v>43648</v>
      </c>
      <c r="B2922" s="125">
        <v>68.41</v>
      </c>
      <c r="C2922" s="52"/>
      <c r="D2922" s="52"/>
      <c r="E2922" s="52"/>
      <c r="F2922" s="52"/>
      <c r="G2922" s="52"/>
      <c r="H2922" s="52"/>
    </row>
    <row r="2923" spans="1:8" ht="15.75">
      <c r="A2923" s="124">
        <v>43649</v>
      </c>
      <c r="B2923" s="125">
        <v>69.209999999999994</v>
      </c>
      <c r="C2923" s="52"/>
      <c r="D2923" s="52"/>
      <c r="E2923" s="52"/>
      <c r="F2923" s="52"/>
      <c r="G2923" s="52"/>
      <c r="H2923" s="52"/>
    </row>
    <row r="2924" spans="1:8" ht="15.75">
      <c r="A2924" s="124">
        <v>43650</v>
      </c>
      <c r="B2924" s="125">
        <v>69.209999999999994</v>
      </c>
      <c r="C2924" s="52"/>
      <c r="D2924" s="52"/>
      <c r="E2924" s="52"/>
      <c r="F2924" s="52"/>
      <c r="G2924" s="52"/>
      <c r="H2924" s="52"/>
    </row>
    <row r="2925" spans="1:8" ht="15.75">
      <c r="A2925" s="124">
        <v>43651</v>
      </c>
      <c r="B2925" s="125">
        <v>69.39</v>
      </c>
      <c r="C2925" s="52"/>
      <c r="D2925" s="52"/>
      <c r="E2925" s="52"/>
      <c r="F2925" s="52"/>
      <c r="G2925" s="52"/>
      <c r="H2925" s="52"/>
    </row>
    <row r="2926" spans="1:8" ht="15.75">
      <c r="A2926" s="124">
        <v>43654</v>
      </c>
      <c r="B2926" s="125">
        <v>70</v>
      </c>
      <c r="C2926" s="52"/>
      <c r="D2926" s="52"/>
      <c r="E2926" s="52"/>
      <c r="F2926" s="52"/>
      <c r="G2926" s="52"/>
      <c r="H2926" s="52"/>
    </row>
    <row r="2927" spans="1:8" ht="15.75">
      <c r="A2927" s="124">
        <v>43655</v>
      </c>
      <c r="B2927" s="125">
        <v>70.5</v>
      </c>
      <c r="C2927" s="52"/>
      <c r="D2927" s="52"/>
      <c r="E2927" s="52"/>
      <c r="F2927" s="52"/>
      <c r="G2927" s="52"/>
      <c r="H2927" s="52"/>
    </row>
    <row r="2928" spans="1:8" ht="15.75">
      <c r="A2928" s="124">
        <v>43656</v>
      </c>
      <c r="B2928" s="125">
        <v>70.5</v>
      </c>
      <c r="C2928" s="52"/>
      <c r="D2928" s="52"/>
      <c r="E2928" s="52"/>
      <c r="F2928" s="52"/>
      <c r="G2928" s="52"/>
      <c r="H2928" s="52"/>
    </row>
    <row r="2929" spans="1:8" ht="15.75">
      <c r="A2929" s="124">
        <v>43657</v>
      </c>
      <c r="B2929" s="125">
        <v>70</v>
      </c>
      <c r="C2929" s="52"/>
      <c r="D2929" s="52"/>
      <c r="E2929" s="52"/>
      <c r="F2929" s="52"/>
      <c r="G2929" s="52"/>
      <c r="H2929" s="52"/>
    </row>
    <row r="2930" spans="1:8" ht="15.75">
      <c r="A2930" s="124">
        <v>43658</v>
      </c>
      <c r="B2930" s="125">
        <v>70</v>
      </c>
      <c r="C2930" s="52"/>
      <c r="D2930" s="52"/>
      <c r="E2930" s="52"/>
      <c r="F2930" s="52"/>
      <c r="G2930" s="52"/>
      <c r="H2930" s="52"/>
    </row>
    <row r="2931" spans="1:8" ht="15.75">
      <c r="A2931" s="124">
        <v>43661</v>
      </c>
      <c r="B2931" s="125">
        <v>70</v>
      </c>
      <c r="C2931" s="52"/>
      <c r="D2931" s="52"/>
      <c r="E2931" s="52"/>
      <c r="F2931" s="52"/>
      <c r="G2931" s="52"/>
      <c r="H2931" s="52"/>
    </row>
    <row r="2932" spans="1:8" ht="15.75">
      <c r="A2932" s="124">
        <v>43662</v>
      </c>
      <c r="B2932" s="125">
        <v>70</v>
      </c>
      <c r="C2932" s="52"/>
      <c r="D2932" s="52"/>
      <c r="E2932" s="52"/>
      <c r="F2932" s="52"/>
      <c r="G2932" s="52"/>
      <c r="H2932" s="52"/>
    </row>
    <row r="2933" spans="1:8" ht="15.75">
      <c r="A2933" s="124">
        <v>43663</v>
      </c>
      <c r="B2933" s="125">
        <v>69.5</v>
      </c>
      <c r="C2933" s="52"/>
      <c r="D2933" s="52"/>
      <c r="E2933" s="52"/>
      <c r="F2933" s="52"/>
      <c r="G2933" s="52"/>
      <c r="H2933" s="52"/>
    </row>
    <row r="2934" spans="1:8" ht="15.75">
      <c r="A2934" s="124">
        <v>43664</v>
      </c>
      <c r="B2934" s="125">
        <v>69.63</v>
      </c>
      <c r="C2934" s="52"/>
      <c r="D2934" s="52"/>
      <c r="E2934" s="52"/>
      <c r="F2934" s="52"/>
      <c r="G2934" s="52"/>
      <c r="H2934" s="52"/>
    </row>
    <row r="2935" spans="1:8" ht="15.75">
      <c r="A2935" s="124">
        <v>43665</v>
      </c>
      <c r="B2935" s="125">
        <v>68.89</v>
      </c>
      <c r="C2935" s="52"/>
      <c r="D2935" s="52"/>
      <c r="E2935" s="52"/>
      <c r="F2935" s="52"/>
      <c r="G2935" s="52"/>
      <c r="H2935" s="52"/>
    </row>
    <row r="2936" spans="1:8" ht="15.75">
      <c r="A2936" s="124">
        <v>43668</v>
      </c>
      <c r="B2936" s="125">
        <v>68.510000000000005</v>
      </c>
      <c r="C2936" s="52"/>
      <c r="D2936" s="52"/>
      <c r="E2936" s="52"/>
      <c r="F2936" s="52"/>
      <c r="G2936" s="52"/>
      <c r="H2936" s="52"/>
    </row>
    <row r="2937" spans="1:8" ht="15.75">
      <c r="A2937" s="124">
        <v>43669</v>
      </c>
      <c r="B2937" s="125">
        <v>69.209999999999994</v>
      </c>
      <c r="C2937" s="52"/>
      <c r="D2937" s="52"/>
      <c r="E2937" s="52"/>
      <c r="F2937" s="52"/>
      <c r="G2937" s="52"/>
      <c r="H2937" s="52"/>
    </row>
    <row r="2938" spans="1:8" ht="15.75">
      <c r="A2938" s="124">
        <v>43670</v>
      </c>
      <c r="B2938" s="125">
        <v>69.55</v>
      </c>
      <c r="C2938" s="52"/>
      <c r="D2938" s="52"/>
      <c r="E2938" s="52"/>
      <c r="F2938" s="52"/>
      <c r="G2938" s="52"/>
      <c r="H2938" s="52"/>
    </row>
    <row r="2939" spans="1:8" ht="15.75">
      <c r="A2939" s="124">
        <v>43671</v>
      </c>
      <c r="B2939" s="125">
        <v>69.92</v>
      </c>
      <c r="C2939" s="52"/>
      <c r="D2939" s="52"/>
      <c r="E2939" s="52"/>
      <c r="F2939" s="52"/>
      <c r="G2939" s="52"/>
      <c r="H2939" s="52"/>
    </row>
    <row r="2940" spans="1:8" ht="15.75">
      <c r="A2940" s="124">
        <v>43672</v>
      </c>
      <c r="B2940" s="125">
        <v>70.36</v>
      </c>
      <c r="C2940" s="52"/>
      <c r="D2940" s="52"/>
      <c r="E2940" s="52"/>
      <c r="F2940" s="52"/>
      <c r="G2940" s="52"/>
      <c r="H2940" s="52"/>
    </row>
    <row r="2941" spans="1:8" ht="15.75">
      <c r="A2941" s="124">
        <v>43675</v>
      </c>
      <c r="B2941" s="125">
        <v>71.34</v>
      </c>
      <c r="C2941" s="52"/>
      <c r="D2941" s="52"/>
      <c r="E2941" s="52"/>
      <c r="F2941" s="52"/>
      <c r="G2941" s="52"/>
      <c r="H2941" s="52"/>
    </row>
    <row r="2942" spans="1:8" ht="15.75">
      <c r="A2942" s="124">
        <v>43676</v>
      </c>
      <c r="B2942" s="125">
        <v>71.150000000000006</v>
      </c>
      <c r="C2942" s="52"/>
      <c r="D2942" s="52"/>
      <c r="E2942" s="52"/>
      <c r="F2942" s="52"/>
      <c r="G2942" s="52"/>
      <c r="H2942" s="52"/>
    </row>
    <row r="2943" spans="1:8" ht="15.75">
      <c r="A2943" s="124">
        <v>43677</v>
      </c>
      <c r="B2943" s="125">
        <v>71.86</v>
      </c>
      <c r="C2943" s="52"/>
      <c r="D2943" s="52"/>
      <c r="E2943" s="52"/>
      <c r="F2943" s="52"/>
      <c r="G2943" s="52"/>
      <c r="H2943" s="52"/>
    </row>
    <row r="2944" spans="1:8" ht="15.75">
      <c r="A2944" s="124">
        <v>43678</v>
      </c>
      <c r="B2944" s="125">
        <v>71.45</v>
      </c>
      <c r="C2944" s="52"/>
      <c r="D2944" s="52"/>
      <c r="E2944" s="52"/>
      <c r="F2944" s="52"/>
      <c r="G2944" s="52"/>
      <c r="H2944" s="52"/>
    </row>
    <row r="2945" spans="1:8" ht="15.75">
      <c r="A2945" s="124">
        <v>43679</v>
      </c>
      <c r="B2945" s="125">
        <v>72.2</v>
      </c>
      <c r="C2945" s="52"/>
      <c r="D2945" s="52"/>
      <c r="E2945" s="52"/>
      <c r="F2945" s="52"/>
      <c r="G2945" s="52"/>
      <c r="H2945" s="52"/>
    </row>
    <row r="2946" spans="1:8" ht="15.75">
      <c r="A2946" s="124">
        <v>43682</v>
      </c>
      <c r="B2946" s="125">
        <v>70</v>
      </c>
      <c r="C2946" s="52"/>
      <c r="D2946" s="52"/>
      <c r="E2946" s="52"/>
      <c r="F2946" s="52"/>
      <c r="G2946" s="52"/>
      <c r="H2946" s="52"/>
    </row>
    <row r="2947" spans="1:8" ht="15.75">
      <c r="A2947" s="124">
        <v>43683</v>
      </c>
      <c r="B2947" s="125">
        <v>70.31</v>
      </c>
      <c r="C2947" s="52"/>
      <c r="D2947" s="52"/>
      <c r="E2947" s="52"/>
      <c r="F2947" s="52"/>
      <c r="G2947" s="52"/>
      <c r="H2947" s="52"/>
    </row>
    <row r="2948" spans="1:8" ht="15.75">
      <c r="A2948" s="124">
        <v>43684</v>
      </c>
      <c r="B2948" s="125">
        <v>71.08</v>
      </c>
      <c r="C2948" s="52"/>
      <c r="D2948" s="52"/>
      <c r="E2948" s="52"/>
      <c r="F2948" s="52"/>
      <c r="G2948" s="52"/>
      <c r="H2948" s="52"/>
    </row>
    <row r="2949" spans="1:8" ht="15.75">
      <c r="A2949" s="124">
        <v>43685</v>
      </c>
      <c r="B2949" s="125">
        <v>71.48</v>
      </c>
      <c r="C2949" s="52"/>
      <c r="D2949" s="52"/>
      <c r="E2949" s="52"/>
      <c r="F2949" s="52"/>
      <c r="G2949" s="52"/>
      <c r="H2949" s="52"/>
    </row>
    <row r="2950" spans="1:8" ht="15.75">
      <c r="A2950" s="124">
        <v>43686</v>
      </c>
      <c r="B2950" s="125">
        <v>71.81</v>
      </c>
      <c r="C2950" s="52"/>
      <c r="D2950" s="52"/>
      <c r="E2950" s="52"/>
      <c r="F2950" s="52"/>
      <c r="G2950" s="52"/>
      <c r="H2950" s="52"/>
    </row>
    <row r="2951" spans="1:8" ht="15.75">
      <c r="A2951" s="124">
        <v>43689</v>
      </c>
      <c r="B2951" s="125">
        <v>72.27</v>
      </c>
      <c r="C2951" s="52"/>
      <c r="D2951" s="52"/>
      <c r="E2951" s="52"/>
      <c r="F2951" s="52"/>
      <c r="G2951" s="52"/>
      <c r="H2951" s="52"/>
    </row>
    <row r="2952" spans="1:8" ht="15.75">
      <c r="A2952" s="124">
        <v>43690</v>
      </c>
      <c r="B2952" s="125">
        <v>72.14</v>
      </c>
      <c r="C2952" s="52"/>
      <c r="D2952" s="52"/>
      <c r="E2952" s="52"/>
      <c r="F2952" s="52"/>
      <c r="G2952" s="52"/>
      <c r="H2952" s="52"/>
    </row>
    <row r="2953" spans="1:8" ht="15.75">
      <c r="A2953" s="124">
        <v>43691</v>
      </c>
      <c r="B2953" s="125">
        <v>72.239999999999995</v>
      </c>
      <c r="C2953" s="52"/>
      <c r="D2953" s="52"/>
      <c r="E2953" s="52"/>
      <c r="F2953" s="52"/>
      <c r="G2953" s="52"/>
      <c r="H2953" s="52"/>
    </row>
    <row r="2954" spans="1:8" ht="15.75">
      <c r="A2954" s="124">
        <v>43692</v>
      </c>
      <c r="B2954" s="125">
        <v>72.22</v>
      </c>
      <c r="C2954" s="52"/>
      <c r="D2954" s="52"/>
      <c r="E2954" s="52"/>
      <c r="F2954" s="52"/>
      <c r="G2954" s="52"/>
      <c r="H2954" s="52"/>
    </row>
    <row r="2955" spans="1:8" ht="15.75">
      <c r="A2955" s="124">
        <v>43693</v>
      </c>
      <c r="B2955" s="125">
        <v>73.66</v>
      </c>
      <c r="C2955" s="52"/>
      <c r="D2955" s="52"/>
      <c r="E2955" s="52"/>
      <c r="F2955" s="52"/>
      <c r="G2955" s="52"/>
      <c r="H2955" s="52"/>
    </row>
    <row r="2956" spans="1:8" ht="15.75">
      <c r="A2956" s="124">
        <v>43696</v>
      </c>
      <c r="B2956" s="125">
        <v>74.14</v>
      </c>
      <c r="C2956" s="52"/>
      <c r="D2956" s="52"/>
      <c r="E2956" s="52"/>
      <c r="F2956" s="52"/>
      <c r="G2956" s="52"/>
      <c r="H2956" s="52"/>
    </row>
    <row r="2957" spans="1:8" ht="15.75">
      <c r="A2957" s="124">
        <v>43697</v>
      </c>
      <c r="B2957" s="125">
        <v>74.09</v>
      </c>
      <c r="C2957" s="52"/>
      <c r="D2957" s="52"/>
      <c r="E2957" s="52"/>
      <c r="F2957" s="52"/>
      <c r="G2957" s="52"/>
      <c r="H2957" s="52"/>
    </row>
    <row r="2958" spans="1:8" ht="15.75">
      <c r="A2958" s="124">
        <v>43698</v>
      </c>
      <c r="B2958" s="125">
        <v>74.099999999999994</v>
      </c>
      <c r="C2958" s="52"/>
      <c r="D2958" s="52"/>
      <c r="E2958" s="52"/>
      <c r="F2958" s="52"/>
      <c r="G2958" s="52"/>
      <c r="H2958" s="52"/>
    </row>
    <row r="2959" spans="1:8" ht="15.75">
      <c r="A2959" s="124">
        <v>43699</v>
      </c>
      <c r="B2959" s="125">
        <v>74.33</v>
      </c>
      <c r="C2959" s="52"/>
      <c r="D2959" s="52"/>
      <c r="E2959" s="52"/>
      <c r="F2959" s="52"/>
      <c r="G2959" s="52"/>
      <c r="H2959" s="52"/>
    </row>
    <row r="2960" spans="1:8" ht="15.75">
      <c r="A2960" s="124">
        <v>43700</v>
      </c>
      <c r="B2960" s="125">
        <v>74.81</v>
      </c>
      <c r="C2960" s="52"/>
      <c r="D2960" s="52"/>
      <c r="E2960" s="52"/>
      <c r="F2960" s="52"/>
      <c r="G2960" s="52"/>
      <c r="H2960" s="52"/>
    </row>
    <row r="2961" spans="1:8" ht="15.75">
      <c r="A2961" s="124">
        <v>43703</v>
      </c>
      <c r="B2961" s="125">
        <v>74.37</v>
      </c>
      <c r="C2961" s="52"/>
      <c r="D2961" s="52"/>
      <c r="E2961" s="52"/>
      <c r="F2961" s="52"/>
      <c r="G2961" s="52"/>
      <c r="H2961" s="52"/>
    </row>
    <row r="2962" spans="1:8" ht="15.75">
      <c r="A2962" s="124">
        <v>43704</v>
      </c>
      <c r="B2962" s="125">
        <v>75.69</v>
      </c>
      <c r="C2962" s="52"/>
      <c r="D2962" s="52"/>
      <c r="E2962" s="52"/>
      <c r="F2962" s="52"/>
      <c r="G2962" s="52"/>
      <c r="H2962" s="52"/>
    </row>
    <row r="2963" spans="1:8" ht="15.75">
      <c r="A2963" s="124">
        <v>43705</v>
      </c>
      <c r="B2963" s="125">
        <v>75.25</v>
      </c>
      <c r="C2963" s="52"/>
      <c r="D2963" s="52"/>
      <c r="E2963" s="52"/>
      <c r="F2963" s="52"/>
      <c r="G2963" s="52"/>
      <c r="H2963" s="52"/>
    </row>
    <row r="2964" spans="1:8" ht="15.75">
      <c r="A2964" s="124">
        <v>43706</v>
      </c>
      <c r="B2964" s="125">
        <v>76.11</v>
      </c>
      <c r="C2964" s="52"/>
      <c r="D2964" s="52"/>
      <c r="E2964" s="52"/>
      <c r="F2964" s="52"/>
      <c r="G2964" s="52"/>
      <c r="H2964" s="52"/>
    </row>
    <row r="2965" spans="1:8" ht="15.75">
      <c r="A2965" s="124">
        <v>43707</v>
      </c>
      <c r="B2965" s="125">
        <v>76.89</v>
      </c>
      <c r="C2965" s="52"/>
      <c r="D2965" s="52"/>
      <c r="E2965" s="52"/>
      <c r="F2965" s="52"/>
      <c r="G2965" s="52"/>
      <c r="H2965" s="52"/>
    </row>
    <row r="2966" spans="1:8" ht="15.75">
      <c r="A2966" s="124">
        <v>43710</v>
      </c>
      <c r="B2966" s="125">
        <v>76.88</v>
      </c>
      <c r="C2966" s="52"/>
      <c r="D2966" s="52"/>
      <c r="E2966" s="52"/>
      <c r="F2966" s="52"/>
      <c r="G2966" s="52"/>
      <c r="H2966" s="52"/>
    </row>
    <row r="2967" spans="1:8" ht="15.75">
      <c r="A2967" s="124">
        <v>43711</v>
      </c>
      <c r="B2967" s="125">
        <v>77.489999999999995</v>
      </c>
      <c r="C2967" s="52"/>
      <c r="D2967" s="52"/>
      <c r="E2967" s="52"/>
      <c r="F2967" s="52"/>
      <c r="G2967" s="52"/>
      <c r="H2967" s="52"/>
    </row>
    <row r="2968" spans="1:8" ht="15.75">
      <c r="A2968" s="124">
        <v>43712</v>
      </c>
      <c r="B2968" s="125">
        <v>77.930000000000007</v>
      </c>
      <c r="C2968" s="52"/>
      <c r="D2968" s="52"/>
      <c r="E2968" s="52"/>
      <c r="F2968" s="52"/>
      <c r="G2968" s="52"/>
      <c r="H2968" s="52"/>
    </row>
    <row r="2969" spans="1:8" ht="15.75">
      <c r="A2969" s="124">
        <v>43713</v>
      </c>
      <c r="B2969" s="125">
        <v>77.42</v>
      </c>
      <c r="C2969" s="52"/>
      <c r="D2969" s="52"/>
      <c r="E2969" s="52"/>
      <c r="F2969" s="52"/>
      <c r="G2969" s="52"/>
      <c r="H2969" s="52"/>
    </row>
    <row r="2970" spans="1:8" ht="15.75">
      <c r="A2970" s="124">
        <v>43714</v>
      </c>
      <c r="B2970" s="125">
        <v>78.400000000000006</v>
      </c>
      <c r="C2970" s="52"/>
      <c r="D2970" s="52"/>
      <c r="E2970" s="52"/>
      <c r="F2970" s="52"/>
      <c r="G2970" s="52"/>
      <c r="H2970" s="52"/>
    </row>
    <row r="2971" spans="1:8" ht="15.75">
      <c r="A2971" s="124">
        <v>43717</v>
      </c>
      <c r="B2971" s="125">
        <v>76.930000000000007</v>
      </c>
      <c r="C2971" s="52"/>
      <c r="D2971" s="52"/>
      <c r="E2971" s="52"/>
      <c r="F2971" s="52"/>
      <c r="G2971" s="52"/>
      <c r="H2971" s="52"/>
    </row>
    <row r="2972" spans="1:8" ht="15.75">
      <c r="A2972" s="124">
        <v>43718</v>
      </c>
      <c r="B2972" s="125">
        <v>75.930000000000007</v>
      </c>
      <c r="C2972" s="52"/>
      <c r="D2972" s="52"/>
      <c r="E2972" s="52"/>
      <c r="F2972" s="52"/>
      <c r="G2972" s="52"/>
      <c r="H2972" s="52"/>
    </row>
    <row r="2973" spans="1:8" ht="15.75">
      <c r="A2973" s="124">
        <v>43719</v>
      </c>
      <c r="B2973" s="125">
        <v>76.599999999999994</v>
      </c>
      <c r="C2973" s="52"/>
      <c r="D2973" s="52"/>
      <c r="E2973" s="52"/>
      <c r="F2973" s="52"/>
      <c r="G2973" s="52"/>
      <c r="H2973" s="52"/>
    </row>
    <row r="2974" spans="1:8" ht="15.75">
      <c r="A2974" s="124">
        <v>43720</v>
      </c>
      <c r="B2974" s="125">
        <v>76.989999999999995</v>
      </c>
      <c r="C2974" s="52"/>
      <c r="D2974" s="52"/>
      <c r="E2974" s="52"/>
      <c r="F2974" s="52"/>
      <c r="G2974" s="52"/>
      <c r="H2974" s="52"/>
    </row>
    <row r="2975" spans="1:8" ht="15.75">
      <c r="A2975" s="124">
        <v>43721</v>
      </c>
      <c r="B2975" s="125">
        <v>75.790000000000006</v>
      </c>
      <c r="C2975" s="52"/>
      <c r="D2975" s="52"/>
      <c r="E2975" s="52"/>
      <c r="F2975" s="52"/>
      <c r="G2975" s="52"/>
      <c r="H2975" s="52"/>
    </row>
    <row r="2976" spans="1:8" ht="15.75">
      <c r="A2976" s="124">
        <v>43724</v>
      </c>
      <c r="B2976" s="125">
        <v>76.88</v>
      </c>
      <c r="C2976" s="52"/>
      <c r="D2976" s="52"/>
      <c r="E2976" s="52"/>
      <c r="F2976" s="52"/>
      <c r="G2976" s="52"/>
      <c r="H2976" s="52"/>
    </row>
    <row r="2977" spans="1:8" ht="15.75">
      <c r="A2977" s="124">
        <v>43725</v>
      </c>
      <c r="B2977" s="125">
        <v>76.63</v>
      </c>
      <c r="C2977" s="52"/>
      <c r="D2977" s="52"/>
      <c r="E2977" s="52"/>
      <c r="F2977" s="52"/>
      <c r="G2977" s="52"/>
      <c r="H2977" s="52"/>
    </row>
    <row r="2978" spans="1:8" ht="15.75">
      <c r="A2978" s="124">
        <v>43726</v>
      </c>
      <c r="B2978" s="125">
        <v>76.900000000000006</v>
      </c>
      <c r="C2978" s="52"/>
      <c r="D2978" s="52"/>
      <c r="E2978" s="52"/>
      <c r="F2978" s="52"/>
      <c r="G2978" s="52"/>
      <c r="H2978" s="52"/>
    </row>
    <row r="2979" spans="1:8" ht="15.75">
      <c r="A2979" s="124">
        <v>43727</v>
      </c>
      <c r="B2979" s="125">
        <v>77.14</v>
      </c>
      <c r="C2979" s="52"/>
      <c r="D2979" s="52"/>
      <c r="E2979" s="52"/>
      <c r="F2979" s="52"/>
      <c r="G2979" s="52"/>
      <c r="H2979" s="52"/>
    </row>
    <row r="2980" spans="1:8" ht="15.75">
      <c r="A2980" s="124">
        <v>43728</v>
      </c>
      <c r="B2980" s="125">
        <v>77.040000000000006</v>
      </c>
      <c r="C2980" s="52"/>
      <c r="D2980" s="52"/>
      <c r="E2980" s="52"/>
      <c r="F2980" s="52"/>
      <c r="G2980" s="52"/>
      <c r="H2980" s="52"/>
    </row>
    <row r="2981" spans="1:8" ht="15.75">
      <c r="A2981" s="124">
        <v>43731</v>
      </c>
      <c r="B2981" s="125">
        <v>77.599999999999994</v>
      </c>
      <c r="C2981" s="52"/>
      <c r="D2981" s="52"/>
      <c r="E2981" s="52"/>
      <c r="F2981" s="52"/>
      <c r="G2981" s="52"/>
      <c r="H2981" s="52"/>
    </row>
    <row r="2982" spans="1:8" ht="15.75">
      <c r="A2982" s="124">
        <v>43732</v>
      </c>
      <c r="B2982" s="125">
        <v>77.67</v>
      </c>
      <c r="C2982" s="52"/>
      <c r="D2982" s="52"/>
      <c r="E2982" s="52"/>
      <c r="F2982" s="52"/>
      <c r="G2982" s="52"/>
      <c r="H2982" s="52"/>
    </row>
    <row r="2983" spans="1:8" ht="15.75">
      <c r="A2983" s="124">
        <v>43733</v>
      </c>
      <c r="B2983" s="125">
        <v>78.41</v>
      </c>
      <c r="C2983" s="52"/>
      <c r="D2983" s="52"/>
      <c r="E2983" s="52"/>
      <c r="F2983" s="52"/>
      <c r="G2983" s="52"/>
      <c r="H2983" s="52"/>
    </row>
    <row r="2984" spans="1:8" ht="15.75">
      <c r="A2984" s="124">
        <v>43734</v>
      </c>
      <c r="B2984" s="125">
        <v>79.25</v>
      </c>
      <c r="C2984" s="52"/>
      <c r="D2984" s="52"/>
      <c r="E2984" s="52"/>
      <c r="F2984" s="52"/>
      <c r="G2984" s="52"/>
      <c r="H2984" s="52"/>
    </row>
    <row r="2985" spans="1:8" ht="15.75">
      <c r="A2985" s="124">
        <v>43735</v>
      </c>
      <c r="B2985" s="125">
        <v>78.28</v>
      </c>
      <c r="C2985" s="52"/>
      <c r="D2985" s="52"/>
      <c r="E2985" s="52"/>
      <c r="F2985" s="52"/>
      <c r="G2985" s="52"/>
      <c r="H2985" s="52"/>
    </row>
    <row r="2986" spans="1:8" ht="15.75">
      <c r="A2986" s="124">
        <v>43738</v>
      </c>
      <c r="B2986" s="125">
        <v>79</v>
      </c>
      <c r="C2986" s="52"/>
      <c r="D2986" s="52"/>
      <c r="E2986" s="52"/>
      <c r="F2986" s="52"/>
      <c r="G2986" s="52"/>
      <c r="H2986" s="52"/>
    </row>
    <row r="2987" spans="1:8" ht="15.75">
      <c r="A2987" s="124">
        <v>43739</v>
      </c>
      <c r="B2987" s="125">
        <v>78.5</v>
      </c>
      <c r="C2987" s="52"/>
      <c r="D2987" s="52"/>
      <c r="E2987" s="52"/>
      <c r="F2987" s="52"/>
      <c r="G2987" s="52"/>
      <c r="H2987" s="52"/>
    </row>
    <row r="2988" spans="1:8" ht="15.75">
      <c r="A2988" s="124">
        <v>43740</v>
      </c>
      <c r="B2988" s="125">
        <v>78</v>
      </c>
      <c r="C2988" s="52"/>
      <c r="D2988" s="52"/>
      <c r="E2988" s="52"/>
      <c r="F2988" s="52"/>
      <c r="G2988" s="52"/>
      <c r="H2988" s="52"/>
    </row>
    <row r="2989" spans="1:8" ht="15.75">
      <c r="A2989" s="124">
        <v>43742</v>
      </c>
      <c r="B2989" s="125">
        <v>79.5</v>
      </c>
      <c r="C2989" s="52"/>
      <c r="D2989" s="52"/>
      <c r="E2989" s="52"/>
      <c r="F2989" s="52"/>
      <c r="G2989" s="52"/>
      <c r="H2989" s="52"/>
    </row>
    <row r="2990" spans="1:8" ht="15.75">
      <c r="A2990" s="124">
        <v>43745</v>
      </c>
      <c r="B2990" s="125">
        <v>80</v>
      </c>
      <c r="C2990" s="52"/>
      <c r="D2990" s="52"/>
      <c r="E2990" s="52"/>
      <c r="F2990" s="52"/>
      <c r="G2990" s="52"/>
      <c r="H2990" s="52"/>
    </row>
    <row r="2991" spans="1:8" ht="15.75">
      <c r="A2991" s="124">
        <v>43746</v>
      </c>
      <c r="B2991" s="125">
        <v>80</v>
      </c>
      <c r="C2991" s="52"/>
      <c r="D2991" s="52"/>
      <c r="E2991" s="52"/>
      <c r="F2991" s="52"/>
      <c r="G2991" s="52"/>
      <c r="H2991" s="52"/>
    </row>
    <row r="2992" spans="1:8" ht="15.75">
      <c r="A2992" s="124">
        <v>43747</v>
      </c>
      <c r="B2992" s="125">
        <v>80</v>
      </c>
      <c r="C2992" s="52"/>
      <c r="D2992" s="52"/>
      <c r="E2992" s="52"/>
      <c r="F2992" s="52"/>
      <c r="G2992" s="52"/>
      <c r="H2992" s="52"/>
    </row>
    <row r="2993" spans="1:8" ht="15.75">
      <c r="A2993" s="124">
        <v>43748</v>
      </c>
      <c r="B2993" s="125">
        <v>80</v>
      </c>
      <c r="C2993" s="52"/>
      <c r="D2993" s="52"/>
      <c r="E2993" s="52"/>
      <c r="F2993" s="52"/>
      <c r="G2993" s="52"/>
      <c r="H2993" s="52"/>
    </row>
    <row r="2994" spans="1:8" ht="15.75">
      <c r="A2994" s="124">
        <v>43749</v>
      </c>
      <c r="B2994" s="125">
        <v>79.5</v>
      </c>
      <c r="C2994" s="52"/>
      <c r="D2994" s="52"/>
      <c r="E2994" s="52"/>
      <c r="F2994" s="52"/>
      <c r="G2994" s="52"/>
      <c r="H2994" s="52"/>
    </row>
    <row r="2995" spans="1:8" ht="15.75">
      <c r="A2995" s="124">
        <v>43752</v>
      </c>
      <c r="B2995" s="125">
        <v>79</v>
      </c>
      <c r="C2995" s="52"/>
      <c r="D2995" s="52"/>
      <c r="E2995" s="52"/>
      <c r="F2995" s="52"/>
      <c r="G2995" s="52"/>
      <c r="H2995" s="52"/>
    </row>
    <row r="2996" spans="1:8" ht="15.75">
      <c r="A2996" s="124">
        <v>43753</v>
      </c>
      <c r="B2996" s="125">
        <v>79</v>
      </c>
      <c r="C2996" s="52"/>
      <c r="D2996" s="52"/>
      <c r="E2996" s="52"/>
      <c r="F2996" s="52"/>
      <c r="G2996" s="52"/>
      <c r="H2996" s="52"/>
    </row>
    <row r="2997" spans="1:8" ht="15.75">
      <c r="A2997" s="124">
        <v>43754</v>
      </c>
      <c r="B2997" s="125">
        <v>79</v>
      </c>
      <c r="C2997" s="52"/>
      <c r="D2997" s="52"/>
      <c r="E2997" s="52"/>
      <c r="F2997" s="52"/>
      <c r="G2997" s="52"/>
      <c r="H2997" s="52"/>
    </row>
    <row r="2998" spans="1:8" ht="15.75">
      <c r="A2998" s="124">
        <v>43755</v>
      </c>
      <c r="B2998" s="125">
        <v>79</v>
      </c>
      <c r="C2998" s="52"/>
      <c r="D2998" s="52"/>
      <c r="E2998" s="52"/>
      <c r="F2998" s="52"/>
      <c r="G2998" s="52"/>
      <c r="H2998" s="52"/>
    </row>
    <row r="2999" spans="1:8" ht="15.75">
      <c r="A2999" s="124">
        <v>43756</v>
      </c>
      <c r="B2999" s="125">
        <v>79</v>
      </c>
      <c r="C2999" s="52"/>
      <c r="D2999" s="52"/>
      <c r="E2999" s="52"/>
      <c r="F2999" s="52"/>
      <c r="G2999" s="52"/>
      <c r="H2999" s="52"/>
    </row>
    <row r="3000" spans="1:8" ht="15.75">
      <c r="A3000" s="124">
        <v>43759</v>
      </c>
      <c r="B3000" s="125">
        <v>79</v>
      </c>
      <c r="C3000" s="52"/>
      <c r="D3000" s="52"/>
      <c r="E3000" s="52"/>
      <c r="F3000" s="52"/>
      <c r="G3000" s="52"/>
      <c r="H3000" s="52"/>
    </row>
    <row r="3001" spans="1:8" ht="15.75">
      <c r="A3001" s="124">
        <v>43760</v>
      </c>
      <c r="B3001" s="125">
        <v>79</v>
      </c>
      <c r="C3001" s="52"/>
      <c r="D3001" s="52"/>
      <c r="E3001" s="52"/>
      <c r="F3001" s="52"/>
      <c r="G3001" s="52"/>
      <c r="H3001" s="52"/>
    </row>
    <row r="3002" spans="1:8" ht="15.75">
      <c r="A3002" s="124">
        <v>43761</v>
      </c>
      <c r="B3002" s="125">
        <v>78</v>
      </c>
      <c r="C3002" s="52"/>
      <c r="D3002" s="52"/>
      <c r="E3002" s="52"/>
      <c r="F3002" s="52"/>
      <c r="G3002" s="52"/>
      <c r="H3002" s="52"/>
    </row>
    <row r="3003" spans="1:8" ht="15.75">
      <c r="A3003" s="124">
        <v>43762</v>
      </c>
      <c r="B3003" s="125">
        <v>78</v>
      </c>
      <c r="C3003" s="52"/>
      <c r="D3003" s="52"/>
      <c r="E3003" s="52"/>
      <c r="F3003" s="52"/>
      <c r="G3003" s="52"/>
      <c r="H3003" s="52"/>
    </row>
    <row r="3004" spans="1:8" ht="15.75">
      <c r="A3004" s="124">
        <v>43763</v>
      </c>
      <c r="B3004" s="125">
        <v>79</v>
      </c>
      <c r="C3004" s="52"/>
      <c r="D3004" s="52"/>
      <c r="E3004" s="52"/>
      <c r="F3004" s="52"/>
      <c r="G3004" s="52"/>
      <c r="H3004" s="52"/>
    </row>
    <row r="3005" spans="1:8" ht="15.75">
      <c r="A3005" s="124">
        <v>43766</v>
      </c>
      <c r="B3005" s="125">
        <v>78.5</v>
      </c>
      <c r="C3005" s="52"/>
      <c r="D3005" s="52"/>
      <c r="E3005" s="52"/>
      <c r="F3005" s="52"/>
      <c r="G3005" s="52"/>
      <c r="H3005" s="52"/>
    </row>
    <row r="3006" spans="1:8" ht="15.75">
      <c r="A3006" s="124">
        <v>43767</v>
      </c>
      <c r="B3006" s="125">
        <v>78.5</v>
      </c>
      <c r="C3006" s="52"/>
      <c r="D3006" s="52"/>
      <c r="E3006" s="52"/>
      <c r="F3006" s="52"/>
      <c r="G3006" s="52"/>
      <c r="H3006" s="52"/>
    </row>
    <row r="3007" spans="1:8" ht="15.75">
      <c r="A3007" s="124">
        <v>43768</v>
      </c>
      <c r="B3007" s="125">
        <v>79.5</v>
      </c>
      <c r="C3007" s="52"/>
      <c r="D3007" s="52"/>
      <c r="E3007" s="52"/>
      <c r="F3007" s="52"/>
      <c r="G3007" s="52"/>
      <c r="H3007" s="52"/>
    </row>
    <row r="3008" spans="1:8" ht="15.75">
      <c r="A3008" s="124">
        <v>43769</v>
      </c>
      <c r="B3008" s="125">
        <v>79.5</v>
      </c>
      <c r="C3008" s="52"/>
      <c r="D3008" s="52"/>
      <c r="E3008" s="52"/>
      <c r="F3008" s="52"/>
      <c r="G3008" s="52"/>
      <c r="H3008" s="52"/>
    </row>
    <row r="3009" spans="1:8" ht="15.75">
      <c r="A3009" s="124">
        <v>43770</v>
      </c>
      <c r="B3009" s="125">
        <v>78.5</v>
      </c>
      <c r="C3009" s="52"/>
      <c r="D3009" s="52"/>
      <c r="E3009" s="52"/>
      <c r="F3009" s="52"/>
      <c r="G3009" s="52"/>
      <c r="H3009" s="52"/>
    </row>
    <row r="3010" spans="1:8" ht="15.75">
      <c r="A3010" s="124">
        <v>43773</v>
      </c>
      <c r="B3010" s="125">
        <v>78</v>
      </c>
      <c r="C3010" s="52"/>
      <c r="D3010" s="52"/>
      <c r="E3010" s="52"/>
      <c r="F3010" s="52"/>
      <c r="G3010" s="52"/>
      <c r="H3010" s="52"/>
    </row>
    <row r="3011" spans="1:8" ht="15.75">
      <c r="A3011" s="124">
        <v>43774</v>
      </c>
      <c r="B3011" s="125">
        <v>76.5</v>
      </c>
      <c r="C3011" s="52"/>
      <c r="D3011" s="52"/>
      <c r="E3011" s="52"/>
      <c r="F3011" s="52"/>
      <c r="G3011" s="52"/>
      <c r="H3011" s="52"/>
    </row>
    <row r="3012" spans="1:8" ht="15.75">
      <c r="A3012" s="124">
        <v>43775</v>
      </c>
      <c r="B3012" s="125">
        <v>77</v>
      </c>
      <c r="C3012" s="52"/>
      <c r="D3012" s="52"/>
      <c r="E3012" s="52"/>
      <c r="F3012" s="52"/>
      <c r="G3012" s="52"/>
      <c r="H3012" s="52"/>
    </row>
    <row r="3013" spans="1:8" ht="15.75">
      <c r="A3013" s="124">
        <v>43776</v>
      </c>
      <c r="B3013" s="125">
        <v>76</v>
      </c>
      <c r="C3013" s="52"/>
      <c r="D3013" s="52"/>
      <c r="E3013" s="52"/>
      <c r="F3013" s="52"/>
      <c r="G3013" s="52"/>
      <c r="H3013" s="52"/>
    </row>
    <row r="3014" spans="1:8" ht="15.75">
      <c r="A3014" s="124">
        <v>43777</v>
      </c>
      <c r="B3014" s="125">
        <v>76</v>
      </c>
      <c r="C3014" s="52"/>
      <c r="D3014" s="52"/>
      <c r="E3014" s="52"/>
      <c r="F3014" s="52"/>
      <c r="G3014" s="52"/>
      <c r="H3014" s="52"/>
    </row>
    <row r="3015" spans="1:8" ht="15.75">
      <c r="A3015" s="124">
        <v>43780</v>
      </c>
      <c r="B3015" s="125">
        <v>76</v>
      </c>
      <c r="C3015" s="52"/>
      <c r="D3015" s="52"/>
      <c r="E3015" s="52"/>
      <c r="F3015" s="52"/>
      <c r="G3015" s="52"/>
      <c r="H3015" s="52"/>
    </row>
    <row r="3016" spans="1:8" ht="15.75">
      <c r="A3016" s="124">
        <v>43781</v>
      </c>
      <c r="B3016" s="125">
        <v>76</v>
      </c>
      <c r="C3016" s="52"/>
      <c r="D3016" s="52"/>
      <c r="E3016" s="52"/>
      <c r="F3016" s="52"/>
      <c r="G3016" s="52"/>
      <c r="H3016" s="52"/>
    </row>
    <row r="3017" spans="1:8" ht="15.75">
      <c r="A3017" s="124">
        <v>43782</v>
      </c>
      <c r="B3017" s="125">
        <v>76.5</v>
      </c>
      <c r="C3017" s="52"/>
      <c r="D3017" s="52"/>
      <c r="E3017" s="52"/>
      <c r="F3017" s="52"/>
      <c r="G3017" s="52"/>
      <c r="H3017" s="52"/>
    </row>
    <row r="3018" spans="1:8" ht="15.75">
      <c r="A3018" s="124">
        <v>43783</v>
      </c>
      <c r="B3018" s="125">
        <v>77.5</v>
      </c>
      <c r="C3018" s="52"/>
      <c r="D3018" s="52"/>
      <c r="E3018" s="52"/>
      <c r="F3018" s="52"/>
      <c r="G3018" s="52"/>
      <c r="H3018" s="52"/>
    </row>
    <row r="3019" spans="1:8" ht="15.75">
      <c r="A3019" s="124">
        <v>43784</v>
      </c>
      <c r="B3019" s="125">
        <v>78</v>
      </c>
      <c r="C3019" s="52"/>
      <c r="D3019" s="52"/>
      <c r="E3019" s="52"/>
      <c r="F3019" s="52"/>
      <c r="G3019" s="52"/>
      <c r="H3019" s="52"/>
    </row>
    <row r="3020" spans="1:8" ht="15.75">
      <c r="A3020" s="124">
        <v>43787</v>
      </c>
      <c r="B3020" s="125">
        <v>78.5</v>
      </c>
      <c r="C3020" s="52"/>
      <c r="D3020" s="52"/>
      <c r="E3020" s="52"/>
      <c r="F3020" s="52"/>
      <c r="G3020" s="52"/>
      <c r="H3020" s="52"/>
    </row>
    <row r="3021" spans="1:8" ht="15.75">
      <c r="A3021" s="124">
        <v>43788</v>
      </c>
      <c r="B3021" s="125">
        <v>78</v>
      </c>
      <c r="C3021" s="52"/>
      <c r="D3021" s="52"/>
      <c r="E3021" s="52"/>
      <c r="F3021" s="52"/>
      <c r="G3021" s="52"/>
      <c r="H3021" s="52"/>
    </row>
    <row r="3022" spans="1:8" ht="15.75">
      <c r="A3022" s="124">
        <v>43789</v>
      </c>
      <c r="B3022" s="125">
        <v>78.5</v>
      </c>
      <c r="C3022" s="52"/>
      <c r="D3022" s="52"/>
      <c r="E3022" s="52"/>
      <c r="F3022" s="52"/>
      <c r="G3022" s="52"/>
      <c r="H3022" s="52"/>
    </row>
    <row r="3023" spans="1:8" ht="15.75">
      <c r="A3023" s="124">
        <v>43790</v>
      </c>
      <c r="B3023" s="125">
        <v>76.5</v>
      </c>
      <c r="C3023" s="52"/>
      <c r="D3023" s="52"/>
      <c r="E3023" s="52"/>
      <c r="F3023" s="52"/>
      <c r="G3023" s="52"/>
      <c r="H3023" s="52"/>
    </row>
    <row r="3024" spans="1:8" ht="15.75">
      <c r="A3024" s="124">
        <v>43791</v>
      </c>
      <c r="B3024" s="125">
        <v>76.5</v>
      </c>
      <c r="C3024" s="52"/>
      <c r="D3024" s="52"/>
      <c r="E3024" s="52"/>
      <c r="F3024" s="52"/>
      <c r="G3024" s="52"/>
      <c r="H3024" s="52"/>
    </row>
    <row r="3025" spans="1:18" ht="15.75">
      <c r="A3025" s="124">
        <v>43794</v>
      </c>
      <c r="B3025" s="125">
        <v>76.5</v>
      </c>
      <c r="C3025" s="52"/>
      <c r="D3025" s="52"/>
      <c r="E3025" s="52"/>
      <c r="F3025" s="52"/>
      <c r="G3025" s="52"/>
      <c r="H3025" s="52"/>
    </row>
    <row r="3026" spans="1:18" ht="15.75">
      <c r="A3026" s="124">
        <v>43795</v>
      </c>
      <c r="B3026" s="125">
        <v>77.5</v>
      </c>
      <c r="C3026" s="52"/>
      <c r="D3026" s="52"/>
      <c r="E3026" s="52"/>
      <c r="F3026" s="52"/>
      <c r="G3026" s="52"/>
      <c r="H3026" s="52"/>
    </row>
    <row r="3027" spans="1:18" ht="15.75">
      <c r="A3027" s="124">
        <v>43796</v>
      </c>
      <c r="B3027" s="125">
        <v>77.5</v>
      </c>
      <c r="C3027" s="52"/>
      <c r="D3027" s="52"/>
      <c r="E3027" s="52"/>
      <c r="F3027" s="52"/>
      <c r="G3027" s="52"/>
      <c r="H3027" s="52"/>
    </row>
    <row r="3028" spans="1:18" ht="15.75">
      <c r="A3028" s="124">
        <v>43797</v>
      </c>
      <c r="B3028" s="125">
        <v>77</v>
      </c>
      <c r="C3028" s="52"/>
      <c r="D3028" s="52"/>
      <c r="E3028" s="52"/>
      <c r="F3028" s="52"/>
      <c r="G3028" s="52"/>
      <c r="H3028" s="52"/>
    </row>
    <row r="3029" spans="1:18" ht="15.75">
      <c r="A3029" s="124">
        <v>43798</v>
      </c>
      <c r="B3029" s="125">
        <v>76.5</v>
      </c>
      <c r="C3029" s="52"/>
      <c r="D3029" s="52"/>
      <c r="E3029" s="52"/>
      <c r="F3029" s="52"/>
      <c r="G3029" s="52"/>
      <c r="H3029" s="52"/>
    </row>
    <row r="3030" spans="1:18" ht="15.75">
      <c r="A3030" s="124">
        <v>43801</v>
      </c>
      <c r="B3030" s="125">
        <v>75.5</v>
      </c>
      <c r="C3030" s="52"/>
      <c r="D3030" s="52"/>
      <c r="E3030" s="52"/>
      <c r="F3030" s="52"/>
      <c r="G3030" s="52"/>
      <c r="H3030" s="52"/>
    </row>
    <row r="3031" spans="1:18" ht="15.75">
      <c r="A3031" s="124">
        <v>43802</v>
      </c>
      <c r="B3031" s="125">
        <v>76</v>
      </c>
      <c r="C3031" s="52"/>
      <c r="D3031" s="52"/>
      <c r="E3031" s="52"/>
      <c r="F3031" s="52"/>
      <c r="G3031" s="52"/>
      <c r="H3031" s="52"/>
    </row>
    <row r="3032" spans="1:18" ht="15.75">
      <c r="A3032" s="124">
        <v>43803</v>
      </c>
      <c r="B3032" s="125">
        <v>76</v>
      </c>
      <c r="C3032" s="52"/>
      <c r="D3032" s="52"/>
      <c r="E3032" s="52"/>
      <c r="F3032" s="52"/>
      <c r="G3032" s="52"/>
      <c r="H3032" s="52"/>
    </row>
    <row r="3033" spans="1:18" ht="15.75">
      <c r="A3033" s="124">
        <v>43804</v>
      </c>
      <c r="B3033" s="125">
        <v>76</v>
      </c>
      <c r="C3033" s="52"/>
      <c r="D3033" s="52"/>
      <c r="E3033" s="52"/>
      <c r="F3033" s="52"/>
      <c r="G3033" s="52"/>
      <c r="H3033" s="52"/>
    </row>
    <row r="3034" spans="1:18" ht="15.75">
      <c r="A3034" s="124">
        <v>43805</v>
      </c>
      <c r="B3034" s="125">
        <v>76.5</v>
      </c>
      <c r="C3034" s="52"/>
      <c r="D3034" s="52"/>
      <c r="E3034" s="52"/>
      <c r="F3034" s="52"/>
      <c r="G3034" s="52"/>
      <c r="H3034" s="52"/>
    </row>
    <row r="3035" spans="1:18" ht="15.75">
      <c r="A3035" s="124">
        <v>43808</v>
      </c>
      <c r="B3035" s="125">
        <v>76</v>
      </c>
      <c r="C3035" s="52"/>
      <c r="D3035" s="52"/>
      <c r="E3035" s="52"/>
      <c r="F3035" s="52"/>
      <c r="G3035" s="52"/>
      <c r="H3035" s="52"/>
    </row>
    <row r="3036" spans="1:18" ht="15.75">
      <c r="A3036" s="124">
        <v>43809</v>
      </c>
      <c r="B3036" s="125">
        <v>76</v>
      </c>
      <c r="C3036" s="52"/>
      <c r="D3036" s="52"/>
      <c r="E3036" s="52"/>
      <c r="F3036" s="52"/>
      <c r="G3036" s="52"/>
      <c r="H3036" s="52"/>
    </row>
    <row r="3037" spans="1:18" ht="15.75">
      <c r="A3037" s="124">
        <v>43810</v>
      </c>
      <c r="B3037" s="125">
        <v>74.5</v>
      </c>
      <c r="C3037" s="52"/>
      <c r="D3037" s="52"/>
      <c r="E3037" s="52"/>
      <c r="F3037" s="52"/>
      <c r="G3037" s="52"/>
      <c r="H3037" s="52"/>
    </row>
    <row r="3038" spans="1:18" ht="15.75">
      <c r="A3038" s="124">
        <v>43811</v>
      </c>
      <c r="B3038" s="125">
        <v>73.5</v>
      </c>
      <c r="C3038" s="52"/>
      <c r="D3038" s="52"/>
      <c r="E3038" s="52"/>
      <c r="F3038" s="52"/>
      <c r="G3038" s="52"/>
      <c r="H3038" s="52"/>
    </row>
    <row r="3039" spans="1:18" ht="15.75">
      <c r="A3039" s="124">
        <v>43812</v>
      </c>
      <c r="B3039" s="125">
        <v>72.5</v>
      </c>
      <c r="C3039" s="52"/>
      <c r="D3039" s="52"/>
      <c r="E3039" s="52"/>
      <c r="F3039" s="52"/>
      <c r="G3039" s="52"/>
      <c r="H3039" s="52"/>
    </row>
    <row r="3040" spans="1:18" ht="15.75">
      <c r="A3040" s="124">
        <v>43815</v>
      </c>
      <c r="B3040" s="125">
        <v>72.5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4">
        <v>43816</v>
      </c>
      <c r="B3041" s="125">
        <v>72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4">
        <v>43817</v>
      </c>
      <c r="B3042" s="125">
        <v>72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4">
        <v>43818</v>
      </c>
      <c r="B3043" s="125">
        <v>72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4">
        <v>43819</v>
      </c>
      <c r="B3044" s="125">
        <v>72.5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4">
        <v>43822</v>
      </c>
      <c r="B3045" s="125">
        <v>72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4">
        <v>43826</v>
      </c>
      <c r="B3046" s="125">
        <v>72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4">
        <v>43829</v>
      </c>
      <c r="B3047" s="125">
        <v>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4">
        <v>43832</v>
      </c>
      <c r="B3048" s="125">
        <v>71.5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4">
        <v>43833</v>
      </c>
      <c r="B3049" s="125">
        <v>72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4">
        <v>43836</v>
      </c>
      <c r="B3050" s="125">
        <v>72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4">
        <v>43837</v>
      </c>
      <c r="B3051" s="125">
        <v>71.5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4">
        <v>43838</v>
      </c>
      <c r="B3052" s="125">
        <v>71.5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4">
        <v>43839</v>
      </c>
      <c r="B3053" s="125">
        <v>72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4">
        <v>43840</v>
      </c>
      <c r="B3054" s="125">
        <v>72.5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4">
        <v>43843</v>
      </c>
      <c r="B3055" s="125">
        <v>73.5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4">
        <v>43844</v>
      </c>
      <c r="B3056" s="125">
        <v>72.5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4">
        <v>43845</v>
      </c>
      <c r="B3057" s="125">
        <v>73.5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4">
        <v>43846</v>
      </c>
      <c r="B3058" s="125">
        <v>73.5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4">
        <v>43847</v>
      </c>
      <c r="B3059" s="125">
        <v>74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4">
        <v>43850</v>
      </c>
      <c r="B3060" s="125">
        <v>74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4">
        <v>43851</v>
      </c>
      <c r="B3061" s="125">
        <v>74.5</v>
      </c>
      <c r="C3061" s="52"/>
      <c r="D3061" s="52"/>
      <c r="E3061" s="52"/>
      <c r="F3061" s="52"/>
      <c r="G3061" s="52"/>
      <c r="H3061" s="52"/>
    </row>
    <row r="3062" spans="1:18" ht="15.75">
      <c r="A3062" s="124">
        <v>43852</v>
      </c>
      <c r="B3062" s="125">
        <v>74</v>
      </c>
      <c r="C3062" s="52"/>
      <c r="D3062" s="52"/>
      <c r="E3062" s="52"/>
      <c r="F3062" s="52"/>
      <c r="G3062" s="52"/>
      <c r="H3062" s="52"/>
    </row>
    <row r="3063" spans="1:18" ht="15.75">
      <c r="A3063" s="124">
        <v>43853</v>
      </c>
      <c r="B3063" s="125">
        <v>74.5</v>
      </c>
      <c r="C3063" s="52"/>
      <c r="D3063" s="52"/>
      <c r="E3063" s="52"/>
      <c r="F3063" s="52"/>
      <c r="G3063" s="52"/>
      <c r="H3063" s="52"/>
    </row>
    <row r="3064" spans="1:18" ht="15.75">
      <c r="A3064" s="124">
        <v>43854</v>
      </c>
      <c r="B3064" s="125">
        <v>74.5</v>
      </c>
      <c r="C3064" s="52"/>
      <c r="D3064" s="52"/>
      <c r="E3064" s="52"/>
      <c r="F3064" s="52"/>
      <c r="G3064" s="52"/>
      <c r="H3064" s="52"/>
    </row>
    <row r="3065" spans="1:18" ht="15.75">
      <c r="A3065" s="124">
        <v>43857</v>
      </c>
      <c r="B3065" s="125">
        <v>75</v>
      </c>
      <c r="C3065" s="52"/>
      <c r="D3065" s="52"/>
      <c r="E3065" s="52"/>
      <c r="F3065" s="52"/>
      <c r="G3065" s="52"/>
      <c r="H3065" s="52"/>
    </row>
    <row r="3066" spans="1:18" ht="15.75">
      <c r="A3066" s="124">
        <v>43858</v>
      </c>
      <c r="B3066" s="125">
        <v>75</v>
      </c>
      <c r="C3066" s="52"/>
      <c r="D3066" s="52"/>
      <c r="E3066" s="52"/>
      <c r="F3066" s="52"/>
      <c r="G3066" s="52"/>
      <c r="H3066" s="52"/>
    </row>
    <row r="3067" spans="1:18" ht="15.75">
      <c r="A3067" s="124">
        <v>43859</v>
      </c>
      <c r="B3067" s="125">
        <v>75</v>
      </c>
      <c r="C3067" s="52"/>
      <c r="D3067" s="52"/>
      <c r="E3067" s="52"/>
      <c r="F3067" s="52"/>
      <c r="G3067" s="52"/>
      <c r="H3067" s="52"/>
    </row>
    <row r="3068" spans="1:18" ht="15.75">
      <c r="A3068" s="124">
        <v>43860</v>
      </c>
      <c r="B3068" s="125">
        <v>75.5</v>
      </c>
      <c r="C3068" s="52"/>
      <c r="D3068" s="52"/>
      <c r="E3068" s="52"/>
      <c r="F3068" s="52"/>
      <c r="G3068" s="52"/>
      <c r="H3068" s="52"/>
    </row>
    <row r="3069" spans="1:18" ht="15.75">
      <c r="A3069" s="124">
        <v>43861</v>
      </c>
      <c r="B3069" s="125">
        <v>75</v>
      </c>
      <c r="C3069" s="52"/>
      <c r="D3069" s="52"/>
      <c r="E3069" s="52"/>
      <c r="F3069" s="52"/>
      <c r="G3069" s="52"/>
      <c r="H3069" s="52"/>
    </row>
    <row r="3070" spans="1:18" ht="15.75">
      <c r="A3070" s="124">
        <v>43864</v>
      </c>
      <c r="B3070" s="125">
        <v>75</v>
      </c>
      <c r="C3070" s="52"/>
      <c r="D3070" s="52"/>
      <c r="E3070" s="52"/>
      <c r="F3070" s="52"/>
      <c r="G3070" s="52"/>
      <c r="H3070" s="52"/>
    </row>
    <row r="3071" spans="1:18" ht="15.75">
      <c r="A3071" s="124">
        <v>43865</v>
      </c>
      <c r="B3071" s="125">
        <v>75.5</v>
      </c>
      <c r="C3071" s="52"/>
      <c r="D3071" s="52"/>
      <c r="E3071" s="52"/>
      <c r="F3071" s="52"/>
      <c r="G3071" s="52"/>
      <c r="H3071" s="52"/>
    </row>
    <row r="3072" spans="1:18" ht="15.75">
      <c r="A3072" s="124">
        <v>43866</v>
      </c>
      <c r="B3072" s="125">
        <v>75.5</v>
      </c>
      <c r="C3072" s="52"/>
      <c r="D3072" s="52"/>
      <c r="E3072" s="52"/>
      <c r="F3072" s="52"/>
      <c r="G3072" s="52"/>
      <c r="H3072" s="52"/>
    </row>
    <row r="3073" spans="1:8" ht="15.75">
      <c r="A3073" s="124">
        <v>43867</v>
      </c>
      <c r="B3073" s="125">
        <v>76</v>
      </c>
      <c r="C3073" s="52"/>
      <c r="D3073" s="52"/>
      <c r="E3073" s="52"/>
      <c r="F3073" s="52"/>
      <c r="G3073" s="52"/>
      <c r="H3073" s="52"/>
    </row>
    <row r="3074" spans="1:8" ht="15.75">
      <c r="A3074" s="124">
        <v>43868</v>
      </c>
      <c r="B3074" s="125">
        <v>76.5</v>
      </c>
      <c r="C3074" s="52"/>
      <c r="D3074" s="52"/>
      <c r="E3074" s="52"/>
      <c r="F3074" s="52"/>
      <c r="G3074" s="52"/>
      <c r="H3074" s="52"/>
    </row>
    <row r="3075" spans="1:8" ht="15.75">
      <c r="A3075" s="124">
        <v>43871</v>
      </c>
      <c r="B3075" s="125">
        <v>77.5</v>
      </c>
      <c r="C3075" s="52"/>
      <c r="D3075" s="52"/>
      <c r="E3075" s="52"/>
      <c r="F3075" s="52"/>
      <c r="G3075" s="52"/>
      <c r="H3075" s="52"/>
    </row>
    <row r="3076" spans="1:8" ht="15.75">
      <c r="A3076" s="124">
        <v>43872</v>
      </c>
      <c r="B3076" s="125">
        <v>77.5</v>
      </c>
      <c r="C3076" s="52"/>
      <c r="D3076" s="52"/>
      <c r="E3076" s="52"/>
      <c r="F3076" s="52"/>
      <c r="G3076" s="52"/>
      <c r="H3076" s="52"/>
    </row>
    <row r="3077" spans="1:8" ht="15.75">
      <c r="A3077" s="124">
        <v>43873</v>
      </c>
      <c r="B3077" s="125">
        <v>78</v>
      </c>
      <c r="C3077" s="52"/>
      <c r="D3077" s="52"/>
      <c r="E3077" s="52"/>
      <c r="F3077" s="52"/>
      <c r="G3077" s="52"/>
      <c r="H3077" s="52"/>
    </row>
    <row r="3078" spans="1:8" ht="15.75">
      <c r="A3078" s="124">
        <v>43874</v>
      </c>
      <c r="B3078" s="125">
        <v>78.5</v>
      </c>
      <c r="C3078" s="52"/>
      <c r="D3078" s="52"/>
      <c r="E3078" s="52"/>
      <c r="F3078" s="52"/>
      <c r="G3078" s="52"/>
      <c r="H3078" s="52"/>
    </row>
    <row r="3079" spans="1:8" ht="15.75">
      <c r="A3079" s="124">
        <v>43875</v>
      </c>
      <c r="B3079" s="125">
        <v>79</v>
      </c>
      <c r="C3079" s="52"/>
      <c r="D3079" s="52"/>
      <c r="E3079" s="52"/>
      <c r="F3079" s="52"/>
      <c r="G3079" s="52"/>
      <c r="H3079" s="52"/>
    </row>
    <row r="3080" spans="1:8" ht="15.75">
      <c r="A3080" s="124">
        <v>43878</v>
      </c>
      <c r="B3080" s="125">
        <v>79</v>
      </c>
      <c r="C3080" s="52"/>
      <c r="D3080" s="52"/>
      <c r="E3080" s="52"/>
      <c r="F3080" s="52"/>
      <c r="G3080" s="52"/>
      <c r="H3080" s="52"/>
    </row>
    <row r="3081" spans="1:8" ht="15.75">
      <c r="A3081" s="124">
        <v>43879</v>
      </c>
      <c r="B3081" s="125">
        <v>79</v>
      </c>
      <c r="C3081" s="52"/>
      <c r="D3081" s="52"/>
      <c r="E3081" s="52"/>
      <c r="F3081" s="52"/>
      <c r="G3081" s="52"/>
      <c r="H3081" s="52"/>
    </row>
    <row r="3082" spans="1:8" ht="15.75">
      <c r="A3082" s="124">
        <v>43880</v>
      </c>
      <c r="B3082" s="125">
        <v>79</v>
      </c>
      <c r="C3082" s="52"/>
      <c r="D3082" s="52"/>
      <c r="E3082" s="52"/>
      <c r="F3082" s="52"/>
      <c r="G3082" s="52"/>
      <c r="H3082" s="52"/>
    </row>
    <row r="3083" spans="1:8" ht="15.75">
      <c r="A3083" s="124">
        <v>43881</v>
      </c>
      <c r="B3083" s="125">
        <v>79.5</v>
      </c>
      <c r="C3083" s="52"/>
      <c r="D3083" s="52"/>
      <c r="E3083" s="52"/>
      <c r="F3083" s="52"/>
      <c r="G3083" s="52"/>
      <c r="H3083" s="52"/>
    </row>
    <row r="3084" spans="1:8" ht="15.75">
      <c r="A3084" s="124">
        <v>43882</v>
      </c>
      <c r="B3084" s="125">
        <v>79.5</v>
      </c>
      <c r="C3084" s="52"/>
      <c r="D3084" s="52"/>
      <c r="E3084" s="52"/>
      <c r="F3084" s="52"/>
      <c r="G3084" s="52"/>
      <c r="H3084" s="52"/>
    </row>
    <row r="3085" spans="1:8" ht="15.75">
      <c r="A3085" s="124">
        <v>43885</v>
      </c>
      <c r="B3085" s="125">
        <v>79</v>
      </c>
      <c r="C3085" s="52"/>
      <c r="D3085" s="52"/>
      <c r="E3085" s="52"/>
      <c r="F3085" s="52"/>
      <c r="G3085" s="52"/>
      <c r="H3085" s="52"/>
    </row>
    <row r="3086" spans="1:8" ht="15.75">
      <c r="A3086" s="124">
        <v>43886</v>
      </c>
      <c r="B3086" s="125">
        <v>77</v>
      </c>
      <c r="C3086" s="52"/>
      <c r="D3086" s="52"/>
      <c r="E3086" s="52"/>
      <c r="F3086" s="52"/>
      <c r="G3086" s="52"/>
      <c r="H3086" s="52"/>
    </row>
    <row r="3087" spans="1:8" ht="15.75">
      <c r="A3087" s="124">
        <v>43887</v>
      </c>
      <c r="B3087" s="125">
        <v>76.5</v>
      </c>
      <c r="C3087" s="52"/>
      <c r="D3087" s="52"/>
      <c r="E3087" s="52"/>
      <c r="F3087" s="52"/>
      <c r="G3087" s="52"/>
      <c r="H3087" s="52"/>
    </row>
    <row r="3088" spans="1:8" ht="15.75">
      <c r="A3088" s="124">
        <v>43888</v>
      </c>
      <c r="B3088" s="125">
        <v>74</v>
      </c>
      <c r="C3088" s="52"/>
      <c r="D3088" s="52"/>
      <c r="E3088" s="52"/>
      <c r="F3088" s="52"/>
      <c r="G3088" s="52"/>
      <c r="H3088" s="52"/>
    </row>
    <row r="3089" spans="1:8" ht="15.75">
      <c r="A3089" s="124">
        <v>43889</v>
      </c>
      <c r="B3089" s="125">
        <v>68</v>
      </c>
      <c r="C3089" s="52"/>
      <c r="D3089" s="52"/>
      <c r="E3089" s="52"/>
      <c r="F3089" s="52"/>
      <c r="G3089" s="52"/>
      <c r="H3089" s="52"/>
    </row>
    <row r="3090" spans="1:8" ht="15.75">
      <c r="A3090" s="124">
        <v>43892</v>
      </c>
      <c r="B3090" s="125">
        <v>70</v>
      </c>
      <c r="C3090" s="52"/>
      <c r="D3090" s="52"/>
      <c r="E3090" s="52"/>
      <c r="F3090" s="52"/>
      <c r="G3090" s="52"/>
      <c r="H3090" s="52"/>
    </row>
    <row r="3091" spans="1:8" ht="15.75">
      <c r="A3091" s="124">
        <v>43893</v>
      </c>
      <c r="B3091" s="125">
        <v>70.5</v>
      </c>
      <c r="C3091" s="52"/>
      <c r="D3091" s="52"/>
      <c r="E3091" s="52"/>
      <c r="F3091" s="52"/>
      <c r="G3091" s="52"/>
      <c r="H3091" s="52"/>
    </row>
    <row r="3092" spans="1:8" ht="15.75">
      <c r="A3092" s="124">
        <v>43894</v>
      </c>
      <c r="B3092" s="125">
        <v>72</v>
      </c>
      <c r="C3092" s="52"/>
      <c r="D3092" s="52"/>
      <c r="E3092" s="52"/>
      <c r="F3092" s="52"/>
      <c r="G3092" s="52"/>
      <c r="H3092" s="52"/>
    </row>
    <row r="3093" spans="1:8" ht="15.75">
      <c r="A3093" s="124">
        <v>43895</v>
      </c>
      <c r="B3093" s="125">
        <v>70</v>
      </c>
      <c r="C3093" s="52"/>
      <c r="D3093" s="52"/>
      <c r="E3093" s="52"/>
      <c r="F3093" s="52"/>
      <c r="G3093" s="52"/>
      <c r="H3093" s="52"/>
    </row>
    <row r="3094" spans="1:8" ht="15.75">
      <c r="A3094" s="124">
        <v>43896</v>
      </c>
      <c r="B3094" s="125">
        <v>67</v>
      </c>
      <c r="C3094" s="52"/>
      <c r="D3094" s="52"/>
      <c r="E3094" s="52"/>
      <c r="F3094" s="52"/>
      <c r="G3094" s="52"/>
      <c r="H3094" s="52"/>
    </row>
    <row r="3095" spans="1:8" ht="15.75">
      <c r="A3095" s="124">
        <v>43899</v>
      </c>
      <c r="B3095" s="125">
        <v>65</v>
      </c>
      <c r="C3095" s="52"/>
      <c r="D3095" s="52"/>
      <c r="E3095" s="52"/>
      <c r="F3095" s="52"/>
      <c r="G3095" s="52"/>
      <c r="H3095" s="52"/>
    </row>
    <row r="3096" spans="1:8" ht="15.75">
      <c r="A3096" s="124">
        <v>43900</v>
      </c>
      <c r="B3096" s="125">
        <v>68.5</v>
      </c>
      <c r="C3096" s="52"/>
      <c r="D3096" s="52"/>
      <c r="E3096" s="52"/>
      <c r="F3096" s="52"/>
      <c r="G3096" s="52"/>
      <c r="H3096" s="52"/>
    </row>
    <row r="3097" spans="1:8" ht="15.75">
      <c r="A3097" s="124">
        <v>43901</v>
      </c>
      <c r="B3097" s="125">
        <v>66.5</v>
      </c>
      <c r="C3097" s="52"/>
      <c r="D3097" s="52"/>
      <c r="E3097" s="52"/>
      <c r="F3097" s="52"/>
      <c r="G3097" s="52"/>
      <c r="H3097" s="52"/>
    </row>
    <row r="3098" spans="1:8" ht="15.75">
      <c r="A3098" s="124">
        <v>43902</v>
      </c>
      <c r="B3098" s="125">
        <v>63</v>
      </c>
      <c r="C3098" s="52"/>
      <c r="D3098" s="52"/>
      <c r="E3098" s="52"/>
      <c r="F3098" s="52"/>
      <c r="G3098" s="52"/>
      <c r="H3098" s="52"/>
    </row>
    <row r="3099" spans="1:8" ht="15.75">
      <c r="A3099" s="124">
        <v>43903</v>
      </c>
      <c r="B3099" s="125">
        <v>63.5</v>
      </c>
      <c r="C3099" s="52"/>
      <c r="D3099" s="52"/>
      <c r="E3099" s="52"/>
      <c r="F3099" s="52"/>
      <c r="G3099" s="52"/>
      <c r="H3099" s="52"/>
    </row>
    <row r="3100" spans="1:8" ht="15.75">
      <c r="A3100" s="124">
        <v>43906</v>
      </c>
      <c r="B3100" s="125">
        <v>57.5</v>
      </c>
      <c r="C3100" s="52"/>
      <c r="D3100" s="52"/>
      <c r="E3100" s="52"/>
      <c r="F3100" s="52"/>
      <c r="G3100" s="52"/>
      <c r="H3100" s="52"/>
    </row>
    <row r="3101" spans="1:8" ht="15.75">
      <c r="A3101" s="124">
        <v>43907</v>
      </c>
      <c r="B3101" s="125">
        <v>59</v>
      </c>
      <c r="C3101" s="52"/>
      <c r="D3101" s="52"/>
      <c r="E3101" s="52"/>
      <c r="F3101" s="52"/>
      <c r="G3101" s="52"/>
      <c r="H3101" s="52"/>
    </row>
    <row r="3102" spans="1:8" ht="15.75">
      <c r="A3102" s="124">
        <v>43908</v>
      </c>
      <c r="B3102" s="125">
        <v>55.5</v>
      </c>
      <c r="C3102" s="52"/>
      <c r="D3102" s="52"/>
      <c r="E3102" s="52"/>
      <c r="F3102" s="52"/>
      <c r="G3102" s="52"/>
      <c r="H3102" s="52"/>
    </row>
    <row r="3103" spans="1:8" ht="15.75">
      <c r="A3103" s="124">
        <v>43909</v>
      </c>
      <c r="B3103" s="125">
        <v>57</v>
      </c>
      <c r="C3103" s="52"/>
      <c r="D3103" s="52"/>
      <c r="E3103" s="52"/>
      <c r="F3103" s="52"/>
      <c r="G3103" s="52"/>
      <c r="H3103" s="52"/>
    </row>
    <row r="3104" spans="1:8" ht="15.75">
      <c r="A3104" s="124">
        <v>43910</v>
      </c>
      <c r="B3104" s="125">
        <v>54</v>
      </c>
      <c r="C3104" s="52"/>
      <c r="D3104" s="52"/>
      <c r="E3104" s="52"/>
      <c r="F3104" s="52"/>
      <c r="G3104" s="52"/>
      <c r="H3104" s="52"/>
    </row>
    <row r="3105" spans="1:8" ht="15.75">
      <c r="A3105" s="124">
        <v>43913</v>
      </c>
      <c r="B3105" s="125">
        <v>46.8</v>
      </c>
      <c r="C3105" s="52"/>
      <c r="D3105" s="52"/>
      <c r="E3105" s="52"/>
      <c r="F3105" s="52"/>
      <c r="G3105" s="52"/>
      <c r="H3105" s="52"/>
    </row>
    <row r="3106" spans="1:8" ht="15.75">
      <c r="A3106" s="124">
        <v>43914</v>
      </c>
      <c r="B3106" s="125">
        <v>47.4</v>
      </c>
      <c r="C3106" s="52"/>
      <c r="D3106" s="52"/>
      <c r="E3106" s="52"/>
      <c r="F3106" s="52"/>
      <c r="G3106" s="52"/>
      <c r="H3106" s="52"/>
    </row>
    <row r="3107" spans="1:8" ht="15.75">
      <c r="A3107" s="124">
        <v>43915</v>
      </c>
      <c r="B3107" s="125">
        <v>52</v>
      </c>
      <c r="C3107" s="52"/>
      <c r="D3107" s="52"/>
      <c r="E3107" s="52"/>
      <c r="F3107" s="52"/>
      <c r="G3107" s="52"/>
      <c r="H3107" s="52"/>
    </row>
    <row r="3108" spans="1:8" ht="15.75">
      <c r="A3108" s="124">
        <v>43916</v>
      </c>
      <c r="B3108" s="125">
        <v>52.5</v>
      </c>
      <c r="C3108" s="52"/>
      <c r="D3108" s="52"/>
      <c r="E3108" s="52"/>
      <c r="F3108" s="52"/>
      <c r="G3108" s="52"/>
      <c r="H3108" s="52"/>
    </row>
    <row r="3109" spans="1:8" ht="15.75">
      <c r="A3109" s="124">
        <v>43917</v>
      </c>
      <c r="B3109" s="125">
        <v>56.5</v>
      </c>
      <c r="C3109" s="52"/>
      <c r="D3109" s="52"/>
      <c r="E3109" s="52"/>
      <c r="F3109" s="52"/>
      <c r="G3109" s="52"/>
      <c r="H3109" s="52"/>
    </row>
    <row r="3110" spans="1:8" ht="15.75">
      <c r="A3110" s="124">
        <v>43920</v>
      </c>
      <c r="B3110" s="125">
        <v>55</v>
      </c>
      <c r="C3110" s="52"/>
      <c r="D3110" s="52"/>
      <c r="E3110" s="52"/>
      <c r="F3110" s="52"/>
      <c r="G3110" s="52"/>
      <c r="H3110" s="52"/>
    </row>
    <row r="3111" spans="1:8" ht="15.75">
      <c r="A3111" s="124">
        <v>43921</v>
      </c>
      <c r="B3111" s="125">
        <v>54</v>
      </c>
      <c r="C3111" s="52"/>
      <c r="D3111" s="52"/>
      <c r="E3111" s="52"/>
      <c r="F3111" s="52"/>
      <c r="G3111" s="52"/>
      <c r="H3111" s="52"/>
    </row>
    <row r="3112" spans="1:8" ht="15.75">
      <c r="A3112" s="124">
        <v>43922</v>
      </c>
      <c r="B3112" s="125">
        <v>51</v>
      </c>
      <c r="C3112" s="52"/>
      <c r="D3112" s="52"/>
      <c r="E3112" s="52"/>
      <c r="F3112" s="52"/>
      <c r="G3112" s="52"/>
      <c r="H3112" s="52"/>
    </row>
    <row r="3113" spans="1:8" ht="15.75">
      <c r="A3113" s="124">
        <v>43923</v>
      </c>
      <c r="B3113" s="125">
        <v>51</v>
      </c>
      <c r="C3113" s="52"/>
      <c r="D3113" s="52"/>
      <c r="E3113" s="52"/>
      <c r="F3113" s="52"/>
      <c r="G3113" s="52"/>
      <c r="H3113" s="52"/>
    </row>
    <row r="3114" spans="1:8" ht="15.75">
      <c r="A3114" s="124">
        <v>43924</v>
      </c>
      <c r="B3114" s="125">
        <v>48.8</v>
      </c>
      <c r="C3114" s="52"/>
      <c r="D3114" s="52"/>
      <c r="E3114" s="52"/>
      <c r="F3114" s="52"/>
      <c r="G3114" s="52"/>
      <c r="H3114" s="52"/>
    </row>
    <row r="3115" spans="1:8" ht="15.75">
      <c r="A3115" s="124">
        <v>43927</v>
      </c>
      <c r="B3115" s="125">
        <v>55</v>
      </c>
      <c r="C3115" s="52"/>
      <c r="D3115" s="52"/>
      <c r="E3115" s="52"/>
      <c r="F3115" s="52"/>
      <c r="G3115" s="52"/>
      <c r="H3115" s="52"/>
    </row>
    <row r="3116" spans="1:8" ht="15.75">
      <c r="A3116" s="124">
        <v>43928</v>
      </c>
      <c r="B3116" s="125">
        <v>56</v>
      </c>
      <c r="C3116" s="52"/>
      <c r="D3116" s="52"/>
      <c r="E3116" s="52"/>
      <c r="F3116" s="52"/>
      <c r="G3116" s="52"/>
      <c r="H3116" s="52"/>
    </row>
    <row r="3117" spans="1:8" ht="15.75">
      <c r="A3117" s="124">
        <v>43929</v>
      </c>
      <c r="B3117" s="125">
        <v>55.5</v>
      </c>
      <c r="C3117" s="52"/>
      <c r="D3117" s="52"/>
      <c r="E3117" s="52"/>
      <c r="F3117" s="52"/>
      <c r="G3117" s="52"/>
      <c r="H3117" s="52"/>
    </row>
    <row r="3118" spans="1:8" ht="15.75">
      <c r="A3118" s="124">
        <v>43930</v>
      </c>
      <c r="B3118" s="125">
        <v>60</v>
      </c>
      <c r="C3118" s="52"/>
      <c r="D3118" s="52"/>
      <c r="E3118" s="52"/>
      <c r="F3118" s="52"/>
      <c r="G3118" s="52"/>
      <c r="H3118" s="52"/>
    </row>
    <row r="3119" spans="1:8" ht="15.75">
      <c r="A3119" s="124">
        <v>43935</v>
      </c>
      <c r="B3119" s="125">
        <v>62.5</v>
      </c>
      <c r="C3119" s="52"/>
      <c r="D3119" s="52"/>
      <c r="E3119" s="52"/>
      <c r="F3119" s="52"/>
      <c r="G3119" s="52"/>
      <c r="H3119" s="52"/>
    </row>
    <row r="3120" spans="1:8" ht="15.75">
      <c r="A3120" s="124">
        <v>43936</v>
      </c>
      <c r="B3120" s="125">
        <v>60</v>
      </c>
      <c r="C3120" s="52"/>
      <c r="D3120" s="52"/>
      <c r="E3120" s="52"/>
      <c r="F3120" s="52"/>
      <c r="G3120" s="52"/>
      <c r="H3120" s="52"/>
    </row>
    <row r="3121" spans="1:8" ht="15.75">
      <c r="A3121" s="124">
        <v>43937</v>
      </c>
      <c r="B3121" s="125">
        <v>60.5</v>
      </c>
      <c r="C3121" s="52"/>
      <c r="D3121" s="52"/>
      <c r="E3121" s="52"/>
      <c r="F3121" s="52"/>
      <c r="G3121" s="52"/>
      <c r="H3121" s="52"/>
    </row>
    <row r="3122" spans="1:8" ht="15.75">
      <c r="A3122" s="124">
        <v>43938</v>
      </c>
      <c r="B3122" s="125">
        <v>62.5</v>
      </c>
      <c r="C3122" s="52"/>
      <c r="D3122" s="52"/>
      <c r="E3122" s="52"/>
      <c r="F3122" s="52"/>
      <c r="G3122" s="52"/>
      <c r="H3122" s="52"/>
    </row>
    <row r="3123" spans="1:8" ht="15.75">
      <c r="A3123" s="124">
        <v>43941</v>
      </c>
      <c r="B3123" s="125">
        <v>61.5</v>
      </c>
      <c r="C3123" s="52"/>
      <c r="D3123" s="52"/>
      <c r="E3123" s="52"/>
      <c r="F3123" s="52"/>
      <c r="G3123" s="52"/>
      <c r="H3123" s="52"/>
    </row>
    <row r="3124" spans="1:8" ht="15.75">
      <c r="A3124" s="124">
        <v>43942</v>
      </c>
      <c r="B3124" s="125">
        <v>59</v>
      </c>
      <c r="C3124" s="52"/>
      <c r="D3124" s="52"/>
      <c r="E3124" s="52"/>
      <c r="F3124" s="52"/>
      <c r="G3124" s="52"/>
      <c r="H3124" s="52"/>
    </row>
    <row r="3125" spans="1:8" ht="15.75">
      <c r="A3125" s="124">
        <v>43943</v>
      </c>
      <c r="B3125" s="125">
        <v>60.5</v>
      </c>
      <c r="C3125" s="52"/>
      <c r="D3125" s="52"/>
      <c r="E3125" s="52"/>
      <c r="F3125" s="52"/>
      <c r="G3125" s="52"/>
      <c r="H3125" s="52"/>
    </row>
    <row r="3126" spans="1:8" ht="15.75">
      <c r="A3126" s="124">
        <v>43944</v>
      </c>
      <c r="B3126" s="125">
        <v>59</v>
      </c>
      <c r="C3126" s="52"/>
      <c r="D3126" s="52"/>
      <c r="E3126" s="52"/>
      <c r="F3126" s="52"/>
      <c r="G3126" s="52"/>
      <c r="H3126" s="52"/>
    </row>
    <row r="3127" spans="1:8" ht="15.75">
      <c r="A3127" s="124">
        <v>43945</v>
      </c>
      <c r="B3127" s="125">
        <v>58</v>
      </c>
      <c r="C3127" s="52"/>
      <c r="D3127" s="52"/>
      <c r="E3127" s="52"/>
      <c r="F3127" s="52"/>
      <c r="G3127" s="52"/>
      <c r="H3127" s="52"/>
    </row>
    <row r="3128" spans="1:8" ht="15.75">
      <c r="A3128" s="124">
        <v>43948</v>
      </c>
      <c r="B3128" s="125">
        <v>60</v>
      </c>
      <c r="C3128" s="52"/>
      <c r="D3128" s="52"/>
      <c r="E3128" s="52"/>
      <c r="F3128" s="52"/>
      <c r="G3128" s="52"/>
      <c r="H3128" s="52"/>
    </row>
    <row r="3129" spans="1:8" ht="15.75">
      <c r="A3129" s="124">
        <v>43949</v>
      </c>
      <c r="B3129" s="125">
        <v>61.5</v>
      </c>
      <c r="C3129" s="52"/>
      <c r="D3129" s="52"/>
      <c r="E3129" s="52"/>
      <c r="F3129" s="52"/>
      <c r="G3129" s="52"/>
      <c r="H3129" s="52"/>
    </row>
    <row r="3130" spans="1:8" ht="15.75">
      <c r="A3130" s="124">
        <v>43950</v>
      </c>
      <c r="B3130" s="125">
        <v>61.5</v>
      </c>
      <c r="C3130" s="52"/>
      <c r="D3130" s="52"/>
      <c r="E3130" s="52"/>
      <c r="F3130" s="52"/>
      <c r="G3130" s="52"/>
      <c r="H3130" s="52"/>
    </row>
    <row r="3131" spans="1:8" ht="15.75">
      <c r="A3131" s="124">
        <v>43951</v>
      </c>
      <c r="B3131" s="125">
        <v>59</v>
      </c>
      <c r="C3131" s="52"/>
      <c r="D3131" s="52"/>
      <c r="E3131" s="52"/>
      <c r="F3131" s="52"/>
      <c r="G3131" s="52"/>
      <c r="H3131" s="52"/>
    </row>
    <row r="3132" spans="1:8" ht="15.75">
      <c r="A3132" s="124">
        <v>43955</v>
      </c>
      <c r="B3132" s="125">
        <v>56</v>
      </c>
      <c r="C3132" s="52"/>
      <c r="D3132" s="52"/>
      <c r="E3132" s="52"/>
      <c r="F3132" s="52"/>
      <c r="G3132" s="52"/>
      <c r="H3132" s="52"/>
    </row>
    <row r="3133" spans="1:8" ht="15.75">
      <c r="A3133" s="124">
        <v>43956</v>
      </c>
      <c r="B3133" s="125">
        <v>58</v>
      </c>
      <c r="C3133" s="52"/>
      <c r="D3133" s="52"/>
      <c r="E3133" s="52"/>
      <c r="F3133" s="52"/>
      <c r="G3133" s="52"/>
      <c r="H3133" s="52"/>
    </row>
    <row r="3134" spans="1:8" ht="15.75">
      <c r="A3134" s="124">
        <v>43957</v>
      </c>
      <c r="B3134" s="125">
        <v>57</v>
      </c>
      <c r="C3134" s="52"/>
      <c r="D3134" s="52"/>
      <c r="E3134" s="52"/>
      <c r="F3134" s="52"/>
      <c r="G3134" s="52"/>
      <c r="H3134" s="52"/>
    </row>
    <row r="3135" spans="1:8" ht="15.75">
      <c r="A3135" s="124">
        <v>43958</v>
      </c>
      <c r="B3135" s="125">
        <v>58.5</v>
      </c>
      <c r="C3135" s="52"/>
      <c r="D3135" s="52"/>
      <c r="E3135" s="52"/>
      <c r="F3135" s="52"/>
      <c r="G3135" s="52"/>
      <c r="H3135" s="52"/>
    </row>
    <row r="3136" spans="1:8" ht="15.75">
      <c r="A3136" s="124">
        <v>43959</v>
      </c>
      <c r="B3136" s="125">
        <v>58.5</v>
      </c>
      <c r="C3136" s="52"/>
      <c r="D3136" s="52"/>
      <c r="E3136" s="52"/>
      <c r="F3136" s="52"/>
      <c r="G3136" s="52"/>
      <c r="H3136" s="52"/>
    </row>
    <row r="3137" spans="1:8" ht="15.75">
      <c r="A3137" s="124">
        <v>43962</v>
      </c>
      <c r="B3137" s="125">
        <v>59</v>
      </c>
      <c r="C3137" s="52"/>
      <c r="D3137" s="52"/>
      <c r="E3137" s="52"/>
      <c r="F3137" s="52"/>
      <c r="G3137" s="52"/>
      <c r="H3137" s="52"/>
    </row>
    <row r="3138" spans="1:8" ht="15.75">
      <c r="A3138" s="124">
        <v>43963</v>
      </c>
      <c r="B3138" s="125">
        <v>55.5</v>
      </c>
      <c r="C3138" s="52"/>
      <c r="D3138" s="52"/>
      <c r="E3138" s="52"/>
      <c r="F3138" s="52"/>
      <c r="G3138" s="52"/>
      <c r="H3138" s="52"/>
    </row>
    <row r="3139" spans="1:8" ht="15.75">
      <c r="A3139" s="124">
        <v>43964</v>
      </c>
      <c r="B3139" s="125">
        <v>55</v>
      </c>
      <c r="C3139" s="52"/>
      <c r="D3139" s="52"/>
      <c r="E3139" s="52"/>
      <c r="F3139" s="52"/>
      <c r="G3139" s="52"/>
      <c r="H3139" s="52"/>
    </row>
    <row r="3140" spans="1:8" ht="15.75">
      <c r="A3140" s="124">
        <v>43965</v>
      </c>
      <c r="B3140" s="125">
        <v>53</v>
      </c>
      <c r="C3140" s="52"/>
      <c r="D3140" s="52"/>
      <c r="E3140" s="52"/>
      <c r="F3140" s="52"/>
      <c r="G3140" s="52"/>
      <c r="H3140" s="52"/>
    </row>
    <row r="3141" spans="1:8" ht="15.75">
      <c r="A3141" s="118"/>
      <c r="B3141" s="118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E1"/>
    <mergeCell ref="A2:F2"/>
    <mergeCell ref="A3:B3"/>
    <mergeCell ref="D3:H3"/>
    <mergeCell ref="J3:O3"/>
    <mergeCell ref="Q3:V3"/>
  </mergeCells>
  <conditionalFormatting sqref="M54 M106 F6:F147 M6:M52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H7:H155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G6:H6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F148:F150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N6:O6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U6:V6">
    <cfRule type="cellIs" dxfId="21" priority="15" operator="lessThan">
      <formula>0</formula>
    </cfRule>
    <cfRule type="cellIs" dxfId="20" priority="16" operator="greaterThan">
      <formula>0</formula>
    </cfRule>
  </conditionalFormatting>
  <conditionalFormatting sqref="T6:T17">
    <cfRule type="cellIs" dxfId="19" priority="14" operator="greaterThan">
      <formula>0</formula>
    </cfRule>
  </conditionalFormatting>
  <conditionalFormatting sqref="T6:T17">
    <cfRule type="cellIs" dxfId="18" priority="13" operator="lessThan">
      <formula>0</formula>
    </cfRule>
  </conditionalFormatting>
  <conditionalFormatting sqref="M53">
    <cfRule type="cellIs" dxfId="17" priority="11" operator="lessThan">
      <formula>0</formula>
    </cfRule>
    <cfRule type="cellIs" dxfId="16" priority="12" operator="greaterThan">
      <formula>0</formula>
    </cfRule>
  </conditionalFormatting>
  <conditionalFormatting sqref="AH6:AH15 AI6:AJ6 AO6:AO13 AP6:AQ6 AT6:AT8 AU6:AV6">
    <cfRule type="cellIs" dxfId="15" priority="10" operator="greaterThan">
      <formula>0</formula>
    </cfRule>
  </conditionalFormatting>
  <conditionalFormatting sqref="AH6:AH15 AI6:AJ6 AO6:AO13 AP6:AQ6 AT6:AT8 AU6:AV6">
    <cfRule type="cellIs" dxfId="14" priority="9" operator="lessThan">
      <formula>0</formula>
    </cfRule>
  </conditionalFormatting>
  <conditionalFormatting sqref="M107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110:M157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M58:M105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N59:O59 N111:O111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E7BC-6BC0-49B5-BC6B-2B155AB070B6}">
  <dimension ref="B2:V68"/>
  <sheetViews>
    <sheetView zoomScale="99" workbookViewId="0">
      <selection activeCell="D13" sqref="D13:I18"/>
    </sheetView>
  </sheetViews>
  <sheetFormatPr baseColWidth="10" defaultColWidth="10.85546875" defaultRowHeight="15.75"/>
  <cols>
    <col min="1" max="1" width="10.85546875" style="117"/>
    <col min="2" max="2" width="24" style="117" bestFit="1" customWidth="1"/>
    <col min="3" max="3" width="2.85546875" style="117" bestFit="1" customWidth="1"/>
    <col min="4" max="5" width="12.28515625" style="117" bestFit="1" customWidth="1"/>
    <col min="6" max="6" width="11.5703125" style="117" bestFit="1" customWidth="1"/>
    <col min="7" max="8" width="12.28515625" style="117" bestFit="1" customWidth="1"/>
    <col min="9" max="9" width="20.42578125" style="117" bestFit="1" customWidth="1"/>
    <col min="10" max="11" width="10.85546875" style="117"/>
    <col min="12" max="12" width="20.28515625" style="117" bestFit="1" customWidth="1"/>
    <col min="13" max="13" width="2.85546875" style="117" bestFit="1" customWidth="1"/>
    <col min="14" max="18" width="11.5703125" style="117" bestFit="1" customWidth="1"/>
    <col min="19" max="19" width="20.42578125" style="117" bestFit="1" customWidth="1"/>
    <col min="20" max="16384" width="10.85546875" style="117"/>
  </cols>
  <sheetData>
    <row r="2" spans="2:22"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</row>
    <row r="3" spans="2:22" ht="16.5" thickBot="1"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</row>
    <row r="4" spans="2:22" ht="16.5" thickBot="1">
      <c r="B4" s="126"/>
      <c r="C4" s="126"/>
      <c r="D4" s="126" t="s">
        <v>56</v>
      </c>
      <c r="E4" s="126" t="s">
        <v>57</v>
      </c>
      <c r="F4" s="126" t="s">
        <v>58</v>
      </c>
      <c r="G4" s="126" t="s">
        <v>59</v>
      </c>
      <c r="H4" s="126" t="s">
        <v>70</v>
      </c>
      <c r="I4" s="126" t="s">
        <v>54</v>
      </c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</row>
    <row r="5" spans="2:22" ht="16.5" thickBot="1">
      <c r="B5" s="126" t="s">
        <v>11</v>
      </c>
      <c r="C5" s="127"/>
      <c r="D5" s="128">
        <f>AVERAGE(Aktien!$M$6:$M$53)</f>
        <v>7.8801192222852645E-3</v>
      </c>
      <c r="E5" s="129">
        <f>AVERAGE(Gold!$M$6:$M$53)</f>
        <v>1.9525534969617207E-2</v>
      </c>
      <c r="F5" s="130">
        <f>AVERAGE(Anleihen!$M$6:$M$53)</f>
        <v>4.5004674887935761E-3</v>
      </c>
      <c r="G5" s="131">
        <f>AVERAGE(Immobilien!$M$6:$M$53)</f>
        <v>1.2169372667847282E-2</v>
      </c>
      <c r="H5" s="131">
        <f>AVERAGE( Deka!$M$6:$M$53)</f>
        <v>8.8685807999122396E-4</v>
      </c>
      <c r="I5" s="132">
        <f>AVERAGE('Equity Residential'!$M$6:$M$53)</f>
        <v>3.0817676397078872E-2</v>
      </c>
      <c r="J5" s="133"/>
      <c r="K5" s="13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</row>
    <row r="6" spans="2:22" ht="16.5" thickBot="1">
      <c r="B6" s="134" t="s">
        <v>60</v>
      </c>
      <c r="C6" s="135"/>
      <c r="D6" s="136">
        <f>_xlfn.STDEV.P(Aktien!$M$6:$M$53)</f>
        <v>7.9995953130190547E-2</v>
      </c>
      <c r="E6" s="137">
        <f>_xlfn.STDEV.P(Gold!$M$6:$M$53)</f>
        <v>5.8990659032795441E-2</v>
      </c>
      <c r="F6" s="138">
        <f>_xlfn.STDEV.P(Anleihen!$M$6:$M$53)</f>
        <v>1.4862522690441761E-2</v>
      </c>
      <c r="G6" s="139">
        <f>_xlfn.STDEV.P(Immobilien!$M$6:$M$53)</f>
        <v>1.2926389383944933E-2</v>
      </c>
      <c r="H6" s="139">
        <f>_xlfn.STDEV.P( Deka!$M$6:$M$53)</f>
        <v>1.1631443798312113E-2</v>
      </c>
      <c r="I6" s="140">
        <f>_xlfn.STDEV.P('Equity Residential'!$M$6:$M$53)</f>
        <v>0.11846504265296892</v>
      </c>
      <c r="J6" s="133"/>
      <c r="K6" s="13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</row>
    <row r="7" spans="2:22">
      <c r="B7" s="123"/>
      <c r="C7" s="123"/>
      <c r="D7" s="141"/>
      <c r="E7" s="141"/>
      <c r="F7" s="141"/>
      <c r="G7" s="141"/>
      <c r="H7" s="141"/>
      <c r="I7" s="141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</row>
    <row r="8" spans="2:22">
      <c r="B8" s="123"/>
      <c r="C8" s="123"/>
      <c r="D8" s="141"/>
      <c r="E8" s="141"/>
      <c r="F8" s="141"/>
      <c r="G8" s="141"/>
      <c r="H8" s="141"/>
      <c r="I8" s="141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</row>
    <row r="9" spans="2:22">
      <c r="B9" s="123"/>
      <c r="C9" s="123"/>
      <c r="D9" s="141"/>
      <c r="E9" s="141"/>
      <c r="F9" s="141"/>
      <c r="G9" s="141"/>
      <c r="H9" s="141"/>
      <c r="I9" s="141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</row>
    <row r="10" spans="2:22" ht="16.5" thickBot="1">
      <c r="B10" s="142" t="s">
        <v>61</v>
      </c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</row>
    <row r="11" spans="2:22" ht="16.5" thickBot="1">
      <c r="B11" s="126"/>
      <c r="C11" s="126"/>
      <c r="D11" s="126" t="str">
        <f t="shared" ref="D11:I11" si="0">D4</f>
        <v>Aktien</v>
      </c>
      <c r="E11" s="126" t="str">
        <f t="shared" si="0"/>
        <v>Gold</v>
      </c>
      <c r="F11" s="126" t="str">
        <f t="shared" si="0"/>
        <v>Anleihen</v>
      </c>
      <c r="G11" s="126" t="str">
        <f t="shared" si="0"/>
        <v>Immobilien</v>
      </c>
      <c r="H11" s="126" t="str">
        <f t="shared" si="0"/>
        <v>Deka</v>
      </c>
      <c r="I11" s="126" t="str">
        <f t="shared" si="0"/>
        <v>Equity Residential</v>
      </c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</row>
    <row r="12" spans="2:22" ht="16.5" thickBot="1">
      <c r="B12" s="126"/>
      <c r="C12" s="143"/>
      <c r="D12" s="144">
        <v>1</v>
      </c>
      <c r="E12" s="144">
        <v>2</v>
      </c>
      <c r="F12" s="144">
        <v>3</v>
      </c>
      <c r="G12" s="144">
        <v>4</v>
      </c>
      <c r="H12" s="144">
        <v>5</v>
      </c>
      <c r="I12" s="145">
        <v>6</v>
      </c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</row>
    <row r="13" spans="2:22" ht="16.5" thickBot="1">
      <c r="B13" s="126" t="s">
        <v>56</v>
      </c>
      <c r="C13" s="146">
        <v>1</v>
      </c>
      <c r="D13" s="147">
        <f>CORREL(Aktien!$M$6:$M$53,Aktien!$M$6:$M$53)</f>
        <v>0.99999999999999989</v>
      </c>
      <c r="E13" s="147">
        <f>CORREL(Gold!$M$6:$M$53,Aktien!$M$6:$M$53)</f>
        <v>-1.5599102233463591E-2</v>
      </c>
      <c r="F13" s="147">
        <f>CORREL(Anleihen!$M$6:$M$53,Aktien!$M$6:$M$53)</f>
        <v>-0.37419748174900291</v>
      </c>
      <c r="G13" s="147">
        <f>CORREL(Immobilien!$M$6:$M$53,Aktien!$M$6:$M$53)</f>
        <v>-0.16092204669479454</v>
      </c>
      <c r="H13" s="147">
        <f>CORREL( Deka!$M$6:$M$53,Aktien!$M$6:$M$53)</f>
        <v>-9.2846323316298895E-3</v>
      </c>
      <c r="I13" s="148">
        <f>CORREL('Equity Residential'!$M$6:$M$53,Aktien!$M$6:$M$53)</f>
        <v>0.23654986159085892</v>
      </c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</row>
    <row r="14" spans="2:22" ht="16.5" thickBot="1">
      <c r="B14" s="126" t="s">
        <v>57</v>
      </c>
      <c r="C14" s="149">
        <v>2</v>
      </c>
      <c r="D14" s="147">
        <f>CORREL(Aktien!$M$6:$M$53,Gold!$M$6:$M$53)</f>
        <v>-1.5599102233463591E-2</v>
      </c>
      <c r="E14" s="147">
        <f>CORREL(Gold!$M$6:$M$53,Gold!$M$6:$M$53)</f>
        <v>1.0000000000000002</v>
      </c>
      <c r="F14" s="147">
        <f>CORREL(Anleihen!$M$6:$M$53,Gold!$M$6:$M$53)</f>
        <v>0.39956807036502667</v>
      </c>
      <c r="G14" s="147">
        <f>CORREL(Immobilien!$M$6:$M$53,Gold!$M$6:$M$53)</f>
        <v>7.3680094884343197E-2</v>
      </c>
      <c r="H14" s="147">
        <f>CORREL( Deka!$M$6:$M$53,Gold!$M$6:$M$53)</f>
        <v>5.6095918026276691E-2</v>
      </c>
      <c r="I14" s="148">
        <f>CORREL('Equity Residential'!$M$6:$M$53,Gold!$M$6:$M$53)</f>
        <v>0.24508685463467916</v>
      </c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</row>
    <row r="15" spans="2:22" ht="16.5" thickBot="1">
      <c r="B15" s="126" t="s">
        <v>58</v>
      </c>
      <c r="C15" s="149">
        <v>3</v>
      </c>
      <c r="D15" s="147">
        <f>CORREL(Aktien!$M$6:$M$53,Anleihen!$M$6:$M$53)</f>
        <v>-0.37419748174900291</v>
      </c>
      <c r="E15" s="147">
        <f>CORREL(Gold!$M$6:$M$53,Anleihen!$M$6:$M$53)</f>
        <v>0.39956807036502667</v>
      </c>
      <c r="F15" s="147">
        <f>CORREL(Anleihen!$M$6:$M$53,Anleihen!$M$6:$M$53)</f>
        <v>1</v>
      </c>
      <c r="G15" s="147">
        <f>CORREL(Immobilien!$M$6:$M$53,Anleihen!$M$6:$M$53)</f>
        <v>9.5514647889063872E-2</v>
      </c>
      <c r="H15" s="147">
        <f>CORREL( Deka!$M$6:$M$53,Anleihen!$M$6:$M$53)</f>
        <v>-4.4489709481287332E-2</v>
      </c>
      <c r="I15" s="148">
        <f>CORREL('Equity Residential'!$M$6:$M$53,Anleihen!$M$6:$M$53)</f>
        <v>0.16455580184754651</v>
      </c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</row>
    <row r="16" spans="2:22" ht="16.5" thickBot="1">
      <c r="B16" s="126" t="s">
        <v>59</v>
      </c>
      <c r="C16" s="146">
        <v>4</v>
      </c>
      <c r="D16" s="150">
        <f>CORREL(Aktien!$M$6:$M$53,Immobilien!$M$6:$M$53)</f>
        <v>-0.16092204669479454</v>
      </c>
      <c r="E16" s="147">
        <f>CORREL(Gold!$M$6:$M$53,Immobilien!$M$6:$M$53)</f>
        <v>7.3680094884343197E-2</v>
      </c>
      <c r="F16" s="147">
        <f>CORREL(Anleihen!$M$6:$M$53,Immobilien!$M$6:$M$53)</f>
        <v>9.5514647889063872E-2</v>
      </c>
      <c r="G16" s="147">
        <f>CORREL(Immobilien!$M$6:$M$53,Immobilien!$M$6:$M$53)</f>
        <v>1</v>
      </c>
      <c r="H16" s="147">
        <f>CORREL( Deka!$M$6:$M$53,Immobilien!$M$6:$M$53)</f>
        <v>0.14164083973992342</v>
      </c>
      <c r="I16" s="148">
        <f>CORREL('Equity Residential'!$M$6:$M$53,Immobilien!$M$6:$M$53)</f>
        <v>9.6197086455308556E-2</v>
      </c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</row>
    <row r="17" spans="2:22" ht="16.5" thickBot="1">
      <c r="B17" s="126" t="s">
        <v>70</v>
      </c>
      <c r="C17" s="151">
        <v>5</v>
      </c>
      <c r="D17" s="150">
        <f>CORREL(Aktien!$M$6:$M$53, Deka!$M$6:$M$53)</f>
        <v>-9.2846323316298895E-3</v>
      </c>
      <c r="E17" s="147">
        <f>CORREL(Gold!$M$6:$M$53, Deka!$M$6:$M$53)</f>
        <v>5.6095918026276691E-2</v>
      </c>
      <c r="F17" s="147">
        <f>CORREL(Anleihen!$M$6:$M$53, Deka!$M$6:$M$53)</f>
        <v>-4.4489709481287332E-2</v>
      </c>
      <c r="G17" s="147">
        <f>CORREL(Immobilien!$M$6:$M$53, Deka!$M$6:$M$53)</f>
        <v>0.14164083973992342</v>
      </c>
      <c r="H17" s="147">
        <f>CORREL( Deka!$M$6:$M$53, Deka!$M$6:$M$53)</f>
        <v>1</v>
      </c>
      <c r="I17" s="148">
        <f>CORREL('Equity Residential'!$M$6:$M$53, Deka!$M$6:$M$53)</f>
        <v>-8.2584247979108252E-2</v>
      </c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</row>
    <row r="18" spans="2:22" ht="16.5" thickBot="1">
      <c r="B18" s="126" t="s">
        <v>54</v>
      </c>
      <c r="C18" s="152">
        <v>6</v>
      </c>
      <c r="D18" s="153">
        <f>CORREL(Aktien!$M$6:$M$53,'Equity Residential'!$M$6:$M$53)</f>
        <v>0.23654986159085892</v>
      </c>
      <c r="E18" s="154">
        <f>CORREL(Gold!$M$6:$M$53,'Equity Residential'!$M$6:$M$53)</f>
        <v>0.24508685463467916</v>
      </c>
      <c r="F18" s="154">
        <f>CORREL(Anleihen!$M$6:$M$53,'Equity Residential'!$M$6:$M$53)</f>
        <v>0.16455580184754651</v>
      </c>
      <c r="G18" s="154">
        <f>CORREL(Immobilien!$M$6:$M$53,'Equity Residential'!$M$6:$M$53)</f>
        <v>9.6197086455308556E-2</v>
      </c>
      <c r="H18" s="154">
        <f>CORREL( Deka!$M$6:$M$53,'Equity Residential'!$M$6:$M$53)</f>
        <v>-8.2584247979108252E-2</v>
      </c>
      <c r="I18" s="155">
        <f>CORREL('Equity Residential'!$M$6:$M$53,'Equity Residential'!$M$6:$M$53)</f>
        <v>1</v>
      </c>
      <c r="J18" s="123"/>
      <c r="K18" s="123"/>
      <c r="L18" s="123"/>
      <c r="M18" s="156"/>
      <c r="N18" s="123"/>
      <c r="O18" s="123"/>
      <c r="P18" s="123"/>
      <c r="Q18" s="123"/>
      <c r="R18" s="123"/>
      <c r="S18" s="123"/>
      <c r="T18" s="123"/>
      <c r="U18" s="123"/>
      <c r="V18" s="123"/>
    </row>
    <row r="19" spans="2:22">
      <c r="B19" s="123"/>
      <c r="C19" s="123"/>
      <c r="D19" s="157"/>
      <c r="E19" s="157"/>
      <c r="F19" s="157"/>
      <c r="G19" s="157"/>
      <c r="H19" s="157"/>
      <c r="I19" s="157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</row>
    <row r="20" spans="2:22">
      <c r="B20" s="123"/>
      <c r="C20" s="123"/>
      <c r="D20" s="157"/>
      <c r="E20" s="157"/>
      <c r="F20" s="157"/>
      <c r="G20" s="157"/>
      <c r="H20" s="157"/>
      <c r="I20" s="157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</row>
    <row r="21" spans="2:22" ht="16.5" thickBot="1">
      <c r="B21" s="142" t="s">
        <v>62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 t="s">
        <v>63</v>
      </c>
      <c r="M21" s="123"/>
      <c r="N21" s="123"/>
      <c r="O21" s="123"/>
      <c r="P21" s="123"/>
      <c r="Q21" s="123"/>
      <c r="R21" s="123"/>
      <c r="S21" s="123"/>
      <c r="T21" s="123"/>
      <c r="U21" s="123"/>
      <c r="V21" s="123"/>
    </row>
    <row r="22" spans="2:22" ht="16.5" thickBot="1">
      <c r="B22" s="126"/>
      <c r="C22" s="158"/>
      <c r="D22" s="158" t="str">
        <f t="shared" ref="D22:I22" si="1">D4</f>
        <v>Aktien</v>
      </c>
      <c r="E22" s="158" t="str">
        <f t="shared" si="1"/>
        <v>Gold</v>
      </c>
      <c r="F22" s="158" t="str">
        <f t="shared" si="1"/>
        <v>Anleihen</v>
      </c>
      <c r="G22" s="159" t="str">
        <f t="shared" si="1"/>
        <v>Immobilien</v>
      </c>
      <c r="H22" s="159" t="str">
        <f t="shared" si="1"/>
        <v>Deka</v>
      </c>
      <c r="I22" s="160" t="str">
        <f t="shared" si="1"/>
        <v>Equity Residential</v>
      </c>
      <c r="J22" s="123"/>
      <c r="K22" s="123"/>
      <c r="L22" s="158"/>
      <c r="M22" s="161"/>
      <c r="N22" s="162" t="str">
        <f t="shared" ref="N22:S22" si="2">D4</f>
        <v>Aktien</v>
      </c>
      <c r="O22" s="163" t="str">
        <f t="shared" si="2"/>
        <v>Gold</v>
      </c>
      <c r="P22" s="161" t="str">
        <f t="shared" si="2"/>
        <v>Anleihen</v>
      </c>
      <c r="Q22" s="162" t="str">
        <f t="shared" si="2"/>
        <v>Immobilien</v>
      </c>
      <c r="R22" s="164" t="str">
        <f t="shared" si="2"/>
        <v>Deka</v>
      </c>
      <c r="S22" s="162" t="str">
        <f t="shared" si="2"/>
        <v>Equity Residential</v>
      </c>
      <c r="T22" s="123"/>
      <c r="U22" s="123"/>
      <c r="V22" s="123"/>
    </row>
    <row r="23" spans="2:22" ht="16.5" thickBot="1">
      <c r="B23" s="165"/>
      <c r="C23" s="166"/>
      <c r="D23" s="167">
        <v>1</v>
      </c>
      <c r="E23" s="167">
        <v>2</v>
      </c>
      <c r="F23" s="168">
        <v>3</v>
      </c>
      <c r="G23" s="167">
        <v>4</v>
      </c>
      <c r="H23" s="167">
        <v>5</v>
      </c>
      <c r="I23" s="169">
        <v>6</v>
      </c>
      <c r="J23" s="123"/>
      <c r="K23" s="123"/>
      <c r="L23" s="170"/>
      <c r="M23" s="171"/>
      <c r="N23" s="172">
        <v>1</v>
      </c>
      <c r="O23" s="173">
        <v>2</v>
      </c>
      <c r="P23" s="174">
        <v>3</v>
      </c>
      <c r="Q23" s="173">
        <v>4</v>
      </c>
      <c r="R23" s="173">
        <v>5</v>
      </c>
      <c r="S23" s="175">
        <v>6</v>
      </c>
      <c r="T23" s="123"/>
      <c r="U23" s="123"/>
      <c r="V23" s="123"/>
    </row>
    <row r="24" spans="2:22" ht="16.5" thickBot="1">
      <c r="B24" s="165" t="str">
        <f>B13</f>
        <v>Aktien</v>
      </c>
      <c r="C24" s="176">
        <v>1</v>
      </c>
      <c r="D24" s="177">
        <f t="shared" ref="D24:I29" ca="1" si="3">D13*OFFSET($C$6,0,D$23)*OFFSET($C$6,0,$C24)</f>
        <v>6.3993525172076418E-3</v>
      </c>
      <c r="E24" s="178">
        <f t="shared" ca="1" si="3"/>
        <v>-7.3612381750812615E-5</v>
      </c>
      <c r="F24" s="179">
        <f t="shared" ca="1" si="3"/>
        <v>-4.4489897831448969E-4</v>
      </c>
      <c r="G24" s="180">
        <f t="shared" ca="1" si="3"/>
        <v>-1.6640286482310447E-4</v>
      </c>
      <c r="H24" s="181">
        <f t="shared" ca="1" si="3"/>
        <v>-8.6390572959077913E-6</v>
      </c>
      <c r="I24" s="182">
        <f t="shared" ca="1" si="3"/>
        <v>2.2417177504479393E-3</v>
      </c>
      <c r="J24" s="123"/>
      <c r="K24" s="183"/>
      <c r="L24" s="184" t="str">
        <f t="shared" ref="L24:L29" si="4">B13</f>
        <v>Aktien</v>
      </c>
      <c r="M24" s="185">
        <v>1</v>
      </c>
      <c r="N24" s="186">
        <f>_xlfn.COVARIANCE.P(Aktien!$M$6:$M$53,Aktien!$M$6:$M$53)</f>
        <v>6.3993525172076418E-3</v>
      </c>
      <c r="O24" s="186">
        <f>_xlfn.COVARIANCE.P(Gold!$M$6:$M$53,Aktien!$M$6:$M$53)</f>
        <v>-7.3612381750812628E-5</v>
      </c>
      <c r="P24" s="186">
        <f>_xlfn.COVARIANCE.P(Anleihen!$M$6:$M$53,Aktien!$M$6:$M$53)</f>
        <v>-4.4489897831448969E-4</v>
      </c>
      <c r="Q24" s="187">
        <f>_xlfn.COVARIANCE.P(Immobilien!$M$6:$M$53,Aktien!$M$6:$M$53)</f>
        <v>-1.664028648231045E-4</v>
      </c>
      <c r="R24" s="187">
        <f>_xlfn.COVARIANCE.P( Deka!$M$6:$M$53,Aktien!$M$6:$M$53)</f>
        <v>-8.6390572959077929E-6</v>
      </c>
      <c r="S24" s="188">
        <f>_xlfn.COVARIANCE.P('Equity Residential'!$M$6:$M$53,Aktien!$M$6:$M$53)</f>
        <v>2.2417177504479393E-3</v>
      </c>
      <c r="T24" s="123"/>
      <c r="U24" s="123"/>
      <c r="V24" s="123"/>
    </row>
    <row r="25" spans="2:22" ht="16.5" thickBot="1">
      <c r="B25" s="165" t="str">
        <f t="shared" ref="B25:B29" si="5">B14</f>
        <v>Gold</v>
      </c>
      <c r="C25" s="176">
        <v>2</v>
      </c>
      <c r="D25" s="177">
        <f t="shared" ca="1" si="3"/>
        <v>-7.3612381750812615E-5</v>
      </c>
      <c r="E25" s="178">
        <f t="shared" ca="1" si="3"/>
        <v>3.479897853123531E-3</v>
      </c>
      <c r="F25" s="179">
        <f t="shared" ca="1" si="3"/>
        <v>3.5032130904852354E-4</v>
      </c>
      <c r="G25" s="180">
        <f t="shared" ca="1" si="3"/>
        <v>5.6183741681408442E-5</v>
      </c>
      <c r="H25" s="181">
        <f t="shared" ca="1" si="3"/>
        <v>3.8490019790649418E-5</v>
      </c>
      <c r="I25" s="182">
        <f t="shared" ca="1" si="3"/>
        <v>1.7127480488501562E-3</v>
      </c>
      <c r="J25" s="123"/>
      <c r="K25" s="183"/>
      <c r="L25" s="184" t="str">
        <f t="shared" si="4"/>
        <v>Gold</v>
      </c>
      <c r="M25" s="185">
        <v>2</v>
      </c>
      <c r="N25" s="186">
        <f>_xlfn.COVARIANCE.P(Aktien!$M$6:$M$53,Gold!$M$6:$M$53)</f>
        <v>-7.3612381750812628E-5</v>
      </c>
      <c r="O25" s="186">
        <f>_xlfn.COVARIANCE.P(Gold!$M$6:$M$53,Gold!$M$6:$M$53)</f>
        <v>3.4798978531235315E-3</v>
      </c>
      <c r="P25" s="186">
        <f>_xlfn.COVARIANCE.P(Anleihen!$M$6:$M$53,Gold!$M$6:$M$53)</f>
        <v>3.5032130904852354E-4</v>
      </c>
      <c r="Q25" s="187">
        <f>_xlfn.COVARIANCE.P(Immobilien!$M$6:$M$53,Gold!$M$6:$M$53)</f>
        <v>5.6183741681408449E-5</v>
      </c>
      <c r="R25" s="187">
        <f>_xlfn.COVARIANCE.P( Deka!$M$6:$M$53,Gold!$M$6:$M$53)</f>
        <v>3.8490019790649431E-5</v>
      </c>
      <c r="S25" s="188">
        <f>_xlfn.COVARIANCE.P('Equity Residential'!$M$6:$M$53,Gold!$M$6:$M$53)</f>
        <v>1.712748048850156E-3</v>
      </c>
      <c r="T25" s="123"/>
      <c r="U25" s="123"/>
      <c r="V25" s="123"/>
    </row>
    <row r="26" spans="2:22" ht="16.5" thickBot="1">
      <c r="B26" s="165" t="str">
        <f t="shared" si="5"/>
        <v>Anleihen</v>
      </c>
      <c r="C26" s="176">
        <v>3</v>
      </c>
      <c r="D26" s="177">
        <f t="shared" ca="1" si="3"/>
        <v>-4.4489897831448969E-4</v>
      </c>
      <c r="E26" s="178">
        <f t="shared" ca="1" si="3"/>
        <v>3.5032130904852354E-4</v>
      </c>
      <c r="F26" s="179">
        <f t="shared" ca="1" si="3"/>
        <v>2.2089458072389618E-4</v>
      </c>
      <c r="G26" s="180">
        <f t="shared" ca="1" si="3"/>
        <v>1.8350155286795066E-5</v>
      </c>
      <c r="H26" s="181">
        <f t="shared" ca="1" si="3"/>
        <v>-7.691051634489832E-6</v>
      </c>
      <c r="I26" s="182">
        <f t="shared" ca="1" si="3"/>
        <v>2.8973165346327486E-4</v>
      </c>
      <c r="J26" s="123"/>
      <c r="K26" s="183"/>
      <c r="L26" s="184" t="str">
        <f t="shared" si="4"/>
        <v>Anleihen</v>
      </c>
      <c r="M26" s="189">
        <v>3</v>
      </c>
      <c r="N26" s="186">
        <f>_xlfn.COVARIANCE.P(Aktien!$M$6:$M$53,Anleihen!$M$6:$M$53)</f>
        <v>-4.4489897831448969E-4</v>
      </c>
      <c r="O26" s="186">
        <f>_xlfn.COVARIANCE.P(Gold!$M$6:$M$53,Anleihen!$M$6:$M$53)</f>
        <v>3.5032130904852354E-4</v>
      </c>
      <c r="P26" s="186">
        <f>_xlfn.COVARIANCE.P(Anleihen!$M$6:$M$53,Anleihen!$M$6:$M$53)</f>
        <v>2.2089458072389618E-4</v>
      </c>
      <c r="Q26" s="187">
        <f>_xlfn.COVARIANCE.P(Immobilien!$M$6:$M$53,Anleihen!$M$6:$M$53)</f>
        <v>1.8350155286795062E-5</v>
      </c>
      <c r="R26" s="187">
        <f>_xlfn.COVARIANCE.P( Deka!$M$6:$M$53,Anleihen!$M$6:$M$53)</f>
        <v>-7.6910516344898354E-6</v>
      </c>
      <c r="S26" s="188">
        <f>_xlfn.COVARIANCE.P('Equity Residential'!$M$6:$M$53,Anleihen!$M$6:$M$53)</f>
        <v>2.8973165346327481E-4</v>
      </c>
      <c r="T26" s="123"/>
      <c r="U26" s="123"/>
      <c r="V26" s="123"/>
    </row>
    <row r="27" spans="2:22" ht="16.5" thickBot="1">
      <c r="B27" s="165" t="str">
        <f t="shared" si="5"/>
        <v>Immobilien</v>
      </c>
      <c r="C27" s="176">
        <v>4</v>
      </c>
      <c r="D27" s="177">
        <f t="shared" ca="1" si="3"/>
        <v>-1.664028648231045E-4</v>
      </c>
      <c r="E27" s="178">
        <f t="shared" ca="1" si="3"/>
        <v>5.6183741681408449E-5</v>
      </c>
      <c r="F27" s="179">
        <f t="shared" ca="1" si="3"/>
        <v>1.8350155286795062E-5</v>
      </c>
      <c r="G27" s="180">
        <f t="shared" ca="1" si="3"/>
        <v>1.6709154250536427E-4</v>
      </c>
      <c r="H27" s="181">
        <f t="shared" ca="1" si="3"/>
        <v>2.1296064503361031E-5</v>
      </c>
      <c r="I27" s="182">
        <f t="shared" ca="1" si="3"/>
        <v>1.4730902936225355E-4</v>
      </c>
      <c r="J27" s="123"/>
      <c r="K27" s="183"/>
      <c r="L27" s="184" t="str">
        <f t="shared" si="4"/>
        <v>Immobilien</v>
      </c>
      <c r="M27" s="185">
        <v>4</v>
      </c>
      <c r="N27" s="186">
        <f>_xlfn.COVARIANCE.P(Aktien!$M$6:$M$53,Immobilien!$M$6:$M$53)</f>
        <v>-1.664028648231045E-4</v>
      </c>
      <c r="O27" s="186">
        <f>_xlfn.COVARIANCE.P(Gold!$M$6:$M$53,Immobilien!$M$6:$M$53)</f>
        <v>5.6183741681408449E-5</v>
      </c>
      <c r="P27" s="186">
        <f>_xlfn.COVARIANCE.P(Anleihen!$M$6:$M$53,Immobilien!$M$6:$M$53)</f>
        <v>1.8350155286795062E-5</v>
      </c>
      <c r="Q27" s="187">
        <f>_xlfn.COVARIANCE.P(Immobilien!$M$6:$M$53,Immobilien!$M$6:$M$53)</f>
        <v>1.6709154250536427E-4</v>
      </c>
      <c r="R27" s="187">
        <f>_xlfn.COVARIANCE.P( Deka!$M$6:$M$53,Immobilien!$M$6:$M$53)</f>
        <v>2.1296064503361034E-5</v>
      </c>
      <c r="S27" s="188">
        <f>_xlfn.COVARIANCE.P('Equity Residential'!$M$6:$M$53,Immobilien!$M$6:$M$53)</f>
        <v>1.4730902936225352E-4</v>
      </c>
      <c r="T27" s="123"/>
      <c r="U27" s="123"/>
      <c r="V27" s="123"/>
    </row>
    <row r="28" spans="2:22" ht="16.5" thickBot="1">
      <c r="B28" s="165" t="str">
        <f t="shared" si="5"/>
        <v>Deka</v>
      </c>
      <c r="C28" s="176">
        <v>5</v>
      </c>
      <c r="D28" s="177">
        <f t="shared" ca="1" si="3"/>
        <v>-8.6390572959077913E-6</v>
      </c>
      <c r="E28" s="178">
        <f t="shared" ca="1" si="3"/>
        <v>3.8490019790649418E-5</v>
      </c>
      <c r="F28" s="179">
        <f t="shared" ca="1" si="3"/>
        <v>-7.6910516344898337E-6</v>
      </c>
      <c r="G28" s="180">
        <f t="shared" ca="1" si="3"/>
        <v>2.1296064503361031E-5</v>
      </c>
      <c r="H28" s="181">
        <f t="shared" ca="1" si="3"/>
        <v>1.3529048483329329E-4</v>
      </c>
      <c r="I28" s="182">
        <f t="shared" ca="1" si="3"/>
        <v>-1.137944445008617E-4</v>
      </c>
      <c r="J28" s="123"/>
      <c r="K28" s="183"/>
      <c r="L28" s="184" t="str">
        <f t="shared" si="4"/>
        <v>Deka</v>
      </c>
      <c r="M28" s="185">
        <v>5</v>
      </c>
      <c r="N28" s="186">
        <f>_xlfn.COVARIANCE.P(Aktien!$M$6:$M$53, Deka!$M$6:$M$53)</f>
        <v>-8.6390572959077929E-6</v>
      </c>
      <c r="O28" s="186">
        <f>_xlfn.COVARIANCE.P(Gold!$M$6:$M$53, Deka!$M$6:$M$53)</f>
        <v>3.8490019790649431E-5</v>
      </c>
      <c r="P28" s="186">
        <f>_xlfn.COVARIANCE.P(Anleihen!$M$6:$M$53, Deka!$M$6:$M$53)</f>
        <v>-7.6910516344898354E-6</v>
      </c>
      <c r="Q28" s="187">
        <f>_xlfn.COVARIANCE.P(Immobilien!$M$6:$M$53, Deka!$M$6:$M$53)</f>
        <v>2.1296064503361034E-5</v>
      </c>
      <c r="R28" s="187">
        <f>_xlfn.COVARIANCE.P( Deka!$M$6:$M$53, Deka!$M$6:$M$53)</f>
        <v>1.3529048483329337E-4</v>
      </c>
      <c r="S28" s="188">
        <f>_xlfn.COVARIANCE.P('Equity Residential'!$M$6:$M$53, Deka!$M$6:$M$53)</f>
        <v>-1.1379444450086171E-4</v>
      </c>
      <c r="T28" s="123"/>
      <c r="U28" s="123"/>
      <c r="V28" s="123"/>
    </row>
    <row r="29" spans="2:22" ht="16.5" thickBot="1">
      <c r="B29" s="165" t="str">
        <f t="shared" si="5"/>
        <v>Equity Residential</v>
      </c>
      <c r="C29" s="190">
        <v>6</v>
      </c>
      <c r="D29" s="191">
        <f t="shared" ca="1" si="3"/>
        <v>2.2417177504479397E-3</v>
      </c>
      <c r="E29" s="192">
        <f t="shared" ca="1" si="3"/>
        <v>1.7127480488501562E-3</v>
      </c>
      <c r="F29" s="193">
        <f t="shared" ca="1" si="3"/>
        <v>2.8973165346327486E-4</v>
      </c>
      <c r="G29" s="194">
        <f t="shared" ca="1" si="3"/>
        <v>1.4730902936225355E-4</v>
      </c>
      <c r="H29" s="195">
        <f t="shared" ca="1" si="3"/>
        <v>-1.137944445008617E-4</v>
      </c>
      <c r="I29" s="140">
        <f t="shared" ca="1" si="3"/>
        <v>1.4033966330769745E-2</v>
      </c>
      <c r="J29" s="123"/>
      <c r="K29" s="183"/>
      <c r="L29" s="196" t="str">
        <f t="shared" si="4"/>
        <v>Equity Residential</v>
      </c>
      <c r="M29" s="190">
        <v>6</v>
      </c>
      <c r="N29" s="139">
        <f>_xlfn.COVARIANCE.P(Aktien!$M$6:$M$53,'Equity Residential'!$M$6:$M$53)</f>
        <v>2.2417177504479393E-3</v>
      </c>
      <c r="O29" s="139">
        <f>_xlfn.COVARIANCE.P(Gold!$M$6:$M$53,'Equity Residential'!$M$6:$M$53)</f>
        <v>1.712748048850156E-3</v>
      </c>
      <c r="P29" s="139">
        <f>_xlfn.COVARIANCE.P(Anleihen!$M$6:$M$53,'Equity Residential'!$M$6:$M$53)</f>
        <v>2.8973165346327481E-4</v>
      </c>
      <c r="Q29" s="197">
        <f>_xlfn.COVARIANCE.P(Immobilien!$M$6:$M$53,'Equity Residential'!$M$6:$M$53)</f>
        <v>1.4730902936225352E-4</v>
      </c>
      <c r="R29" s="197">
        <f>_xlfn.COVARIANCE.P( Deka!$M$6:$M$53,'Equity Residential'!$M$6:$M$53)</f>
        <v>-1.1379444450086171E-4</v>
      </c>
      <c r="S29" s="198">
        <f>_xlfn.COVARIANCE.P('Equity Residential'!$M$6:$M$53,'Equity Residential'!$M$6:$M$53)</f>
        <v>1.403396633076974E-2</v>
      </c>
      <c r="T29" s="123"/>
      <c r="U29" s="123"/>
      <c r="V29" s="123"/>
    </row>
    <row r="30" spans="2:22"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</row>
    <row r="31" spans="2:22"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</row>
    <row r="32" spans="2:22" ht="16.5" thickBot="1">
      <c r="B32" s="123" t="s">
        <v>24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</row>
    <row r="33" spans="2:22" ht="16.5" thickBot="1">
      <c r="B33" s="126"/>
      <c r="C33" s="126"/>
      <c r="D33" s="126" t="str">
        <f>D4</f>
        <v>Aktien</v>
      </c>
      <c r="E33" s="126" t="str">
        <f>E4</f>
        <v>Gold</v>
      </c>
      <c r="F33" s="126" t="str">
        <f>F4</f>
        <v>Anleihen</v>
      </c>
      <c r="G33" s="126" t="str">
        <f>G4</f>
        <v>Immobilien</v>
      </c>
      <c r="H33" s="126" t="str">
        <f>H4</f>
        <v>Deka</v>
      </c>
      <c r="I33" s="126" t="s">
        <v>54</v>
      </c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</row>
    <row r="34" spans="2:22" ht="16.5" thickBot="1">
      <c r="B34" s="126"/>
      <c r="C34" s="127"/>
      <c r="D34" s="128"/>
      <c r="E34" s="129"/>
      <c r="F34" s="129"/>
      <c r="G34" s="130"/>
      <c r="H34" s="130"/>
      <c r="I34" s="199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</row>
    <row r="35" spans="2:22" ht="16.5" thickBot="1">
      <c r="B35" s="134"/>
      <c r="C35" s="135"/>
      <c r="D35" s="136">
        <v>0.2</v>
      </c>
      <c r="E35" s="137">
        <v>0.3</v>
      </c>
      <c r="F35" s="200">
        <v>0</v>
      </c>
      <c r="G35" s="138">
        <v>0.1</v>
      </c>
      <c r="H35" s="138">
        <v>0.1</v>
      </c>
      <c r="I35" s="201">
        <f>1-SUM(D35:H35)</f>
        <v>0.30000000000000004</v>
      </c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</row>
    <row r="36" spans="2:22">
      <c r="B36" s="123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</row>
    <row r="37" spans="2:22"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</row>
    <row r="38" spans="2:22"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</row>
    <row r="39" spans="2:22">
      <c r="B39" s="123" t="s">
        <v>64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</row>
    <row r="40" spans="2:22">
      <c r="B40" s="123" t="s">
        <v>65</v>
      </c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</row>
    <row r="41" spans="2:22">
      <c r="B41" s="123" t="s">
        <v>10</v>
      </c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</row>
    <row r="42" spans="2:22">
      <c r="B42" s="123" t="s">
        <v>11</v>
      </c>
      <c r="C42" s="123"/>
      <c r="D42" s="141">
        <f>SUMPRODUCT(D35:I35,D5:I5)</f>
        <v>1.798461032924973E-2</v>
      </c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</row>
    <row r="43" spans="2:22">
      <c r="B43" s="123" t="s">
        <v>12</v>
      </c>
      <c r="C43" s="123"/>
      <c r="D43" s="141" cm="1">
        <f t="array" aca="1" ref="D43" ca="1">MMULT(MMULT(D35:I35,D24:I29),TRANSPOSE(D35:I35))</f>
        <v>2.4048285357340846E-3</v>
      </c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</row>
    <row r="44" spans="2:22">
      <c r="B44" s="123" t="s">
        <v>60</v>
      </c>
      <c r="C44" s="123"/>
      <c r="D44" s="141">
        <f ca="1">SQRT(D43)</f>
        <v>4.9039051130033956E-2</v>
      </c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</row>
    <row r="45" spans="2:22"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</row>
    <row r="46" spans="2:22">
      <c r="B46" s="123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</row>
    <row r="47" spans="2:22">
      <c r="B47" s="123"/>
      <c r="C47" s="123"/>
      <c r="D47" s="123"/>
      <c r="E47" s="123"/>
      <c r="F47" s="123"/>
      <c r="G47" s="123"/>
      <c r="H47" s="123"/>
      <c r="I47" s="123"/>
      <c r="J47" s="202"/>
      <c r="K47" s="202"/>
      <c r="L47" s="202"/>
      <c r="M47" s="202"/>
      <c r="N47" s="202"/>
      <c r="O47" s="123"/>
      <c r="P47" s="123"/>
      <c r="Q47" s="123"/>
      <c r="R47" s="123"/>
      <c r="S47" s="123"/>
      <c r="T47" s="123"/>
      <c r="U47" s="123"/>
      <c r="V47" s="123"/>
    </row>
    <row r="48" spans="2:22">
      <c r="B48" s="123"/>
      <c r="C48" s="123"/>
      <c r="D48" s="123"/>
      <c r="E48" s="123"/>
      <c r="F48" s="133"/>
      <c r="G48" s="133"/>
      <c r="H48" s="133"/>
      <c r="I48" s="133"/>
      <c r="J48" s="203"/>
      <c r="K48" s="203"/>
      <c r="L48" s="203"/>
      <c r="M48" s="203"/>
      <c r="N48" s="203"/>
      <c r="O48" s="123"/>
      <c r="P48" s="123"/>
      <c r="Q48" s="123"/>
      <c r="R48" s="123"/>
      <c r="S48" s="123"/>
      <c r="T48" s="123"/>
      <c r="U48" s="123"/>
      <c r="V48" s="123"/>
    </row>
    <row r="49" spans="2:22">
      <c r="B49" s="123"/>
      <c r="C49" s="123"/>
      <c r="D49" s="123"/>
      <c r="E49" s="123"/>
      <c r="F49" s="133"/>
      <c r="G49" s="133"/>
      <c r="H49" s="133"/>
      <c r="I49" s="133"/>
      <c r="J49" s="203"/>
      <c r="K49" s="203"/>
      <c r="L49" s="203"/>
      <c r="M49" s="203"/>
      <c r="N49" s="203"/>
      <c r="O49" s="123"/>
      <c r="P49" s="123"/>
      <c r="Q49" s="123"/>
      <c r="R49" s="123"/>
      <c r="S49" s="123"/>
      <c r="T49" s="123"/>
      <c r="U49" s="123"/>
      <c r="V49" s="123"/>
    </row>
    <row r="50" spans="2:22">
      <c r="B50" s="123"/>
      <c r="C50" s="123"/>
      <c r="D50" s="123"/>
      <c r="E50" s="123"/>
      <c r="F50" s="133"/>
      <c r="G50" s="133"/>
      <c r="H50" s="133"/>
      <c r="I50" s="133"/>
      <c r="J50" s="203"/>
      <c r="K50" s="203"/>
      <c r="L50" s="203"/>
      <c r="M50" s="203"/>
      <c r="N50" s="203"/>
      <c r="O50" s="123"/>
      <c r="P50" s="123"/>
      <c r="Q50" s="123"/>
      <c r="R50" s="123"/>
      <c r="S50" s="123"/>
      <c r="T50" s="123"/>
      <c r="U50" s="123"/>
      <c r="V50" s="123"/>
    </row>
    <row r="51" spans="2:22">
      <c r="B51" s="123"/>
      <c r="C51" s="123"/>
      <c r="D51" s="123"/>
      <c r="E51" s="123"/>
      <c r="F51" s="204"/>
      <c r="G51" s="204"/>
      <c r="H51" s="204"/>
      <c r="I51" s="204"/>
      <c r="J51" s="205"/>
      <c r="K51" s="205"/>
      <c r="L51" s="205"/>
      <c r="M51" s="205"/>
      <c r="N51" s="205"/>
      <c r="O51" s="123"/>
      <c r="P51" s="123"/>
      <c r="Q51" s="123"/>
      <c r="R51" s="123"/>
      <c r="S51" s="123"/>
      <c r="T51" s="123"/>
      <c r="U51" s="123"/>
      <c r="V51" s="123"/>
    </row>
    <row r="52" spans="2:22">
      <c r="B52" s="123"/>
      <c r="C52" s="123"/>
      <c r="D52" s="123"/>
      <c r="E52" s="123"/>
      <c r="F52" s="204"/>
      <c r="G52" s="204"/>
      <c r="H52" s="204"/>
      <c r="I52" s="204"/>
      <c r="J52" s="205"/>
      <c r="K52" s="205"/>
      <c r="L52" s="205"/>
      <c r="M52" s="205"/>
      <c r="N52" s="205"/>
      <c r="O52" s="123"/>
      <c r="P52" s="123"/>
      <c r="Q52" s="123"/>
      <c r="R52" s="123"/>
      <c r="S52" s="123"/>
      <c r="T52" s="123"/>
      <c r="U52" s="123"/>
      <c r="V52" s="123"/>
    </row>
    <row r="53" spans="2:22">
      <c r="B53" s="123"/>
      <c r="C53" s="123"/>
      <c r="D53" s="123"/>
      <c r="E53" s="123"/>
      <c r="F53" s="204"/>
      <c r="G53" s="204"/>
      <c r="H53" s="204"/>
      <c r="I53" s="204"/>
      <c r="J53" s="205"/>
      <c r="K53" s="205"/>
      <c r="L53" s="205"/>
      <c r="M53" s="205"/>
      <c r="N53" s="205"/>
      <c r="O53" s="123"/>
      <c r="P53" s="123"/>
      <c r="Q53" s="123"/>
      <c r="R53" s="123"/>
      <c r="S53" s="123"/>
      <c r="T53" s="123"/>
      <c r="U53" s="123"/>
      <c r="V53" s="123"/>
    </row>
    <row r="54" spans="2:22">
      <c r="B54" s="123"/>
      <c r="C54" s="123"/>
      <c r="D54" s="123"/>
      <c r="E54" s="123"/>
      <c r="F54" s="204"/>
      <c r="G54" s="204"/>
      <c r="H54" s="204"/>
      <c r="I54" s="204"/>
      <c r="J54" s="205"/>
      <c r="K54" s="205"/>
      <c r="L54" s="205"/>
      <c r="M54" s="205"/>
      <c r="N54" s="205"/>
      <c r="O54" s="123"/>
      <c r="P54" s="123"/>
      <c r="Q54" s="123"/>
      <c r="R54" s="123"/>
      <c r="S54" s="123"/>
      <c r="T54" s="123"/>
      <c r="U54" s="123"/>
      <c r="V54" s="123"/>
    </row>
    <row r="55" spans="2:22">
      <c r="B55" s="123"/>
      <c r="C55" s="123"/>
      <c r="D55" s="123"/>
      <c r="E55" s="123"/>
      <c r="F55" s="204"/>
      <c r="G55" s="204"/>
      <c r="H55" s="204"/>
      <c r="I55" s="204"/>
      <c r="J55" s="205"/>
      <c r="K55" s="205"/>
      <c r="L55" s="205"/>
      <c r="M55" s="205"/>
      <c r="N55" s="205"/>
      <c r="O55" s="123"/>
      <c r="P55" s="123"/>
      <c r="Q55" s="123"/>
      <c r="R55" s="123"/>
      <c r="S55" s="123"/>
      <c r="T55" s="123"/>
      <c r="U55" s="123"/>
      <c r="V55" s="123"/>
    </row>
    <row r="56" spans="2:22">
      <c r="B56" s="123"/>
      <c r="C56" s="123"/>
      <c r="D56" s="123"/>
      <c r="E56" s="123"/>
      <c r="F56" s="204"/>
      <c r="G56" s="204"/>
      <c r="H56" s="204"/>
      <c r="I56" s="204"/>
      <c r="J56" s="205"/>
      <c r="K56" s="205"/>
      <c r="L56" s="205"/>
      <c r="M56" s="205"/>
      <c r="N56" s="205"/>
      <c r="O56" s="123"/>
      <c r="P56" s="123"/>
      <c r="Q56" s="123"/>
      <c r="R56" s="123"/>
      <c r="S56" s="123"/>
      <c r="T56" s="123"/>
      <c r="U56" s="123"/>
      <c r="V56" s="123"/>
    </row>
    <row r="57" spans="2:22">
      <c r="B57" s="123"/>
      <c r="C57" s="123"/>
      <c r="D57" s="123"/>
      <c r="E57" s="123"/>
      <c r="F57" s="204"/>
      <c r="G57" s="204"/>
      <c r="H57" s="204"/>
      <c r="I57" s="204"/>
      <c r="J57" s="205"/>
      <c r="K57" s="205"/>
      <c r="L57" s="205"/>
      <c r="M57" s="205"/>
      <c r="N57" s="205"/>
      <c r="O57" s="123"/>
      <c r="P57" s="123"/>
      <c r="Q57" s="123"/>
      <c r="R57" s="123"/>
      <c r="S57" s="123"/>
      <c r="T57" s="123"/>
      <c r="U57" s="123"/>
      <c r="V57" s="123"/>
    </row>
    <row r="58" spans="2:22">
      <c r="B58" s="123"/>
      <c r="C58" s="123"/>
      <c r="D58" s="123"/>
      <c r="E58" s="123"/>
      <c r="F58" s="204"/>
      <c r="G58" s="204"/>
      <c r="H58" s="204"/>
      <c r="I58" s="204"/>
      <c r="J58" s="205"/>
      <c r="K58" s="205"/>
      <c r="L58" s="205"/>
      <c r="M58" s="205"/>
      <c r="N58" s="205"/>
      <c r="O58" s="123"/>
      <c r="P58" s="123"/>
      <c r="Q58" s="123"/>
      <c r="R58" s="123"/>
      <c r="S58" s="123"/>
      <c r="T58" s="123"/>
      <c r="U58" s="123"/>
      <c r="V58" s="123"/>
    </row>
    <row r="59" spans="2:22">
      <c r="B59" s="123"/>
      <c r="C59" s="123"/>
      <c r="D59" s="123"/>
      <c r="E59" s="123"/>
      <c r="F59" s="204"/>
      <c r="G59" s="204"/>
      <c r="H59" s="204"/>
      <c r="I59" s="204"/>
      <c r="J59" s="205"/>
      <c r="K59" s="205"/>
      <c r="L59" s="205"/>
      <c r="M59" s="205"/>
      <c r="N59" s="205"/>
      <c r="O59" s="123"/>
      <c r="P59" s="123"/>
      <c r="Q59" s="123"/>
      <c r="R59" s="123"/>
      <c r="S59" s="123"/>
      <c r="T59" s="123"/>
      <c r="U59" s="123"/>
      <c r="V59" s="123"/>
    </row>
    <row r="60" spans="2:22">
      <c r="B60" s="123"/>
      <c r="C60" s="123"/>
      <c r="D60" s="123"/>
      <c r="E60" s="123"/>
      <c r="F60" s="204"/>
      <c r="G60" s="204"/>
      <c r="H60" s="204"/>
      <c r="I60" s="204"/>
      <c r="J60" s="205"/>
      <c r="K60" s="205"/>
      <c r="L60" s="205"/>
      <c r="M60" s="205"/>
      <c r="N60" s="205"/>
      <c r="O60" s="123"/>
      <c r="P60" s="123"/>
      <c r="Q60" s="123"/>
      <c r="R60" s="123"/>
      <c r="S60" s="123"/>
      <c r="T60" s="123"/>
      <c r="U60" s="123"/>
      <c r="V60" s="123"/>
    </row>
    <row r="61" spans="2:22">
      <c r="B61" s="123"/>
      <c r="C61" s="123"/>
      <c r="D61" s="123"/>
      <c r="E61" s="123"/>
      <c r="F61" s="204"/>
      <c r="G61" s="204"/>
      <c r="H61" s="204"/>
      <c r="I61" s="204"/>
      <c r="J61" s="205"/>
      <c r="K61" s="205"/>
      <c r="L61" s="205"/>
      <c r="M61" s="205"/>
      <c r="N61" s="205"/>
      <c r="O61" s="123"/>
      <c r="P61" s="123"/>
      <c r="Q61" s="123"/>
      <c r="R61" s="123"/>
      <c r="S61" s="123"/>
      <c r="T61" s="123"/>
      <c r="U61" s="123"/>
      <c r="V61" s="123"/>
    </row>
    <row r="62" spans="2:22">
      <c r="B62" s="123"/>
      <c r="C62" s="123"/>
      <c r="D62" s="123"/>
      <c r="E62" s="123"/>
      <c r="F62" s="204"/>
      <c r="G62" s="204"/>
      <c r="H62" s="204"/>
      <c r="I62" s="204"/>
      <c r="J62" s="205"/>
      <c r="K62" s="205"/>
      <c r="L62" s="205"/>
      <c r="M62" s="205"/>
      <c r="N62" s="205"/>
      <c r="O62" s="123"/>
      <c r="P62" s="123"/>
      <c r="Q62" s="123"/>
      <c r="R62" s="123"/>
      <c r="S62" s="123"/>
      <c r="T62" s="123"/>
      <c r="U62" s="123"/>
      <c r="V62" s="123"/>
    </row>
    <row r="63" spans="2:22">
      <c r="F63" s="206"/>
      <c r="G63" s="206"/>
      <c r="H63" s="206"/>
      <c r="I63" s="206"/>
      <c r="J63" s="207"/>
      <c r="K63" s="207"/>
      <c r="L63" s="207"/>
      <c r="M63" s="207"/>
      <c r="N63" s="207"/>
    </row>
    <row r="64" spans="2:22">
      <c r="F64" s="206"/>
      <c r="G64" s="206"/>
      <c r="H64" s="206"/>
      <c r="I64" s="206"/>
      <c r="J64" s="207"/>
      <c r="K64" s="207"/>
      <c r="L64" s="207"/>
      <c r="M64" s="207"/>
      <c r="N64" s="207"/>
    </row>
    <row r="65" spans="6:14">
      <c r="F65" s="206"/>
      <c r="G65" s="206"/>
      <c r="H65" s="206"/>
      <c r="I65" s="206"/>
      <c r="J65" s="207"/>
      <c r="K65" s="207"/>
      <c r="L65" s="207"/>
      <c r="M65" s="207"/>
      <c r="N65" s="207"/>
    </row>
    <row r="66" spans="6:14">
      <c r="F66" s="206"/>
      <c r="G66" s="206"/>
      <c r="H66" s="206"/>
      <c r="I66" s="206"/>
      <c r="J66" s="207"/>
      <c r="K66" s="207"/>
      <c r="L66" s="207"/>
      <c r="M66" s="207"/>
      <c r="N66" s="207"/>
    </row>
    <row r="67" spans="6:14">
      <c r="F67" s="206"/>
      <c r="G67" s="206"/>
      <c r="H67" s="206"/>
      <c r="I67" s="206"/>
      <c r="J67" s="207"/>
      <c r="K67" s="207"/>
      <c r="L67" s="207"/>
      <c r="M67" s="207"/>
      <c r="N67" s="207"/>
    </row>
    <row r="68" spans="6:14">
      <c r="F68" s="206"/>
      <c r="G68" s="206"/>
      <c r="H68" s="206"/>
      <c r="I68" s="206"/>
      <c r="J68" s="207"/>
      <c r="K68" s="207"/>
      <c r="L68" s="207"/>
      <c r="M68" s="207"/>
      <c r="N68" s="207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M11" sqref="M11:M12"/>
    </sheetView>
  </sheetViews>
  <sheetFormatPr baseColWidth="10" defaultColWidth="11.42578125" defaultRowHeight="15"/>
  <cols>
    <col min="1" max="2" width="5.85546875" customWidth="1"/>
  </cols>
  <sheetData>
    <row r="1" spans="3:10">
      <c r="C1" s="2" t="s">
        <v>5</v>
      </c>
    </row>
    <row r="3" spans="3:10">
      <c r="C3" s="17" t="s">
        <v>56</v>
      </c>
      <c r="D3" s="17" t="s">
        <v>71</v>
      </c>
      <c r="E3" s="17" t="s">
        <v>58</v>
      </c>
      <c r="F3" s="17" t="s">
        <v>59</v>
      </c>
      <c r="G3" s="17" t="s">
        <v>72</v>
      </c>
      <c r="H3" s="17" t="s">
        <v>73</v>
      </c>
      <c r="J3" t="s">
        <v>14</v>
      </c>
    </row>
    <row r="4" spans="3:10"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J4" s="19" t="s">
        <v>15</v>
      </c>
    </row>
    <row r="5" spans="3:10">
      <c r="C5" s="18">
        <v>7.8801192222852645E-3</v>
      </c>
      <c r="D5" s="18">
        <v>1.9525534969617207E-2</v>
      </c>
      <c r="E5" s="18">
        <v>4.5004674887935761E-3</v>
      </c>
      <c r="F5" s="18">
        <v>1.2169372667847282E-2</v>
      </c>
      <c r="G5" s="18">
        <v>8.8685807999122396E-4</v>
      </c>
      <c r="H5" s="18">
        <v>3.0817676397078872E-2</v>
      </c>
      <c r="J5" s="19" t="s">
        <v>16</v>
      </c>
    </row>
    <row r="6" spans="3:10">
      <c r="C6" s="7"/>
      <c r="D6" s="7"/>
      <c r="E6" s="7"/>
      <c r="F6" s="7"/>
      <c r="G6" s="7"/>
      <c r="H6" s="7"/>
    </row>
    <row r="7" spans="3:10">
      <c r="C7" s="11" t="s">
        <v>6</v>
      </c>
      <c r="D7" s="7"/>
      <c r="E7" s="7"/>
      <c r="F7" s="7"/>
      <c r="G7" s="7"/>
      <c r="H7" s="7"/>
    </row>
    <row r="8" spans="3:10">
      <c r="C8" s="7"/>
      <c r="D8" s="7"/>
      <c r="E8" s="7"/>
      <c r="F8" s="7"/>
      <c r="G8" s="7"/>
      <c r="H8" s="7"/>
    </row>
    <row r="9" spans="3:10">
      <c r="C9" s="1" t="str">
        <f>C3</f>
        <v>Aktien</v>
      </c>
      <c r="D9" s="1" t="str">
        <f t="shared" ref="D9:H9" si="0">D3</f>
        <v>Rohstoffe</v>
      </c>
      <c r="E9" s="1" t="str">
        <f t="shared" si="0"/>
        <v>Anleihen</v>
      </c>
      <c r="F9" s="1" t="str">
        <f t="shared" si="0"/>
        <v>Immobilien</v>
      </c>
      <c r="G9" s="1" t="str">
        <f t="shared" si="0"/>
        <v>DekaImmobilienfonds</v>
      </c>
      <c r="H9" s="1" t="str">
        <f t="shared" si="0"/>
        <v>Amerikanische REITs</v>
      </c>
      <c r="J9" s="19" t="s">
        <v>15</v>
      </c>
    </row>
    <row r="10" spans="3:10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J10" s="19" t="s">
        <v>15</v>
      </c>
    </row>
    <row r="11" spans="3:10">
      <c r="C11" s="18">
        <v>7.9995953130190547E-2</v>
      </c>
      <c r="D11" s="18">
        <v>5.8990659032795441E-2</v>
      </c>
      <c r="E11" s="18">
        <v>1.4862522690441761E-2</v>
      </c>
      <c r="F11" s="18">
        <v>1.2926389383944933E-2</v>
      </c>
      <c r="G11" s="18">
        <v>1.1631443798312113E-2</v>
      </c>
      <c r="H11" s="18">
        <v>0.11846504265296892</v>
      </c>
      <c r="J11" s="19" t="s">
        <v>19</v>
      </c>
    </row>
    <row r="12" spans="3:10">
      <c r="C12" s="7"/>
      <c r="D12" s="7"/>
      <c r="E12" s="7"/>
      <c r="F12" s="7"/>
      <c r="G12" s="7"/>
      <c r="H12" s="7"/>
    </row>
    <row r="13" spans="3:10">
      <c r="C13" s="11" t="s">
        <v>7</v>
      </c>
      <c r="D13" s="7"/>
      <c r="E13" s="7"/>
      <c r="F13" s="7"/>
      <c r="G13" s="7"/>
      <c r="H13" s="7"/>
    </row>
    <row r="14" spans="3:10">
      <c r="C14" s="7"/>
      <c r="D14" s="7"/>
      <c r="E14" s="7"/>
      <c r="F14" s="7"/>
      <c r="G14" s="7"/>
      <c r="H14" s="7"/>
    </row>
    <row r="15" spans="3:10">
      <c r="C15" s="1" t="str">
        <f>C3</f>
        <v>Aktien</v>
      </c>
      <c r="D15" s="1" t="str">
        <f t="shared" ref="D15:H15" si="1">D3</f>
        <v>Rohstoffe</v>
      </c>
      <c r="E15" s="1" t="str">
        <f t="shared" si="1"/>
        <v>Anleihen</v>
      </c>
      <c r="F15" s="1" t="str">
        <f t="shared" si="1"/>
        <v>Immobilien</v>
      </c>
      <c r="G15" s="1" t="str">
        <f t="shared" si="1"/>
        <v>DekaImmobilienfonds</v>
      </c>
      <c r="H15" s="1" t="str">
        <f t="shared" si="1"/>
        <v>Amerikanische REITs</v>
      </c>
      <c r="J15" s="19" t="s">
        <v>15</v>
      </c>
    </row>
    <row r="16" spans="3:10">
      <c r="C16" s="1">
        <v>1</v>
      </c>
      <c r="D16" s="1">
        <v>2</v>
      </c>
      <c r="E16" s="1">
        <v>3</v>
      </c>
      <c r="F16" s="1">
        <v>4</v>
      </c>
      <c r="G16" s="1">
        <v>5</v>
      </c>
      <c r="H16" s="1">
        <v>6</v>
      </c>
      <c r="J16" s="19" t="s">
        <v>15</v>
      </c>
    </row>
    <row r="17" spans="1:10">
      <c r="A17" s="1" t="str">
        <f>C15</f>
        <v>Aktien</v>
      </c>
      <c r="B17" s="15">
        <v>1</v>
      </c>
      <c r="C17" s="20">
        <v>0.99999999999999989</v>
      </c>
      <c r="D17" s="20">
        <v>-1.5599102233463591E-2</v>
      </c>
      <c r="E17" s="20">
        <v>-0.37419748174900291</v>
      </c>
      <c r="F17" s="20">
        <v>-0.16092204669479454</v>
      </c>
      <c r="G17" s="20">
        <v>-9.2846323316298895E-3</v>
      </c>
      <c r="H17" s="20">
        <v>0.23654986159085892</v>
      </c>
      <c r="J17" s="19" t="s">
        <v>17</v>
      </c>
    </row>
    <row r="18" spans="1:10">
      <c r="A18" s="1" t="str">
        <f>D15</f>
        <v>Rohstoffe</v>
      </c>
      <c r="B18" s="15">
        <v>2</v>
      </c>
      <c r="C18" s="20">
        <v>-1.5599102233463591E-2</v>
      </c>
      <c r="D18" s="20">
        <v>1.0000000000000002</v>
      </c>
      <c r="E18" s="20">
        <v>0.39956807036502667</v>
      </c>
      <c r="F18" s="20">
        <v>7.3680094884343197E-2</v>
      </c>
      <c r="G18" s="20">
        <v>5.6095918026276691E-2</v>
      </c>
      <c r="H18" s="20">
        <v>0.24508685463467916</v>
      </c>
    </row>
    <row r="19" spans="1:10">
      <c r="A19" s="1" t="str">
        <f>E15</f>
        <v>Anleihen</v>
      </c>
      <c r="B19" s="1">
        <v>3</v>
      </c>
      <c r="C19" s="20">
        <v>-0.37419748174900291</v>
      </c>
      <c r="D19" s="20">
        <v>0.39956807036502667</v>
      </c>
      <c r="E19" s="20">
        <v>1</v>
      </c>
      <c r="F19" s="20">
        <v>9.5514647889063872E-2</v>
      </c>
      <c r="G19" s="20">
        <v>-4.4489709481287332E-2</v>
      </c>
      <c r="H19" s="20">
        <v>0.16455580184754651</v>
      </c>
      <c r="J19" s="19" t="s">
        <v>26</v>
      </c>
    </row>
    <row r="20" spans="1:10">
      <c r="A20" s="15" t="str">
        <f>F15</f>
        <v>Immobilien</v>
      </c>
      <c r="B20" s="1">
        <v>4</v>
      </c>
      <c r="C20" s="20">
        <v>-0.16092204669479454</v>
      </c>
      <c r="D20" s="20">
        <v>7.3680094884343197E-2</v>
      </c>
      <c r="E20" s="20">
        <v>9.5514647889063872E-2</v>
      </c>
      <c r="F20" s="20">
        <v>1</v>
      </c>
      <c r="G20" s="20">
        <v>0.14164083973992342</v>
      </c>
      <c r="H20" s="20">
        <v>9.6197086455308556E-2</v>
      </c>
    </row>
    <row r="21" spans="1:10">
      <c r="A21" s="1" t="str">
        <f>G15</f>
        <v>DekaImmobilienfonds</v>
      </c>
      <c r="B21" s="1">
        <v>5</v>
      </c>
      <c r="C21" s="20">
        <v>-9.2846323316298895E-3</v>
      </c>
      <c r="D21" s="20">
        <v>5.6095918026276691E-2</v>
      </c>
      <c r="E21" s="20">
        <v>-4.4489709481287332E-2</v>
      </c>
      <c r="F21" s="20">
        <v>0.14164083973992342</v>
      </c>
      <c r="G21" s="20">
        <v>1</v>
      </c>
      <c r="H21" s="20">
        <v>-8.2584247979108252E-2</v>
      </c>
    </row>
    <row r="22" spans="1:10">
      <c r="A22" s="1" t="str">
        <f>H15</f>
        <v>Amerikanische REITs</v>
      </c>
      <c r="B22" s="1">
        <v>6</v>
      </c>
      <c r="C22" s="20">
        <v>0.23654986159085892</v>
      </c>
      <c r="D22" s="20">
        <v>0.24508685463467916</v>
      </c>
      <c r="E22" s="20">
        <v>0.16455580184754651</v>
      </c>
      <c r="F22" s="20">
        <v>9.6197086455308556E-2</v>
      </c>
      <c r="G22" s="20">
        <v>-8.2584247979108252E-2</v>
      </c>
      <c r="H22" s="20">
        <v>1</v>
      </c>
    </row>
    <row r="23" spans="1:10">
      <c r="C23" s="7"/>
      <c r="D23" s="7"/>
      <c r="E23" s="7"/>
      <c r="F23" s="7"/>
      <c r="G23" s="7"/>
      <c r="H23" s="7"/>
    </row>
    <row r="24" spans="1:10">
      <c r="C24" s="11" t="s">
        <v>8</v>
      </c>
      <c r="D24" s="7"/>
      <c r="E24" s="7"/>
      <c r="F24" s="7"/>
      <c r="G24" s="7"/>
      <c r="H24" s="7"/>
    </row>
    <row r="25" spans="1:10">
      <c r="C25" s="7"/>
      <c r="D25" s="7"/>
      <c r="E25" s="7"/>
      <c r="F25" s="7"/>
      <c r="G25" s="7"/>
      <c r="H25" s="7"/>
    </row>
    <row r="26" spans="1:10">
      <c r="C26" s="1" t="str">
        <f>C3</f>
        <v>Aktien</v>
      </c>
      <c r="D26" s="1" t="str">
        <f t="shared" ref="D26:H26" si="2">D3</f>
        <v>Rohstoffe</v>
      </c>
      <c r="E26" s="1" t="str">
        <f t="shared" si="2"/>
        <v>Anleihen</v>
      </c>
      <c r="F26" s="1" t="str">
        <f t="shared" si="2"/>
        <v>Immobilien</v>
      </c>
      <c r="G26" s="1" t="str">
        <f t="shared" si="2"/>
        <v>DekaImmobilienfonds</v>
      </c>
      <c r="H26" s="1" t="str">
        <f t="shared" si="2"/>
        <v>Amerikanische REITs</v>
      </c>
      <c r="J26" s="19" t="s">
        <v>15</v>
      </c>
    </row>
    <row r="27" spans="1:10">
      <c r="C27" s="1">
        <v>1</v>
      </c>
      <c r="D27" s="1">
        <v>2</v>
      </c>
      <c r="E27" s="1">
        <v>3</v>
      </c>
      <c r="F27" s="1">
        <v>4</v>
      </c>
      <c r="G27" s="1">
        <v>5</v>
      </c>
      <c r="H27" s="1">
        <v>6</v>
      </c>
      <c r="J27" s="19" t="s">
        <v>15</v>
      </c>
    </row>
    <row r="28" spans="1:10">
      <c r="A28" s="1" t="str">
        <f>C26</f>
        <v>Aktien</v>
      </c>
      <c r="B28" s="3">
        <v>1</v>
      </c>
      <c r="C28" s="18">
        <f ca="1">C17*OFFSET($B$11,0,C$27)*OFFSET($B$11,0,$B28)</f>
        <v>6.3993525172076418E-3</v>
      </c>
      <c r="D28" s="18">
        <f t="shared" ref="D28:H28" ca="1" si="3">D17*OFFSET($B$11,0,D$27)*OFFSET($B$11,0,$B28)</f>
        <v>-7.3612381750812615E-5</v>
      </c>
      <c r="E28" s="18">
        <f t="shared" ca="1" si="3"/>
        <v>-4.4489897831448969E-4</v>
      </c>
      <c r="F28" s="18">
        <f t="shared" ca="1" si="3"/>
        <v>-1.6640286482310447E-4</v>
      </c>
      <c r="G28" s="18">
        <f t="shared" ca="1" si="3"/>
        <v>-8.6390572959077913E-6</v>
      </c>
      <c r="H28" s="18">
        <f t="shared" ca="1" si="3"/>
        <v>2.2417177504479393E-3</v>
      </c>
      <c r="J28" s="19" t="s">
        <v>18</v>
      </c>
    </row>
    <row r="29" spans="1:10">
      <c r="A29" s="1" t="str">
        <f>D26</f>
        <v>Rohstoffe</v>
      </c>
      <c r="B29" s="3">
        <v>2</v>
      </c>
      <c r="C29" s="18">
        <f t="shared" ref="C29:H29" ca="1" si="4">C18*OFFSET($B$11,0,C$27)*OFFSET($B$11,0,$B29)</f>
        <v>-7.3612381750812615E-5</v>
      </c>
      <c r="D29" s="18">
        <f t="shared" ca="1" si="4"/>
        <v>3.479897853123531E-3</v>
      </c>
      <c r="E29" s="18">
        <f t="shared" ca="1" si="4"/>
        <v>3.5032130904852354E-4</v>
      </c>
      <c r="F29" s="18">
        <f t="shared" ca="1" si="4"/>
        <v>5.6183741681408442E-5</v>
      </c>
      <c r="G29" s="18">
        <f t="shared" ca="1" si="4"/>
        <v>3.8490019790649418E-5</v>
      </c>
      <c r="H29" s="18">
        <f t="shared" ca="1" si="4"/>
        <v>1.7127480488501562E-3</v>
      </c>
    </row>
    <row r="30" spans="1:10">
      <c r="A30" s="1" t="str">
        <f>E26</f>
        <v>Anleihen</v>
      </c>
      <c r="B30" s="1">
        <v>3</v>
      </c>
      <c r="C30" s="18">
        <f t="shared" ref="C30:H30" ca="1" si="5">C19*OFFSET($B$11,0,C$27)*OFFSET($B$11,0,$B30)</f>
        <v>-4.4489897831448969E-4</v>
      </c>
      <c r="D30" s="18">
        <f t="shared" ca="1" si="5"/>
        <v>3.5032130904852354E-4</v>
      </c>
      <c r="E30" s="18">
        <f t="shared" ca="1" si="5"/>
        <v>2.2089458072389618E-4</v>
      </c>
      <c r="F30" s="18">
        <f t="shared" ca="1" si="5"/>
        <v>1.8350155286795066E-5</v>
      </c>
      <c r="G30" s="18">
        <f t="shared" ca="1" si="5"/>
        <v>-7.691051634489832E-6</v>
      </c>
      <c r="H30" s="18">
        <f t="shared" ca="1" si="5"/>
        <v>2.8973165346327486E-4</v>
      </c>
    </row>
    <row r="31" spans="1:10">
      <c r="A31" s="15" t="str">
        <f>F26</f>
        <v>Immobilien</v>
      </c>
      <c r="B31" s="1">
        <v>4</v>
      </c>
      <c r="C31" s="18">
        <f t="shared" ref="C31:H32" ca="1" si="6">C20*OFFSET($B$11,0,C$27)*OFFSET($B$11,0,$B31)</f>
        <v>-1.664028648231045E-4</v>
      </c>
      <c r="D31" s="18">
        <f t="shared" ca="1" si="6"/>
        <v>5.6183741681408449E-5</v>
      </c>
      <c r="E31" s="18">
        <f t="shared" ca="1" si="6"/>
        <v>1.8350155286795062E-5</v>
      </c>
      <c r="F31" s="18">
        <f t="shared" ca="1" si="6"/>
        <v>1.6709154250536427E-4</v>
      </c>
      <c r="G31" s="18">
        <f t="shared" ca="1" si="6"/>
        <v>2.1296064503361031E-5</v>
      </c>
      <c r="H31" s="18">
        <f t="shared" ca="1" si="6"/>
        <v>1.4730902936225355E-4</v>
      </c>
    </row>
    <row r="32" spans="1:10">
      <c r="A32" s="1" t="str">
        <f>G26</f>
        <v>DekaImmobilienfonds</v>
      </c>
      <c r="B32" s="1">
        <v>5</v>
      </c>
      <c r="C32" s="18">
        <f t="shared" ca="1" si="6"/>
        <v>-8.6390572959077913E-6</v>
      </c>
      <c r="D32" s="18">
        <f t="shared" ca="1" si="6"/>
        <v>3.8490019790649418E-5</v>
      </c>
      <c r="E32" s="18">
        <f t="shared" ca="1" si="6"/>
        <v>-7.6910516344898337E-6</v>
      </c>
      <c r="F32" s="18">
        <f t="shared" ca="1" si="6"/>
        <v>2.1296064503361031E-5</v>
      </c>
      <c r="G32" s="18">
        <f t="shared" ca="1" si="6"/>
        <v>1.3529048483329329E-4</v>
      </c>
      <c r="H32" s="18">
        <f t="shared" ca="1" si="6"/>
        <v>-1.137944445008617E-4</v>
      </c>
    </row>
    <row r="33" spans="1:10">
      <c r="A33" s="1" t="str">
        <f>H26</f>
        <v>Amerikanische REITs</v>
      </c>
      <c r="B33" s="1">
        <v>6</v>
      </c>
      <c r="C33" s="18">
        <f t="shared" ref="C33:H33" ca="1" si="7">C22*OFFSET($B$11,0,C$27)*OFFSET($B$11,0,$B33)</f>
        <v>2.2417177504479397E-3</v>
      </c>
      <c r="D33" s="18">
        <f t="shared" ca="1" si="7"/>
        <v>1.7127480488501562E-3</v>
      </c>
      <c r="E33" s="18">
        <f t="shared" ca="1" si="7"/>
        <v>2.8973165346327486E-4</v>
      </c>
      <c r="F33" s="18">
        <f t="shared" ca="1" si="7"/>
        <v>1.4730902936225355E-4</v>
      </c>
      <c r="G33" s="18">
        <f t="shared" ca="1" si="7"/>
        <v>-1.137944445008617E-4</v>
      </c>
      <c r="H33" s="18">
        <f t="shared" ca="1" si="7"/>
        <v>1.4033966330769745E-2</v>
      </c>
    </row>
    <row r="34" spans="1:10">
      <c r="C34" s="7"/>
      <c r="D34" s="7"/>
      <c r="E34" s="7"/>
      <c r="F34" s="7"/>
      <c r="G34" s="7"/>
      <c r="H34" s="7"/>
    </row>
    <row r="35" spans="1:10">
      <c r="C35" s="2" t="s">
        <v>24</v>
      </c>
    </row>
    <row r="37" spans="1:10">
      <c r="C37" s="1" t="str">
        <f>C3</f>
        <v>Aktien</v>
      </c>
      <c r="D37" s="1" t="str">
        <f t="shared" ref="D37:H37" si="8">D3</f>
        <v>Rohstoffe</v>
      </c>
      <c r="E37" s="1" t="str">
        <f t="shared" si="8"/>
        <v>Anleihen</v>
      </c>
      <c r="F37" s="1" t="str">
        <f t="shared" si="8"/>
        <v>Immobilien</v>
      </c>
      <c r="G37" s="1" t="str">
        <f t="shared" si="8"/>
        <v>DekaImmobilienfonds</v>
      </c>
      <c r="H37" s="1" t="str">
        <f t="shared" si="8"/>
        <v>Amerikanische REITs</v>
      </c>
      <c r="J37" s="19" t="s">
        <v>15</v>
      </c>
    </row>
    <row r="38" spans="1:10">
      <c r="C38" s="3">
        <v>1</v>
      </c>
      <c r="D38" s="3">
        <v>2</v>
      </c>
      <c r="E38" s="1">
        <v>3</v>
      </c>
      <c r="F38" s="1">
        <v>4</v>
      </c>
      <c r="G38" s="1">
        <v>5</v>
      </c>
      <c r="H38" s="1">
        <v>6</v>
      </c>
      <c r="J38" s="19" t="s">
        <v>15</v>
      </c>
    </row>
    <row r="39" spans="1:10">
      <c r="C39" s="21">
        <v>0</v>
      </c>
      <c r="D39" s="21">
        <v>0</v>
      </c>
      <c r="E39" s="21">
        <v>0</v>
      </c>
      <c r="F39" s="21">
        <v>0</v>
      </c>
      <c r="G39" s="21">
        <v>0</v>
      </c>
      <c r="H39" s="16">
        <f>1-SUM(C39:G39)</f>
        <v>1</v>
      </c>
      <c r="J39" s="19" t="s">
        <v>20</v>
      </c>
    </row>
    <row r="40" spans="1:10">
      <c r="F40" s="6"/>
    </row>
    <row r="41" spans="1:10">
      <c r="C41" s="2" t="s">
        <v>0</v>
      </c>
      <c r="F41" s="6"/>
    </row>
    <row r="43" spans="1:10">
      <c r="A43" s="4" t="s">
        <v>9</v>
      </c>
      <c r="B43" s="5"/>
      <c r="C43" s="26">
        <v>0.11846999999999999</v>
      </c>
      <c r="D43" s="7"/>
      <c r="J43" s="19" t="s">
        <v>21</v>
      </c>
    </row>
    <row r="44" spans="1:10">
      <c r="A44" s="4" t="s">
        <v>10</v>
      </c>
      <c r="B44" s="5"/>
      <c r="C44" s="23" t="b">
        <v>1</v>
      </c>
      <c r="J44" s="19" t="s">
        <v>22</v>
      </c>
    </row>
    <row r="45" spans="1:10">
      <c r="A45" s="4" t="s">
        <v>11</v>
      </c>
      <c r="B45" s="5"/>
      <c r="C45" s="10">
        <f>SUMPRODUCT(C39:H39,C5:H5)</f>
        <v>3.0817676397078872E-2</v>
      </c>
      <c r="D45" s="8"/>
      <c r="J45" s="19" t="s">
        <v>23</v>
      </c>
    </row>
    <row r="46" spans="1:10">
      <c r="A46" s="4" t="s">
        <v>12</v>
      </c>
      <c r="B46" s="5"/>
      <c r="C46" s="10">
        <f t="array" aca="1" ref="C46" ca="1">MMULT(MMULT(C39:H39,C28:H33),TRANSPOSE(C39:H39))</f>
        <v>1.4033966330769745E-2</v>
      </c>
      <c r="D46" s="8"/>
      <c r="J46" s="19" t="s">
        <v>23</v>
      </c>
    </row>
    <row r="47" spans="1:10">
      <c r="A47" s="4" t="s">
        <v>13</v>
      </c>
      <c r="B47" s="5"/>
      <c r="C47" s="10">
        <f ca="1">SQRT(C46)</f>
        <v>0.11846504265296892</v>
      </c>
      <c r="J47" s="19" t="s">
        <v>23</v>
      </c>
    </row>
    <row r="48" spans="1:10">
      <c r="C48" s="7"/>
    </row>
    <row r="57" spans="1:1">
      <c r="A57" s="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H36"/>
  <sheetViews>
    <sheetView zoomScale="90" zoomScaleNormal="90" workbookViewId="0">
      <selection activeCell="AA10" sqref="AA10"/>
    </sheetView>
  </sheetViews>
  <sheetFormatPr baseColWidth="10" defaultColWidth="9.140625" defaultRowHeight="15"/>
  <cols>
    <col min="6" max="6" width="20" customWidth="1"/>
    <col min="8" max="8" width="24.42578125" customWidth="1"/>
  </cols>
  <sheetData>
    <row r="1" spans="1:8">
      <c r="B1" s="22" t="s">
        <v>25</v>
      </c>
      <c r="C1" s="22"/>
      <c r="D1" s="22"/>
      <c r="E1" s="22"/>
      <c r="F1" s="22"/>
      <c r="G1" s="22"/>
      <c r="H1" s="22"/>
    </row>
    <row r="2" spans="1:8">
      <c r="A2" s="12" t="s">
        <v>1</v>
      </c>
      <c r="B2" s="12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Immobilien</v>
      </c>
      <c r="G2" s="1" t="str">
        <f>Calc!G3</f>
        <v>DekaImmobilienfonds</v>
      </c>
      <c r="H2" s="1" t="str">
        <f>Calc!H3</f>
        <v>Amerikanische REITs</v>
      </c>
    </row>
    <row r="3" spans="1:8">
      <c r="A3" s="13">
        <v>7.3400000000000002E-3</v>
      </c>
      <c r="B3" s="13">
        <v>5.5105284696959625E-3</v>
      </c>
      <c r="C3" s="14">
        <v>3.792505040836016E-2</v>
      </c>
      <c r="D3" s="14">
        <v>5.5835957442851867E-8</v>
      </c>
      <c r="E3" s="14">
        <v>0.3085048157016459</v>
      </c>
      <c r="F3" s="14">
        <v>0.28749208677886623</v>
      </c>
      <c r="G3" s="14">
        <v>0.36607799127517016</v>
      </c>
      <c r="H3" s="14">
        <v>0</v>
      </c>
    </row>
    <row r="4" spans="1:8">
      <c r="A4" s="13">
        <v>1.2896500000000002E-2</v>
      </c>
      <c r="B4" s="13">
        <v>1.2888748285752363E-2</v>
      </c>
      <c r="C4" s="14">
        <v>2.6649107099684988E-2</v>
      </c>
      <c r="D4" s="14">
        <v>6.8031766293902951E-2</v>
      </c>
      <c r="E4" s="14">
        <v>0</v>
      </c>
      <c r="F4" s="14">
        <v>0.88745006555625405</v>
      </c>
      <c r="G4" s="14">
        <v>0</v>
      </c>
      <c r="H4" s="14">
        <v>1.7869061050157953E-2</v>
      </c>
    </row>
    <row r="5" spans="1:8">
      <c r="A5" s="13">
        <v>1.8453000000000001E-2</v>
      </c>
      <c r="B5" s="13">
        <v>1.4773145520830764E-2</v>
      </c>
      <c r="C5" s="14">
        <v>0</v>
      </c>
      <c r="D5" s="14">
        <v>0.14523098252665179</v>
      </c>
      <c r="E5" s="14">
        <v>0</v>
      </c>
      <c r="F5" s="14">
        <v>0.77243283309079225</v>
      </c>
      <c r="G5" s="14">
        <v>0</v>
      </c>
      <c r="H5" s="14">
        <v>8.2336184382555966E-2</v>
      </c>
    </row>
    <row r="6" spans="1:8">
      <c r="A6" s="13">
        <v>2.40095E-2</v>
      </c>
      <c r="B6" s="13">
        <v>1.6044543101367461E-2</v>
      </c>
      <c r="C6" s="14">
        <v>0</v>
      </c>
      <c r="D6" s="14">
        <v>0.2042715711854603</v>
      </c>
      <c r="E6" s="14">
        <v>0</v>
      </c>
      <c r="F6" s="14">
        <v>0.66850422458177527</v>
      </c>
      <c r="G6" s="14">
        <v>0</v>
      </c>
      <c r="H6" s="14">
        <v>0.12722420423276448</v>
      </c>
    </row>
    <row r="7" spans="1:8">
      <c r="A7" s="13">
        <v>2.9566000000000002E-2</v>
      </c>
      <c r="B7" s="13">
        <v>1.7192966475308526E-2</v>
      </c>
      <c r="C7" s="14">
        <v>0</v>
      </c>
      <c r="D7" s="14">
        <v>0.25730727521974234</v>
      </c>
      <c r="E7" s="14">
        <v>0</v>
      </c>
      <c r="F7" s="14">
        <v>0.57480615584739314</v>
      </c>
      <c r="G7" s="14">
        <v>0</v>
      </c>
      <c r="H7" s="14">
        <v>0.16788656893286458</v>
      </c>
    </row>
    <row r="8" spans="1:8">
      <c r="A8" s="13">
        <v>3.5122500000000001E-2</v>
      </c>
      <c r="B8" s="13">
        <v>1.8290068774845576E-2</v>
      </c>
      <c r="C8" s="14">
        <v>0</v>
      </c>
      <c r="D8" s="14">
        <v>0.31023359311678633</v>
      </c>
      <c r="E8" s="14">
        <v>0</v>
      </c>
      <c r="F8" s="14">
        <v>0.48392637444353781</v>
      </c>
      <c r="G8" s="14">
        <v>0</v>
      </c>
      <c r="H8" s="14">
        <v>0.20584003243967586</v>
      </c>
    </row>
    <row r="9" spans="1:8">
      <c r="A9" s="13">
        <v>4.0679E-2</v>
      </c>
      <c r="B9" s="13">
        <v>1.93601620585175E-2</v>
      </c>
      <c r="C9" s="14">
        <v>0</v>
      </c>
      <c r="D9" s="14">
        <v>0.36018790841637949</v>
      </c>
      <c r="E9" s="14">
        <v>0</v>
      </c>
      <c r="F9" s="14">
        <v>0.39629457153669617</v>
      </c>
      <c r="G9" s="14">
        <v>0</v>
      </c>
      <c r="H9" s="14">
        <v>0.2435175200469244</v>
      </c>
    </row>
    <row r="10" spans="1:8">
      <c r="A10" s="13">
        <v>4.6235500000000006E-2</v>
      </c>
      <c r="B10" s="13">
        <v>2.0413907490264262E-2</v>
      </c>
      <c r="C10" s="14">
        <v>0</v>
      </c>
      <c r="D10" s="14">
        <v>0.40981555179763018</v>
      </c>
      <c r="E10" s="14">
        <v>0</v>
      </c>
      <c r="F10" s="14">
        <v>0.30973721903126344</v>
      </c>
      <c r="G10" s="14">
        <v>0</v>
      </c>
      <c r="H10" s="14">
        <v>0.28044722917110643</v>
      </c>
    </row>
    <row r="11" spans="1:8">
      <c r="A11" s="13">
        <v>5.1792000000000005E-2</v>
      </c>
      <c r="B11" s="13">
        <v>2.1457040662372074E-2</v>
      </c>
      <c r="C11" s="14">
        <v>0</v>
      </c>
      <c r="D11" s="14">
        <v>0.45796488380357941</v>
      </c>
      <c r="E11" s="14">
        <v>0</v>
      </c>
      <c r="F11" s="14">
        <v>0.22464410483721514</v>
      </c>
      <c r="G11" s="14">
        <v>0</v>
      </c>
      <c r="H11" s="14">
        <v>0.31739101135920544</v>
      </c>
    </row>
    <row r="12" spans="1:8">
      <c r="A12" s="13">
        <v>5.7348499999999997E-2</v>
      </c>
      <c r="B12" s="13">
        <v>2.2492876544089102E-2</v>
      </c>
      <c r="C12" s="14">
        <v>0</v>
      </c>
      <c r="D12" s="14">
        <v>0.50460103190262307</v>
      </c>
      <c r="E12" s="14">
        <v>0</v>
      </c>
      <c r="F12" s="14">
        <v>0.14085858287393357</v>
      </c>
      <c r="G12" s="14">
        <v>0</v>
      </c>
      <c r="H12" s="14">
        <v>0.35454038522344333</v>
      </c>
    </row>
    <row r="13" spans="1:8">
      <c r="A13" s="13">
        <v>6.2905000000000003E-2</v>
      </c>
      <c r="B13" s="13">
        <v>2.3523412149563588E-2</v>
      </c>
      <c r="C13" s="14">
        <v>0</v>
      </c>
      <c r="D13" s="14">
        <v>0.55343766512807369</v>
      </c>
      <c r="E13" s="14">
        <v>0</v>
      </c>
      <c r="F13" s="14">
        <v>5.6024820100243913E-2</v>
      </c>
      <c r="G13" s="14">
        <v>0</v>
      </c>
      <c r="H13" s="14">
        <v>0.39053751477168241</v>
      </c>
    </row>
    <row r="14" spans="1:8">
      <c r="A14" s="13">
        <v>6.8461500000000008E-2</v>
      </c>
      <c r="B14" s="13">
        <v>2.453789175301492E-2</v>
      </c>
      <c r="C14" s="14">
        <v>0</v>
      </c>
      <c r="D14" s="14">
        <v>0.5561199073181966</v>
      </c>
      <c r="E14" s="14">
        <v>0</v>
      </c>
      <c r="F14" s="14">
        <v>0</v>
      </c>
      <c r="G14" s="14">
        <v>0</v>
      </c>
      <c r="H14" s="14">
        <v>0.4438800926818034</v>
      </c>
    </row>
    <row r="15" spans="1:8">
      <c r="A15" s="13">
        <v>7.4018E-2</v>
      </c>
      <c r="B15" s="13">
        <v>2.5424837732211478E-2</v>
      </c>
      <c r="C15" s="14">
        <v>0</v>
      </c>
      <c r="D15" s="14">
        <v>0.4775744883740477</v>
      </c>
      <c r="E15" s="14">
        <v>0</v>
      </c>
      <c r="F15" s="14">
        <v>0</v>
      </c>
      <c r="G15" s="14">
        <v>0</v>
      </c>
      <c r="H15" s="14">
        <v>0.5224255116259523</v>
      </c>
    </row>
    <row r="16" spans="1:8">
      <c r="A16" s="13">
        <v>7.9574500000000006E-2</v>
      </c>
      <c r="B16" s="13">
        <v>2.6216484229079025E-2</v>
      </c>
      <c r="C16" s="14">
        <v>0</v>
      </c>
      <c r="D16" s="14">
        <v>0.40746852114427889</v>
      </c>
      <c r="E16" s="14">
        <v>0</v>
      </c>
      <c r="F16" s="14">
        <v>0</v>
      </c>
      <c r="G16" s="14">
        <v>0</v>
      </c>
      <c r="H16" s="14">
        <v>0.59253147885572111</v>
      </c>
    </row>
    <row r="17" spans="1:8">
      <c r="A17" s="13">
        <v>8.5131000000000012E-2</v>
      </c>
      <c r="B17" s="13">
        <v>2.695061346075793E-2</v>
      </c>
      <c r="C17" s="14">
        <v>0</v>
      </c>
      <c r="D17" s="14">
        <v>0.34245611969723699</v>
      </c>
      <c r="E17" s="14">
        <v>0</v>
      </c>
      <c r="F17" s="14">
        <v>0</v>
      </c>
      <c r="G17" s="14">
        <v>0</v>
      </c>
      <c r="H17" s="14">
        <v>0.65754388030276301</v>
      </c>
    </row>
    <row r="18" spans="1:8">
      <c r="A18" s="13">
        <v>9.0687500000000004E-2</v>
      </c>
      <c r="B18" s="13">
        <v>2.7646150258233658E-2</v>
      </c>
      <c r="C18" s="14">
        <v>0</v>
      </c>
      <c r="D18" s="14">
        <v>0.28086135470569751</v>
      </c>
      <c r="E18" s="14">
        <v>0</v>
      </c>
      <c r="F18" s="14">
        <v>0</v>
      </c>
      <c r="G18" s="14">
        <v>0</v>
      </c>
      <c r="H18" s="14">
        <v>0.71913864529430249</v>
      </c>
    </row>
    <row r="19" spans="1:8">
      <c r="A19" s="13">
        <v>9.624400000000001E-2</v>
      </c>
      <c r="B19" s="13">
        <v>2.8314016916408394E-2</v>
      </c>
      <c r="C19" s="14">
        <v>0</v>
      </c>
      <c r="D19" s="14">
        <v>0.22171697872838891</v>
      </c>
      <c r="E19" s="14">
        <v>0</v>
      </c>
      <c r="F19" s="14">
        <v>0</v>
      </c>
      <c r="G19" s="14">
        <v>0</v>
      </c>
      <c r="H19" s="14">
        <v>0.77828302127161109</v>
      </c>
    </row>
    <row r="20" spans="1:8">
      <c r="A20" s="13">
        <v>0.1018005</v>
      </c>
      <c r="B20" s="13">
        <v>2.8961139190316586E-2</v>
      </c>
      <c r="C20" s="14">
        <v>0</v>
      </c>
      <c r="D20" s="14">
        <v>0.16440966655335376</v>
      </c>
      <c r="E20" s="14">
        <v>0</v>
      </c>
      <c r="F20" s="14">
        <v>0</v>
      </c>
      <c r="G20" s="14">
        <v>0</v>
      </c>
      <c r="H20" s="14">
        <v>0.83559033344664624</v>
      </c>
    </row>
    <row r="21" spans="1:8">
      <c r="A21" s="13">
        <v>0.10735699999999999</v>
      </c>
      <c r="B21" s="13">
        <v>2.9592175710884353E-2</v>
      </c>
      <c r="C21" s="14">
        <v>0</v>
      </c>
      <c r="D21" s="14">
        <v>0.10852686304602872</v>
      </c>
      <c r="E21" s="14">
        <v>0</v>
      </c>
      <c r="F21" s="14">
        <v>0</v>
      </c>
      <c r="G21" s="14">
        <v>0</v>
      </c>
      <c r="H21" s="14">
        <v>0.89147313695397123</v>
      </c>
    </row>
    <row r="22" spans="1:8">
      <c r="A22" s="13">
        <v>0.11291350000000001</v>
      </c>
      <c r="B22" s="13">
        <v>3.0210479440018662E-2</v>
      </c>
      <c r="C22" s="14">
        <v>0</v>
      </c>
      <c r="D22" s="14">
        <v>5.3771639414960853E-2</v>
      </c>
      <c r="E22" s="14">
        <v>0</v>
      </c>
      <c r="F22" s="14">
        <v>0</v>
      </c>
      <c r="G22" s="14">
        <v>0</v>
      </c>
      <c r="H22" s="14">
        <v>0.94622836058503912</v>
      </c>
    </row>
    <row r="23" spans="1:8">
      <c r="A23" s="13">
        <v>0.11846999999999999</v>
      </c>
      <c r="B23" s="13">
        <v>3.0817676397078872E-2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1</v>
      </c>
    </row>
    <row r="27" spans="1:8">
      <c r="A27" s="12" t="s">
        <v>3</v>
      </c>
      <c r="B27" s="208">
        <v>7.3400000000000002E-3</v>
      </c>
    </row>
    <row r="28" spans="1:8">
      <c r="A28" s="12" t="s">
        <v>4</v>
      </c>
      <c r="B28" s="208">
        <v>0.11847000000000001</v>
      </c>
    </row>
    <row r="34" spans="1:7">
      <c r="A34" s="24" t="s">
        <v>27</v>
      </c>
      <c r="B34" s="25"/>
      <c r="C34" s="25"/>
      <c r="D34" s="25"/>
      <c r="E34" s="25"/>
      <c r="F34" s="25"/>
      <c r="G34" s="25"/>
    </row>
    <row r="35" spans="1:7">
      <c r="A35" s="25" t="s">
        <v>28</v>
      </c>
      <c r="B35" s="25"/>
      <c r="C35" s="25"/>
      <c r="D35" s="25"/>
      <c r="E35" s="25"/>
      <c r="F35" s="25"/>
      <c r="G35" s="25"/>
    </row>
    <row r="36" spans="1:7">
      <c r="A36" s="25" t="s">
        <v>29</v>
      </c>
      <c r="B36" s="25"/>
      <c r="C36" s="25"/>
      <c r="D36" s="25"/>
      <c r="E36" s="25"/>
      <c r="F36" s="25"/>
      <c r="G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2</xdr:col>
                    <xdr:colOff>123825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Aktien</vt:lpstr>
      <vt:lpstr>Gold</vt:lpstr>
      <vt:lpstr>Anleihen</vt:lpstr>
      <vt:lpstr>Immobilien</vt:lpstr>
      <vt:lpstr>Deka</vt:lpstr>
      <vt:lpstr>Equity Residential</vt:lpstr>
      <vt:lpstr>Berechnungen Quartal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2020-06-11T16:03:43Z</dcterms:modified>
</cp:coreProperties>
</file>